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6500A96D-5D6A-426A-907B-1B54CFBCB248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7" i="1" l="1"/>
  <c r="AA7" i="1"/>
  <c r="AB7" i="1"/>
  <c r="AC7" i="1"/>
  <c r="AD7" i="1"/>
  <c r="AE7" i="1"/>
  <c r="CL13" i="1"/>
  <c r="CL18" i="1"/>
  <c r="CL8" i="1"/>
  <c r="CL257" i="1"/>
  <c r="CM21" i="1"/>
  <c r="CN21" i="1" s="1"/>
  <c r="CO21" i="1" s="1"/>
  <c r="CP21" i="1" s="1"/>
  <c r="CQ21" i="1" s="1"/>
  <c r="CR21" i="1" s="1"/>
  <c r="CS21" i="1" s="1"/>
  <c r="CT21" i="1" s="1"/>
  <c r="CU21" i="1" s="1"/>
  <c r="CV21" i="1" s="1"/>
  <c r="CW21" i="1" s="1"/>
  <c r="CX21" i="1" s="1"/>
  <c r="CY21" i="1" s="1"/>
  <c r="CZ21" i="1" s="1"/>
  <c r="DA21" i="1" s="1"/>
  <c r="DB21" i="1" s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CJ8" i="1" l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CK8" i="1"/>
  <c r="CK12" i="1"/>
  <c r="CK13" i="1"/>
  <c r="Z6" i="1"/>
  <c r="Y6" i="1"/>
  <c r="X6" i="1"/>
  <c r="W6" i="1"/>
  <c r="V6" i="1"/>
  <c r="U6" i="1"/>
  <c r="T6" i="1"/>
  <c r="S6" i="1"/>
  <c r="R6" i="1"/>
  <c r="Q6" i="1"/>
  <c r="Y5" i="1"/>
  <c r="X5" i="1"/>
  <c r="W5" i="1"/>
  <c r="V5" i="1"/>
  <c r="U5" i="1"/>
  <c r="T5" i="1"/>
  <c r="S5" i="1"/>
  <c r="R5" i="1"/>
  <c r="Q5" i="1"/>
  <c r="CH13" i="1"/>
  <c r="CJ13" i="1"/>
  <c r="CJ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AW12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AW13" i="1"/>
  <c r="CI6" i="1"/>
  <c r="CI13" i="1" s="1"/>
  <c r="CI5" i="1"/>
  <c r="CI12" i="1" s="1"/>
  <c r="CH5" i="1"/>
  <c r="Z18" i="1"/>
  <c r="Z19" i="1"/>
  <c r="Z20" i="1"/>
  <c r="Y18" i="1"/>
  <c r="Y19" i="1"/>
  <c r="Y20" i="1"/>
  <c r="X18" i="1"/>
  <c r="X19" i="1"/>
  <c r="X20" i="1"/>
  <c r="W18" i="1"/>
  <c r="W19" i="1"/>
  <c r="W20" i="1"/>
  <c r="V18" i="1"/>
  <c r="V19" i="1"/>
  <c r="V20" i="1"/>
  <c r="U18" i="1"/>
  <c r="U19" i="1"/>
  <c r="U20" i="1"/>
  <c r="T18" i="1"/>
  <c r="T19" i="1"/>
  <c r="T20" i="1"/>
  <c r="T17" i="1"/>
  <c r="U17" i="1"/>
  <c r="S20" i="1"/>
  <c r="S18" i="1"/>
  <c r="S19" i="1"/>
  <c r="Z17" i="1"/>
  <c r="Y17" i="1"/>
  <c r="X17" i="1"/>
  <c r="W17" i="1"/>
  <c r="V17" i="1"/>
  <c r="S17" i="1"/>
  <c r="BA22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K17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4" i="1"/>
  <c r="AB27" i="1"/>
  <c r="AC27" i="1"/>
  <c r="AD27" i="1"/>
  <c r="AE27" i="1"/>
  <c r="AB40" i="1"/>
  <c r="AC40" i="1"/>
  <c r="AD40" i="1"/>
  <c r="AE40" i="1"/>
  <c r="AE39" i="1"/>
  <c r="AD39" i="1"/>
  <c r="AC39" i="1"/>
  <c r="AB39" i="1"/>
  <c r="AJ227" i="1"/>
  <c r="AB46" i="2"/>
  <c r="AE76" i="2"/>
  <c r="AD40" i="2"/>
  <c r="AC61" i="2"/>
  <c r="AF91" i="2"/>
  <c r="AB8" i="2"/>
  <c r="AD82" i="2"/>
  <c r="AE87" i="2"/>
  <c r="AE52" i="2"/>
  <c r="AF36" i="2"/>
  <c r="AE22" i="2"/>
  <c r="AD47" i="2"/>
  <c r="AD65" i="2"/>
  <c r="AF70" i="2"/>
  <c r="AB18" i="2"/>
  <c r="AA43" i="1" s="1"/>
  <c r="AF94" i="2"/>
  <c r="AD84" i="2"/>
  <c r="AC77" i="2"/>
  <c r="AE55" i="2"/>
  <c r="AB76" i="2"/>
  <c r="AA162" i="1" s="1"/>
  <c r="AB73" i="2"/>
  <c r="AA161" i="1" s="1"/>
  <c r="AB52" i="2"/>
  <c r="AA169" i="1" s="1"/>
  <c r="AC51" i="2"/>
  <c r="AF14" i="2"/>
  <c r="AD44" i="2"/>
  <c r="AE12" i="2"/>
  <c r="AB31" i="2"/>
  <c r="AD54" i="2"/>
  <c r="AE18" i="2"/>
  <c r="AE26" i="2"/>
  <c r="AD68" i="2"/>
  <c r="AC42" i="2"/>
  <c r="AC106" i="2"/>
  <c r="AF72" i="2"/>
  <c r="AF15" i="2"/>
  <c r="AC46" i="2"/>
  <c r="AC87" i="2"/>
  <c r="AE53" i="2"/>
  <c r="AC50" i="2"/>
  <c r="AC80" i="2"/>
  <c r="AD28" i="2"/>
  <c r="AC110" i="2"/>
  <c r="AD56" i="2"/>
  <c r="AF6" i="2"/>
  <c r="AC69" i="2"/>
  <c r="AE19" i="2"/>
  <c r="AD19" i="2"/>
  <c r="AF12" i="2"/>
  <c r="AD63" i="2"/>
  <c r="AC90" i="2"/>
  <c r="AE30" i="2"/>
  <c r="AB11" i="2"/>
  <c r="AA31" i="1" s="1"/>
  <c r="AE57" i="2"/>
  <c r="AB84" i="2"/>
  <c r="AD27" i="2"/>
  <c r="AF45" i="2"/>
  <c r="AD26" i="2"/>
  <c r="AF24" i="2"/>
  <c r="AD5" i="2"/>
  <c r="AE68" i="2"/>
  <c r="AE43" i="2"/>
  <c r="AE5" i="2"/>
  <c r="AE34" i="2"/>
  <c r="AD71" i="2"/>
  <c r="AE56" i="2"/>
  <c r="AC56" i="2"/>
  <c r="AC14" i="2"/>
  <c r="AF49" i="2"/>
  <c r="AE92" i="2"/>
  <c r="AB71" i="2"/>
  <c r="AA158" i="1" s="1"/>
  <c r="AC109" i="2"/>
  <c r="AC52" i="2"/>
  <c r="AE46" i="2"/>
  <c r="AD85" i="2"/>
  <c r="AD59" i="2"/>
  <c r="AB65" i="2"/>
  <c r="AE9" i="2"/>
  <c r="AC20" i="2"/>
  <c r="AF59" i="2"/>
  <c r="AD12" i="2"/>
  <c r="AB14" i="2"/>
  <c r="AA38" i="1" s="1"/>
  <c r="AF93" i="2"/>
  <c r="AB95" i="2"/>
  <c r="AA189" i="1" s="1"/>
  <c r="AB74" i="2"/>
  <c r="AF35" i="2"/>
  <c r="AB62" i="2"/>
  <c r="AA149" i="1" s="1"/>
  <c r="AC93" i="2"/>
  <c r="AC104" i="2"/>
  <c r="AB90" i="2"/>
  <c r="AB48" i="2"/>
  <c r="AA143" i="1" s="1"/>
  <c r="AC71" i="2"/>
  <c r="AD75" i="2"/>
  <c r="AD104" i="2"/>
  <c r="AC12" i="2"/>
  <c r="AC108" i="2"/>
  <c r="AB106" i="2"/>
  <c r="AA95" i="1" s="1"/>
  <c r="AC85" i="2"/>
  <c r="AC26" i="2"/>
  <c r="AB34" i="2"/>
  <c r="AB33" i="2"/>
  <c r="AA64" i="1" s="1"/>
  <c r="AD78" i="2"/>
  <c r="AF44" i="2"/>
  <c r="AD9" i="2"/>
  <c r="AC29" i="2"/>
  <c r="AE23" i="2"/>
  <c r="AB105" i="2"/>
  <c r="AB104" i="2"/>
  <c r="AD30" i="2"/>
  <c r="AD94" i="2"/>
  <c r="AE84" i="2"/>
  <c r="AC25" i="2"/>
  <c r="AD16" i="2"/>
  <c r="AC48" i="2"/>
  <c r="AF11" i="2"/>
  <c r="AE31" i="2"/>
  <c r="AB99" i="2"/>
  <c r="AD83" i="2"/>
  <c r="AD53" i="2"/>
  <c r="AB47" i="2"/>
  <c r="AA142" i="1" s="1"/>
  <c r="AD52" i="2"/>
  <c r="AF32" i="2"/>
  <c r="AB9" i="2"/>
  <c r="AC86" i="2"/>
  <c r="AD18" i="2"/>
  <c r="AF41" i="2"/>
  <c r="AC53" i="2"/>
  <c r="AF96" i="2"/>
  <c r="AB92" i="2"/>
  <c r="AF10" i="2"/>
  <c r="AE44" i="2"/>
  <c r="AD61" i="2"/>
  <c r="AF26" i="2"/>
  <c r="AC97" i="2"/>
  <c r="AC7" i="2"/>
  <c r="AB26" i="2"/>
  <c r="AD110" i="2"/>
  <c r="AF85" i="2"/>
  <c r="AC75" i="2"/>
  <c r="AF82" i="2"/>
  <c r="AD10" i="2"/>
  <c r="AF43" i="2"/>
  <c r="AC79" i="2"/>
  <c r="AD46" i="2"/>
  <c r="AF51" i="2"/>
  <c r="AB21" i="2"/>
  <c r="AC83" i="2"/>
  <c r="AC22" i="2"/>
  <c r="AE6" i="2"/>
  <c r="AE106" i="2"/>
  <c r="AC107" i="2"/>
  <c r="AC33" i="2"/>
  <c r="AB91" i="2"/>
  <c r="AB81" i="2"/>
  <c r="AC105" i="2"/>
  <c r="AD15" i="2"/>
  <c r="AF5" i="2"/>
  <c r="AF113" i="2" s="1"/>
  <c r="AE97" i="2"/>
  <c r="AF29" i="2"/>
  <c r="AF108" i="2"/>
  <c r="AC98" i="2"/>
  <c r="AC28" i="2"/>
  <c r="AF55" i="2"/>
  <c r="AD95" i="2"/>
  <c r="AD60" i="2"/>
  <c r="AF71" i="2"/>
  <c r="AB85" i="2"/>
  <c r="AA188" i="1" s="1"/>
  <c r="AF99" i="2"/>
  <c r="AE36" i="2"/>
  <c r="AE60" i="2"/>
  <c r="AD43" i="2"/>
  <c r="AF28" i="2"/>
  <c r="AD35" i="2"/>
  <c r="AB87" i="2"/>
  <c r="AA144" i="1" s="1"/>
  <c r="AE11" i="2"/>
  <c r="AE74" i="2"/>
  <c r="AB78" i="2"/>
  <c r="AA178" i="1" s="1"/>
  <c r="AE88" i="2"/>
  <c r="AB23" i="2"/>
  <c r="AA53" i="1" s="1"/>
  <c r="AE85" i="2"/>
  <c r="AC40" i="2"/>
  <c r="AD33" i="2"/>
  <c r="AE89" i="2"/>
  <c r="AB56" i="2"/>
  <c r="AA145" i="1" s="1"/>
  <c r="AE93" i="2"/>
  <c r="AD11" i="2"/>
  <c r="AB61" i="2"/>
  <c r="AE108" i="2"/>
  <c r="AE13" i="2"/>
  <c r="AD17" i="2"/>
  <c r="AB49" i="2"/>
  <c r="AA181" i="1" s="1"/>
  <c r="AF50" i="2"/>
  <c r="AB6" i="2"/>
  <c r="AA26" i="1" s="1"/>
  <c r="AD42" i="2"/>
  <c r="AD34" i="2"/>
  <c r="AD79" i="2"/>
  <c r="AF87" i="2"/>
  <c r="AB98" i="2"/>
  <c r="AE72" i="2"/>
  <c r="AE48" i="2"/>
  <c r="AE63" i="2"/>
  <c r="AD7" i="2"/>
  <c r="AF42" i="2"/>
  <c r="AF107" i="2"/>
  <c r="AF104" i="2"/>
  <c r="AE50" i="2"/>
  <c r="AB12" i="2"/>
  <c r="AA33" i="1" s="1"/>
  <c r="AE33" i="2"/>
  <c r="AD99" i="2"/>
  <c r="AD87" i="2"/>
  <c r="AC84" i="2"/>
  <c r="AF34" i="2"/>
  <c r="AB25" i="2"/>
  <c r="AA54" i="1" s="1"/>
  <c r="AA270" i="1" s="1"/>
  <c r="AB89" i="2"/>
  <c r="AB19" i="2"/>
  <c r="AA40" i="1" s="1"/>
  <c r="AC88" i="2"/>
  <c r="AC45" i="2"/>
  <c r="AC74" i="2"/>
  <c r="AC76" i="2"/>
  <c r="AF60" i="2"/>
  <c r="AB57" i="2"/>
  <c r="AA173" i="1" s="1"/>
  <c r="AB60" i="2"/>
  <c r="AF40" i="2"/>
  <c r="AF61" i="2"/>
  <c r="AE99" i="2"/>
  <c r="AE54" i="2"/>
  <c r="AE80" i="2"/>
  <c r="AB30" i="2"/>
  <c r="AA57" i="1" s="1"/>
  <c r="AF30" i="2"/>
  <c r="AD58" i="2"/>
  <c r="AB7" i="2"/>
  <c r="AB80" i="2"/>
  <c r="AA165" i="1" s="1"/>
  <c r="AE16" i="2"/>
  <c r="AD77" i="2"/>
  <c r="AD93" i="2"/>
  <c r="AC30" i="2"/>
  <c r="AF98" i="2"/>
  <c r="AF84" i="2"/>
  <c r="AD108" i="2"/>
  <c r="AB17" i="2"/>
  <c r="AA39" i="1" s="1"/>
  <c r="AC15" i="2"/>
  <c r="AC16" i="2"/>
  <c r="AF83" i="2"/>
  <c r="AB68" i="2"/>
  <c r="AA154" i="1" s="1"/>
  <c r="AC65" i="2"/>
  <c r="AB58" i="2"/>
  <c r="AB69" i="2"/>
  <c r="AE47" i="2"/>
  <c r="AC81" i="2"/>
  <c r="AB70" i="2"/>
  <c r="AE41" i="2"/>
  <c r="AF79" i="2"/>
  <c r="AC9" i="2"/>
  <c r="AE69" i="2"/>
  <c r="AE51" i="2"/>
  <c r="AD57" i="2"/>
  <c r="AC49" i="2"/>
  <c r="AE21" i="2"/>
  <c r="AB16" i="2"/>
  <c r="AD48" i="2"/>
  <c r="AB28" i="2"/>
  <c r="AF110" i="2"/>
  <c r="AF75" i="2"/>
  <c r="AD25" i="2"/>
  <c r="AF95" i="2"/>
  <c r="AC64" i="2"/>
  <c r="AE61" i="2"/>
  <c r="AC10" i="2"/>
  <c r="AF53" i="2"/>
  <c r="AE96" i="2"/>
  <c r="AD21" i="2"/>
  <c r="AB54" i="2"/>
  <c r="AA171" i="1" s="1"/>
  <c r="AA201" i="1" s="1"/>
  <c r="AF73" i="2"/>
  <c r="AB59" i="2"/>
  <c r="AE67" i="2"/>
  <c r="AF106" i="2"/>
  <c r="AE95" i="2"/>
  <c r="AF9" i="2"/>
  <c r="AE65" i="2"/>
  <c r="AC21" i="2"/>
  <c r="AB22" i="2"/>
  <c r="AC73" i="2"/>
  <c r="AF48" i="2"/>
  <c r="AC32" i="2"/>
  <c r="AC58" i="2"/>
  <c r="AF46" i="2"/>
  <c r="AD73" i="2"/>
  <c r="AE15" i="2"/>
  <c r="AE35" i="2"/>
  <c r="AE70" i="2"/>
  <c r="AC57" i="2"/>
  <c r="AD107" i="2"/>
  <c r="AC55" i="2"/>
  <c r="AC23" i="2"/>
  <c r="AD106" i="2"/>
  <c r="AC47" i="2"/>
  <c r="AD23" i="2"/>
  <c r="AD105" i="2"/>
  <c r="AD72" i="2"/>
  <c r="AC91" i="2"/>
  <c r="AF89" i="2"/>
  <c r="AE110" i="2"/>
  <c r="AB5" i="2"/>
  <c r="AD8" i="2"/>
  <c r="AB24" i="2"/>
  <c r="AE40" i="2"/>
  <c r="AF66" i="2"/>
  <c r="AE20" i="2"/>
  <c r="AD92" i="2"/>
  <c r="AE10" i="2"/>
  <c r="AC78" i="2"/>
  <c r="AC95" i="2"/>
  <c r="AC35" i="2"/>
  <c r="AE27" i="2"/>
  <c r="AF25" i="2"/>
  <c r="AD51" i="2"/>
  <c r="AF54" i="2"/>
  <c r="AB75" i="2"/>
  <c r="AA177" i="1" s="1"/>
  <c r="AE73" i="2"/>
  <c r="AF19" i="2"/>
  <c r="AE25" i="2"/>
  <c r="AE77" i="2"/>
  <c r="AF57" i="2"/>
  <c r="AD49" i="2"/>
  <c r="AF13" i="2"/>
  <c r="AC82" i="2"/>
  <c r="AB35" i="2"/>
  <c r="AA69" i="1" s="1"/>
  <c r="AE66" i="2"/>
  <c r="AE81" i="2"/>
  <c r="AC34" i="2"/>
  <c r="AF47" i="2"/>
  <c r="AE71" i="2"/>
  <c r="AD74" i="2"/>
  <c r="AB72" i="2"/>
  <c r="AA160" i="1" s="1"/>
  <c r="AB82" i="2"/>
  <c r="AF58" i="2"/>
  <c r="AF109" i="2"/>
  <c r="AF20" i="2"/>
  <c r="AF78" i="2"/>
  <c r="AC94" i="2"/>
  <c r="AB67" i="2"/>
  <c r="AA155" i="1" s="1"/>
  <c r="AB77" i="2"/>
  <c r="AA163" i="1" s="1"/>
  <c r="AA198" i="1" s="1"/>
  <c r="AE8" i="2"/>
  <c r="AB36" i="2"/>
  <c r="AF92" i="2"/>
  <c r="AC66" i="2"/>
  <c r="AC13" i="2"/>
  <c r="AC62" i="2"/>
  <c r="AB63" i="2"/>
  <c r="AA150" i="1" s="1"/>
  <c r="AF56" i="2"/>
  <c r="AB109" i="2"/>
  <c r="AD88" i="2"/>
  <c r="AE59" i="2"/>
  <c r="AB110" i="2"/>
  <c r="AA85" i="1" s="1"/>
  <c r="AE83" i="2"/>
  <c r="AF52" i="2"/>
  <c r="AE17" i="2"/>
  <c r="AE58" i="2"/>
  <c r="AB51" i="2"/>
  <c r="AA168" i="1" s="1"/>
  <c r="AE42" i="2"/>
  <c r="AD76" i="2"/>
  <c r="AD80" i="2"/>
  <c r="AD86" i="2"/>
  <c r="AF74" i="2"/>
  <c r="AD13" i="2"/>
  <c r="AF33" i="2"/>
  <c r="AC43" i="2"/>
  <c r="AF62" i="2"/>
  <c r="AD22" i="2"/>
  <c r="AE29" i="2"/>
  <c r="AF69" i="2"/>
  <c r="AC41" i="2"/>
  <c r="AB53" i="2"/>
  <c r="AD66" i="2"/>
  <c r="AB97" i="2"/>
  <c r="AE32" i="2"/>
  <c r="AF18" i="2"/>
  <c r="AF22" i="2"/>
  <c r="AE109" i="2"/>
  <c r="AD62" i="2"/>
  <c r="AB44" i="2"/>
  <c r="AB42" i="2"/>
  <c r="AA136" i="1" s="1"/>
  <c r="AE91" i="2"/>
  <c r="AB41" i="2"/>
  <c r="AA135" i="1" s="1"/>
  <c r="AA138" i="1" s="1"/>
  <c r="AE79" i="2"/>
  <c r="AB27" i="2"/>
  <c r="AA50" i="1" s="1"/>
  <c r="AF112" i="2"/>
  <c r="AC31" i="2"/>
  <c r="AC44" i="2"/>
  <c r="AB55" i="2"/>
  <c r="AB66" i="2"/>
  <c r="AF67" i="2"/>
  <c r="AB29" i="2"/>
  <c r="AA65" i="1" s="1"/>
  <c r="AC89" i="2"/>
  <c r="AD81" i="2"/>
  <c r="AD50" i="2"/>
  <c r="AF65" i="2"/>
  <c r="AE45" i="2"/>
  <c r="AD20" i="2"/>
  <c r="AF68" i="2"/>
  <c r="AE94" i="2"/>
  <c r="AC99" i="2"/>
  <c r="AC72" i="2"/>
  <c r="AF86" i="2"/>
  <c r="AE62" i="2"/>
  <c r="AD97" i="2"/>
  <c r="AD31" i="2"/>
  <c r="AC17" i="2"/>
  <c r="AF23" i="2"/>
  <c r="AC19" i="2"/>
  <c r="AD41" i="2"/>
  <c r="AB86" i="2"/>
  <c r="AA153" i="1" s="1"/>
  <c r="AB15" i="2"/>
  <c r="AA41" i="1" s="1"/>
  <c r="AB32" i="2"/>
  <c r="AA63" i="1" s="1"/>
  <c r="AF27" i="2"/>
  <c r="AB94" i="2"/>
  <c r="AD24" i="2"/>
  <c r="AF64" i="2"/>
  <c r="AF105" i="2"/>
  <c r="AE14" i="2"/>
  <c r="AF77" i="2"/>
  <c r="AF21" i="2"/>
  <c r="AD6" i="2"/>
  <c r="AF90" i="2"/>
  <c r="AD64" i="2"/>
  <c r="AD67" i="2"/>
  <c r="AB83" i="2"/>
  <c r="AA182" i="1" s="1"/>
  <c r="AF31" i="2"/>
  <c r="AB96" i="2"/>
  <c r="AC68" i="2"/>
  <c r="AB10" i="2"/>
  <c r="AB43" i="2"/>
  <c r="AA137" i="1" s="1"/>
  <c r="AE49" i="2"/>
  <c r="AD91" i="2"/>
  <c r="AF76" i="2"/>
  <c r="AC67" i="2"/>
  <c r="AC96" i="2"/>
  <c r="AE7" i="2"/>
  <c r="AF81" i="2"/>
  <c r="AD69" i="2"/>
  <c r="AF16" i="2"/>
  <c r="AD89" i="2"/>
  <c r="AD36" i="2"/>
  <c r="AF8" i="2"/>
  <c r="AC11" i="2"/>
  <c r="AE82" i="2"/>
  <c r="AE24" i="2"/>
  <c r="AB13" i="2"/>
  <c r="AA42" i="1" s="1"/>
  <c r="AF80" i="2"/>
  <c r="AD90" i="2"/>
  <c r="AF88" i="2"/>
  <c r="AB107" i="2"/>
  <c r="AA96" i="1" s="1"/>
  <c r="AB93" i="2"/>
  <c r="AA190" i="1" s="1"/>
  <c r="AC70" i="2"/>
  <c r="AC24" i="2"/>
  <c r="AB45" i="2"/>
  <c r="AA140" i="1" s="1"/>
  <c r="AE78" i="2"/>
  <c r="AB40" i="2"/>
  <c r="AD55" i="2"/>
  <c r="AD32" i="2"/>
  <c r="AC8" i="2"/>
  <c r="AD96" i="2"/>
  <c r="AD14" i="2"/>
  <c r="AC18" i="2"/>
  <c r="AD109" i="2"/>
  <c r="AB50" i="2"/>
  <c r="AA167" i="1" s="1"/>
  <c r="AC59" i="2"/>
  <c r="AC92" i="2"/>
  <c r="AE90" i="2"/>
  <c r="AE98" i="2"/>
  <c r="AB64" i="2"/>
  <c r="AA151" i="1" s="1"/>
  <c r="AE75" i="2"/>
  <c r="AB79" i="2"/>
  <c r="AA164" i="1" s="1"/>
  <c r="AE64" i="2"/>
  <c r="AF17" i="2"/>
  <c r="AD98" i="2"/>
  <c r="AD70" i="2"/>
  <c r="AC5" i="2"/>
  <c r="AC54" i="2"/>
  <c r="AE105" i="2"/>
  <c r="AD29" i="2"/>
  <c r="AE28" i="2"/>
  <c r="AE107" i="2"/>
  <c r="AF7" i="2"/>
  <c r="AE104" i="2"/>
  <c r="AC36" i="2"/>
  <c r="AC27" i="2"/>
  <c r="AF63" i="2"/>
  <c r="AB20" i="2"/>
  <c r="AD45" i="2"/>
  <c r="AC6" i="2"/>
  <c r="AC63" i="2"/>
  <c r="AE86" i="2"/>
  <c r="AC60" i="2"/>
  <c r="AB88" i="2"/>
  <c r="AF97" i="2"/>
  <c r="AB108" i="2"/>
  <c r="AA97" i="1" s="1"/>
  <c r="AA179" i="1" l="1"/>
  <c r="AA191" i="1"/>
  <c r="AA27" i="1"/>
  <c r="AB111" i="2"/>
  <c r="AB112" i="2"/>
  <c r="AA91" i="1" s="1"/>
  <c r="AA172" i="1"/>
  <c r="AA28" i="1"/>
  <c r="AA249" i="1"/>
  <c r="AA212" i="1"/>
  <c r="AA271" i="1"/>
  <c r="AA197" i="1"/>
  <c r="AA44" i="1"/>
  <c r="AA152" i="1"/>
  <c r="AA156" i="1" s="1"/>
  <c r="AA146" i="1"/>
  <c r="AA166" i="1"/>
  <c r="AA116" i="1"/>
  <c r="AA193" i="1"/>
  <c r="AD111" i="2"/>
  <c r="Y22" i="1"/>
  <c r="CH12" i="1"/>
  <c r="CL12" i="1"/>
  <c r="CI8" i="1"/>
  <c r="U8" i="1"/>
  <c r="W22" i="1"/>
  <c r="V8" i="1"/>
  <c r="W8" i="1"/>
  <c r="X22" i="1"/>
  <c r="X8" i="1"/>
  <c r="T22" i="1"/>
  <c r="Y8" i="1"/>
  <c r="U22" i="1"/>
  <c r="R8" i="1"/>
  <c r="V22" i="1"/>
  <c r="Z22" i="1"/>
  <c r="S8" i="1"/>
  <c r="T8" i="1"/>
  <c r="CH8" i="1"/>
  <c r="T12" i="1"/>
  <c r="X12" i="1"/>
  <c r="S13" i="1"/>
  <c r="V13" i="1"/>
  <c r="Z13" i="1"/>
  <c r="W13" i="1"/>
  <c r="Y12" i="1"/>
  <c r="X13" i="1"/>
  <c r="R12" i="1"/>
  <c r="V12" i="1"/>
  <c r="U13" i="1"/>
  <c r="Y13" i="1"/>
  <c r="U12" i="1"/>
  <c r="T13" i="1"/>
  <c r="S12" i="1"/>
  <c r="W12" i="1"/>
  <c r="R13" i="1"/>
  <c r="T21" i="1"/>
  <c r="Z21" i="1"/>
  <c r="Z5" i="1"/>
  <c r="W21" i="1"/>
  <c r="U21" i="1"/>
  <c r="X21" i="1"/>
  <c r="V21" i="1"/>
  <c r="Y21" i="1"/>
  <c r="B1" i="9"/>
  <c r="AB113" i="2"/>
  <c r="AA92" i="1" s="1"/>
  <c r="AC112" i="2"/>
  <c r="AD113" i="2"/>
  <c r="AD112" i="2"/>
  <c r="AF111" i="2"/>
  <c r="L1" i="9"/>
  <c r="AE112" i="2"/>
  <c r="AE111" i="2"/>
  <c r="A1" i="9"/>
  <c r="AE113" i="2"/>
  <c r="AC113" i="2"/>
  <c r="AC111" i="2"/>
  <c r="AA264" i="1" l="1"/>
  <c r="AA266" i="1"/>
  <c r="AA200" i="1"/>
  <c r="AA186" i="1"/>
  <c r="AA127" i="1" s="1"/>
  <c r="AA147" i="1"/>
  <c r="AA45" i="1"/>
  <c r="AA55" i="1"/>
  <c r="AA34" i="1"/>
  <c r="AA262" i="1"/>
  <c r="AA51" i="1"/>
  <c r="AA174" i="1"/>
  <c r="AA199" i="1"/>
  <c r="AA46" i="1"/>
  <c r="AA35" i="1"/>
  <c r="Z12" i="1"/>
  <c r="Z8" i="1"/>
  <c r="AA5" i="1"/>
  <c r="DB257" i="1"/>
  <c r="DA257" i="1"/>
  <c r="CZ257" i="1"/>
  <c r="CY257" i="1"/>
  <c r="CX257" i="1"/>
  <c r="CW257" i="1"/>
  <c r="CV257" i="1"/>
  <c r="CU257" i="1"/>
  <c r="CT257" i="1"/>
  <c r="CS257" i="1"/>
  <c r="CR257" i="1"/>
  <c r="CQ257" i="1"/>
  <c r="CP257" i="1"/>
  <c r="CO257" i="1"/>
  <c r="CN257" i="1"/>
  <c r="CM257" i="1"/>
  <c r="CK257" i="1"/>
  <c r="CK154" i="1"/>
  <c r="CM154" i="1" s="1"/>
  <c r="CN154" i="1" s="1"/>
  <c r="CO154" i="1" s="1"/>
  <c r="CP154" i="1" s="1"/>
  <c r="CQ154" i="1" s="1"/>
  <c r="CR154" i="1" s="1"/>
  <c r="CS154" i="1" s="1"/>
  <c r="CT154" i="1" s="1"/>
  <c r="CU154" i="1" s="1"/>
  <c r="CV154" i="1" s="1"/>
  <c r="CW154" i="1" s="1"/>
  <c r="CX154" i="1" s="1"/>
  <c r="CY154" i="1" s="1"/>
  <c r="CZ154" i="1" s="1"/>
  <c r="DA154" i="1" s="1"/>
  <c r="DB154" i="1" s="1"/>
  <c r="CH170" i="1"/>
  <c r="CJ257" i="1"/>
  <c r="Z257" i="1"/>
  <c r="AA203" i="1" l="1"/>
  <c r="AA175" i="1"/>
  <c r="AA183" i="1" s="1"/>
  <c r="AA184" i="1" s="1"/>
  <c r="AA250" i="1"/>
  <c r="AA251" i="1" s="1"/>
  <c r="AA130" i="1"/>
  <c r="AA52" i="1"/>
  <c r="AA47" i="1"/>
  <c r="AA6" i="1"/>
  <c r="AA8" i="1" s="1"/>
  <c r="AA9" i="1" s="1"/>
  <c r="CL17" i="1"/>
  <c r="CI257" i="1"/>
  <c r="CG154" i="1"/>
  <c r="CG257" i="1"/>
  <c r="CH257" i="1"/>
  <c r="AB31" i="1"/>
  <c r="AC31" i="1"/>
  <c r="AD31" i="1"/>
  <c r="AE31" i="1"/>
  <c r="AB32" i="1"/>
  <c r="AC32" i="1"/>
  <c r="AD32" i="1"/>
  <c r="AE32" i="1"/>
  <c r="AB42" i="1"/>
  <c r="AC42" i="1"/>
  <c r="AD42" i="1"/>
  <c r="AE42" i="1"/>
  <c r="AB43" i="1"/>
  <c r="AC43" i="1"/>
  <c r="AD43" i="1"/>
  <c r="AE43" i="1"/>
  <c r="AB65" i="1"/>
  <c r="AC65" i="1"/>
  <c r="AD65" i="1"/>
  <c r="AE65" i="1"/>
  <c r="AB177" i="1"/>
  <c r="AC177" i="1"/>
  <c r="AD177" i="1"/>
  <c r="AE177" i="1"/>
  <c r="AB191" i="1"/>
  <c r="AC191" i="1"/>
  <c r="AD191" i="1"/>
  <c r="AE191" i="1"/>
  <c r="CE154" i="1"/>
  <c r="CE257" i="1"/>
  <c r="CF257" i="1"/>
  <c r="AI215" i="1"/>
  <c r="AI220" i="1"/>
  <c r="AI224" i="1"/>
  <c r="AI227" i="1"/>
  <c r="AI257" i="1"/>
  <c r="Y257" i="1"/>
  <c r="AM154" i="1"/>
  <c r="AO154" i="1"/>
  <c r="AQ154" i="1"/>
  <c r="AS154" i="1"/>
  <c r="AU154" i="1"/>
  <c r="AW154" i="1"/>
  <c r="AY154" i="1"/>
  <c r="BA154" i="1"/>
  <c r="BC154" i="1"/>
  <c r="BE154" i="1"/>
  <c r="BG154" i="1"/>
  <c r="BI154" i="1"/>
  <c r="BK154" i="1"/>
  <c r="BM154" i="1"/>
  <c r="BO154" i="1"/>
  <c r="BQ154" i="1"/>
  <c r="BS154" i="1"/>
  <c r="BU154" i="1"/>
  <c r="BW154" i="1"/>
  <c r="BY154" i="1"/>
  <c r="CA154" i="1"/>
  <c r="CC154" i="1"/>
  <c r="CD257" i="1"/>
  <c r="CC257" i="1"/>
  <c r="AJ257" i="1"/>
  <c r="AK257" i="1"/>
  <c r="AL257" i="1"/>
  <c r="CB257" i="1"/>
  <c r="CA257" i="1"/>
  <c r="BZ257" i="1"/>
  <c r="BY257" i="1"/>
  <c r="BX257" i="1"/>
  <c r="BW257" i="1"/>
  <c r="BV257" i="1"/>
  <c r="BU257" i="1"/>
  <c r="BT257" i="1"/>
  <c r="BS257" i="1"/>
  <c r="BR257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04" i="1" l="1"/>
  <c r="AA202" i="1"/>
  <c r="AA56" i="1"/>
  <c r="AA73" i="1"/>
  <c r="AA13" i="1"/>
  <c r="AA12" i="1"/>
  <c r="CM18" i="1"/>
  <c r="AA17" i="1"/>
  <c r="Y1" i="1"/>
  <c r="Z1" i="1" s="1"/>
  <c r="AA58" i="1" l="1"/>
  <c r="AA59" i="1"/>
  <c r="AA1" i="1"/>
  <c r="AB1" i="1" s="1"/>
  <c r="AC1" i="1" s="1"/>
  <c r="AD1" i="1" s="1"/>
  <c r="AE1" i="1" s="1"/>
  <c r="AA252" i="1" l="1"/>
  <c r="AA60" i="1"/>
  <c r="AA263" i="1" s="1"/>
  <c r="AA66" i="1"/>
  <c r="AB5" i="1"/>
  <c r="CQ18" i="1"/>
  <c r="A1" i="3"/>
  <c r="AA70" i="1" l="1"/>
  <c r="AA72" i="1"/>
  <c r="AA211" i="1"/>
  <c r="AA213" i="1" s="1"/>
  <c r="A1" i="6"/>
  <c r="A1" i="4"/>
  <c r="AC5" i="1" l="1"/>
  <c r="AB6" i="1"/>
  <c r="AB8" i="1" s="1"/>
  <c r="AB12" i="1" l="1"/>
  <c r="AB13" i="1"/>
  <c r="CU18" i="1"/>
  <c r="AD5" i="1" l="1"/>
  <c r="AB53" i="1"/>
  <c r="BO34" i="3"/>
  <c r="BV24" i="3"/>
  <c r="BC12" i="3"/>
  <c r="AA89" i="2"/>
  <c r="BS16" i="3"/>
  <c r="BS24" i="3"/>
  <c r="Z34" i="2"/>
  <c r="Y52" i="2"/>
  <c r="BA29" i="3"/>
  <c r="BQ46" i="3"/>
  <c r="BP26" i="3"/>
  <c r="BA39" i="3"/>
  <c r="BG42" i="3"/>
  <c r="Z17" i="2"/>
  <c r="BL46" i="3"/>
  <c r="BP38" i="3"/>
  <c r="BK5" i="3"/>
  <c r="AA74" i="2"/>
  <c r="BM28" i="3"/>
  <c r="BH25" i="3"/>
  <c r="FK6" i="4" a="1"/>
  <c r="BM11" i="3"/>
  <c r="BM6" i="3"/>
  <c r="BI16" i="3"/>
  <c r="Y29" i="2"/>
  <c r="BK30" i="3"/>
  <c r="BH18" i="3"/>
  <c r="BS15" i="3"/>
  <c r="BB45" i="3"/>
  <c r="BG25" i="3"/>
  <c r="Y7" i="2"/>
  <c r="BE35" i="3"/>
  <c r="BA7" i="3"/>
  <c r="AA22" i="2"/>
  <c r="GE15" i="4" a="1"/>
  <c r="GP11" i="4" a="1"/>
  <c r="Y48" i="2"/>
  <c r="BC30" i="3"/>
  <c r="BV15" i="3"/>
  <c r="BI27" i="3"/>
  <c r="BN25" i="3"/>
  <c r="BL31" i="3"/>
  <c r="BA33" i="3"/>
  <c r="BS46" i="3"/>
  <c r="BV41" i="3"/>
  <c r="Y99" i="2"/>
  <c r="BV14" i="3"/>
  <c r="BP46" i="3"/>
  <c r="FP14" i="4" a="1"/>
  <c r="BQ41" i="3"/>
  <c r="BQ12" i="3"/>
  <c r="BQ42" i="3"/>
  <c r="BI11" i="3"/>
  <c r="Z20" i="2"/>
  <c r="BA37" i="3"/>
  <c r="BR23" i="3"/>
  <c r="BK40" i="3"/>
  <c r="BE9" i="3"/>
  <c r="GI8" i="4" a="1"/>
  <c r="BL6" i="3"/>
  <c r="BU6" i="3"/>
  <c r="BI32" i="3"/>
  <c r="BF28" i="3"/>
  <c r="FE5" i="4" a="1"/>
  <c r="BE11" i="3"/>
  <c r="BI17" i="3"/>
  <c r="BU30" i="3"/>
  <c r="BP23" i="3"/>
  <c r="Z104" i="2"/>
  <c r="FE9" i="4" a="1"/>
  <c r="BQ15" i="3"/>
  <c r="BQ23" i="3"/>
  <c r="EZ7" i="4" a="1"/>
  <c r="BT37" i="3"/>
  <c r="BV11" i="3"/>
  <c r="BL41" i="3"/>
  <c r="BG13" i="3"/>
  <c r="BA13" i="3"/>
  <c r="BJ9" i="3"/>
  <c r="BG32" i="3"/>
  <c r="BJ22" i="3"/>
  <c r="GF11" i="4" a="1"/>
  <c r="BK69" i="3"/>
  <c r="BQ36" i="3"/>
  <c r="BF31" i="3"/>
  <c r="BA20" i="3"/>
  <c r="BQ35" i="3"/>
  <c r="BF6" i="3"/>
  <c r="BR29" i="3"/>
  <c r="Z7" i="2"/>
  <c r="BE7" i="3"/>
  <c r="BM15" i="3"/>
  <c r="BU45" i="3"/>
  <c r="BK11" i="3"/>
  <c r="Y85" i="2"/>
  <c r="BI7" i="3"/>
  <c r="AA43" i="2"/>
  <c r="BR35" i="3"/>
  <c r="BR41" i="3"/>
  <c r="BN34" i="3"/>
  <c r="BG30" i="3"/>
  <c r="Y30" i="2"/>
  <c r="BV27" i="3"/>
  <c r="BR11" i="3"/>
  <c r="BL32" i="3"/>
  <c r="BJ34" i="3"/>
  <c r="AA66" i="2"/>
  <c r="AA78" i="2"/>
  <c r="BT32" i="3"/>
  <c r="BK14" i="3"/>
  <c r="BU14" i="3"/>
  <c r="BF10" i="3"/>
  <c r="FF15" i="4" a="1"/>
  <c r="AA55" i="2"/>
  <c r="BI15" i="3"/>
  <c r="BE20" i="3"/>
  <c r="BA5" i="3"/>
  <c r="BB15" i="3"/>
  <c r="FD12" i="4" a="1"/>
  <c r="BA14" i="3"/>
  <c r="BC5" i="3"/>
  <c r="GK7" i="4" a="1"/>
  <c r="BE21" i="3"/>
  <c r="BF7" i="3"/>
  <c r="GC14" i="4" a="1"/>
  <c r="BP7" i="3"/>
  <c r="HE13" i="4" a="1"/>
  <c r="BC75" i="3"/>
  <c r="GX12" i="4" a="1"/>
  <c r="GG13" i="4" a="1"/>
  <c r="BM18" i="3"/>
  <c r="BA41" i="3"/>
  <c r="Z45" i="2"/>
  <c r="BI41" i="3"/>
  <c r="BD40" i="3"/>
  <c r="BB28" i="3"/>
  <c r="FL9" i="4" a="1"/>
  <c r="GM12" i="4" a="1"/>
  <c r="GB14" i="4" a="1"/>
  <c r="GL6" i="4" a="1"/>
  <c r="BS21" i="3"/>
  <c r="BR25" i="3"/>
  <c r="BL26" i="3"/>
  <c r="GQ6" i="4" a="1"/>
  <c r="FE11" i="4" a="1"/>
  <c r="AA54" i="2"/>
  <c r="BU20" i="3"/>
  <c r="Z62" i="2"/>
  <c r="GW8" i="4" a="1"/>
  <c r="BT34" i="3"/>
  <c r="FE15" i="4" a="1"/>
  <c r="BN7" i="3"/>
  <c r="EY7" i="4" a="1"/>
  <c r="HA7" i="4" a="1"/>
  <c r="BP17" i="3"/>
  <c r="Z91" i="2"/>
  <c r="GW5" i="4" a="1"/>
  <c r="BH17" i="3"/>
  <c r="BP31" i="3"/>
  <c r="BA11" i="3"/>
  <c r="BU5" i="3"/>
  <c r="BJ12" i="3"/>
  <c r="BK21" i="3"/>
  <c r="AA81" i="2"/>
  <c r="BC19" i="3"/>
  <c r="BR10" i="3"/>
  <c r="BI36" i="3"/>
  <c r="BD21" i="3"/>
  <c r="AA11" i="2"/>
  <c r="BR38" i="3"/>
  <c r="BO6" i="3"/>
  <c r="BN5" i="3"/>
  <c r="BR30" i="3"/>
  <c r="W6" i="2"/>
  <c r="BA40" i="3"/>
  <c r="BO22" i="3"/>
  <c r="BO30" i="3"/>
  <c r="FP11" i="4" a="1"/>
  <c r="BM5" i="3"/>
  <c r="BG41" i="3"/>
  <c r="BL35" i="3"/>
  <c r="BN20" i="3"/>
  <c r="FF9" i="4" a="1"/>
  <c r="BL14" i="3"/>
  <c r="BJ16" i="3"/>
  <c r="BF45" i="3"/>
  <c r="BN91" i="3"/>
  <c r="BB9" i="3"/>
  <c r="Z48" i="2"/>
  <c r="BP36" i="3"/>
  <c r="BC7" i="3"/>
  <c r="BT27" i="3"/>
  <c r="BM10" i="3"/>
  <c r="BU11" i="3"/>
  <c r="BG29" i="3"/>
  <c r="FY13" i="4" a="1"/>
  <c r="Y45" i="2"/>
  <c r="BN22" i="3"/>
  <c r="BL18" i="3"/>
  <c r="BM46" i="3"/>
  <c r="BD38" i="3"/>
  <c r="FA13" i="4" a="1"/>
  <c r="BO8" i="3"/>
  <c r="BQ18" i="3"/>
  <c r="BN9" i="3"/>
  <c r="FF12" i="4" a="1"/>
  <c r="Y54" i="2"/>
  <c r="BB8" i="3"/>
  <c r="FJ15" i="4" a="1"/>
  <c r="HB15" i="4" a="1"/>
  <c r="BH35" i="3"/>
  <c r="Z36" i="2"/>
  <c r="BQ37" i="3"/>
  <c r="BG5" i="3"/>
  <c r="BG56" i="3" s="1"/>
  <c r="BV23" i="3"/>
  <c r="AA107" i="2"/>
  <c r="BE42" i="3"/>
  <c r="BU27" i="3"/>
  <c r="Y80" i="2"/>
  <c r="BR16" i="3"/>
  <c r="EZ9" i="4" a="1"/>
  <c r="BF14" i="3"/>
  <c r="BH33" i="3"/>
  <c r="BD5" i="3"/>
  <c r="FA5" i="4" a="1"/>
  <c r="BA49" i="3"/>
  <c r="BG54" i="3"/>
  <c r="BR31" i="3"/>
  <c r="BI12" i="3"/>
  <c r="AY29" i="3"/>
  <c r="BI39" i="3"/>
  <c r="BI37" i="3"/>
  <c r="BC34" i="3"/>
  <c r="FF16" i="4" a="1"/>
  <c r="BG49" i="3"/>
  <c r="FR15" i="4" a="1"/>
  <c r="BD91" i="3"/>
  <c r="BL38" i="3"/>
  <c r="BU40" i="3"/>
  <c r="BK12" i="3"/>
  <c r="BD62" i="3"/>
  <c r="FK8" i="4" a="1"/>
  <c r="AA27" i="2"/>
  <c r="BQ25" i="3"/>
  <c r="BE29" i="3"/>
  <c r="BN26" i="3"/>
  <c r="FA16" i="4" a="1"/>
  <c r="BR7" i="3"/>
  <c r="BK15" i="3"/>
  <c r="BJ11" i="3"/>
  <c r="Z97" i="2"/>
  <c r="Y32" i="2"/>
  <c r="BN19" i="3"/>
  <c r="BS8" i="3"/>
  <c r="BM30" i="3"/>
  <c r="Y67" i="2"/>
  <c r="BS27" i="3"/>
  <c r="BI29" i="3"/>
  <c r="BL37" i="3"/>
  <c r="BS32" i="3"/>
  <c r="BK22" i="3"/>
  <c r="Z52" i="2"/>
  <c r="BH31" i="3"/>
  <c r="BE5" i="3"/>
  <c r="FR12" i="4" a="1"/>
  <c r="BA6" i="3"/>
  <c r="BG10" i="3"/>
  <c r="AA29" i="2"/>
  <c r="BH23" i="3"/>
  <c r="Z57" i="2"/>
  <c r="BV30" i="3"/>
  <c r="BC25" i="3"/>
  <c r="Z64" i="2"/>
  <c r="BU46" i="3"/>
  <c r="Y104" i="2"/>
  <c r="Z25" i="2"/>
  <c r="BG28" i="3"/>
  <c r="BC33" i="3"/>
  <c r="BI23" i="3"/>
  <c r="EY12" i="4" a="1"/>
  <c r="BR13" i="3"/>
  <c r="AA16" i="2"/>
  <c r="AA34" i="2"/>
  <c r="AA59" i="2"/>
  <c r="BG35" i="3"/>
  <c r="BA46" i="3"/>
  <c r="BO9" i="3"/>
  <c r="AA26" i="2"/>
  <c r="BG12" i="3"/>
  <c r="BH36" i="3"/>
  <c r="BB33" i="3"/>
  <c r="BO46" i="3"/>
  <c r="BE84" i="3"/>
  <c r="BQ28" i="3"/>
  <c r="BB7" i="3"/>
  <c r="FJ6" i="4" a="1"/>
  <c r="FQ8" i="4" a="1"/>
  <c r="EX13" i="4" a="1"/>
  <c r="Y53" i="2"/>
  <c r="BS14" i="3"/>
  <c r="BH28" i="3"/>
  <c r="FN11" i="4" a="1"/>
  <c r="BR20" i="3"/>
  <c r="BB39" i="3"/>
  <c r="BT39" i="3"/>
  <c r="BQ31" i="3"/>
  <c r="BL40" i="3"/>
  <c r="BD19" i="3"/>
  <c r="BO32" i="3"/>
  <c r="BO38" i="3"/>
  <c r="BB23" i="3"/>
  <c r="BO29" i="3"/>
  <c r="AA40" i="2"/>
  <c r="EZ15" i="4" a="1"/>
  <c r="FC8" i="4" a="1"/>
  <c r="BC23" i="3"/>
  <c r="BJ31" i="3"/>
  <c r="BE24" i="3"/>
  <c r="Z10" i="2"/>
  <c r="BO7" i="3"/>
  <c r="BI40" i="3"/>
  <c r="BU28" i="3"/>
  <c r="BH9" i="3"/>
  <c r="BM21" i="3"/>
  <c r="BA12" i="3"/>
  <c r="BO31" i="3"/>
  <c r="BF32" i="3"/>
  <c r="BJ29" i="3"/>
  <c r="C4" i="2"/>
  <c r="BK78" i="3"/>
  <c r="BF13" i="3"/>
  <c r="BR39" i="3"/>
  <c r="FD5" i="4" a="1"/>
  <c r="BM7" i="3"/>
  <c r="BS29" i="3"/>
  <c r="BD35" i="3"/>
  <c r="Z15" i="2"/>
  <c r="BL16" i="3"/>
  <c r="BD7" i="3"/>
  <c r="BK10" i="3"/>
  <c r="BV22" i="3"/>
  <c r="BG39" i="3"/>
  <c r="BP34" i="3"/>
  <c r="BC42" i="3"/>
  <c r="Y94" i="2"/>
  <c r="Z46" i="2"/>
  <c r="BK13" i="3"/>
  <c r="BQ5" i="3"/>
  <c r="BC26" i="3"/>
  <c r="BQ26" i="3"/>
  <c r="BK46" i="3"/>
  <c r="GT15" i="4" a="1"/>
  <c r="BL7" i="3"/>
  <c r="BE10" i="3"/>
  <c r="EZ16" i="4" a="1"/>
  <c r="BE22" i="3"/>
  <c r="HF9" i="4" a="1"/>
  <c r="AA56" i="2"/>
  <c r="BD29" i="3"/>
  <c r="FA6" i="4" a="1"/>
  <c r="BR32" i="3"/>
  <c r="Y13" i="2"/>
  <c r="V6" i="2"/>
  <c r="GX13" i="4" a="1"/>
  <c r="AA88" i="2"/>
  <c r="BM14" i="3"/>
  <c r="GV5" i="4" a="1"/>
  <c r="BT5" i="3"/>
  <c r="BP12" i="3"/>
  <c r="Z72" i="2"/>
  <c r="Z80" i="2"/>
  <c r="BB41" i="3"/>
  <c r="BC36" i="3"/>
  <c r="BN40" i="3"/>
  <c r="FH5" i="4" a="1"/>
  <c r="BL15" i="3"/>
  <c r="BT35" i="3"/>
  <c r="BE32" i="3"/>
  <c r="AA64" i="2"/>
  <c r="Z16" i="2"/>
  <c r="BN65" i="3"/>
  <c r="AA49" i="2"/>
  <c r="Y68" i="2"/>
  <c r="FA12" i="4" a="1"/>
  <c r="FD14" i="4" a="1"/>
  <c r="FK5" i="4" a="1"/>
  <c r="BQ68" i="3"/>
  <c r="GN16" i="4" a="1"/>
  <c r="BU62" i="3"/>
  <c r="FV8" i="4" a="1"/>
  <c r="BK18" i="3"/>
  <c r="AA76" i="2"/>
  <c r="BE28" i="3"/>
  <c r="GC15" i="4" a="1"/>
  <c r="GA7" i="4" a="1"/>
  <c r="BM67" i="3"/>
  <c r="GX7" i="4" a="1"/>
  <c r="GS14" i="4" a="1"/>
  <c r="BG8" i="3"/>
  <c r="BJ10" i="3"/>
  <c r="FF5" i="4" a="1"/>
  <c r="BV10" i="3"/>
  <c r="BB25" i="3"/>
  <c r="BB21" i="3"/>
  <c r="Z68" i="2"/>
  <c r="BR8" i="3"/>
  <c r="BT9" i="3"/>
  <c r="BH8" i="3"/>
  <c r="BD15" i="3"/>
  <c r="BU29" i="3"/>
  <c r="BJ30" i="3"/>
  <c r="BE39" i="3"/>
  <c r="BF25" i="3"/>
  <c r="BL27" i="3"/>
  <c r="Y87" i="2"/>
  <c r="BV12" i="3"/>
  <c r="BL20" i="3"/>
  <c r="BP20" i="3"/>
  <c r="BD10" i="3"/>
  <c r="BG16" i="3"/>
  <c r="AA77" i="2"/>
  <c r="BU21" i="3"/>
  <c r="Y47" i="2"/>
  <c r="BR34" i="3"/>
  <c r="BM9" i="3"/>
  <c r="BM31" i="3"/>
  <c r="AA31" i="2"/>
  <c r="AA52" i="2"/>
  <c r="BH26" i="3"/>
  <c r="AA92" i="2"/>
  <c r="Z47" i="2"/>
  <c r="BM42" i="3"/>
  <c r="BK35" i="3"/>
  <c r="BU42" i="3"/>
  <c r="BV9" i="3"/>
  <c r="AA105" i="2"/>
  <c r="FT7" i="4" a="1"/>
  <c r="BS6" i="3"/>
  <c r="BV17" i="3"/>
  <c r="BE18" i="3"/>
  <c r="FB7" i="4" a="1"/>
  <c r="BN6" i="3"/>
  <c r="Y27" i="2"/>
  <c r="Y79" i="2"/>
  <c r="BQ13" i="3"/>
  <c r="BT17" i="3"/>
  <c r="GD11" i="4" a="1"/>
  <c r="BK39" i="3"/>
  <c r="Z27" i="2"/>
  <c r="GA11" i="4" a="1"/>
  <c r="GA9" i="4" a="1"/>
  <c r="BI22" i="3"/>
  <c r="BT8" i="3"/>
  <c r="BC16" i="3"/>
  <c r="BG66" i="3"/>
  <c r="GX5" i="4" a="1"/>
  <c r="BO36" i="3"/>
  <c r="FF14" i="4" a="1"/>
  <c r="FS5" i="4" a="1"/>
  <c r="BN10" i="3"/>
  <c r="Y10" i="2"/>
  <c r="AA6" i="2"/>
  <c r="BR18" i="3"/>
  <c r="Z19" i="2"/>
  <c r="BM16" i="3"/>
  <c r="Y15" i="2"/>
  <c r="GL9" i="4" a="1"/>
  <c r="BI33" i="3"/>
  <c r="BI8" i="3"/>
  <c r="BE13" i="3"/>
  <c r="BK74" i="3"/>
  <c r="BN39" i="3"/>
  <c r="BA71" i="3"/>
  <c r="BU94" i="3"/>
  <c r="BP10" i="3"/>
  <c r="Z61" i="2"/>
  <c r="EZ14" i="4" a="1"/>
  <c r="BQ32" i="3"/>
  <c r="GT11" i="4" a="1"/>
  <c r="GN12" i="4" a="1"/>
  <c r="FY12" i="4" a="1"/>
  <c r="BJ40" i="3"/>
  <c r="FP6" i="4" a="1"/>
  <c r="HA9" i="4" a="1"/>
  <c r="BV37" i="3"/>
  <c r="BG19" i="3"/>
  <c r="BG90" i="3"/>
  <c r="FA8" i="4" a="1"/>
  <c r="BT19" i="3"/>
  <c r="HC13" i="4" a="1"/>
  <c r="BN62" i="3"/>
  <c r="BH11" i="3"/>
  <c r="BI13" i="3"/>
  <c r="AA70" i="2"/>
  <c r="BG31" i="3"/>
  <c r="BJ18" i="3"/>
  <c r="BQ45" i="3"/>
  <c r="BC6" i="3"/>
  <c r="GF14" i="4" a="1"/>
  <c r="BL12" i="3"/>
  <c r="BI14" i="3"/>
  <c r="BT45" i="3"/>
  <c r="EZ6" i="4" a="1"/>
  <c r="BI35" i="3"/>
  <c r="Y14" i="2"/>
  <c r="BF12" i="3"/>
  <c r="Y83" i="2"/>
  <c r="BN33" i="3"/>
  <c r="Y78" i="2"/>
  <c r="BE38" i="3"/>
  <c r="AA44" i="2"/>
  <c r="AA17" i="2"/>
  <c r="BU55" i="3"/>
  <c r="Z69" i="2"/>
  <c r="BB22" i="3"/>
  <c r="BT6" i="3"/>
  <c r="Z51" i="2"/>
  <c r="BS38" i="3"/>
  <c r="BJ46" i="3"/>
  <c r="BV25" i="3"/>
  <c r="BT26" i="3"/>
  <c r="BK72" i="3"/>
  <c r="FA14" i="4" a="1"/>
  <c r="Y63" i="2"/>
  <c r="BP9" i="3"/>
  <c r="BS10" i="3"/>
  <c r="BD22" i="3"/>
  <c r="BG7" i="3"/>
  <c r="BE34" i="3"/>
  <c r="BE63" i="3"/>
  <c r="FD8" i="4" a="1"/>
  <c r="BT12" i="3"/>
  <c r="BL30" i="3"/>
  <c r="BI18" i="3"/>
  <c r="BH19" i="3"/>
  <c r="BH5" i="3"/>
  <c r="FE6" i="4" a="1"/>
  <c r="Y89" i="2"/>
  <c r="BN49" i="3"/>
  <c r="BQ24" i="3"/>
  <c r="BS41" i="3"/>
  <c r="GG6" i="4" a="1"/>
  <c r="Z82" i="2"/>
  <c r="BM64" i="3"/>
  <c r="FG16" i="4" a="1"/>
  <c r="Y33" i="2"/>
  <c r="BG9" i="3"/>
  <c r="BP6" i="3"/>
  <c r="BF37" i="3"/>
  <c r="Y42" i="2"/>
  <c r="Y31" i="2"/>
  <c r="BI31" i="3"/>
  <c r="AA80" i="2"/>
  <c r="BA17" i="3"/>
  <c r="BL24" i="3"/>
  <c r="BH24" i="3"/>
  <c r="AA45" i="2"/>
  <c r="BE41" i="3"/>
  <c r="Z108" i="2"/>
  <c r="FB15" i="4" a="1"/>
  <c r="BF16" i="3"/>
  <c r="BR15" i="3"/>
  <c r="FB13" i="4" a="1"/>
  <c r="BF18" i="3"/>
  <c r="BB32" i="3"/>
  <c r="Z95" i="2"/>
  <c r="FF7" i="4" a="1"/>
  <c r="BE96" i="3"/>
  <c r="BC17" i="3"/>
  <c r="AA72" i="2"/>
  <c r="BO27" i="3"/>
  <c r="BM26" i="3"/>
  <c r="Y18" i="2"/>
  <c r="BQ6" i="3"/>
  <c r="AA53" i="2"/>
  <c r="BU50" i="3"/>
  <c r="Y106" i="2"/>
  <c r="BU10" i="3"/>
  <c r="BK37" i="3"/>
  <c r="BB14" i="3"/>
  <c r="BP27" i="3"/>
  <c r="BK8" i="3"/>
  <c r="BS45" i="3"/>
  <c r="BK70" i="3"/>
  <c r="BG21" i="3"/>
  <c r="BL10" i="3"/>
  <c r="BR17" i="3"/>
  <c r="BG36" i="3"/>
  <c r="FD7" i="4" a="1"/>
  <c r="Z33" i="2"/>
  <c r="BU56" i="3"/>
  <c r="BP30" i="3"/>
  <c r="BM41" i="3"/>
  <c r="BM12" i="3"/>
  <c r="BN13" i="3"/>
  <c r="BH22" i="3"/>
  <c r="FO16" i="4" a="1"/>
  <c r="BB30" i="3"/>
  <c r="FD9" i="4" a="1"/>
  <c r="BN15" i="3"/>
  <c r="Y5" i="2"/>
  <c r="EY5" i="4" a="1"/>
  <c r="BS11" i="3"/>
  <c r="BE60" i="3"/>
  <c r="HB11" i="4" a="1"/>
  <c r="FC15" i="4" a="1"/>
  <c r="FC16" i="4" a="1"/>
  <c r="BT15" i="3"/>
  <c r="BK32" i="3"/>
  <c r="BR46" i="3"/>
  <c r="BE92" i="3"/>
  <c r="BV18" i="3"/>
  <c r="BM17" i="3"/>
  <c r="BL11" i="3"/>
  <c r="BO13" i="3"/>
  <c r="BA21" i="3"/>
  <c r="GL5" i="4" a="1"/>
  <c r="BO23" i="3"/>
  <c r="BH41" i="3"/>
  <c r="BO11" i="3"/>
  <c r="GS11" i="4" a="1"/>
  <c r="BC84" i="3"/>
  <c r="GI16" i="4" a="1"/>
  <c r="Z53" i="2"/>
  <c r="Y59" i="2"/>
  <c r="Z12" i="2"/>
  <c r="GM5" i="4" a="1"/>
  <c r="BN73" i="3"/>
  <c r="Y97" i="2"/>
  <c r="BA70" i="3"/>
  <c r="FP15" i="4" a="1"/>
  <c r="FV9" i="4" a="1"/>
  <c r="GW7" i="4" a="1"/>
  <c r="BD33" i="3"/>
  <c r="BQ11" i="3"/>
  <c r="BA15" i="3"/>
  <c r="GG12" i="4" a="1"/>
  <c r="FC5" i="4" a="1"/>
  <c r="BM70" i="3"/>
  <c r="FW13" i="4" a="1"/>
  <c r="BT10" i="3"/>
  <c r="BO40" i="3"/>
  <c r="GD13" i="4" a="1"/>
  <c r="GU8" i="4" a="1"/>
  <c r="HD7" i="4" a="1"/>
  <c r="BC38" i="3"/>
  <c r="BL13" i="3"/>
  <c r="BV39" i="3"/>
  <c r="BK6" i="3"/>
  <c r="BC40" i="3"/>
  <c r="BF5" i="3"/>
  <c r="Y61" i="2"/>
  <c r="BC14" i="3"/>
  <c r="BJ19" i="3"/>
  <c r="BV35" i="3"/>
  <c r="Z96" i="2"/>
  <c r="BJ7" i="3"/>
  <c r="AA8" i="2"/>
  <c r="BU22" i="3"/>
  <c r="BH13" i="3"/>
  <c r="BS19" i="3"/>
  <c r="BA36" i="3"/>
  <c r="BJ32" i="3"/>
  <c r="BF11" i="3"/>
  <c r="BV5" i="3"/>
  <c r="Y77" i="2"/>
  <c r="HF11" i="4" a="1"/>
  <c r="BH32" i="3"/>
  <c r="Z65" i="2"/>
  <c r="AA106" i="2"/>
  <c r="BV8" i="3"/>
  <c r="BN36" i="3"/>
  <c r="FB11" i="4" a="1"/>
  <c r="BM35" i="3"/>
  <c r="FC7" i="4" a="1"/>
  <c r="FH9" i="4" a="1"/>
  <c r="BN32" i="3"/>
  <c r="BS35" i="3"/>
  <c r="BF15" i="3"/>
  <c r="BB35" i="3"/>
  <c r="BM25" i="3"/>
  <c r="BL17" i="3"/>
  <c r="BJ5" i="3"/>
  <c r="BU79" i="3"/>
  <c r="BT30" i="3"/>
  <c r="BR24" i="3"/>
  <c r="BE15" i="3"/>
  <c r="Z90" i="2"/>
  <c r="BU35" i="3"/>
  <c r="BE75" i="3"/>
  <c r="BU57" i="3"/>
  <c r="Y75" i="2"/>
  <c r="BJ28" i="3"/>
  <c r="Z22" i="2"/>
  <c r="BJ23" i="3"/>
  <c r="Y110" i="2"/>
  <c r="BQ67" i="3"/>
  <c r="GD6" i="4" a="1"/>
  <c r="AA61" i="2"/>
  <c r="BK57" i="3"/>
  <c r="BR12" i="3"/>
  <c r="Y84" i="2"/>
  <c r="BK42" i="3"/>
  <c r="Y66" i="2"/>
  <c r="BC28" i="3"/>
  <c r="Z50" i="2"/>
  <c r="Z83" i="2"/>
  <c r="BM27" i="3"/>
  <c r="BF35" i="3"/>
  <c r="BD27" i="3"/>
  <c r="BJ26" i="3"/>
  <c r="BP33" i="3"/>
  <c r="AA46" i="2"/>
  <c r="BS22" i="3"/>
  <c r="BC15" i="3"/>
  <c r="BN23" i="3"/>
  <c r="BR19" i="3"/>
  <c r="BH37" i="3"/>
  <c r="BD46" i="3"/>
  <c r="BE36" i="3"/>
  <c r="Y19" i="2"/>
  <c r="BH29" i="3"/>
  <c r="BR45" i="3"/>
  <c r="BI25" i="3"/>
  <c r="BA23" i="3"/>
  <c r="BI5" i="3"/>
  <c r="BG40" i="3"/>
  <c r="BJ27" i="3"/>
  <c r="BM88" i="3"/>
  <c r="BV13" i="3"/>
  <c r="BQ7" i="3"/>
  <c r="BD26" i="3"/>
  <c r="FE16" i="4" a="1"/>
  <c r="BQ39" i="3"/>
  <c r="BR6" i="3"/>
  <c r="Z86" i="2"/>
  <c r="Y12" i="2"/>
  <c r="Z31" i="2"/>
  <c r="BQ38" i="3"/>
  <c r="BH46" i="3"/>
  <c r="BB34" i="3"/>
  <c r="BR36" i="3"/>
  <c r="BA45" i="3"/>
  <c r="AA7" i="2"/>
  <c r="BU54" i="3"/>
  <c r="BJ83" i="3"/>
  <c r="BE26" i="3"/>
  <c r="BN29" i="3"/>
  <c r="BG20" i="3"/>
  <c r="BN46" i="3"/>
  <c r="BO17" i="3"/>
  <c r="GS5" i="4" a="1"/>
  <c r="EX6" i="4" a="1"/>
  <c r="BQ29" i="3"/>
  <c r="FB9" i="4" a="1"/>
  <c r="BO33" i="3"/>
  <c r="BA28" i="3"/>
  <c r="AA36" i="2"/>
  <c r="FI6" i="4" a="1"/>
  <c r="GR9" i="4" a="1"/>
  <c r="FQ6" i="4" a="1"/>
  <c r="BI45" i="3"/>
  <c r="BP8" i="3"/>
  <c r="Z14" i="2"/>
  <c r="BF59" i="3"/>
  <c r="BU76" i="3"/>
  <c r="FG7" i="4" a="1"/>
  <c r="FT6" i="4" a="1"/>
  <c r="FL12" i="4" a="1"/>
  <c r="BD13" i="3"/>
  <c r="Y9" i="2"/>
  <c r="Y58" i="2"/>
  <c r="BL9" i="3"/>
  <c r="Z35" i="2"/>
  <c r="GP7" i="4" a="1"/>
  <c r="GT14" i="4" a="1"/>
  <c r="BC13" i="3"/>
  <c r="Z8" i="2"/>
  <c r="BV19" i="3"/>
  <c r="BS13" i="3"/>
  <c r="BV63" i="3"/>
  <c r="BK27" i="3"/>
  <c r="Z58" i="2"/>
  <c r="BU93" i="3"/>
  <c r="AA14" i="2"/>
  <c r="AA71" i="2"/>
  <c r="BG88" i="3"/>
  <c r="FY9" i="4" a="1"/>
  <c r="BE77" i="3"/>
  <c r="HD12" i="4" a="1"/>
  <c r="BI84" i="3"/>
  <c r="BQ27" i="3"/>
  <c r="BM33" i="3"/>
  <c r="AA51" i="2"/>
  <c r="FE13" i="4" a="1"/>
  <c r="BR14" i="3"/>
  <c r="BR22" i="3"/>
  <c r="FX9" i="4" a="1"/>
  <c r="Z56" i="2"/>
  <c r="Y96" i="2"/>
  <c r="Y21" i="2"/>
  <c r="BS23" i="3"/>
  <c r="BN21" i="3"/>
  <c r="FC14" i="4" a="1"/>
  <c r="BN14" i="3"/>
  <c r="Y90" i="2"/>
  <c r="BA26" i="3"/>
  <c r="BU25" i="3"/>
  <c r="BJ42" i="3"/>
  <c r="EX9" i="4" a="1"/>
  <c r="BF8" i="3"/>
  <c r="BA18" i="3"/>
  <c r="Z78" i="2"/>
  <c r="BN68" i="3"/>
  <c r="BJ24" i="3"/>
  <c r="BO14" i="3"/>
  <c r="BP42" i="3"/>
  <c r="Y11" i="2"/>
  <c r="BP22" i="3"/>
  <c r="BH6" i="3"/>
  <c r="BF83" i="3"/>
  <c r="FF6" i="4" a="1"/>
  <c r="BF46" i="3"/>
  <c r="BJ8" i="3"/>
  <c r="BT18" i="3"/>
  <c r="AA35" i="2"/>
  <c r="BO42" i="3"/>
  <c r="Y50" i="2"/>
  <c r="AA87" i="2"/>
  <c r="BF66" i="3"/>
  <c r="BV97" i="3"/>
  <c r="BJ20" i="3"/>
  <c r="Y17" i="2"/>
  <c r="BD16" i="3"/>
  <c r="BM19" i="3"/>
  <c r="BQ34" i="3"/>
  <c r="GB8" i="4" a="1"/>
  <c r="BR40" i="3"/>
  <c r="BS30" i="3"/>
  <c r="BC46" i="3"/>
  <c r="BR9" i="3"/>
  <c r="AA79" i="2"/>
  <c r="BQ59" i="3"/>
  <c r="BU59" i="3"/>
  <c r="FR5" i="4" a="1"/>
  <c r="HB6" i="4" a="1"/>
  <c r="BO19" i="3"/>
  <c r="BO25" i="3"/>
  <c r="Y51" i="2"/>
  <c r="EZ13" i="4" a="1"/>
  <c r="BF42" i="3"/>
  <c r="AA67" i="2"/>
  <c r="BQ20" i="3"/>
  <c r="AA90" i="2"/>
  <c r="AB39" i="3"/>
  <c r="Y95" i="2"/>
  <c r="Y16" i="2"/>
  <c r="BA16" i="3"/>
  <c r="HG6" i="4" a="1"/>
  <c r="BF17" i="3"/>
  <c r="Y72" i="2"/>
  <c r="FA11" i="4" a="1"/>
  <c r="BN71" i="3"/>
  <c r="BT7" i="3"/>
  <c r="BL29" i="3"/>
  <c r="FF8" i="4" a="1"/>
  <c r="BT59" i="3"/>
  <c r="BQ19" i="3"/>
  <c r="BH21" i="3"/>
  <c r="GZ6" i="4" a="1"/>
  <c r="BE47" i="3"/>
  <c r="FJ5" i="4" a="1"/>
  <c r="BP28" i="3"/>
  <c r="BJ78" i="3"/>
  <c r="GB16" i="4" a="1"/>
  <c r="BC62" i="3"/>
  <c r="FI16" i="4" a="1"/>
  <c r="FL16" i="4" a="1"/>
  <c r="BE6" i="3"/>
  <c r="Z60" i="2"/>
  <c r="Y71" i="2"/>
  <c r="BM65" i="3"/>
  <c r="BF47" i="3"/>
  <c r="BL5" i="3"/>
  <c r="BE12" i="3"/>
  <c r="BJ77" i="3"/>
  <c r="BG26" i="3"/>
  <c r="GV13" i="4" a="1"/>
  <c r="AA84" i="2"/>
  <c r="AA20" i="2"/>
  <c r="BC24" i="3"/>
  <c r="BK26" i="3"/>
  <c r="BU48" i="3"/>
  <c r="BA38" i="3"/>
  <c r="GS12" i="4" a="1"/>
  <c r="FW12" i="4" a="1"/>
  <c r="BC56" i="3"/>
  <c r="BH30" i="3"/>
  <c r="GV9" i="4" a="1"/>
  <c r="BD61" i="3"/>
  <c r="GY11" i="4" a="1"/>
  <c r="BC65" i="3"/>
  <c r="BC57" i="3"/>
  <c r="BT54" i="3"/>
  <c r="GK15" i="4" a="1"/>
  <c r="BU7" i="3"/>
  <c r="BD30" i="3"/>
  <c r="BL39" i="3"/>
  <c r="BQ40" i="3"/>
  <c r="Y82" i="2"/>
  <c r="BE93" i="3"/>
  <c r="GQ9" i="4" a="1"/>
  <c r="BJ33" i="3"/>
  <c r="FM14" i="4" a="1"/>
  <c r="BN17" i="3"/>
  <c r="AV10" i="3"/>
  <c r="BE71" i="3"/>
  <c r="GL11" i="4" a="1"/>
  <c r="BN45" i="3"/>
  <c r="Z81" i="2"/>
  <c r="BT11" i="3"/>
  <c r="BU26" i="3"/>
  <c r="Z87" i="2"/>
  <c r="GH6" i="4" a="1"/>
  <c r="BM69" i="3"/>
  <c r="GU9" i="4" a="1"/>
  <c r="Z30" i="2"/>
  <c r="FS13" i="4" a="1"/>
  <c r="BC55" i="3"/>
  <c r="GA8" i="4" a="1"/>
  <c r="FY15" i="4" a="1"/>
  <c r="FP16" i="4" a="1"/>
  <c r="GT12" i="4" a="1"/>
  <c r="BB17" i="3"/>
  <c r="BR42" i="3"/>
  <c r="BE57" i="3"/>
  <c r="GQ7" i="4" a="1"/>
  <c r="BV65" i="3"/>
  <c r="BK20" i="3"/>
  <c r="BI46" i="3"/>
  <c r="BP29" i="3"/>
  <c r="Z6" i="2"/>
  <c r="FI11" i="4" a="1"/>
  <c r="BU19" i="3"/>
  <c r="BV45" i="3"/>
  <c r="HE12" i="4" a="1"/>
  <c r="BQ50" i="3"/>
  <c r="BT76" i="3"/>
  <c r="BG83" i="3"/>
  <c r="BC74" i="3"/>
  <c r="FG8" i="4" a="1"/>
  <c r="AA86" i="2"/>
  <c r="FH14" i="4" a="1"/>
  <c r="BN84" i="3"/>
  <c r="FW6" i="4" a="1"/>
  <c r="BE78" i="3"/>
  <c r="BK79" i="3"/>
  <c r="GX11" i="4" a="1"/>
  <c r="GM6" i="4" a="1"/>
  <c r="Y49" i="2"/>
  <c r="BB10" i="3"/>
  <c r="AA19" i="2"/>
  <c r="EZ5" i="4" a="1"/>
  <c r="FO7" i="4" a="1"/>
  <c r="Y93" i="2"/>
  <c r="BM76" i="3"/>
  <c r="BR26" i="3"/>
  <c r="BT41" i="3"/>
  <c r="BQ8" i="3"/>
  <c r="FX12" i="4" a="1"/>
  <c r="Z85" i="2"/>
  <c r="BS40" i="3"/>
  <c r="BP16" i="3"/>
  <c r="AA47" i="2"/>
  <c r="Z28" i="2"/>
  <c r="BG94" i="3"/>
  <c r="BQ81" i="3"/>
  <c r="BU77" i="3"/>
  <c r="BE19" i="3"/>
  <c r="BS9" i="3"/>
  <c r="BH66" i="3"/>
  <c r="GA14" i="4" a="1"/>
  <c r="Z29" i="2"/>
  <c r="BF90" i="3"/>
  <c r="BK59" i="3"/>
  <c r="BV72" i="3"/>
  <c r="Y8" i="2"/>
  <c r="BL19" i="3"/>
  <c r="BD18" i="3"/>
  <c r="BV75" i="3"/>
  <c r="GZ13" i="4" a="1"/>
  <c r="Y64" i="2"/>
  <c r="EX14" i="4" a="1"/>
  <c r="FK13" i="4" a="1"/>
  <c r="AA28" i="2"/>
  <c r="FK16" i="4" a="1"/>
  <c r="BJ93" i="3"/>
  <c r="BS31" i="3"/>
  <c r="BJ6" i="3"/>
  <c r="BL25" i="3"/>
  <c r="BU90" i="3"/>
  <c r="FZ11" i="4" a="1"/>
  <c r="BT81" i="3"/>
  <c r="BD23" i="3"/>
  <c r="GJ5" i="4" a="1"/>
  <c r="Y74" i="2"/>
  <c r="FD16" i="4" a="1"/>
  <c r="FH7" i="4" a="1"/>
  <c r="GC7" i="4" a="1"/>
  <c r="GQ5" i="4" a="1"/>
  <c r="GI13" i="4" a="1"/>
  <c r="BC54" i="3"/>
  <c r="GU13" i="4" a="1"/>
  <c r="FT14" i="4" a="1"/>
  <c r="Z88" i="2"/>
  <c r="BT21" i="3"/>
  <c r="BE62" i="3"/>
  <c r="BQ21" i="3"/>
  <c r="GD12" i="4" a="1"/>
  <c r="FY8" i="4" a="1"/>
  <c r="FP8" i="4" a="1"/>
  <c r="GI5" i="4" a="1"/>
  <c r="BD87" i="3"/>
  <c r="BS36" i="3"/>
  <c r="BD41" i="3"/>
  <c r="GK6" i="4" a="1"/>
  <c r="FZ9" i="4" a="1"/>
  <c r="GY13" i="4" a="1"/>
  <c r="FN7" i="4" a="1"/>
  <c r="BE61" i="3"/>
  <c r="BT73" i="3"/>
  <c r="GN7" i="4" a="1"/>
  <c r="AA82" i="2"/>
  <c r="BK66" i="3"/>
  <c r="BV57" i="3"/>
  <c r="GE7" i="4" a="1"/>
  <c r="BP25" i="3"/>
  <c r="GM11" i="4" a="1"/>
  <c r="BT89" i="3"/>
  <c r="BF40" i="3"/>
  <c r="BS12" i="3"/>
  <c r="Y26" i="2"/>
  <c r="BJ21" i="3"/>
  <c r="GT5" i="4" a="1"/>
  <c r="BF60" i="3"/>
  <c r="BQ60" i="3"/>
  <c r="BM13" i="3"/>
  <c r="BD39" i="3"/>
  <c r="EY9" i="4" a="1"/>
  <c r="BP15" i="3"/>
  <c r="BA31" i="3"/>
  <c r="BH10" i="3"/>
  <c r="BV50" i="3"/>
  <c r="BJ17" i="3"/>
  <c r="BE80" i="3"/>
  <c r="GZ8" i="4" a="1"/>
  <c r="GS16" i="4" a="1"/>
  <c r="BB37" i="3"/>
  <c r="BG46" i="3"/>
  <c r="BU63" i="3"/>
  <c r="BA65" i="3"/>
  <c r="BD75" i="3"/>
  <c r="FM9" i="4" a="1"/>
  <c r="GI14" i="4" a="1"/>
  <c r="BC81" i="3"/>
  <c r="BQ9" i="3"/>
  <c r="AA24" i="2"/>
  <c r="BS7" i="3"/>
  <c r="BQ62" i="3"/>
  <c r="BV21" i="3"/>
  <c r="Y40" i="2"/>
  <c r="BA69" i="3"/>
  <c r="BU68" i="3"/>
  <c r="BG96" i="3"/>
  <c r="BO12" i="3"/>
  <c r="BC29" i="3"/>
  <c r="BG87" i="3"/>
  <c r="BF82" i="3"/>
  <c r="GG7" i="4" a="1"/>
  <c r="BJ72" i="3"/>
  <c r="BQ77" i="3"/>
  <c r="BV87" i="3"/>
  <c r="BM29" i="3"/>
  <c r="FS6" i="4" a="1"/>
  <c r="FJ14" i="4" a="1"/>
  <c r="BD64" i="3"/>
  <c r="FQ15" i="4" a="1"/>
  <c r="FR16" i="4" a="1"/>
  <c r="HD13" i="4" a="1"/>
  <c r="BM93" i="3"/>
  <c r="BV20" i="3"/>
  <c r="BD36" i="3"/>
  <c r="BH65" i="3"/>
  <c r="GU11" i="4" a="1"/>
  <c r="HC7" i="4" a="1"/>
  <c r="FN16" i="4" a="1"/>
  <c r="GC13" i="4" a="1"/>
  <c r="BJ35" i="3"/>
  <c r="BM36" i="3"/>
  <c r="BQ48" i="3"/>
  <c r="BK90" i="3"/>
  <c r="FT16" i="4" a="1"/>
  <c r="GP8" i="4" a="1"/>
  <c r="BD85" i="3"/>
  <c r="FZ8" i="4" a="1"/>
  <c r="HB7" i="4" a="1"/>
  <c r="BG85" i="3"/>
  <c r="BS34" i="3"/>
  <c r="GU6" i="4" a="1"/>
  <c r="GS7" i="4" a="1"/>
  <c r="GY15" i="4" a="1"/>
  <c r="GU12" i="4" a="1"/>
  <c r="FG14" i="4" a="1"/>
  <c r="BL69" i="3"/>
  <c r="FH11" i="4" a="1"/>
  <c r="BJ59" i="3"/>
  <c r="FV12" i="4" a="1"/>
  <c r="BN37" i="3"/>
  <c r="BE37" i="3"/>
  <c r="GN6" i="4" a="1"/>
  <c r="GR14" i="4" a="1"/>
  <c r="BD32" i="3"/>
  <c r="Y65" i="2"/>
  <c r="FB6" i="4" a="1"/>
  <c r="BD47" i="3"/>
  <c r="BH57" i="3"/>
  <c r="FN6" i="4" a="1"/>
  <c r="BD69" i="3"/>
  <c r="FI7" i="4" a="1"/>
  <c r="BJ45" i="3"/>
  <c r="GD7" i="4" a="1"/>
  <c r="FW9" i="4" a="1"/>
  <c r="FW5" i="4" a="1"/>
  <c r="GT7" i="4" a="1"/>
  <c r="FG15" i="4" a="1"/>
  <c r="FV5" i="4" a="1"/>
  <c r="BJ69" i="3"/>
  <c r="GZ7" i="4" a="1"/>
  <c r="BE14" i="3"/>
  <c r="FR13" i="4" a="1"/>
  <c r="BE49" i="3"/>
  <c r="BM90" i="3"/>
  <c r="BJ84" i="3"/>
  <c r="BJ66" i="3"/>
  <c r="BN48" i="3"/>
  <c r="GI6" i="4" a="1"/>
  <c r="BJ55" i="3"/>
  <c r="BT67" i="3"/>
  <c r="BC85" i="3"/>
  <c r="GP16" i="4" a="1"/>
  <c r="BF84" i="3"/>
  <c r="GF5" i="4" a="1"/>
  <c r="Y24" i="2"/>
  <c r="BN72" i="3"/>
  <c r="BC91" i="3"/>
  <c r="FG9" i="4" a="1"/>
  <c r="BQ79" i="3"/>
  <c r="BL8" i="3"/>
  <c r="BE30" i="3"/>
  <c r="BG27" i="3"/>
  <c r="BF30" i="3"/>
  <c r="BN87" i="3"/>
  <c r="FF11" i="4" a="1"/>
  <c r="GV8" i="4" a="1"/>
  <c r="BH12" i="3"/>
  <c r="BV16" i="3"/>
  <c r="BA27" i="3"/>
  <c r="Z79" i="2"/>
  <c r="BD28" i="3"/>
  <c r="BG77" i="3"/>
  <c r="GM7" i="4" a="1"/>
  <c r="BK9" i="3"/>
  <c r="BK54" i="3"/>
  <c r="BU84" i="3"/>
  <c r="GC12" i="4" a="1"/>
  <c r="FY14" i="4" a="1"/>
  <c r="Z42" i="2"/>
  <c r="BG33" i="3"/>
  <c r="GK11" i="4" a="1"/>
  <c r="BU75" i="3"/>
  <c r="FQ14" i="4" a="1"/>
  <c r="BC95" i="3"/>
  <c r="BJ36" i="3"/>
  <c r="EY16" i="4" a="1"/>
  <c r="BU61" i="3"/>
  <c r="BD20" i="3"/>
  <c r="BL23" i="3"/>
  <c r="FC9" i="4" a="1"/>
  <c r="BA59" i="3"/>
  <c r="HB9" i="4" a="1"/>
  <c r="GL14" i="4" a="1"/>
  <c r="BQ78" i="3"/>
  <c r="HC5" i="4" a="1"/>
  <c r="BJ38" i="3"/>
  <c r="BU31" i="3"/>
  <c r="BN80" i="3"/>
  <c r="GU7" i="4" a="1"/>
  <c r="BN56" i="3"/>
  <c r="GB6" i="4" a="1"/>
  <c r="GR12" i="4" a="1"/>
  <c r="BB36" i="3"/>
  <c r="Z93" i="2"/>
  <c r="BC76" i="3"/>
  <c r="BD97" i="3"/>
  <c r="GA13" i="4" a="1"/>
  <c r="HF6" i="4" a="1"/>
  <c r="BL76" i="3"/>
  <c r="BT49" i="3"/>
  <c r="BC88" i="3"/>
  <c r="BF29" i="3"/>
  <c r="AA108" i="2"/>
  <c r="BV73" i="3"/>
  <c r="BV60" i="3"/>
  <c r="GW12" i="4" a="1"/>
  <c r="BD84" i="3"/>
  <c r="BD57" i="3"/>
  <c r="BD81" i="3"/>
  <c r="Z110" i="2"/>
  <c r="AA18" i="2"/>
  <c r="BM20" i="3"/>
  <c r="BT38" i="3"/>
  <c r="FF13" i="4" a="1"/>
  <c r="BK71" i="3"/>
  <c r="AA91" i="2"/>
  <c r="BJ94" i="3"/>
  <c r="Y20" i="2"/>
  <c r="BC20" i="3"/>
  <c r="FR7" i="4" a="1"/>
  <c r="Y36" i="2"/>
  <c r="FA15" i="4" a="1"/>
  <c r="Y35" i="2"/>
  <c r="BF19" i="3"/>
  <c r="AA25" i="2"/>
  <c r="BV55" i="3"/>
  <c r="BQ73" i="3"/>
  <c r="BM66" i="3"/>
  <c r="BK25" i="3"/>
  <c r="BG37" i="3"/>
  <c r="FW15" i="4" a="1"/>
  <c r="GR11" i="4" a="1"/>
  <c r="BE8" i="3"/>
  <c r="BD92" i="3"/>
  <c r="BN74" i="3"/>
  <c r="GL8" i="4" a="1"/>
  <c r="Y91" i="2"/>
  <c r="Y98" i="2"/>
  <c r="BH20" i="3"/>
  <c r="BU23" i="3"/>
  <c r="BQ30" i="3"/>
  <c r="FV13" i="4" a="1"/>
  <c r="BU60" i="3"/>
  <c r="BA61" i="3"/>
  <c r="GJ9" i="4" a="1"/>
  <c r="BO41" i="3"/>
  <c r="BF27" i="3"/>
  <c r="GO13" i="4" a="1"/>
  <c r="BH45" i="3"/>
  <c r="Y60" i="2"/>
  <c r="BO35" i="3"/>
  <c r="BS17" i="3"/>
  <c r="BP41" i="3"/>
  <c r="BB24" i="3"/>
  <c r="BF95" i="3"/>
  <c r="FK11" i="4" a="1"/>
  <c r="BU12" i="3"/>
  <c r="AA69" i="2"/>
  <c r="BN61" i="3"/>
  <c r="BO21" i="3"/>
  <c r="BM24" i="3"/>
  <c r="BQ95" i="3"/>
  <c r="BO15" i="3"/>
  <c r="BD25" i="3"/>
  <c r="BH89" i="3"/>
  <c r="GI15" i="4" a="1"/>
  <c r="FX14" i="4" a="1"/>
  <c r="BK75" i="3"/>
  <c r="BC37" i="3"/>
  <c r="FD15" i="4" a="1"/>
  <c r="BG22" i="3"/>
  <c r="BT92" i="3"/>
  <c r="BC45" i="3"/>
  <c r="GB11" i="4" a="1"/>
  <c r="FS14" i="4" a="1"/>
  <c r="BK7" i="3"/>
  <c r="AA96" i="2"/>
  <c r="BE82" i="3"/>
  <c r="BK87" i="3"/>
  <c r="BF93" i="3"/>
  <c r="Z105" i="2"/>
  <c r="BR33" i="3"/>
  <c r="BL21" i="3"/>
  <c r="FA7" i="4" a="1"/>
  <c r="BD8" i="3"/>
  <c r="BF55" i="3"/>
  <c r="AA110" i="2"/>
  <c r="BA34" i="3"/>
  <c r="BB27" i="3"/>
  <c r="BQ56" i="3"/>
  <c r="FK9" i="4" a="1"/>
  <c r="BC11" i="3"/>
  <c r="BK63" i="3"/>
  <c r="FQ5" i="4" a="1"/>
  <c r="BU18" i="3"/>
  <c r="BC9" i="3"/>
  <c r="BU65" i="3"/>
  <c r="BA62" i="3"/>
  <c r="HH14" i="4" a="1"/>
  <c r="FX13" i="4" a="1"/>
  <c r="GE12" i="4" a="1"/>
  <c r="HC16" i="4" a="1"/>
  <c r="AA85" i="2"/>
  <c r="BG55" i="3"/>
  <c r="BF24" i="3"/>
  <c r="BH68" i="3"/>
  <c r="BJ58" i="3"/>
  <c r="BM39" i="3"/>
  <c r="FH15" i="4" a="1"/>
  <c r="BC96" i="3"/>
  <c r="BJ90" i="3"/>
  <c r="BT20" i="3"/>
  <c r="BQ16" i="3"/>
  <c r="BH40" i="3"/>
  <c r="BL36" i="3"/>
  <c r="FV11" i="4" a="1"/>
  <c r="BL34" i="3"/>
  <c r="BN50" i="3"/>
  <c r="BN66" i="3"/>
  <c r="BO16" i="3"/>
  <c r="BD9" i="3"/>
  <c r="BI67" i="3"/>
  <c r="BQ14" i="3"/>
  <c r="BN28" i="3"/>
  <c r="BF23" i="3"/>
  <c r="BK34" i="3"/>
  <c r="BG34" i="3"/>
  <c r="BJ41" i="3"/>
  <c r="GV15" i="4" a="1"/>
  <c r="Z11" i="2"/>
  <c r="FQ13" i="4" a="1"/>
  <c r="BG6" i="3"/>
  <c r="AA30" i="2"/>
  <c r="BB29" i="3"/>
  <c r="FR8" i="4" a="1"/>
  <c r="BB12" i="3"/>
  <c r="GH15" i="4" a="1"/>
  <c r="BD68" i="3"/>
  <c r="BV31" i="3"/>
  <c r="C5" i="2"/>
  <c r="BH63" i="3"/>
  <c r="FH12" i="4" a="1"/>
  <c r="BD58" i="3"/>
  <c r="GC8" i="4" a="1"/>
  <c r="BQ33" i="3"/>
  <c r="AA93" i="2"/>
  <c r="BL91" i="3"/>
  <c r="BD82" i="3"/>
  <c r="BV85" i="3"/>
  <c r="BK65" i="3"/>
  <c r="AA15" i="2"/>
  <c r="BN24" i="3"/>
  <c r="BG69" i="3"/>
  <c r="Y76" i="2"/>
  <c r="BM56" i="3"/>
  <c r="BE90" i="3"/>
  <c r="HF7" i="4" a="1"/>
  <c r="BT24" i="3"/>
  <c r="BT56" i="3"/>
  <c r="HE9" i="4" a="1"/>
  <c r="BG72" i="3"/>
  <c r="FJ11" i="4" a="1"/>
  <c r="Z84" i="2"/>
  <c r="FK15" i="4" a="1"/>
  <c r="BH61" i="3"/>
  <c r="GN11" i="4" a="1"/>
  <c r="BK16" i="3"/>
  <c r="FM5" i="4" a="1"/>
  <c r="BA30" i="3"/>
  <c r="BK97" i="3"/>
  <c r="BH67" i="3"/>
  <c r="BJ95" i="3"/>
  <c r="FG13" i="4" a="1"/>
  <c r="GO11" i="4" a="1"/>
  <c r="BT36" i="3"/>
  <c r="BD54" i="3"/>
  <c r="BD11" i="3"/>
  <c r="HH5" i="4" a="1"/>
  <c r="BA89" i="3"/>
  <c r="BC72" i="3"/>
  <c r="BM58" i="3"/>
  <c r="GY16" i="4" a="1"/>
  <c r="HA12" i="4" a="1"/>
  <c r="BF21" i="3"/>
  <c r="BL70" i="3"/>
  <c r="HE5" i="4" a="1"/>
  <c r="GA15" i="4" a="1"/>
  <c r="FY16" i="4" a="1"/>
  <c r="HH9" i="4" a="1"/>
  <c r="GL7" i="4" a="1"/>
  <c r="GG5" i="4" a="1"/>
  <c r="GJ13" i="4" a="1"/>
  <c r="Y56" i="2"/>
  <c r="FD11" i="4" a="1"/>
  <c r="BT42" i="3"/>
  <c r="BT46" i="3"/>
  <c r="BI30" i="3"/>
  <c r="BG50" i="3"/>
  <c r="AA57" i="2"/>
  <c r="Y88" i="2"/>
  <c r="EX11" i="4" a="1"/>
  <c r="BK29" i="3"/>
  <c r="BS5" i="3"/>
  <c r="BF62" i="3"/>
  <c r="BD86" i="3"/>
  <c r="BR21" i="3"/>
  <c r="BG89" i="3"/>
  <c r="BM61" i="3"/>
  <c r="BD60" i="3"/>
  <c r="BM23" i="3"/>
  <c r="HA8" i="4" a="1"/>
  <c r="Z55" i="2"/>
  <c r="HC8" i="4" a="1"/>
  <c r="BK82" i="3"/>
  <c r="GW14" i="4" a="1"/>
  <c r="BF58" i="3"/>
  <c r="EY13" i="4" a="1"/>
  <c r="BT14" i="3"/>
  <c r="BF74" i="3"/>
  <c r="FU14" i="4" a="1"/>
  <c r="GO15" i="4" a="1"/>
  <c r="BS69" i="3"/>
  <c r="BP14" i="3"/>
  <c r="Z23" i="2"/>
  <c r="BI19" i="3"/>
  <c r="BJ82" i="3"/>
  <c r="BV28" i="3"/>
  <c r="EX5" i="4" a="1"/>
  <c r="BI9" i="3"/>
  <c r="BN12" i="3"/>
  <c r="BS25" i="3"/>
  <c r="Z63" i="2"/>
  <c r="BG48" i="3"/>
  <c r="AA50" i="2"/>
  <c r="BE72" i="3"/>
  <c r="BH54" i="3"/>
  <c r="BH39" i="3"/>
  <c r="BC21" i="3"/>
  <c r="Y34" i="2"/>
  <c r="FZ14" i="4" a="1"/>
  <c r="BU16" i="3"/>
  <c r="BA25" i="3"/>
  <c r="FK7" i="4" a="1"/>
  <c r="BK48" i="3"/>
  <c r="Z40" i="2"/>
  <c r="BG93" i="3"/>
  <c r="BD80" i="3"/>
  <c r="BV67" i="3"/>
  <c r="BV76" i="3"/>
  <c r="BQ87" i="3"/>
  <c r="BP11" i="3"/>
  <c r="BI6" i="3"/>
  <c r="AA99" i="2"/>
  <c r="BJ37" i="3"/>
  <c r="FN8" i="4" a="1"/>
  <c r="BQ70" i="3"/>
  <c r="BC39" i="3"/>
  <c r="BB42" i="3"/>
  <c r="BL86" i="3"/>
  <c r="BA93" i="3"/>
  <c r="BD49" i="3"/>
  <c r="FL15" i="4" a="1"/>
  <c r="Z66" i="2"/>
  <c r="AA97" i="2"/>
  <c r="BC18" i="3"/>
  <c r="BV89" i="3"/>
  <c r="BJ60" i="3"/>
  <c r="GA5" i="4" a="1"/>
  <c r="BA72" i="3"/>
  <c r="Z59" i="2"/>
  <c r="BA22" i="3"/>
  <c r="BH27" i="3"/>
  <c r="BG65" i="3"/>
  <c r="BS37" i="3"/>
  <c r="BV74" i="3"/>
  <c r="FP9" i="4" a="1"/>
  <c r="GC11" i="4" a="1"/>
  <c r="BH81" i="3"/>
  <c r="BE73" i="3"/>
  <c r="BM34" i="3"/>
  <c r="GO12" i="4" a="1"/>
  <c r="FJ16" i="4" a="1"/>
  <c r="GV14" i="4" a="1"/>
  <c r="HE15" i="4" a="1"/>
  <c r="BK47" i="3"/>
  <c r="FW14" i="4" a="1"/>
  <c r="BJ47" i="3"/>
  <c r="BV26" i="3"/>
  <c r="GJ7" i="4" a="1"/>
  <c r="Y69" i="2"/>
  <c r="GH8" i="4" a="1"/>
  <c r="FP7" i="4" a="1"/>
  <c r="GU14" i="4" a="1"/>
  <c r="GT9" i="4" a="1"/>
  <c r="BM49" i="3"/>
  <c r="BV42" i="3"/>
  <c r="BJ13" i="3"/>
  <c r="BQ64" i="3"/>
  <c r="FR9" i="4" a="1"/>
  <c r="BM91" i="3"/>
  <c r="FM6" i="4" a="1"/>
  <c r="BN85" i="3"/>
  <c r="BQ72" i="3"/>
  <c r="FR6" i="4" a="1"/>
  <c r="GP13" i="4" a="1"/>
  <c r="BH38" i="3"/>
  <c r="BA47" i="3"/>
  <c r="BK68" i="3"/>
  <c r="BF97" i="3"/>
  <c r="BF20" i="3"/>
  <c r="BK28" i="3"/>
  <c r="BE17" i="3"/>
  <c r="Z76" i="2"/>
  <c r="BM45" i="3"/>
  <c r="BC22" i="3"/>
  <c r="FC11" i="4" a="1"/>
  <c r="GZ5" i="4" a="1"/>
  <c r="BB16" i="3"/>
  <c r="GL15" i="4" a="1"/>
  <c r="BQ82" i="3"/>
  <c r="Y44" i="2"/>
  <c r="BO26" i="3"/>
  <c r="HG5" i="4" a="1"/>
  <c r="BE59" i="3"/>
  <c r="BP18" i="3"/>
  <c r="BK62" i="3"/>
  <c r="EX15" i="4" a="1"/>
  <c r="AA60" i="2"/>
  <c r="BO5" i="3"/>
  <c r="BJ85" i="3"/>
  <c r="BQ61" i="3"/>
  <c r="BO92" i="3"/>
  <c r="BU78" i="3"/>
  <c r="FM11" i="4" a="1"/>
  <c r="GY6" i="4" a="1"/>
  <c r="BJ39" i="3"/>
  <c r="EY11" i="4" a="1"/>
  <c r="EX8" i="4" a="1"/>
  <c r="BH60" i="3"/>
  <c r="GP5" i="4" a="1"/>
  <c r="BO45" i="3"/>
  <c r="BN86" i="3"/>
  <c r="GO5" i="4" a="1"/>
  <c r="FM12" i="4" a="1"/>
  <c r="BT85" i="3"/>
  <c r="BE69" i="3"/>
  <c r="BO18" i="3"/>
  <c r="BM38" i="3"/>
  <c r="BV92" i="3"/>
  <c r="BN94" i="3"/>
  <c r="FS8" i="4" a="1"/>
  <c r="BN41" i="3"/>
  <c r="EY6" i="4" a="1"/>
  <c r="AA94" i="2"/>
  <c r="BL73" i="3"/>
  <c r="AA65" i="2"/>
  <c r="BN59" i="3"/>
  <c r="BV58" i="3"/>
  <c r="FV14" i="4" a="1"/>
  <c r="BM48" i="3"/>
  <c r="BA82" i="3"/>
  <c r="AA42" i="2"/>
  <c r="BD6" i="3"/>
  <c r="BC47" i="3"/>
  <c r="Y109" i="2"/>
  <c r="BJ92" i="3"/>
  <c r="HG8" i="4" a="1"/>
  <c r="HH16" i="4" a="1"/>
  <c r="BC69" i="3"/>
  <c r="Y92" i="2"/>
  <c r="EY15" i="4" a="1"/>
  <c r="BF56" i="3"/>
  <c r="Z92" i="2"/>
  <c r="BC79" i="3"/>
  <c r="FG5" i="4" a="1"/>
  <c r="FN13" i="4" a="1"/>
  <c r="HD6" i="4" a="1"/>
  <c r="AA32" i="2"/>
  <c r="BG24" i="3"/>
  <c r="BK77" i="3"/>
  <c r="BM75" i="3"/>
  <c r="GW13" i="4" a="1"/>
  <c r="GQ16" i="4" a="1"/>
  <c r="FS12" i="4" a="1"/>
  <c r="BC10" i="3"/>
  <c r="GB9" i="4" a="1"/>
  <c r="BB20" i="3"/>
  <c r="BP24" i="3"/>
  <c r="BI24" i="3"/>
  <c r="BE40" i="3"/>
  <c r="Z70" i="2"/>
  <c r="Z94" i="2"/>
  <c r="BQ57" i="3"/>
  <c r="BJ14" i="3"/>
  <c r="BF26" i="3"/>
  <c r="GS8" i="4" a="1"/>
  <c r="GL13" i="4" a="1"/>
  <c r="BB19" i="3"/>
  <c r="BP35" i="3"/>
  <c r="BS18" i="3"/>
  <c r="Z109" i="2"/>
  <c r="Y73" i="2"/>
  <c r="FZ7" i="4" a="1"/>
  <c r="GD5" i="4" a="1"/>
  <c r="GR15" i="4" a="1"/>
  <c r="BN42" i="3"/>
  <c r="BT13" i="3"/>
  <c r="BN58" i="3"/>
  <c r="FG11" i="4" a="1"/>
  <c r="HG13" i="4" a="1"/>
  <c r="BD48" i="3"/>
  <c r="BV82" i="3"/>
  <c r="BP45" i="3"/>
  <c r="BC32" i="3"/>
  <c r="FP5" i="4" a="1"/>
  <c r="Z107" i="2"/>
  <c r="BU17" i="3"/>
  <c r="BB6" i="3"/>
  <c r="Z41" i="2"/>
  <c r="FQ11" i="4" a="1"/>
  <c r="BE79" i="3"/>
  <c r="BI28" i="3"/>
  <c r="BC8" i="3"/>
  <c r="BE97" i="3"/>
  <c r="BC27" i="3"/>
  <c r="BV62" i="3"/>
  <c r="BV93" i="3"/>
  <c r="BL60" i="3"/>
  <c r="BO37" i="3"/>
  <c r="Y105" i="2"/>
  <c r="HB12" i="4" a="1"/>
  <c r="BQ83" i="3"/>
  <c r="BD79" i="3"/>
  <c r="HD5" i="4" a="1"/>
  <c r="BC89" i="3"/>
  <c r="HF12" i="4" a="1"/>
  <c r="BJ15" i="3"/>
  <c r="BL85" i="3"/>
  <c r="HF14" i="4" a="1"/>
  <c r="BL48" i="3"/>
  <c r="BH93" i="3"/>
  <c r="GP9" i="4" a="1"/>
  <c r="GM13" i="4" a="1"/>
  <c r="FH8" i="4" a="1"/>
  <c r="Z54" i="2"/>
  <c r="GH11" i="4" a="1"/>
  <c r="BK85" i="3"/>
  <c r="FI15" i="4" a="1"/>
  <c r="BQ90" i="3"/>
  <c r="FL11" i="4" a="1"/>
  <c r="GZ16" i="4" a="1"/>
  <c r="BC64" i="3"/>
  <c r="BE91" i="3"/>
  <c r="BS28" i="3"/>
  <c r="BA9" i="3"/>
  <c r="BB46" i="3"/>
  <c r="BD71" i="3"/>
  <c r="BL80" i="3"/>
  <c r="BE64" i="3"/>
  <c r="FM15" i="4" a="1"/>
  <c r="BC80" i="3"/>
  <c r="BL47" i="3"/>
  <c r="BT63" i="3"/>
  <c r="BM22" i="3"/>
  <c r="BK31" i="3"/>
  <c r="BU13" i="3"/>
  <c r="BT65" i="3"/>
  <c r="FU11" i="4" a="1"/>
  <c r="BG38" i="3"/>
  <c r="BM74" i="3"/>
  <c r="BP32" i="3"/>
  <c r="BF36" i="3"/>
  <c r="GZ12" i="4" a="1"/>
  <c r="GN13" i="4" a="1"/>
  <c r="FZ15" i="4" a="1"/>
  <c r="BB40" i="3"/>
  <c r="GE13" i="4" a="1"/>
  <c r="HG16" i="4" a="1"/>
  <c r="FB5" i="4" a="1"/>
  <c r="BB31" i="3"/>
  <c r="BN96" i="3"/>
  <c r="BH42" i="3"/>
  <c r="HC11" i="4" a="1"/>
  <c r="FW7" i="4" a="1"/>
  <c r="BN97" i="3"/>
  <c r="GT8" i="4" a="1"/>
  <c r="BC58" i="3"/>
  <c r="BQ92" i="3"/>
  <c r="HG9" i="4" a="1"/>
  <c r="BG23" i="3"/>
  <c r="BV77" i="3"/>
  <c r="BM72" i="3"/>
  <c r="BC97" i="3"/>
  <c r="BH75" i="3"/>
  <c r="FM8" i="4" a="1"/>
  <c r="GM9" i="4" a="1"/>
  <c r="BE50" i="3"/>
  <c r="Z44" i="2"/>
  <c r="FS11" i="4" a="1"/>
  <c r="GD16" i="4" a="1"/>
  <c r="BA10" i="3"/>
  <c r="BU88" i="3"/>
  <c r="BV33" i="3"/>
  <c r="BE86" i="3"/>
  <c r="FE12" i="4" a="1"/>
  <c r="FN5" i="4" a="1"/>
  <c r="Y23" i="2"/>
  <c r="FU7" i="4" a="1"/>
  <c r="HH13" i="4" a="1"/>
  <c r="AA21" i="2"/>
  <c r="GN15" i="4" a="1"/>
  <c r="BH94" i="3"/>
  <c r="HD8" i="4" a="1"/>
  <c r="BK96" i="3"/>
  <c r="Z9" i="2"/>
  <c r="BM63" i="3"/>
  <c r="BL42" i="3"/>
  <c r="BL22" i="3"/>
  <c r="BU74" i="3"/>
  <c r="GP15" i="4" a="1"/>
  <c r="GP12" i="4" a="1"/>
  <c r="BD17" i="3"/>
  <c r="BG81" i="3"/>
  <c r="FV16" i="4" a="1"/>
  <c r="FD13" i="4" a="1"/>
  <c r="BA42" i="3"/>
  <c r="HB13" i="4" a="1"/>
  <c r="BE76" i="3"/>
  <c r="HG7" i="4" a="1"/>
  <c r="BA96" i="3"/>
  <c r="BE16" i="3"/>
  <c r="BQ88" i="3"/>
  <c r="BN63" i="3"/>
  <c r="FM13" i="4" a="1"/>
  <c r="FU16" i="4" a="1"/>
  <c r="BG78" i="3"/>
  <c r="BT47" i="3"/>
  <c r="BA79" i="3"/>
  <c r="BD95" i="3"/>
  <c r="BL93" i="3"/>
  <c r="BL56" i="3"/>
  <c r="BJ75" i="3"/>
  <c r="GF13" i="4" a="1"/>
  <c r="AA9" i="2"/>
  <c r="BK60" i="3"/>
  <c r="FI14" i="4" a="1"/>
  <c r="BH71" i="3"/>
  <c r="Z98" i="2"/>
  <c r="BU95" i="3"/>
  <c r="GM16" i="4" a="1"/>
  <c r="FX7" i="4" a="1"/>
  <c r="FU8" i="4" a="1"/>
  <c r="FZ6" i="4" a="1"/>
  <c r="BK80" i="3"/>
  <c r="BJ57" i="3"/>
  <c r="BC61" i="3"/>
  <c r="BF76" i="3"/>
  <c r="FG12" i="4" a="1"/>
  <c r="GR8" i="4" a="1"/>
  <c r="BO60" i="3"/>
  <c r="BG70" i="3"/>
  <c r="BT84" i="3"/>
  <c r="BA85" i="3"/>
  <c r="BD50" i="3"/>
  <c r="GX14" i="4" a="1"/>
  <c r="Z73" i="2"/>
  <c r="FU15" i="4" a="1"/>
  <c r="GE14" i="4" a="1"/>
  <c r="BG58" i="3"/>
  <c r="BN90" i="3"/>
  <c r="GJ6" i="4" a="1"/>
  <c r="BK41" i="3"/>
  <c r="BK67" i="3"/>
  <c r="BK50" i="3"/>
  <c r="FL8" i="4" a="1"/>
  <c r="FN14" i="4" a="1"/>
  <c r="BE23" i="3"/>
  <c r="HA5" i="4" a="1"/>
  <c r="GY5" i="4" a="1"/>
  <c r="BJ50" i="3"/>
  <c r="GN5" i="4" a="1"/>
  <c r="BB38" i="3"/>
  <c r="BT55" i="3"/>
  <c r="GB13" i="4" a="1"/>
  <c r="BU38" i="3"/>
  <c r="GJ15" i="4" a="1"/>
  <c r="HB16" i="4" a="1"/>
  <c r="BO66" i="3"/>
  <c r="BN82" i="3"/>
  <c r="FQ12" i="4" a="1"/>
  <c r="BG86" i="3"/>
  <c r="BO20" i="3"/>
  <c r="BA73" i="3"/>
  <c r="BH83" i="3"/>
  <c r="FY7" i="4" a="1"/>
  <c r="BM94" i="3"/>
  <c r="BH78" i="3"/>
  <c r="HD16" i="4" a="1"/>
  <c r="AA48" i="2"/>
  <c r="FJ13" i="4" a="1"/>
  <c r="BM60" i="3"/>
  <c r="Y41" i="2"/>
  <c r="GA12" i="4" a="1"/>
  <c r="BQ22" i="3"/>
  <c r="BF94" i="3"/>
  <c r="BD34" i="3"/>
  <c r="BK81" i="3"/>
  <c r="BO73" i="3"/>
  <c r="BO85" i="3"/>
  <c r="BJ96" i="3"/>
  <c r="BL78" i="3"/>
  <c r="HH11" i="4" a="1"/>
  <c r="BM92" i="3"/>
  <c r="BA76" i="3"/>
  <c r="BT29" i="3"/>
  <c r="Z43" i="2"/>
  <c r="FK12" i="4" a="1"/>
  <c r="BP5" i="3"/>
  <c r="BL92" i="3"/>
  <c r="FZ12" i="4" a="1"/>
  <c r="BA84" i="3"/>
  <c r="BI34" i="3"/>
  <c r="EZ8" i="4" a="1"/>
  <c r="BM54" i="3"/>
  <c r="BA64" i="3"/>
  <c r="BU58" i="3"/>
  <c r="HG12" i="4" a="1"/>
  <c r="FJ12" i="4" a="1"/>
  <c r="BN30" i="3"/>
  <c r="GJ12" i="4" a="1"/>
  <c r="GF6" i="4" a="1"/>
  <c r="GZ11" i="4" a="1"/>
  <c r="BD12" i="3"/>
  <c r="BG75" i="3"/>
  <c r="BT71" i="3"/>
  <c r="BA77" i="3"/>
  <c r="BD93" i="3"/>
  <c r="BO80" i="3"/>
  <c r="BL96" i="3"/>
  <c r="BP74" i="3"/>
  <c r="BP68" i="3"/>
  <c r="BC70" i="3"/>
  <c r="BT58" i="3"/>
  <c r="FI12" i="4" a="1"/>
  <c r="BU41" i="3"/>
  <c r="BG62" i="3"/>
  <c r="Y57" i="2"/>
  <c r="X6" i="2"/>
  <c r="FX11" i="4" a="1"/>
  <c r="BN38" i="3"/>
  <c r="BU49" i="3"/>
  <c r="BN88" i="3"/>
  <c r="Z24" i="2"/>
  <c r="BB11" i="3"/>
  <c r="BU92" i="3"/>
  <c r="GQ13" i="4" a="1"/>
  <c r="BA78" i="3"/>
  <c r="FN15" i="4" a="1"/>
  <c r="AA75" i="2"/>
  <c r="EZ12" i="4" a="1"/>
  <c r="BQ97" i="3"/>
  <c r="BK24" i="3"/>
  <c r="BP37" i="3"/>
  <c r="GZ15" i="4" a="1"/>
  <c r="Z5" i="2"/>
  <c r="GX15" i="4" a="1"/>
  <c r="BN55" i="3"/>
  <c r="AA63" i="2"/>
  <c r="BU89" i="3"/>
  <c r="BA68" i="3"/>
  <c r="BV78" i="3"/>
  <c r="BQ91" i="3"/>
  <c r="Y22" i="2"/>
  <c r="FU5" i="4" a="1"/>
  <c r="BG63" i="3"/>
  <c r="FL14" i="4" a="1"/>
  <c r="GE16" i="4" a="1"/>
  <c r="BJ65" i="3"/>
  <c r="FJ9" i="4" a="1"/>
  <c r="BT33" i="3"/>
  <c r="BT78" i="3"/>
  <c r="BQ55" i="3"/>
  <c r="AA98" i="2"/>
  <c r="BD59" i="3"/>
  <c r="BV61" i="3"/>
  <c r="BH14" i="3"/>
  <c r="BU37" i="3"/>
  <c r="BE89" i="3"/>
  <c r="BI42" i="3"/>
  <c r="BC50" i="3"/>
  <c r="BT22" i="3"/>
  <c r="BL67" i="3"/>
  <c r="BM78" i="3"/>
  <c r="BJ62" i="3"/>
  <c r="BJ25" i="3"/>
  <c r="BN27" i="3"/>
  <c r="FZ16" i="4" a="1"/>
  <c r="BT74" i="3"/>
  <c r="BA92" i="3"/>
  <c r="BC60" i="3"/>
  <c r="GQ8" i="4" a="1"/>
  <c r="BG59" i="3"/>
  <c r="BL57" i="3"/>
  <c r="AA62" i="2"/>
  <c r="BD72" i="3"/>
  <c r="FO8" i="4" a="1"/>
  <c r="GR7" i="4" a="1"/>
  <c r="BN8" i="3"/>
  <c r="Z75" i="2"/>
  <c r="BD74" i="3"/>
  <c r="Y6" i="2"/>
  <c r="Z21" i="2"/>
  <c r="BG57" i="3"/>
  <c r="BF92" i="3"/>
  <c r="BU80" i="3"/>
  <c r="FT9" i="4" a="1"/>
  <c r="FG6" i="4" a="1"/>
  <c r="BM97" i="3"/>
  <c r="BE27" i="3"/>
  <c r="BO24" i="3"/>
  <c r="GE8" i="4" a="1"/>
  <c r="BU96" i="3"/>
  <c r="BG14" i="3"/>
  <c r="FK14" i="4" a="1"/>
  <c r="FB8" i="4" a="1"/>
  <c r="BE46" i="3"/>
  <c r="GF15" i="4" a="1"/>
  <c r="BN93" i="3"/>
  <c r="BI26" i="3"/>
  <c r="BU73" i="3"/>
  <c r="BH7" i="3"/>
  <c r="BF33" i="3"/>
  <c r="BK91" i="3"/>
  <c r="FX5" i="4" a="1"/>
  <c r="GD9" i="4" a="1"/>
  <c r="BC93" i="3"/>
  <c r="BK19" i="3"/>
  <c r="BU83" i="3"/>
  <c r="BN77" i="3"/>
  <c r="AA5" i="2"/>
  <c r="AA113" i="2" s="1"/>
  <c r="FO5" i="4" a="1"/>
  <c r="BG73" i="3"/>
  <c r="BA86" i="3"/>
  <c r="FX15" i="4" a="1"/>
  <c r="FC12" i="4" a="1"/>
  <c r="BU69" i="3"/>
  <c r="BF9" i="3"/>
  <c r="GO9" i="4" a="1"/>
  <c r="BC49" i="3"/>
  <c r="BA35" i="3"/>
  <c r="GU16" i="4" a="1"/>
  <c r="GC6" i="4" a="1"/>
  <c r="BD63" i="3"/>
  <c r="HC12" i="4" a="1"/>
  <c r="BU15" i="3"/>
  <c r="BS20" i="3"/>
  <c r="GJ16" i="4" a="1"/>
  <c r="BD37" i="3"/>
  <c r="BP19" i="3"/>
  <c r="BD70" i="3"/>
  <c r="BD31" i="3"/>
  <c r="Z32" i="2"/>
  <c r="BI10" i="3"/>
  <c r="FC13" i="4" a="1"/>
  <c r="FI9" i="4" a="1"/>
  <c r="GQ12" i="4" a="1"/>
  <c r="BE58" i="3"/>
  <c r="BF38" i="3"/>
  <c r="FX6" i="4" a="1"/>
  <c r="BI21" i="3"/>
  <c r="BA95" i="3"/>
  <c r="FL6" i="4" a="1"/>
  <c r="BU82" i="3"/>
  <c r="HB8" i="4" a="1"/>
  <c r="GK12" i="4" a="1"/>
  <c r="BC94" i="3"/>
  <c r="BU8" i="3"/>
  <c r="AA83" i="2"/>
  <c r="BD42" i="3"/>
  <c r="BM96" i="3"/>
  <c r="BD89" i="3"/>
  <c r="HD9" i="4" a="1"/>
  <c r="HE6" i="4" a="1"/>
  <c r="BF80" i="3"/>
  <c r="GV7" i="4" a="1"/>
  <c r="FT15" i="4" a="1"/>
  <c r="BT48" i="3"/>
  <c r="BG17" i="3"/>
  <c r="BC82" i="3"/>
  <c r="BM86" i="3"/>
  <c r="BK89" i="3"/>
  <c r="BG74" i="3"/>
  <c r="BF64" i="3"/>
  <c r="BU24" i="3"/>
  <c r="BE48" i="3"/>
  <c r="HC9" i="4" a="1"/>
  <c r="BM32" i="3"/>
  <c r="BA55" i="3"/>
  <c r="GB5" i="4" a="1"/>
  <c r="BT69" i="3"/>
  <c r="BU47" i="3"/>
  <c r="BN57" i="3"/>
  <c r="GB12" i="4" a="1"/>
  <c r="BI38" i="3"/>
  <c r="BK17" i="3"/>
  <c r="GR6" i="4" a="1"/>
  <c r="BL59" i="3"/>
  <c r="BD65" i="3"/>
  <c r="GM14" i="4" a="1"/>
  <c r="FO6" i="4" a="1"/>
  <c r="BC48" i="3"/>
  <c r="BL45" i="3"/>
  <c r="Z18" i="2"/>
  <c r="GJ8" i="4" a="1"/>
  <c r="BK55" i="3"/>
  <c r="GR5" i="4" a="1"/>
  <c r="BK61" i="3"/>
  <c r="BV94" i="3"/>
  <c r="Y46" i="2"/>
  <c r="EZ11" i="4" a="1"/>
  <c r="BM55" i="3"/>
  <c r="BC86" i="3"/>
  <c r="BR5" i="3"/>
  <c r="BV56" i="3"/>
  <c r="BN76" i="3"/>
  <c r="GC16" i="4" a="1"/>
  <c r="BK76" i="3"/>
  <c r="GD8" i="4" a="1"/>
  <c r="GX8" i="4" a="1"/>
  <c r="HA14" i="4" a="1"/>
  <c r="FU13" i="4" a="1"/>
  <c r="AA95" i="2"/>
  <c r="GG8" i="4" a="1"/>
  <c r="BF72" i="3"/>
  <c r="BT57" i="3"/>
  <c r="BU34" i="3"/>
  <c r="BN11" i="3"/>
  <c r="BF48" i="3"/>
  <c r="BE70" i="3"/>
  <c r="HF15" i="4" a="1"/>
  <c r="FN9" i="4" a="1"/>
  <c r="GQ11" i="4" a="1"/>
  <c r="BM85" i="3"/>
  <c r="BM57" i="3"/>
  <c r="Z106" i="2"/>
  <c r="BC66" i="3"/>
  <c r="BQ71" i="3"/>
  <c r="BL62" i="3"/>
  <c r="GT16" i="4" a="1"/>
  <c r="BG92" i="3"/>
  <c r="BT96" i="3"/>
  <c r="BA83" i="3"/>
  <c r="BA87" i="3"/>
  <c r="BO69" i="3"/>
  <c r="BL88" i="3"/>
  <c r="BL68" i="3"/>
  <c r="BR66" i="3"/>
  <c r="BR64" i="3"/>
  <c r="BR48" i="3"/>
  <c r="BP84" i="3"/>
  <c r="BP47" i="3"/>
  <c r="HF13" i="4" a="1"/>
  <c r="AA73" i="2"/>
  <c r="FT5" i="4" a="1"/>
  <c r="FO15" i="4" a="1"/>
  <c r="GK5" i="4" a="1"/>
  <c r="GV11" i="4" a="1"/>
  <c r="FC6" i="4" a="1"/>
  <c r="BQ74" i="3"/>
  <c r="HE14" i="4" a="1"/>
  <c r="BF34" i="3"/>
  <c r="FN12" i="4" a="1"/>
  <c r="BL65" i="3"/>
  <c r="BO74" i="3"/>
  <c r="BM62" i="3"/>
  <c r="GV6" i="4" a="1"/>
  <c r="FS15" i="4" a="1"/>
  <c r="GI12" i="4" a="1"/>
  <c r="BA57" i="3"/>
  <c r="BU33" i="3"/>
  <c r="FL13" i="4" a="1"/>
  <c r="GW9" i="4" a="1"/>
  <c r="BB13" i="3"/>
  <c r="BG97" i="3"/>
  <c r="FM7" i="4" a="1"/>
  <c r="BS26" i="3"/>
  <c r="BA74" i="3"/>
  <c r="BJ71" i="3"/>
  <c r="BV29" i="3"/>
  <c r="BN70" i="3"/>
  <c r="BQ63" i="3"/>
  <c r="BM59" i="3"/>
  <c r="HD11" i="4" a="1"/>
  <c r="BQ84" i="3"/>
  <c r="HC15" i="4" a="1"/>
  <c r="Z74" i="2"/>
  <c r="BP21" i="3"/>
  <c r="GS9" i="4" a="1"/>
  <c r="BK94" i="3"/>
  <c r="BF67" i="3"/>
  <c r="HD15" i="4" a="1"/>
  <c r="BT90" i="3"/>
  <c r="BU32" i="3"/>
  <c r="BM80" i="3"/>
  <c r="BK93" i="3"/>
  <c r="FO12" i="4" a="1"/>
  <c r="BN60" i="3"/>
  <c r="GW16" i="4" a="1"/>
  <c r="GY9" i="4" a="1"/>
  <c r="FQ7" i="4" a="1"/>
  <c r="BV7" i="3"/>
  <c r="FH16" i="4" a="1"/>
  <c r="BD55" i="3"/>
  <c r="BC31" i="3"/>
  <c r="BA8" i="3"/>
  <c r="GH16" i="4" a="1"/>
  <c r="BQ94" i="3"/>
  <c r="BG76" i="3"/>
  <c r="BL54" i="3"/>
  <c r="BU86" i="3"/>
  <c r="BE94" i="3"/>
  <c r="BJ87" i="3"/>
  <c r="Z71" i="2"/>
  <c r="BF87" i="3"/>
  <c r="BN81" i="3"/>
  <c r="BC67" i="3"/>
  <c r="BH15" i="3"/>
  <c r="GL16" i="4" a="1"/>
  <c r="GG9" i="4" a="1"/>
  <c r="BG82" i="3"/>
  <c r="GS13" i="4" a="1"/>
  <c r="FJ7" i="4" a="1"/>
  <c r="FP13" i="4" a="1"/>
  <c r="BN35" i="3"/>
  <c r="GO14" i="4" a="1"/>
  <c r="BG45" i="3"/>
  <c r="BU9" i="3"/>
  <c r="FB12" i="4" a="1"/>
  <c r="BG67" i="3"/>
  <c r="BT68" i="3"/>
  <c r="BA60" i="3"/>
  <c r="BA48" i="3"/>
  <c r="BL64" i="3"/>
  <c r="BR79" i="3"/>
  <c r="BR86" i="3"/>
  <c r="BR94" i="3"/>
  <c r="BP90" i="3"/>
  <c r="BP70" i="3"/>
  <c r="BP59" i="3"/>
  <c r="FY5" i="4" a="1"/>
  <c r="GP14" i="4" a="1"/>
  <c r="HE8" i="4" a="1"/>
  <c r="FO11" i="4" a="1"/>
  <c r="GH13" i="4" a="1"/>
  <c r="FB14" i="4" a="1"/>
  <c r="Y108" i="2"/>
  <c r="BT28" i="3"/>
  <c r="GI9" i="4" a="1"/>
  <c r="GT6" i="4" a="1"/>
  <c r="BQ80" i="3"/>
  <c r="GX16" i="4" a="1"/>
  <c r="BF41" i="3"/>
  <c r="GD15" i="4" a="1"/>
  <c r="BC92" i="3"/>
  <c r="FO9" i="4" a="1"/>
  <c r="GR13" i="4" a="1"/>
  <c r="FW11" i="4" a="1"/>
  <c r="FZ13" i="4" a="1"/>
  <c r="BE81" i="3"/>
  <c r="BK64" i="3"/>
  <c r="GG11" i="4" a="1"/>
  <c r="GS15" i="4" a="1"/>
  <c r="AA10" i="2"/>
  <c r="FM16" i="4" a="1"/>
  <c r="BM77" i="3"/>
  <c r="EX7" i="4" a="1"/>
  <c r="BT83" i="3"/>
  <c r="BE45" i="3"/>
  <c r="AA109" i="2"/>
  <c r="AA13" i="2"/>
  <c r="GT13" i="4" a="1"/>
  <c r="FZ5" i="4" a="1"/>
  <c r="GG14" i="4" a="1"/>
  <c r="BT94" i="3"/>
  <c r="BK36" i="3"/>
  <c r="BE25" i="3"/>
  <c r="GO16" i="4" a="1"/>
  <c r="GY12" i="4" a="1"/>
  <c r="BO68" i="3"/>
  <c r="BJ89" i="3"/>
  <c r="BV88" i="3"/>
  <c r="HH6" i="4" a="1"/>
  <c r="FS9" i="4" a="1"/>
  <c r="BV46" i="3"/>
  <c r="BF50" i="3"/>
  <c r="GH5" i="4" a="1"/>
  <c r="HE16" i="4" a="1"/>
  <c r="BD88" i="3"/>
  <c r="Z89" i="2"/>
  <c r="GS6" i="4" a="1"/>
  <c r="BL63" i="3"/>
  <c r="GK13" i="4" a="1"/>
  <c r="GH9" i="4" a="1"/>
  <c r="Y43" i="2"/>
  <c r="GE6" i="4" a="1"/>
  <c r="BB18" i="3"/>
  <c r="BT23" i="3"/>
  <c r="BQ65" i="3"/>
  <c r="BN83" i="3"/>
  <c r="BO84" i="3"/>
  <c r="BV84" i="3"/>
  <c r="FJ8" i="4" a="1"/>
  <c r="GM8" i="4" a="1"/>
  <c r="BG15" i="3"/>
  <c r="HC6" i="4" a="1"/>
  <c r="BL90" i="3"/>
  <c r="AA33" i="2"/>
  <c r="AA23" i="2"/>
  <c r="BJ70" i="3"/>
  <c r="FI5" i="4" a="1"/>
  <c r="BJ86" i="3"/>
  <c r="AA12" i="2"/>
  <c r="EX16" i="4" a="1"/>
  <c r="GW6" i="4" a="1"/>
  <c r="BE67" i="3"/>
  <c r="FP12" i="4" a="1"/>
  <c r="BF22" i="3"/>
  <c r="GN9" i="4" a="1"/>
  <c r="BT16" i="3"/>
  <c r="HD14" i="4" a="1"/>
  <c r="FB16" i="4" a="1"/>
  <c r="BA63" i="3"/>
  <c r="BN78" i="3"/>
  <c r="FY11" i="4" a="1"/>
  <c r="HH7" i="4" a="1"/>
  <c r="BL28" i="3"/>
  <c r="BV40" i="3"/>
  <c r="FQ16" i="4" a="1"/>
  <c r="Y86" i="2"/>
  <c r="GC9" i="4" a="1"/>
  <c r="BN64" i="3"/>
  <c r="BO10" i="3"/>
  <c r="BK33" i="3"/>
  <c r="GQ15" i="4" a="1"/>
  <c r="FT8" i="4" a="1"/>
  <c r="BO71" i="3"/>
  <c r="BM89" i="3"/>
  <c r="FT12" i="4" a="1"/>
  <c r="GJ11" i="4" a="1"/>
  <c r="GY8" i="4" a="1"/>
  <c r="BJ91" i="3"/>
  <c r="Z49" i="2"/>
  <c r="BA24" i="3"/>
  <c r="BQ76" i="3"/>
  <c r="GI7" i="4" a="1"/>
  <c r="Z13" i="2"/>
  <c r="GO8" i="4" a="1"/>
  <c r="BD45" i="3"/>
  <c r="GK14" i="4" a="1"/>
  <c r="AA58" i="2"/>
  <c r="BK73" i="3"/>
  <c r="BN69" i="3"/>
  <c r="GB15" i="4" a="1"/>
  <c r="BV36" i="3"/>
  <c r="GW15" i="4" a="1"/>
  <c r="BS42" i="3"/>
  <c r="BV96" i="3"/>
  <c r="FY6" i="4" a="1"/>
  <c r="AA68" i="2"/>
  <c r="HE7" i="4" a="1"/>
  <c r="BK45" i="3"/>
  <c r="BC63" i="3"/>
  <c r="BM83" i="3"/>
  <c r="GB7" i="4" a="1"/>
  <c r="BV6" i="3"/>
  <c r="HF8" i="4" a="1"/>
  <c r="BD77" i="3"/>
  <c r="BG95" i="3"/>
  <c r="BA94" i="3"/>
  <c r="BE88" i="3"/>
  <c r="BT72" i="3"/>
  <c r="GP6" i="4" a="1"/>
  <c r="FD6" i="4" a="1"/>
  <c r="BE31" i="3"/>
  <c r="BQ85" i="3"/>
  <c r="BT25" i="3"/>
  <c r="BV90" i="3"/>
  <c r="FH6" i="4" a="1"/>
  <c r="BF89" i="3"/>
  <c r="GY7" i="4" a="1"/>
  <c r="BO48" i="3"/>
  <c r="Y25" i="2"/>
  <c r="BE66" i="3"/>
  <c r="GF12" i="4" a="1"/>
  <c r="GE11" i="4" a="1"/>
  <c r="GJ14" i="4" a="1"/>
  <c r="GV16" i="4" a="1"/>
  <c r="BK88" i="3"/>
  <c r="BG11" i="3"/>
  <c r="BS39" i="3"/>
  <c r="BT77" i="3"/>
  <c r="BN92" i="3"/>
  <c r="HH12" i="4" a="1"/>
  <c r="BU91" i="3"/>
  <c r="HH8" i="4" a="1"/>
  <c r="BD94" i="3"/>
  <c r="BP40" i="3"/>
  <c r="BA81" i="3"/>
  <c r="BM73" i="3"/>
  <c r="GR16" i="4" a="1"/>
  <c r="Z99" i="2"/>
  <c r="BV34" i="3"/>
  <c r="BM71" i="3"/>
  <c r="GX6" i="4" a="1"/>
  <c r="GM15" i="4" a="1"/>
  <c r="HE11" i="4" a="1"/>
  <c r="BT93" i="3"/>
  <c r="BD66" i="3"/>
  <c r="BD83" i="3"/>
  <c r="BM79" i="3"/>
  <c r="FE7" i="4" a="1"/>
  <c r="HC14" i="4" a="1"/>
  <c r="GQ14" i="4" a="1"/>
  <c r="FI13" i="4" a="1"/>
  <c r="EY8" i="4" a="1"/>
  <c r="FU9" i="4" a="1"/>
  <c r="BV32" i="3"/>
  <c r="BC35" i="3"/>
  <c r="BK38" i="3"/>
  <c r="BH34" i="3"/>
  <c r="BO59" i="3"/>
  <c r="BM8" i="3"/>
  <c r="FV7" i="4" a="1"/>
  <c r="BA32" i="3"/>
  <c r="BD67" i="3"/>
  <c r="Y28" i="2"/>
  <c r="GL12" i="4" a="1"/>
  <c r="GZ9" i="4" a="1"/>
  <c r="BQ58" i="3"/>
  <c r="BG61" i="3"/>
  <c r="BT61" i="3"/>
  <c r="BA58" i="3"/>
  <c r="BD73" i="3"/>
  <c r="BC90" i="3"/>
  <c r="BL55" i="3"/>
  <c r="BL87" i="3"/>
  <c r="BR77" i="3"/>
  <c r="BR92" i="3"/>
  <c r="BR89" i="3"/>
  <c r="BR80" i="3"/>
  <c r="BP81" i="3"/>
  <c r="BP61" i="3"/>
  <c r="BP48" i="3"/>
  <c r="BP62" i="3"/>
  <c r="AA104" i="2"/>
  <c r="FV15" i="4" a="1"/>
  <c r="BB5" i="3"/>
  <c r="HG11" i="4" a="1"/>
  <c r="BM40" i="3"/>
  <c r="BV83" i="3"/>
  <c r="BU97" i="3"/>
  <c r="BB70" i="3"/>
  <c r="HA6" i="4" a="1"/>
  <c r="BD56" i="3"/>
  <c r="HG15" i="4" a="1"/>
  <c r="BI20" i="3"/>
  <c r="EX12" i="4" a="1"/>
  <c r="BQ86" i="3"/>
  <c r="GE9" i="4" a="1"/>
  <c r="HB5" i="4" a="1"/>
  <c r="BN16" i="3"/>
  <c r="BT60" i="3"/>
  <c r="Z26" i="2"/>
  <c r="BU71" i="3"/>
  <c r="BV91" i="3"/>
  <c r="BV47" i="3"/>
  <c r="BK83" i="3"/>
  <c r="BU72" i="3"/>
  <c r="BO54" i="3"/>
  <c r="BQ10" i="3"/>
  <c r="BE54" i="3"/>
  <c r="BT64" i="3"/>
  <c r="BD78" i="3"/>
  <c r="BL84" i="3"/>
  <c r="BP76" i="3"/>
  <c r="HA11" i="4" a="1"/>
  <c r="GV12" i="4" a="1"/>
  <c r="FW8" i="4" a="1"/>
  <c r="GD14" i="4" a="1"/>
  <c r="HF16" i="4" a="1"/>
  <c r="BV38" i="3"/>
  <c r="GX9" i="4" a="1"/>
  <c r="BE85" i="3"/>
  <c r="BQ69" i="3"/>
  <c r="BQ47" i="3"/>
  <c r="HA16" i="4" a="1"/>
  <c r="BE83" i="3"/>
  <c r="BD24" i="3"/>
  <c r="BQ89" i="3"/>
  <c r="HB14" i="4" a="1"/>
  <c r="BG80" i="3"/>
  <c r="GH7" i="4" a="1"/>
  <c r="BB89" i="3"/>
  <c r="BV54" i="3"/>
  <c r="GK9" i="4" a="1"/>
  <c r="BO64" i="3"/>
  <c r="BJ74" i="3"/>
  <c r="EY14" i="4" a="1"/>
  <c r="GU5" i="4" a="1"/>
  <c r="BM81" i="3"/>
  <c r="BJ73" i="3"/>
  <c r="BR83" i="3"/>
  <c r="GK16" i="4" a="1"/>
  <c r="BJ56" i="3"/>
  <c r="BR27" i="3"/>
  <c r="Y107" i="2"/>
  <c r="BO49" i="3"/>
  <c r="BG60" i="3"/>
  <c r="BA90" i="3"/>
  <c r="BL50" i="3"/>
  <c r="BB50" i="3"/>
  <c r="BR58" i="3"/>
  <c r="BR63" i="3"/>
  <c r="BP93" i="3"/>
  <c r="BP58" i="3"/>
  <c r="AA112" i="2"/>
  <c r="BT80" i="3"/>
  <c r="BO58" i="3"/>
  <c r="BR76" i="3"/>
  <c r="BP67" i="3"/>
  <c r="BU87" i="3"/>
  <c r="FE14" i="4" a="1"/>
  <c r="FS16" i="4" a="1"/>
  <c r="FT13" i="4" a="1"/>
  <c r="GU15" i="4" a="1"/>
  <c r="GC5" i="4" a="1"/>
  <c r="BM47" i="3"/>
  <c r="BL94" i="3"/>
  <c r="FA9" i="4" a="1"/>
  <c r="BB26" i="3"/>
  <c r="FX8" i="4" a="1"/>
  <c r="BP91" i="3"/>
  <c r="BT40" i="3"/>
  <c r="BF73" i="3"/>
  <c r="BK56" i="3"/>
  <c r="BG79" i="3"/>
  <c r="GA16" i="4" a="1"/>
  <c r="BG71" i="3"/>
  <c r="BA50" i="3"/>
  <c r="BL82" i="3"/>
  <c r="BB95" i="3"/>
  <c r="BR96" i="3"/>
  <c r="BR84" i="3"/>
  <c r="BP80" i="3"/>
  <c r="BP86" i="3"/>
  <c r="BR49" i="3"/>
  <c r="BP71" i="3"/>
  <c r="BP85" i="3"/>
  <c r="BK92" i="3"/>
  <c r="BC83" i="3"/>
  <c r="BL49" i="3"/>
  <c r="BR57" i="3"/>
  <c r="BR60" i="3"/>
  <c r="BP73" i="3"/>
  <c r="BA19" i="3"/>
  <c r="BA91" i="3"/>
  <c r="BL97" i="3"/>
  <c r="HG14" i="4" a="1"/>
  <c r="GF8" i="4" a="1"/>
  <c r="BF39" i="3"/>
  <c r="BN31" i="3"/>
  <c r="BT50" i="3"/>
  <c r="BO62" i="3"/>
  <c r="BR62" i="3"/>
  <c r="BM82" i="3"/>
  <c r="BT66" i="3"/>
  <c r="BK49" i="3"/>
  <c r="BT88" i="3"/>
  <c r="BB75" i="3"/>
  <c r="BR50" i="3"/>
  <c r="BP78" i="3"/>
  <c r="BD76" i="3"/>
  <c r="BP95" i="3"/>
  <c r="HA13" i="4" a="1"/>
  <c r="BK86" i="3"/>
  <c r="BU66" i="3"/>
  <c r="FU12" i="4" a="1"/>
  <c r="BJ49" i="3"/>
  <c r="BC78" i="3"/>
  <c r="FO14" i="4" a="1"/>
  <c r="GY14" i="4" a="1"/>
  <c r="BH16" i="3"/>
  <c r="GG15" i="4" a="1"/>
  <c r="BO65" i="3"/>
  <c r="BT62" i="3"/>
  <c r="BB58" i="3"/>
  <c r="FI8" i="4" a="1"/>
  <c r="BT75" i="3"/>
  <c r="BG68" i="3"/>
  <c r="BA97" i="3"/>
  <c r="BC77" i="3"/>
  <c r="BL77" i="3"/>
  <c r="BB60" i="3"/>
  <c r="BR95" i="3"/>
  <c r="GE5" i="4" a="1"/>
  <c r="BO50" i="3"/>
  <c r="BB73" i="3"/>
  <c r="BR59" i="3"/>
  <c r="BP77" i="3"/>
  <c r="Y55" i="2"/>
  <c r="BV69" i="3"/>
  <c r="BP55" i="3"/>
  <c r="BA80" i="3"/>
  <c r="FL7" i="4" a="1"/>
  <c r="BJ61" i="3"/>
  <c r="BD90" i="3"/>
  <c r="BR74" i="3"/>
  <c r="BP75" i="3"/>
  <c r="BP57" i="3"/>
  <c r="Z67" i="2"/>
  <c r="BK95" i="3"/>
  <c r="Z77" i="2"/>
  <c r="BL81" i="3"/>
  <c r="BO72" i="3"/>
  <c r="BP50" i="3"/>
  <c r="BR47" i="3"/>
  <c r="BK58" i="3"/>
  <c r="Y70" i="2"/>
  <c r="BQ75" i="3"/>
  <c r="GF9" i="4" a="1"/>
  <c r="BA56" i="3"/>
  <c r="GK8" i="4" a="1"/>
  <c r="FV6" i="4" a="1"/>
  <c r="BK23" i="3"/>
  <c r="BE65" i="3"/>
  <c r="BF96" i="3"/>
  <c r="GO7" i="4" a="1"/>
  <c r="BL75" i="3"/>
  <c r="BG91" i="3"/>
  <c r="BA54" i="3"/>
  <c r="BP64" i="3"/>
  <c r="BB64" i="3"/>
  <c r="FH13" i="4" a="1"/>
  <c r="BR73" i="3"/>
  <c r="BG47" i="3"/>
  <c r="BO28" i="3"/>
  <c r="BA67" i="3"/>
  <c r="BT79" i="3"/>
  <c r="BV86" i="3"/>
  <c r="BL74" i="3"/>
  <c r="FL5" i="4" a="1"/>
  <c r="BL33" i="3"/>
  <c r="FE8" i="4" a="1"/>
  <c r="BP39" i="3"/>
  <c r="BQ49" i="3"/>
  <c r="BR87" i="3"/>
  <c r="BB63" i="3"/>
  <c r="BT87" i="3"/>
  <c r="BB97" i="3"/>
  <c r="HA15" i="4" a="1"/>
  <c r="FW16" i="4" a="1"/>
  <c r="BG18" i="3"/>
  <c r="FS7" i="4" a="1"/>
  <c r="BC71" i="3"/>
  <c r="BU39" i="3"/>
  <c r="BN79" i="3"/>
  <c r="BV80" i="3"/>
  <c r="BE33" i="3"/>
  <c r="BF77" i="3"/>
  <c r="BE74" i="3"/>
  <c r="FQ9" i="4" a="1"/>
  <c r="FO13" i="4" a="1"/>
  <c r="BP88" i="3"/>
  <c r="BC59" i="3"/>
  <c r="BG84" i="3"/>
  <c r="BA88" i="3"/>
  <c r="BO75" i="3"/>
  <c r="BL72" i="3"/>
  <c r="BB59" i="3"/>
  <c r="BR70" i="3"/>
  <c r="BR61" i="3"/>
  <c r="BP69" i="3"/>
  <c r="BP97" i="3"/>
  <c r="GA6" i="4" a="1"/>
  <c r="BL58" i="3"/>
  <c r="AA111" i="2"/>
  <c r="GH12" i="4" a="1"/>
  <c r="BA75" i="3"/>
  <c r="BR88" i="3"/>
  <c r="BP94" i="3"/>
  <c r="BR91" i="3"/>
  <c r="BC68" i="3"/>
  <c r="BV48" i="3"/>
  <c r="BC41" i="3"/>
  <c r="BO39" i="3"/>
  <c r="BR28" i="3"/>
  <c r="BE56" i="3"/>
  <c r="GN14" i="4" a="1"/>
  <c r="BK84" i="3"/>
  <c r="GF16" i="4" a="1"/>
  <c r="BN95" i="3"/>
  <c r="BN18" i="3"/>
  <c r="GN8" i="4" a="1"/>
  <c r="FR11" i="4" a="1"/>
  <c r="BC73" i="3"/>
  <c r="BG64" i="3"/>
  <c r="BA66" i="3"/>
  <c r="BO82" i="3"/>
  <c r="BB54" i="3"/>
  <c r="BR85" i="3"/>
  <c r="BP82" i="3"/>
  <c r="HF5" i="4" a="1"/>
  <c r="GI11" i="4" a="1"/>
  <c r="BT70" i="3"/>
  <c r="BO63" i="3"/>
  <c r="BL83" i="3"/>
  <c r="BL95" i="3"/>
  <c r="BU36" i="3"/>
  <c r="FR14" i="4" a="1"/>
  <c r="BD96" i="3"/>
  <c r="BP60" i="3"/>
  <c r="BR68" i="3"/>
  <c r="BL79" i="3"/>
  <c r="BT31" i="3"/>
  <c r="BC87" i="3"/>
  <c r="BO96" i="3"/>
  <c r="BM37" i="3"/>
  <c r="Y81" i="2"/>
  <c r="GG16" i="4" a="1"/>
  <c r="FX16" i="4" a="1"/>
  <c r="BQ17" i="3"/>
  <c r="HH15" i="4" a="1"/>
  <c r="BR37" i="3"/>
  <c r="Y62" i="2"/>
  <c r="GZ14" i="4" a="1"/>
  <c r="BR90" i="3"/>
  <c r="BP13" i="3"/>
  <c r="GW11" i="4" a="1"/>
  <c r="GO6" i="4" a="1"/>
  <c r="BM87" i="3"/>
  <c r="AA41" i="2"/>
  <c r="BN54" i="3"/>
  <c r="FT11" i="4" a="1"/>
  <c r="GF7" i="4" a="1"/>
  <c r="BJ79" i="3"/>
  <c r="BD14" i="3"/>
  <c r="BL89" i="3"/>
  <c r="GH14" i="4" a="1"/>
  <c r="BS33" i="3"/>
  <c r="FU6" i="4" a="1"/>
  <c r="BQ54" i="3"/>
  <c r="BR71" i="3"/>
  <c r="BF79" i="3"/>
  <c r="BU85" i="3"/>
  <c r="BU67" i="3"/>
  <c r="BU70" i="3"/>
  <c r="BU64" i="3"/>
  <c r="BU81" i="3"/>
  <c r="BN47" i="3"/>
  <c r="BN75" i="3"/>
  <c r="BN67" i="3"/>
  <c r="BM95" i="3"/>
  <c r="BM84" i="3"/>
  <c r="BM68" i="3"/>
  <c r="BM50" i="3"/>
  <c r="BE55" i="3"/>
  <c r="BE87" i="3"/>
  <c r="BE68" i="3"/>
  <c r="BQ96" i="3"/>
  <c r="BQ66" i="3"/>
  <c r="BQ93" i="3"/>
  <c r="BT91" i="3"/>
  <c r="BT95" i="3"/>
  <c r="BT86" i="3"/>
  <c r="BT97" i="3"/>
  <c r="BT82" i="3"/>
  <c r="BF85" i="3"/>
  <c r="BF69" i="3"/>
  <c r="BF65" i="3"/>
  <c r="BF91" i="3"/>
  <c r="BF75" i="3"/>
  <c r="BF49" i="3"/>
  <c r="BF61" i="3"/>
  <c r="BF57" i="3"/>
  <c r="BF88" i="3"/>
  <c r="BF54" i="3"/>
  <c r="BF63" i="3"/>
  <c r="BF78" i="3"/>
  <c r="BF71" i="3"/>
  <c r="BF68" i="3"/>
  <c r="BF70" i="3"/>
  <c r="BV95" i="3"/>
  <c r="BV79" i="3"/>
  <c r="BV64" i="3"/>
  <c r="BV59" i="3"/>
  <c r="BV71" i="3"/>
  <c r="BV49" i="3"/>
  <c r="BV66" i="3"/>
  <c r="BJ54" i="3"/>
  <c r="BJ80" i="3"/>
  <c r="BJ88" i="3"/>
  <c r="BJ63" i="3"/>
  <c r="BJ67" i="3"/>
  <c r="BJ76" i="3"/>
  <c r="BO86" i="3"/>
  <c r="BO56" i="3"/>
  <c r="BO78" i="3"/>
  <c r="BO47" i="3"/>
  <c r="BO93" i="3"/>
  <c r="BO70" i="3"/>
  <c r="BO90" i="3"/>
  <c r="BO67" i="3"/>
  <c r="BO97" i="3"/>
  <c r="BO83" i="3"/>
  <c r="BO94" i="3"/>
  <c r="BP72" i="3"/>
  <c r="BP63" i="3"/>
  <c r="BP96" i="3"/>
  <c r="BP89" i="3"/>
  <c r="BP83" i="3"/>
  <c r="BR72" i="3"/>
  <c r="BR54" i="3"/>
  <c r="BR93" i="3"/>
  <c r="BR69" i="3"/>
  <c r="BR67" i="3"/>
  <c r="BR56" i="3"/>
  <c r="BR78" i="3"/>
  <c r="BR81" i="3"/>
  <c r="BR82" i="3"/>
  <c r="BR55" i="3"/>
  <c r="BR97" i="3"/>
  <c r="BR75" i="3"/>
  <c r="BB62" i="3"/>
  <c r="BB68" i="3"/>
  <c r="BB56" i="3"/>
  <c r="BB86" i="3"/>
  <c r="BB93" i="3"/>
  <c r="BB57" i="3"/>
  <c r="BB83" i="3"/>
  <c r="BB76" i="3"/>
  <c r="BB85" i="3"/>
  <c r="BB55" i="3"/>
  <c r="BB48" i="3"/>
  <c r="BB69" i="3"/>
  <c r="BB87" i="3"/>
  <c r="BB81" i="3"/>
  <c r="BB91" i="3"/>
  <c r="BB65" i="3"/>
  <c r="BB77" i="3"/>
  <c r="BB61" i="3"/>
  <c r="BB82" i="3"/>
  <c r="BB92" i="3"/>
  <c r="BB84" i="3"/>
  <c r="BB79" i="3"/>
  <c r="BB94" i="3"/>
  <c r="BB72" i="3"/>
  <c r="BB67" i="3"/>
  <c r="BB71" i="3"/>
  <c r="BB74" i="3"/>
  <c r="BB49" i="3"/>
  <c r="BB96" i="3"/>
  <c r="BB66" i="3"/>
  <c r="BB78" i="3"/>
  <c r="BB80" i="3"/>
  <c r="BV68" i="3" l="1"/>
  <c r="BF81" i="3"/>
  <c r="BO95" i="3"/>
  <c r="BJ68" i="3"/>
  <c r="BJ97" i="3"/>
  <c r="BV70" i="3"/>
  <c r="BJ64" i="3"/>
  <c r="BF86" i="3"/>
  <c r="BO88" i="3"/>
  <c r="BL66" i="3"/>
  <c r="BO91" i="3"/>
  <c r="BL61" i="3"/>
  <c r="BJ81" i="3"/>
  <c r="BJ48" i="3"/>
  <c r="BO79" i="3"/>
  <c r="BL71" i="3"/>
  <c r="BR65" i="3"/>
  <c r="BV81" i="3"/>
  <c r="BO57" i="3"/>
  <c r="BH90" i="3"/>
  <c r="BP92" i="3"/>
  <c r="BP87" i="3"/>
  <c r="BO55" i="3"/>
  <c r="BO81" i="3"/>
  <c r="BO89" i="3"/>
  <c r="BO76" i="3"/>
  <c r="BO61" i="3"/>
  <c r="BO77" i="3"/>
  <c r="BP79" i="3"/>
  <c r="BP65" i="3"/>
  <c r="BP66" i="3"/>
  <c r="BO87" i="3"/>
  <c r="BH96" i="3"/>
  <c r="BH80" i="3"/>
  <c r="BH69" i="3"/>
  <c r="BH84" i="3"/>
  <c r="BH62" i="3"/>
  <c r="BH59" i="3"/>
  <c r="BP54" i="3"/>
  <c r="BH91" i="3"/>
  <c r="BP49" i="3"/>
  <c r="BP56" i="3"/>
  <c r="BH88" i="3"/>
  <c r="Z111" i="2"/>
  <c r="BH77" i="3"/>
  <c r="BH92" i="3"/>
  <c r="BH49" i="3"/>
  <c r="BH97" i="3"/>
  <c r="BH58" i="3"/>
  <c r="BH50" i="3"/>
  <c r="BH82" i="3"/>
  <c r="BH76" i="3"/>
  <c r="BH48" i="3"/>
  <c r="Z112" i="2"/>
  <c r="BH55" i="3"/>
  <c r="BH70" i="3"/>
  <c r="BH72" i="3"/>
  <c r="Z113" i="2"/>
  <c r="BH47" i="3"/>
  <c r="BH79" i="3"/>
  <c r="BH86" i="3"/>
  <c r="BH73" i="3"/>
  <c r="BH56" i="3"/>
  <c r="BH95" i="3"/>
  <c r="BH85" i="3"/>
  <c r="BH74" i="3"/>
  <c r="BH64" i="3"/>
  <c r="BS95" i="3"/>
  <c r="BI65" i="3"/>
  <c r="BI54" i="3"/>
  <c r="BI81" i="3"/>
  <c r="BI50" i="3"/>
  <c r="BI66" i="3"/>
  <c r="BI59" i="3"/>
  <c r="BI94" i="3"/>
  <c r="BI79" i="3"/>
  <c r="BI95" i="3"/>
  <c r="BS50" i="3"/>
  <c r="BS58" i="3"/>
  <c r="BS49" i="3"/>
  <c r="BI70" i="3"/>
  <c r="BS94" i="3"/>
  <c r="BS71" i="3"/>
  <c r="BI73" i="3"/>
  <c r="BS66" i="3"/>
  <c r="BI75" i="3"/>
  <c r="BI62" i="3"/>
  <c r="BS81" i="3"/>
  <c r="BI83" i="3"/>
  <c r="BI47" i="3"/>
  <c r="BI93" i="3"/>
  <c r="BS67" i="3"/>
  <c r="BI89" i="3"/>
  <c r="BI90" i="3"/>
  <c r="BS87" i="3"/>
  <c r="BS90" i="3"/>
  <c r="BI96" i="3"/>
  <c r="BS62" i="3"/>
  <c r="BI88" i="3"/>
  <c r="BS56" i="3"/>
  <c r="BS65" i="3"/>
  <c r="BS80" i="3"/>
  <c r="BS76" i="3"/>
  <c r="BS92" i="3"/>
  <c r="BS54" i="3"/>
  <c r="BS59" i="3"/>
  <c r="BS77" i="3"/>
  <c r="BI85" i="3"/>
  <c r="BS48" i="3"/>
  <c r="BS57" i="3"/>
  <c r="BS78" i="3"/>
  <c r="BS88" i="3"/>
  <c r="BS55" i="3"/>
  <c r="BI71" i="3"/>
  <c r="BS70" i="3"/>
  <c r="BI63" i="3"/>
  <c r="BS74" i="3"/>
  <c r="Y111" i="2"/>
  <c r="BI61" i="3"/>
  <c r="BI78" i="3"/>
  <c r="BS93" i="3"/>
  <c r="BI55" i="3"/>
  <c r="BI58" i="3"/>
  <c r="BI69" i="3"/>
  <c r="BI48" i="3"/>
  <c r="BI60" i="3"/>
  <c r="Y113" i="2"/>
  <c r="BS89" i="3"/>
  <c r="BS85" i="3"/>
  <c r="BS97" i="3"/>
  <c r="BS96" i="3"/>
  <c r="BI92" i="3"/>
  <c r="BI86" i="3"/>
  <c r="BI64" i="3"/>
  <c r="BI87" i="3"/>
  <c r="BI57" i="3"/>
  <c r="BI82" i="3"/>
  <c r="BI49" i="3"/>
  <c r="BI97" i="3"/>
  <c r="BI80" i="3"/>
  <c r="BI56" i="3"/>
  <c r="BI77" i="3"/>
  <c r="BI91" i="3"/>
  <c r="BI68" i="3"/>
  <c r="BI74" i="3"/>
  <c r="BS47" i="3"/>
  <c r="BS86" i="3"/>
  <c r="BS68" i="3"/>
  <c r="BS60" i="3"/>
  <c r="BS91" i="3"/>
  <c r="BS61" i="3"/>
  <c r="BS64" i="3"/>
  <c r="BS63" i="3"/>
  <c r="BS72" i="3"/>
  <c r="BS79" i="3"/>
  <c r="BS75" i="3"/>
  <c r="BS84" i="3"/>
  <c r="BS73" i="3"/>
  <c r="BS82" i="3"/>
  <c r="BS83" i="3"/>
  <c r="BI76" i="3"/>
  <c r="BI72" i="3"/>
  <c r="BH87" i="3"/>
  <c r="BB88" i="3"/>
  <c r="BB90" i="3"/>
  <c r="BB47" i="3"/>
  <c r="CH91" i="1"/>
  <c r="CL151" i="1"/>
  <c r="CM151" i="1" s="1"/>
  <c r="CN151" i="1" s="1"/>
  <c r="CO151" i="1" s="1"/>
  <c r="CP151" i="1" s="1"/>
  <c r="CL152" i="1"/>
  <c r="CL160" i="1"/>
  <c r="CL143" i="1"/>
  <c r="CL145" i="1"/>
  <c r="CL136" i="1"/>
  <c r="CL91" i="1"/>
  <c r="CL172" i="1"/>
  <c r="CL168" i="1"/>
  <c r="CL165" i="1"/>
  <c r="CL161" i="1"/>
  <c r="CJ41" i="1"/>
  <c r="Z135" i="1"/>
  <c r="JV16" i="4" s="1"/>
  <c r="JY16" i="4" s="1"/>
  <c r="CJ181" i="1"/>
  <c r="CK181" i="1" s="1"/>
  <c r="CL158" i="1"/>
  <c r="CL181" i="1"/>
  <c r="Y163" i="1"/>
  <c r="Y155" i="1"/>
  <c r="CJ144" i="1"/>
  <c r="CK144" i="1" s="1"/>
  <c r="CG92" i="1"/>
  <c r="JW16" i="4" s="1"/>
  <c r="CH65" i="1"/>
  <c r="Z91" i="1"/>
  <c r="CH92" i="1"/>
  <c r="X96" i="1"/>
  <c r="CJ160" i="1"/>
  <c r="CJ135" i="1"/>
  <c r="CI64" i="1"/>
  <c r="JU9" i="4" s="1"/>
  <c r="CJ178" i="1"/>
  <c r="CJ169" i="1"/>
  <c r="KD16" i="4" s="1"/>
  <c r="X54" i="1"/>
  <c r="CL171" i="1"/>
  <c r="CJ158" i="1"/>
  <c r="CK158" i="1" s="1"/>
  <c r="Z154" i="1"/>
  <c r="CH154" i="1" s="1"/>
  <c r="CI154" i="1" s="1"/>
  <c r="CJ81" i="1"/>
  <c r="Y42" i="1"/>
  <c r="Y181" i="1"/>
  <c r="X153" i="1"/>
  <c r="X149" i="1" s="1"/>
  <c r="Z33" i="1"/>
  <c r="Z53" i="1"/>
  <c r="Z64" i="1"/>
  <c r="CH43" i="1"/>
  <c r="X137" i="1"/>
  <c r="CJ145" i="1"/>
  <c r="CK145" i="1" s="1"/>
  <c r="KG16" i="4" s="1"/>
  <c r="CL92" i="1"/>
  <c r="CK54" i="1"/>
  <c r="Z42" i="1"/>
  <c r="CK81" i="1"/>
  <c r="JS9" i="4" s="1"/>
  <c r="X97" i="1"/>
  <c r="CL170" i="1"/>
  <c r="Y158" i="1"/>
  <c r="CL63" i="1"/>
  <c r="CM63" i="1" s="1"/>
  <c r="Z161" i="1"/>
  <c r="CH161" i="1" s="1"/>
  <c r="Y95" i="1"/>
  <c r="CL153" i="1"/>
  <c r="Z189" i="1"/>
  <c r="Y43" i="1"/>
  <c r="CJ168" i="1"/>
  <c r="CL167" i="1"/>
  <c r="CL177" i="1"/>
  <c r="CJ171" i="1"/>
  <c r="CJ69" i="1"/>
  <c r="Z182" i="1"/>
  <c r="CH182" i="1" s="1"/>
  <c r="CI182" i="1" s="1"/>
  <c r="JQ9" i="4" s="1"/>
  <c r="Y63" i="1"/>
  <c r="CJ151" i="1"/>
  <c r="CK151" i="1" s="1"/>
  <c r="JZ16" i="4" s="1"/>
  <c r="CJ143" i="1"/>
  <c r="CK143" i="1" s="1"/>
  <c r="CM143" i="1" s="1"/>
  <c r="CN143" i="1" s="1"/>
  <c r="CO143" i="1" s="1"/>
  <c r="CP143" i="1" s="1"/>
  <c r="CG64" i="1"/>
  <c r="CI91" i="1"/>
  <c r="Z92" i="1"/>
  <c r="JX9" i="4" s="1"/>
  <c r="CK82" i="1"/>
  <c r="CL173" i="1"/>
  <c r="X26" i="1"/>
  <c r="CJ155" i="1"/>
  <c r="CK155" i="1" s="1"/>
  <c r="Y177" i="1"/>
  <c r="CJ153" i="1"/>
  <c r="CK153" i="1" s="1"/>
  <c r="CI92" i="1"/>
  <c r="Z150" i="1"/>
  <c r="CH150" i="1" s="1"/>
  <c r="Z177" i="1"/>
  <c r="CH33" i="1"/>
  <c r="X173" i="1"/>
  <c r="CJ32" i="1"/>
  <c r="Y137" i="1"/>
  <c r="CJ63" i="1"/>
  <c r="X135" i="1"/>
  <c r="Z143" i="1"/>
  <c r="CH143" i="1" s="1"/>
  <c r="CI143" i="1" s="1"/>
  <c r="KF16" i="4" s="1"/>
  <c r="CK53" i="1"/>
  <c r="Y161" i="1"/>
  <c r="CJ92" i="1"/>
  <c r="KA16" i="4" s="1"/>
  <c r="CJ182" i="1"/>
  <c r="CK182" i="1" s="1"/>
  <c r="JU16" i="4" s="1"/>
  <c r="CK38" i="1"/>
  <c r="CG69" i="1"/>
  <c r="CJ39" i="1"/>
  <c r="X53" i="1"/>
  <c r="CG31" i="1"/>
  <c r="JX16" i="4" s="1"/>
  <c r="CK92" i="1"/>
  <c r="KA9" i="4" s="1"/>
  <c r="JS15" i="4" s="1"/>
  <c r="Y171" i="1"/>
  <c r="KB9" i="4" s="1"/>
  <c r="KH14" i="4" s="1"/>
  <c r="CJ161" i="1"/>
  <c r="Y135" i="1"/>
  <c r="CH26" i="1"/>
  <c r="Y96" i="1"/>
  <c r="X161" i="1"/>
  <c r="CL65" i="1"/>
  <c r="CH27" i="1"/>
  <c r="CI31" i="1"/>
  <c r="Z63" i="1"/>
  <c r="CL135" i="1"/>
  <c r="KH16" i="4" s="1"/>
  <c r="CJ26" i="1"/>
  <c r="Z136" i="1"/>
  <c r="CH136" i="1" s="1"/>
  <c r="CI136" i="1" s="1"/>
  <c r="CH38" i="1"/>
  <c r="Y162" i="1"/>
  <c r="CK39" i="1"/>
  <c r="CL27" i="1"/>
  <c r="JT9" i="4" s="1"/>
  <c r="CI43" i="1"/>
  <c r="CJ91" i="1"/>
  <c r="CH69" i="1"/>
  <c r="CJ177" i="1"/>
  <c r="CJ179" i="1" s="1"/>
  <c r="CG54" i="1"/>
  <c r="CI40" i="1"/>
  <c r="Z167" i="1"/>
  <c r="CH167" i="1" s="1"/>
  <c r="Y150" i="1"/>
  <c r="Y53" i="1"/>
  <c r="CL155" i="1"/>
  <c r="CL137" i="1"/>
  <c r="CJ140" i="1"/>
  <c r="CK140" i="1" s="1"/>
  <c r="CL142" i="1"/>
  <c r="Z173" i="1"/>
  <c r="CH173" i="1" s="1"/>
  <c r="X145" i="1"/>
  <c r="KH9" i="4" s="1"/>
  <c r="CL40" i="1"/>
  <c r="KE16" i="4" s="1"/>
  <c r="CJ33" i="1"/>
  <c r="KG9" i="4" s="1"/>
  <c r="X162" i="1"/>
  <c r="Z41" i="1"/>
  <c r="CJ163" i="1"/>
  <c r="Z190" i="1"/>
  <c r="CJ137" i="1"/>
  <c r="CJ152" i="1"/>
  <c r="CH32" i="1"/>
  <c r="CH57" i="1"/>
  <c r="Z57" i="1"/>
  <c r="Y31" i="1"/>
  <c r="CL53" i="1"/>
  <c r="Z188" i="1"/>
  <c r="CI33" i="1"/>
  <c r="CG63" i="1"/>
  <c r="Z85" i="1"/>
  <c r="CJ54" i="1"/>
  <c r="CL182" i="1"/>
  <c r="JZ9" i="4" s="1"/>
  <c r="CJ173" i="1"/>
  <c r="Z54" i="1"/>
  <c r="X69" i="1"/>
  <c r="CI27" i="1"/>
  <c r="Z43" i="1"/>
  <c r="Y85" i="1"/>
  <c r="CJ162" i="1"/>
  <c r="CJ136" i="1"/>
  <c r="CK136" i="1" s="1"/>
  <c r="CJ164" i="1"/>
  <c r="Z97" i="1"/>
  <c r="CL57" i="1"/>
  <c r="Y190" i="1"/>
  <c r="KF9" i="4" s="1"/>
  <c r="JO9" i="4" s="1"/>
  <c r="CJ27" i="1"/>
  <c r="Y136" i="1"/>
  <c r="CJ50" i="1"/>
  <c r="Y164" i="1"/>
  <c r="CL164" i="1"/>
  <c r="KB16" i="4" s="1"/>
  <c r="CK91" i="1"/>
  <c r="CK41" i="1"/>
  <c r="CJ165" i="1"/>
  <c r="JT16" i="4" s="1"/>
  <c r="CJ167" i="1"/>
  <c r="CL163" i="1"/>
  <c r="CI57" i="1"/>
  <c r="KC16" i="4" s="1"/>
  <c r="CL140" i="1"/>
  <c r="CJ170" i="1"/>
  <c r="CJ53" i="1"/>
  <c r="JN14" i="4" s="1"/>
  <c r="X151" i="1"/>
  <c r="CJ43" i="1"/>
  <c r="CL144" i="1"/>
  <c r="Y65" i="1"/>
  <c r="Z142" i="1"/>
  <c r="Y188" i="1"/>
  <c r="X190" i="1"/>
  <c r="Z40" i="1"/>
  <c r="CH31" i="1"/>
  <c r="X181" i="1"/>
  <c r="Z153" i="1"/>
  <c r="CH153" i="1" s="1"/>
  <c r="CI153" i="1" s="1"/>
  <c r="Y26" i="1"/>
  <c r="KC7" i="4" s="1"/>
  <c r="CH39" i="1"/>
  <c r="Y57" i="1"/>
  <c r="Y144" i="1"/>
  <c r="Y172" i="1" s="1"/>
  <c r="CB31" i="1"/>
  <c r="JS14" i="4" s="1"/>
  <c r="KD9" i="4" s="1"/>
  <c r="CK32" i="1"/>
  <c r="X158" i="1"/>
  <c r="CK26" i="1"/>
  <c r="JR16" i="4" s="1"/>
  <c r="JQ16" i="4" s="1"/>
  <c r="JQ21" i="4" s="1"/>
  <c r="CK95" i="1" s="1"/>
  <c r="X160" i="1"/>
  <c r="CL39" i="1"/>
  <c r="CG38" i="1"/>
  <c r="X189" i="1"/>
  <c r="Z155" i="1"/>
  <c r="CH155" i="1" s="1"/>
  <c r="CI155" i="1" s="1"/>
  <c r="CL69" i="1"/>
  <c r="X168" i="1"/>
  <c r="Z164" i="1"/>
  <c r="CH164" i="1" s="1"/>
  <c r="CJ38" i="1"/>
  <c r="X39" i="1"/>
  <c r="CL169" i="1"/>
  <c r="Z144" i="1"/>
  <c r="X167" i="1"/>
  <c r="Z69" i="1"/>
  <c r="CL82" i="1"/>
  <c r="CL178" i="1"/>
  <c r="X31" i="1"/>
  <c r="Y178" i="1"/>
  <c r="CG43" i="1"/>
  <c r="CG65" i="1"/>
  <c r="Y145" i="1"/>
  <c r="JV9" i="4" s="1"/>
  <c r="Z168" i="1"/>
  <c r="CH168" i="1" s="1"/>
  <c r="Z158" i="1"/>
  <c r="AA220" i="1" s="1"/>
  <c r="Z38" i="1"/>
  <c r="Y69" i="1"/>
  <c r="Y38" i="1"/>
  <c r="CG50" i="1"/>
  <c r="CK65" i="1"/>
  <c r="Z27" i="1"/>
  <c r="CH63" i="1"/>
  <c r="X33" i="1"/>
  <c r="Y153" i="1"/>
  <c r="Y149" i="1" s="1"/>
  <c r="CJ65" i="1"/>
  <c r="CG53" i="1"/>
  <c r="X40" i="1"/>
  <c r="CJ82" i="1"/>
  <c r="CI82" i="1" s="1"/>
  <c r="CH82" i="1" s="1"/>
  <c r="CG82" i="1" s="1"/>
  <c r="CF82" i="1" s="1"/>
  <c r="CE82" i="1" s="1"/>
  <c r="CD82" i="1" s="1"/>
  <c r="CC82" i="1" s="1"/>
  <c r="CB82" i="1" s="1"/>
  <c r="CA82" i="1" s="1"/>
  <c r="BZ82" i="1" s="1"/>
  <c r="BY82" i="1" s="1"/>
  <c r="BX82" i="1" s="1"/>
  <c r="BW82" i="1" s="1"/>
  <c r="BV82" i="1" s="1"/>
  <c r="BU82" i="1" s="1"/>
  <c r="BT82" i="1" s="1"/>
  <c r="BS82" i="1" s="1"/>
  <c r="BR82" i="1" s="1"/>
  <c r="BQ82" i="1" s="1"/>
  <c r="BP82" i="1" s="1"/>
  <c r="BO82" i="1" s="1"/>
  <c r="BN82" i="1" s="1"/>
  <c r="BM82" i="1" s="1"/>
  <c r="BL82" i="1" s="1"/>
  <c r="BK82" i="1" s="1"/>
  <c r="BJ82" i="1" s="1"/>
  <c r="BI82" i="1" s="1"/>
  <c r="BH82" i="1" s="1"/>
  <c r="BG82" i="1" s="1"/>
  <c r="BF82" i="1" s="1"/>
  <c r="BE82" i="1" s="1"/>
  <c r="BD82" i="1" s="1"/>
  <c r="BC82" i="1" s="1"/>
  <c r="BB82" i="1" s="1"/>
  <c r="BA82" i="1" s="1"/>
  <c r="AZ82" i="1" s="1"/>
  <c r="AY82" i="1" s="1"/>
  <c r="AX82" i="1" s="1"/>
  <c r="AW82" i="1" s="1"/>
  <c r="AV82" i="1" s="1"/>
  <c r="AU82" i="1" s="1"/>
  <c r="AT82" i="1" s="1"/>
  <c r="AS82" i="1" s="1"/>
  <c r="AR82" i="1" s="1"/>
  <c r="AQ82" i="1" s="1"/>
  <c r="AP82" i="1" s="1"/>
  <c r="AO82" i="1" s="1"/>
  <c r="AN82" i="1" s="1"/>
  <c r="AM82" i="1" s="1"/>
  <c r="AL82" i="1" s="1"/>
  <c r="AK82" i="1" s="1"/>
  <c r="AJ82" i="1" s="1"/>
  <c r="AI82" i="1" s="1"/>
  <c r="CI42" i="1"/>
  <c r="CL64" i="1"/>
  <c r="CM64" i="1" s="1"/>
  <c r="CN64" i="1" s="1"/>
  <c r="CO64" i="1" s="1"/>
  <c r="CP64" i="1" s="1"/>
  <c r="CQ64" i="1" s="1"/>
  <c r="CR64" i="1" s="1"/>
  <c r="CS64" i="1" s="1"/>
  <c r="CT64" i="1" s="1"/>
  <c r="CU64" i="1" s="1"/>
  <c r="Y182" i="1"/>
  <c r="Y167" i="1"/>
  <c r="CI50" i="1"/>
  <c r="X85" i="1"/>
  <c r="X177" i="1"/>
  <c r="CK42" i="1"/>
  <c r="CH64" i="1"/>
  <c r="CL42" i="1"/>
  <c r="Z95" i="1"/>
  <c r="X163" i="1"/>
  <c r="CL33" i="1"/>
  <c r="CI41" i="1"/>
  <c r="CG42" i="1"/>
  <c r="JT15" i="4" s="1"/>
  <c r="Y33" i="1"/>
  <c r="CG40" i="1"/>
  <c r="JO16" i="4" s="1"/>
  <c r="Y64" i="1"/>
  <c r="CH41" i="1"/>
  <c r="X95" i="1"/>
  <c r="X43" i="1"/>
  <c r="Z160" i="1"/>
  <c r="CH160" i="1" s="1"/>
  <c r="CI39" i="1"/>
  <c r="Y189" i="1"/>
  <c r="CL43" i="1"/>
  <c r="CL38" i="1"/>
  <c r="Y97" i="1"/>
  <c r="Z140" i="1"/>
  <c r="CH140" i="1" s="1"/>
  <c r="CI140" i="1" s="1"/>
  <c r="CG39" i="1"/>
  <c r="Z165" i="1"/>
  <c r="CH165" i="1" s="1"/>
  <c r="X136" i="1"/>
  <c r="X64" i="1"/>
  <c r="JP8" i="4" s="1"/>
  <c r="CK63" i="1"/>
  <c r="X150" i="1"/>
  <c r="Y168" i="1"/>
  <c r="Z39" i="1"/>
  <c r="X178" i="1"/>
  <c r="X182" i="1"/>
  <c r="CL32" i="1"/>
  <c r="X38" i="1"/>
  <c r="CI26" i="1"/>
  <c r="X41" i="1"/>
  <c r="Y40" i="1"/>
  <c r="Z26" i="1"/>
  <c r="CI38" i="1"/>
  <c r="JW9" i="4" s="1"/>
  <c r="Y50" i="1"/>
  <c r="X164" i="1"/>
  <c r="X50" i="1"/>
  <c r="CK43" i="1"/>
  <c r="Y142" i="1"/>
  <c r="Z169" i="1"/>
  <c r="CH169" i="1" s="1"/>
  <c r="X142" i="1"/>
  <c r="Z163" i="1"/>
  <c r="CJ31" i="1"/>
  <c r="X144" i="1"/>
  <c r="X172" i="1" s="1"/>
  <c r="CL54" i="1"/>
  <c r="CJ42" i="1"/>
  <c r="Y154" i="1"/>
  <c r="CH40" i="1"/>
  <c r="CH54" i="1"/>
  <c r="CK50" i="1"/>
  <c r="CK51" i="1" s="1"/>
  <c r="Z162" i="1"/>
  <c r="JV8" i="4" s="1"/>
  <c r="X154" i="1"/>
  <c r="Z181" i="1"/>
  <c r="CH181" i="1" s="1"/>
  <c r="CI181" i="1" s="1"/>
  <c r="Z151" i="1"/>
  <c r="CH151" i="1" s="1"/>
  <c r="CI151" i="1" s="1"/>
  <c r="Y165" i="1"/>
  <c r="Y160" i="1"/>
  <c r="X42" i="1"/>
  <c r="CJ57" i="1"/>
  <c r="Z145" i="1"/>
  <c r="CH145" i="1" s="1"/>
  <c r="CI145" i="1" s="1"/>
  <c r="JN16" i="4" s="1"/>
  <c r="CK31" i="1"/>
  <c r="CI65" i="1"/>
  <c r="CI69" i="1"/>
  <c r="Y41" i="1"/>
  <c r="CJ64" i="1"/>
  <c r="CG32" i="1"/>
  <c r="CI53" i="1"/>
  <c r="CH53" i="1"/>
  <c r="Y54" i="1"/>
  <c r="Y151" i="1"/>
  <c r="CI54" i="1"/>
  <c r="Y173" i="1"/>
  <c r="Z65" i="1"/>
  <c r="CG26" i="1"/>
  <c r="Y169" i="1"/>
  <c r="X155" i="1"/>
  <c r="X63" i="1"/>
  <c r="CK57" i="1"/>
  <c r="Z50" i="1"/>
  <c r="CJ142" i="1"/>
  <c r="CJ172" i="1"/>
  <c r="JP16" i="4" s="1"/>
  <c r="CI63" i="1"/>
  <c r="CE57" i="1"/>
  <c r="CG91" i="1"/>
  <c r="CL41" i="1"/>
  <c r="JN9" i="4" s="1"/>
  <c r="X165" i="1"/>
  <c r="CK69" i="1"/>
  <c r="Z96" i="1"/>
  <c r="X171" i="1"/>
  <c r="X140" i="1"/>
  <c r="Y143" i="1"/>
  <c r="CL81" i="1"/>
  <c r="JP9" i="4" s="1"/>
  <c r="Z31" i="1"/>
  <c r="CJ40" i="1"/>
  <c r="CG33" i="1"/>
  <c r="KE8" i="4" s="1"/>
  <c r="Z171" i="1"/>
  <c r="JR9" i="4" s="1"/>
  <c r="CH50" i="1"/>
  <c r="Y140" i="1"/>
  <c r="CK40" i="1"/>
  <c r="CG41" i="1"/>
  <c r="CH42" i="1"/>
  <c r="CK27" i="1"/>
  <c r="CL31" i="1"/>
  <c r="Z178" i="1"/>
  <c r="CH178" i="1" s="1"/>
  <c r="X57" i="1"/>
  <c r="Z137" i="1"/>
  <c r="CH137" i="1" s="1"/>
  <c r="X188" i="1"/>
  <c r="Y27" i="1"/>
  <c r="CL26" i="1"/>
  <c r="CL9" i="1" s="1"/>
  <c r="CG27" i="1"/>
  <c r="CK33" i="1"/>
  <c r="CL50" i="1"/>
  <c r="JZ8" i="4" s="1"/>
  <c r="JT14" i="4" s="1"/>
  <c r="X143" i="1"/>
  <c r="CK64" i="1"/>
  <c r="X27" i="1"/>
  <c r="X65" i="1"/>
  <c r="Y39" i="1"/>
  <c r="CG57" i="1"/>
  <c r="X169" i="1"/>
  <c r="CI32" i="1"/>
  <c r="AC6" i="1"/>
  <c r="AC8" i="1" s="1"/>
  <c r="CY18" i="1"/>
  <c r="AC53" i="1"/>
  <c r="EP15" i="4" a="1"/>
  <c r="AX41" i="3"/>
  <c r="EU6" i="4" a="1"/>
  <c r="AZ36" i="3"/>
  <c r="EN16" i="4" a="1"/>
  <c r="AX31" i="3"/>
  <c r="ET9" i="4" a="1"/>
  <c r="AF5" i="6" a="1"/>
  <c r="AF25" i="3"/>
  <c r="AY28" i="3"/>
  <c r="AV42" i="3"/>
  <c r="C5" i="3"/>
  <c r="AY15" i="3"/>
  <c r="AZ6" i="3"/>
  <c r="AP7" i="3"/>
  <c r="AF5" i="3"/>
  <c r="AS31" i="3"/>
  <c r="AV21" i="3"/>
  <c r="AX10" i="3"/>
  <c r="AI5" i="6" a="1"/>
  <c r="AF36" i="3"/>
  <c r="T6" i="6" a="1"/>
  <c r="AU17" i="3"/>
  <c r="EW7" i="4" a="1"/>
  <c r="AT5" i="6" a="1"/>
  <c r="AZ12" i="3"/>
  <c r="AT26" i="3"/>
  <c r="AX35" i="3"/>
  <c r="ER8" i="4" a="1"/>
  <c r="AX15" i="3"/>
  <c r="Z6" i="6" a="1"/>
  <c r="AY9" i="3"/>
  <c r="EQ5" i="4" a="1"/>
  <c r="AY31" i="3"/>
  <c r="EO12" i="4" a="1"/>
  <c r="T5" i="6" a="1"/>
  <c r="AQ5" i="6" a="1"/>
  <c r="AX14" i="3"/>
  <c r="AS12" i="3"/>
  <c r="AW35" i="3"/>
  <c r="L6" i="6" a="1"/>
  <c r="ES11" i="4" a="1"/>
  <c r="AU5" i="3"/>
  <c r="AY19" i="3"/>
  <c r="AF29" i="3"/>
  <c r="ET7" i="4" a="1"/>
  <c r="EQ8" i="4" a="1"/>
  <c r="EU15" i="4" a="1"/>
  <c r="AV39" i="3"/>
  <c r="AY38" i="3"/>
  <c r="EP14" i="4" a="1"/>
  <c r="AU7" i="3"/>
  <c r="V5" i="6" a="1"/>
  <c r="AV23" i="3"/>
  <c r="D5" i="6" a="1"/>
  <c r="AF17" i="3"/>
  <c r="C6" i="6" a="1"/>
  <c r="EQ7" i="4" a="1"/>
  <c r="AX12" i="3"/>
  <c r="AT6" i="3"/>
  <c r="EO6" i="4" a="1"/>
  <c r="AX11" i="3"/>
  <c r="F6" i="6" a="1"/>
  <c r="AY35" i="3"/>
  <c r="AU11" i="3"/>
  <c r="ET15" i="4" a="1"/>
  <c r="AS21" i="3"/>
  <c r="AY8" i="3"/>
  <c r="EP13" i="4" a="1"/>
  <c r="EU9" i="4" a="1"/>
  <c r="AF6" i="3"/>
  <c r="AU28" i="3"/>
  <c r="AU9" i="3"/>
  <c r="AV24" i="3"/>
  <c r="EL9" i="4" a="1"/>
  <c r="E5" i="6" a="1"/>
  <c r="EP6" i="4" a="1"/>
  <c r="M5" i="6" a="1"/>
  <c r="AS20" i="3"/>
  <c r="AF35" i="3"/>
  <c r="J6" i="6" a="1"/>
  <c r="AB5" i="6" a="1"/>
  <c r="I6" i="6" a="1"/>
  <c r="AS34" i="3"/>
  <c r="H6" i="6" a="1"/>
  <c r="AW20" i="3"/>
  <c r="EL16" i="4" a="1"/>
  <c r="AS19" i="3"/>
  <c r="EP16" i="4" a="1"/>
  <c r="AT41" i="3"/>
  <c r="EU7" i="4" a="1"/>
  <c r="AZ35" i="3"/>
  <c r="AB5" i="3"/>
  <c r="Q6" i="6" a="1"/>
  <c r="AN6" i="6" a="1"/>
  <c r="AT32" i="3"/>
  <c r="AT22" i="3"/>
  <c r="AF13" i="3"/>
  <c r="N6" i="6" a="1"/>
  <c r="AU46" i="3"/>
  <c r="EU13" i="4" a="1"/>
  <c r="AT17" i="3"/>
  <c r="AT33" i="3"/>
  <c r="C5" i="6" a="1"/>
  <c r="AT37" i="3"/>
  <c r="EQ13" i="4" a="1"/>
  <c r="AW36" i="3"/>
  <c r="EW12" i="4" a="1"/>
  <c r="AU35" i="3"/>
  <c r="AF22" i="3"/>
  <c r="ET11" i="4" a="1"/>
  <c r="AV29" i="3"/>
  <c r="AF21" i="3"/>
  <c r="AF7" i="3"/>
  <c r="AV11" i="3"/>
  <c r="AY26" i="3"/>
  <c r="EW8" i="4" a="1"/>
  <c r="AX37" i="3"/>
  <c r="EM13" i="4" a="1"/>
  <c r="EP7" i="4" a="1"/>
  <c r="AT39" i="3"/>
  <c r="AX7" i="3"/>
  <c r="EN5" i="4" a="1"/>
  <c r="AF45" i="3"/>
  <c r="EL8" i="4" a="1"/>
  <c r="AZ20" i="3"/>
  <c r="EM16" i="4" a="1"/>
  <c r="AV30" i="3"/>
  <c r="ER15" i="4" a="1"/>
  <c r="E6" i="6" a="1"/>
  <c r="AX5" i="6" a="1"/>
  <c r="AS8" i="3"/>
  <c r="AV33" i="3"/>
  <c r="AX18" i="3"/>
  <c r="M6" i="6" a="1"/>
  <c r="W6" i="6" a="1"/>
  <c r="AF11" i="3"/>
  <c r="AW21" i="3"/>
  <c r="AW46" i="3"/>
  <c r="AY27" i="3"/>
  <c r="AU14" i="3"/>
  <c r="AZ7" i="3"/>
  <c r="AU30" i="3"/>
  <c r="AU39" i="3"/>
  <c r="EL5" i="4" a="1"/>
  <c r="AW8" i="3"/>
  <c r="AS29" i="3"/>
  <c r="AF33" i="3"/>
  <c r="AW28" i="3"/>
  <c r="F45" i="3"/>
  <c r="ET14" i="4" a="1"/>
  <c r="AX34" i="3"/>
  <c r="AU18" i="3"/>
  <c r="ET5" i="4" a="1"/>
  <c r="AW18" i="3"/>
  <c r="AT27" i="3"/>
  <c r="EQ15" i="4" a="1"/>
  <c r="EL15" i="4" a="1"/>
  <c r="AY45" i="3"/>
  <c r="AT9" i="3"/>
  <c r="AG5" i="6" a="1"/>
  <c r="AV40" i="3"/>
  <c r="AT20" i="3"/>
  <c r="AG6" i="6" a="1"/>
  <c r="AO5" i="6" a="1"/>
  <c r="G6" i="6" a="1"/>
  <c r="AF14" i="3"/>
  <c r="EP11" i="4" a="1"/>
  <c r="AS18" i="3"/>
  <c r="AZ24" i="3"/>
  <c r="EQ11" i="4" a="1"/>
  <c r="AW23" i="3"/>
  <c r="EW5" i="4" a="1"/>
  <c r="AW11" i="3"/>
  <c r="EM6" i="4" a="1"/>
  <c r="AY5" i="3"/>
  <c r="AS36" i="3"/>
  <c r="AT5" i="3"/>
  <c r="AV6" i="6" a="1"/>
  <c r="AV34" i="3"/>
  <c r="AZ17" i="3"/>
  <c r="AY34" i="3"/>
  <c r="AW26" i="3"/>
  <c r="AF38" i="3"/>
  <c r="AZ22" i="3"/>
  <c r="AP5" i="6" a="1"/>
  <c r="AY30" i="3"/>
  <c r="AE5" i="6" a="1"/>
  <c r="AX8" i="3"/>
  <c r="AX25" i="3"/>
  <c r="AT28" i="3"/>
  <c r="AS27" i="3"/>
  <c r="AT42" i="3"/>
  <c r="EV13" i="4" a="1"/>
  <c r="AY36" i="3"/>
  <c r="ER6" i="4" a="1"/>
  <c r="AF16" i="3"/>
  <c r="AS41" i="3"/>
  <c r="AZ16" i="3"/>
  <c r="L5" i="6" a="1"/>
  <c r="AX30" i="3"/>
  <c r="AV8" i="3"/>
  <c r="EQ12" i="4" a="1"/>
  <c r="EP12" i="4" a="1"/>
  <c r="AV31" i="3"/>
  <c r="N5" i="6" a="1"/>
  <c r="EW14" i="4" a="1"/>
  <c r="ER14" i="4" a="1"/>
  <c r="AZ15" i="3"/>
  <c r="AU42" i="3"/>
  <c r="AU31" i="3"/>
  <c r="AT13" i="3"/>
  <c r="AW5" i="6" a="1"/>
  <c r="AZ39" i="3"/>
  <c r="AQ6" i="6" a="1"/>
  <c r="AC5" i="6" a="1"/>
  <c r="AW5" i="3"/>
  <c r="AX17" i="3"/>
  <c r="AZ46" i="3"/>
  <c r="AW22" i="3"/>
  <c r="AY25" i="3"/>
  <c r="AS16" i="3"/>
  <c r="AW10" i="3"/>
  <c r="X5" i="6" a="1"/>
  <c r="AZ11" i="3"/>
  <c r="EN6" i="4" a="1"/>
  <c r="AU40" i="3"/>
  <c r="EN12" i="4" a="1"/>
  <c r="AB6" i="6" a="1"/>
  <c r="AY40" i="3"/>
  <c r="AZ31" i="3"/>
  <c r="AU36" i="3"/>
  <c r="AY13" i="3"/>
  <c r="AY46" i="3"/>
  <c r="ES6" i="4" a="1"/>
  <c r="AT40" i="3"/>
  <c r="F46" i="3"/>
  <c r="AZ28" i="3"/>
  <c r="AT21" i="3"/>
  <c r="AZ42" i="3"/>
  <c r="AU20" i="3"/>
  <c r="U6" i="6" a="1"/>
  <c r="AW38" i="3"/>
  <c r="AR6" i="3"/>
  <c r="AS15" i="3"/>
  <c r="EN7" i="4" a="1"/>
  <c r="AV5" i="3"/>
  <c r="EV7" i="4" a="1"/>
  <c r="EN11" i="4" a="1"/>
  <c r="ET13" i="4" a="1"/>
  <c r="AY6" i="3"/>
  <c r="ER11" i="4" a="1"/>
  <c r="AU41" i="3"/>
  <c r="AV19" i="3"/>
  <c r="U5" i="6" a="1"/>
  <c r="AW40" i="3"/>
  <c r="AF27" i="3"/>
  <c r="AL5" i="6" a="1"/>
  <c r="AU24" i="3"/>
  <c r="EW16" i="4" a="1"/>
  <c r="EW6" i="4" a="1"/>
  <c r="AW24" i="3"/>
  <c r="AF41" i="3"/>
  <c r="AU8" i="3"/>
  <c r="AZ41" i="3"/>
  <c r="AA5" i="6" a="1"/>
  <c r="AV12" i="3"/>
  <c r="AF19" i="3"/>
  <c r="EO16" i="4" a="1"/>
  <c r="AD6" i="6" a="1"/>
  <c r="Y112" i="2"/>
  <c r="BN89" i="3"/>
  <c r="AT45" i="3"/>
  <c r="AK5" i="6" a="1"/>
  <c r="AS39" i="3"/>
  <c r="AZ38" i="3"/>
  <c r="AV36" i="3"/>
  <c r="AS17" i="3"/>
  <c r="EW11" i="4" a="1"/>
  <c r="AU6" i="3"/>
  <c r="EO14" i="4" a="1"/>
  <c r="EV14" i="4" a="1"/>
  <c r="AV35" i="3"/>
  <c r="EM5" i="4" a="1"/>
  <c r="AS45" i="3"/>
  <c r="Y5" i="6" a="1"/>
  <c r="AF15" i="3"/>
  <c r="AX24" i="3"/>
  <c r="AU23" i="3"/>
  <c r="AS35" i="3"/>
  <c r="AS24" i="3"/>
  <c r="ET16" i="4" a="1"/>
  <c r="AX36" i="3"/>
  <c r="AZ14" i="3"/>
  <c r="AS6" i="6" a="1"/>
  <c r="ET6" i="4" a="1"/>
  <c r="ES14" i="4" a="1"/>
  <c r="AV37" i="3"/>
  <c r="AX27" i="3"/>
  <c r="AS9" i="3"/>
  <c r="AX13" i="3"/>
  <c r="ER9" i="4" a="1"/>
  <c r="S5" i="6" a="1"/>
  <c r="EN8" i="4" a="1"/>
  <c r="AF12" i="3"/>
  <c r="AW12" i="3"/>
  <c r="AF24" i="3"/>
  <c r="AF10" i="3"/>
  <c r="AR7" i="3"/>
  <c r="ES8" i="4" a="1"/>
  <c r="ER16" i="4" a="1"/>
  <c r="AM6" i="6" a="1"/>
  <c r="AZ19" i="3"/>
  <c r="AX33" i="3"/>
  <c r="AY33" i="3"/>
  <c r="ET8" i="4" a="1"/>
  <c r="AN5" i="6" a="1"/>
  <c r="EL6" i="4" a="1"/>
  <c r="EW15" i="4" a="1"/>
  <c r="J5" i="6" a="1"/>
  <c r="AV41" i="3"/>
  <c r="AW41" i="3"/>
  <c r="AJ5" i="6" a="1"/>
  <c r="Q5" i="6" a="1"/>
  <c r="AT29" i="3"/>
  <c r="AZ34" i="3"/>
  <c r="AU37" i="3"/>
  <c r="O6" i="6" a="1"/>
  <c r="W5" i="6" a="1"/>
  <c r="EV8" i="4" a="1"/>
  <c r="AS37" i="3"/>
  <c r="BE95" i="3"/>
  <c r="AF9" i="3"/>
  <c r="AH6" i="6" a="1"/>
  <c r="AY16" i="3"/>
  <c r="AZ45" i="3"/>
  <c r="AS32" i="3"/>
  <c r="AW9" i="3"/>
  <c r="AV5" i="6" a="1"/>
  <c r="AZ32" i="3"/>
  <c r="EV11" i="4" a="1"/>
  <c r="EU5" i="4" a="1"/>
  <c r="AZ21" i="3"/>
  <c r="AV7" i="3"/>
  <c r="AF6" i="6" a="1"/>
  <c r="AV17" i="3"/>
  <c r="AW19" i="3"/>
  <c r="AU38" i="3"/>
  <c r="P5" i="6" a="1"/>
  <c r="AT12" i="3"/>
  <c r="AY37" i="3"/>
  <c r="AX16" i="3"/>
  <c r="EU14" i="4" a="1"/>
  <c r="AM5" i="6" a="1"/>
  <c r="AV6" i="3"/>
  <c r="EQ6" i="4" a="1"/>
  <c r="AU26" i="3"/>
  <c r="H5" i="6" a="1"/>
  <c r="I5" i="6" a="1"/>
  <c r="AW13" i="3"/>
  <c r="AU6" i="6" a="1"/>
  <c r="AT38" i="3"/>
  <c r="AZ18" i="3"/>
  <c r="AF40" i="3"/>
  <c r="K5" i="6" a="1"/>
  <c r="EV9" i="4" a="1"/>
  <c r="AV20" i="3"/>
  <c r="AV45" i="3"/>
  <c r="AT46" i="3"/>
  <c r="EP5" i="4" a="1"/>
  <c r="AS13" i="3"/>
  <c r="EM12" i="4" a="1"/>
  <c r="D6" i="6" a="1"/>
  <c r="EP8" i="4" a="1"/>
  <c r="EN13" i="4" a="1"/>
  <c r="AW15" i="3"/>
  <c r="AX22" i="3"/>
  <c r="AU16" i="3"/>
  <c r="AZ5" i="3"/>
  <c r="AZ37" i="3"/>
  <c r="EO9" i="4" a="1"/>
  <c r="AS46" i="3"/>
  <c r="G5" i="6" a="1"/>
  <c r="EN15" i="4" a="1"/>
  <c r="AW14" i="3"/>
  <c r="AE6" i="6" a="1"/>
  <c r="AR5" i="3"/>
  <c r="EM11" i="4" a="1"/>
  <c r="EQ9" i="4" a="1"/>
  <c r="AT16" i="3"/>
  <c r="AW6" i="6" a="1"/>
  <c r="AY17" i="3"/>
  <c r="AY12" i="3"/>
  <c r="AW34" i="3"/>
  <c r="ES13" i="4" a="1"/>
  <c r="EL7" i="4" a="1"/>
  <c r="AF31" i="3"/>
  <c r="AS7" i="3"/>
  <c r="AX40" i="3"/>
  <c r="AW17" i="3"/>
  <c r="AY24" i="3"/>
  <c r="AS40" i="3"/>
  <c r="AS38" i="3"/>
  <c r="AU22" i="3"/>
  <c r="ER12" i="4" a="1"/>
  <c r="EQ16" i="4" a="1"/>
  <c r="C5" i="4" a="1"/>
  <c r="AX29" i="3"/>
  <c r="AZ29" i="3"/>
  <c r="AY41" i="3"/>
  <c r="AV18" i="3"/>
  <c r="AW31" i="3"/>
  <c r="AY14" i="3"/>
  <c r="AZ26" i="3"/>
  <c r="AW32" i="3"/>
  <c r="AT10" i="3"/>
  <c r="AU5" i="6" a="1"/>
  <c r="AT36" i="3"/>
  <c r="EV15" i="4" a="1"/>
  <c r="AX28" i="3"/>
  <c r="AX19" i="3"/>
  <c r="AR5" i="6" a="1"/>
  <c r="AW25" i="3"/>
  <c r="AF32" i="3"/>
  <c r="AT31" i="3"/>
  <c r="AV25" i="3"/>
  <c r="AX26" i="3"/>
  <c r="AT34" i="3"/>
  <c r="AW45" i="3"/>
  <c r="AT14" i="3"/>
  <c r="K6" i="6" a="1"/>
  <c r="AF30" i="3"/>
  <c r="AT15" i="3"/>
  <c r="AS23" i="3"/>
  <c r="AZ27" i="3"/>
  <c r="AS33" i="3"/>
  <c r="AY18" i="3"/>
  <c r="AU19" i="3"/>
  <c r="AV14" i="3"/>
  <c r="EU8" i="4" a="1"/>
  <c r="AX23" i="3"/>
  <c r="AV28" i="3"/>
  <c r="ER5" i="4" a="1"/>
  <c r="AY20" i="3"/>
  <c r="AV38" i="3"/>
  <c r="AT35" i="3"/>
  <c r="EO8" i="4" a="1"/>
  <c r="AP6" i="3"/>
  <c r="X6" i="6" a="1"/>
  <c r="AP5" i="3"/>
  <c r="AY10" i="3"/>
  <c r="AT25" i="3"/>
  <c r="AX32" i="3"/>
  <c r="AW16" i="3"/>
  <c r="AW30" i="3"/>
  <c r="AW29" i="3"/>
  <c r="AF26" i="3"/>
  <c r="AX5" i="3"/>
  <c r="O5" i="6" a="1"/>
  <c r="AS28" i="3"/>
  <c r="C6" i="4" a="1"/>
  <c r="AW37" i="3"/>
  <c r="ES7" i="4" a="1"/>
  <c r="AF18" i="3"/>
  <c r="ES5" i="4" a="1"/>
  <c r="F5" i="6" a="1"/>
  <c r="Y6" i="6" a="1"/>
  <c r="AY32" i="3"/>
  <c r="R5" i="6" a="1"/>
  <c r="ES16" i="4" a="1"/>
  <c r="AY7" i="3"/>
  <c r="AU25" i="3"/>
  <c r="EP9" i="4" a="1"/>
  <c r="AT6" i="6" a="1"/>
  <c r="AY39" i="3"/>
  <c r="AU45" i="3"/>
  <c r="EU11" i="4" a="1"/>
  <c r="AU15" i="3"/>
  <c r="ES15" i="4" a="1"/>
  <c r="AX9" i="3"/>
  <c r="AU10" i="3"/>
  <c r="AT24" i="3"/>
  <c r="AF28" i="3"/>
  <c r="AT19" i="3"/>
  <c r="AY23" i="3"/>
  <c r="AZ40" i="3"/>
  <c r="P6" i="6" a="1"/>
  <c r="AU12" i="3"/>
  <c r="AX46" i="3"/>
  <c r="ER7" i="4" a="1"/>
  <c r="EO7" i="4" a="1"/>
  <c r="AZ25" i="3"/>
  <c r="AX38" i="3"/>
  <c r="AX42" i="3"/>
  <c r="AJ6" i="6" a="1"/>
  <c r="AH5" i="6" a="1"/>
  <c r="AX45" i="3"/>
  <c r="AS11" i="3"/>
  <c r="AX20" i="3"/>
  <c r="AZ10" i="3"/>
  <c r="AF42" i="3"/>
  <c r="AV15" i="3"/>
  <c r="EV6" i="4" a="1"/>
  <c r="AW7" i="3"/>
  <c r="AS5" i="6" a="1"/>
  <c r="AU21" i="3"/>
  <c r="AI6" i="6" a="1"/>
  <c r="EO11" i="4" a="1"/>
  <c r="AX21" i="3"/>
  <c r="AF34" i="3"/>
  <c r="EW9" i="4" a="1"/>
  <c r="AF39" i="3"/>
  <c r="EM7" i="4" a="1"/>
  <c r="V6" i="6" a="1"/>
  <c r="EM15" i="4" a="1"/>
  <c r="AZ30" i="3"/>
  <c r="EL14" i="4" a="1"/>
  <c r="AS26" i="3"/>
  <c r="AC6" i="6" a="1"/>
  <c r="EL11" i="4" a="1"/>
  <c r="AW27" i="3"/>
  <c r="AY6" i="6" a="1"/>
  <c r="AX39" i="3"/>
  <c r="AF46" i="3"/>
  <c r="AS30" i="3"/>
  <c r="AZ33" i="3"/>
  <c r="AU29" i="3"/>
  <c r="AX6" i="6" a="1"/>
  <c r="AY21" i="3"/>
  <c r="AT30" i="3"/>
  <c r="AW42" i="3"/>
  <c r="AW6" i="3"/>
  <c r="AS42" i="3"/>
  <c r="AV32" i="3"/>
  <c r="AS25" i="3"/>
  <c r="AS14" i="3"/>
  <c r="EM9" i="4" a="1"/>
  <c r="AF23" i="3"/>
  <c r="AY11" i="3"/>
  <c r="EW13" i="4" a="1"/>
  <c r="AP6" i="6" a="1"/>
  <c r="AV26" i="3"/>
  <c r="S6" i="6" a="1"/>
  <c r="EN9" i="4" a="1"/>
  <c r="AT11" i="3"/>
  <c r="EN14" i="4" a="1"/>
  <c r="ET12" i="4" a="1"/>
  <c r="EM8" i="4" a="1"/>
  <c r="AS10" i="3"/>
  <c r="AD5" i="6" a="1"/>
  <c r="Z5" i="6" a="1"/>
  <c r="AV13" i="3"/>
  <c r="AX6" i="3"/>
  <c r="EL12" i="4" a="1"/>
  <c r="EL13" i="4" a="1"/>
  <c r="EU12" i="4" a="1"/>
  <c r="AU32" i="3"/>
  <c r="AF8" i="3"/>
  <c r="AS5" i="3"/>
  <c r="AO6" i="6" a="1"/>
  <c r="AZ9" i="3"/>
  <c r="EO5" i="4" a="1"/>
  <c r="ES12" i="4" a="1"/>
  <c r="AU34" i="3"/>
  <c r="AV9" i="3"/>
  <c r="AA6" i="6" a="1"/>
  <c r="AZ13" i="3"/>
  <c r="AU13" i="3"/>
  <c r="AW33" i="3"/>
  <c r="AV22" i="3"/>
  <c r="AV27" i="3"/>
  <c r="AT8" i="3"/>
  <c r="AS22" i="3"/>
  <c r="AV16" i="3"/>
  <c r="R6" i="6" a="1"/>
  <c r="AY22" i="3"/>
  <c r="AU33" i="3"/>
  <c r="AZ23" i="3"/>
  <c r="AF20" i="3"/>
  <c r="AW39" i="3"/>
  <c r="AS6" i="3"/>
  <c r="EV5" i="4" a="1"/>
  <c r="EQ14" i="4" a="1"/>
  <c r="AK6" i="6" a="1"/>
  <c r="EM14" i="4" a="1"/>
  <c r="EV16" i="4" a="1"/>
  <c r="ER13" i="4" a="1"/>
  <c r="EV12" i="4" a="1"/>
  <c r="AT23" i="3"/>
  <c r="AU27" i="3"/>
  <c r="AF37" i="3"/>
  <c r="ES9" i="4" a="1"/>
  <c r="AR6" i="6" a="1"/>
  <c r="AY42" i="3"/>
  <c r="AT7" i="3"/>
  <c r="EO13" i="4" a="1"/>
  <c r="AT18" i="3"/>
  <c r="EU16" i="4" a="1"/>
  <c r="AL6" i="6" a="1"/>
  <c r="AY5" i="6" a="1"/>
  <c r="EO15" i="4" a="1"/>
  <c r="AV46" i="3"/>
  <c r="AZ8" i="3"/>
  <c r="CL162" i="1" l="1"/>
  <c r="CL179" i="1"/>
  <c r="X201" i="1"/>
  <c r="CM158" i="1"/>
  <c r="CM220" i="1" s="1"/>
  <c r="Y92" i="1"/>
  <c r="Y91" i="1"/>
  <c r="JY9" i="4" s="1"/>
  <c r="CM153" i="1"/>
  <c r="CN153" i="1" s="1"/>
  <c r="CO153" i="1" s="1"/>
  <c r="CP153" i="1" s="1"/>
  <c r="CQ153" i="1" s="1"/>
  <c r="CR153" i="1" s="1"/>
  <c r="CS153" i="1" s="1"/>
  <c r="CT153" i="1" s="1"/>
  <c r="CU153" i="1" s="1"/>
  <c r="CV153" i="1" s="1"/>
  <c r="CW153" i="1" s="1"/>
  <c r="CX153" i="1" s="1"/>
  <c r="CY153" i="1" s="1"/>
  <c r="CZ153" i="1" s="1"/>
  <c r="DA153" i="1" s="1"/>
  <c r="DB153" i="1" s="1"/>
  <c r="JO21" i="4"/>
  <c r="CI95" i="1" s="1"/>
  <c r="JS16" i="4" s="1"/>
  <c r="X92" i="1"/>
  <c r="JY21" i="4"/>
  <c r="KD21" i="4"/>
  <c r="JN21" i="4"/>
  <c r="CH95" i="1" s="1"/>
  <c r="JP21" i="4"/>
  <c r="CJ95" i="1" s="1"/>
  <c r="KB21" i="4"/>
  <c r="JT21" i="4"/>
  <c r="Z220" i="1"/>
  <c r="KE9" i="4" s="1"/>
  <c r="KC9" i="4" s="1"/>
  <c r="CL197" i="1"/>
  <c r="AC12" i="1"/>
  <c r="X197" i="1"/>
  <c r="CJ198" i="1"/>
  <c r="CK198" i="1" s="1"/>
  <c r="CJ197" i="1"/>
  <c r="CK197" i="1" s="1"/>
  <c r="Y152" i="1"/>
  <c r="Y156" i="1" s="1"/>
  <c r="X198" i="1"/>
  <c r="CH270" i="1"/>
  <c r="CH158" i="1"/>
  <c r="X179" i="1"/>
  <c r="Y227" i="1" s="1"/>
  <c r="Y146" i="1"/>
  <c r="JV21" i="4"/>
  <c r="KB14" i="4"/>
  <c r="JP15" i="4"/>
  <c r="JP20" i="4" s="1"/>
  <c r="CJ97" i="1" s="1"/>
  <c r="JT7" i="4"/>
  <c r="JT19" i="4" s="1"/>
  <c r="KH7" i="4"/>
  <c r="JS8" i="4"/>
  <c r="JS20" i="4" s="1"/>
  <c r="KC8" i="4"/>
  <c r="KH19" i="4"/>
  <c r="JT8" i="4"/>
  <c r="CM140" i="1"/>
  <c r="CN140" i="1" s="1"/>
  <c r="CO140" i="1" s="1"/>
  <c r="CP140" i="1" s="1"/>
  <c r="CQ140" i="1" s="1"/>
  <c r="CR140" i="1" s="1"/>
  <c r="CS140" i="1" s="1"/>
  <c r="CT140" i="1" s="1"/>
  <c r="CU140" i="1" s="1"/>
  <c r="CV140" i="1" s="1"/>
  <c r="CW140" i="1" s="1"/>
  <c r="CX140" i="1" s="1"/>
  <c r="CY140" i="1" s="1"/>
  <c r="CZ140" i="1" s="1"/>
  <c r="DA140" i="1" s="1"/>
  <c r="DB140" i="1" s="1"/>
  <c r="CM155" i="1"/>
  <c r="CN155" i="1" s="1"/>
  <c r="CO155" i="1" s="1"/>
  <c r="CP155" i="1" s="1"/>
  <c r="CQ155" i="1" s="1"/>
  <c r="CR155" i="1" s="1"/>
  <c r="CS155" i="1" s="1"/>
  <c r="CT155" i="1" s="1"/>
  <c r="CU155" i="1" s="1"/>
  <c r="CV155" i="1" s="1"/>
  <c r="CW155" i="1" s="1"/>
  <c r="CX155" i="1" s="1"/>
  <c r="CY155" i="1" s="1"/>
  <c r="CZ155" i="1" s="1"/>
  <c r="DA155" i="1" s="1"/>
  <c r="DB155" i="1" s="1"/>
  <c r="JP14" i="4"/>
  <c r="JR14" i="4"/>
  <c r="KE21" i="4"/>
  <c r="JX8" i="4"/>
  <c r="KF8" i="4"/>
  <c r="KG21" i="4"/>
  <c r="KA14" i="4"/>
  <c r="JW21" i="4"/>
  <c r="KA21" i="4"/>
  <c r="JY15" i="4"/>
  <c r="KA7" i="4"/>
  <c r="KH21" i="4"/>
  <c r="JZ7" i="4"/>
  <c r="JS21" i="4"/>
  <c r="CL83" i="1"/>
  <c r="X91" i="1"/>
  <c r="CI212" i="1"/>
  <c r="CI271" i="1"/>
  <c r="CH144" i="1"/>
  <c r="CI144" i="1" s="1"/>
  <c r="Z172" i="1"/>
  <c r="CK9" i="1"/>
  <c r="CK28" i="1"/>
  <c r="CK19" i="1"/>
  <c r="Y28" i="1"/>
  <c r="Y9" i="1"/>
  <c r="Y249" i="1"/>
  <c r="CH44" i="1"/>
  <c r="JO8" i="4"/>
  <c r="Z9" i="1"/>
  <c r="Z249" i="1"/>
  <c r="CI9" i="1"/>
  <c r="CI28" i="1"/>
  <c r="CI249" i="1"/>
  <c r="CL116" i="1"/>
  <c r="KD15" i="4"/>
  <c r="X146" i="1"/>
  <c r="Y267" i="1" s="1"/>
  <c r="CM38" i="1"/>
  <c r="CQ38" i="1" s="1"/>
  <c r="CU38" i="1" s="1"/>
  <c r="CY38" i="1" s="1"/>
  <c r="CI44" i="1"/>
  <c r="CI45" i="1" s="1"/>
  <c r="KF7" i="4"/>
  <c r="CJ271" i="1"/>
  <c r="CJ212" i="1"/>
  <c r="CM197" i="1"/>
  <c r="CN197" i="1" s="1"/>
  <c r="CO197" i="1" s="1"/>
  <c r="CP197" i="1" s="1"/>
  <c r="CQ197" i="1" s="1"/>
  <c r="JO7" i="4"/>
  <c r="CK227" i="1"/>
  <c r="KD8" i="4"/>
  <c r="AB64" i="1"/>
  <c r="CH212" i="1"/>
  <c r="CH271" i="1"/>
  <c r="KE7" i="4"/>
  <c r="JO14" i="4"/>
  <c r="JP7" i="4"/>
  <c r="JP19" i="4" s="1"/>
  <c r="CJ96" i="1" s="1"/>
  <c r="CL198" i="1"/>
  <c r="CM198" i="1" s="1"/>
  <c r="CN198" i="1" s="1"/>
  <c r="CO198" i="1" s="1"/>
  <c r="CP198" i="1" s="1"/>
  <c r="CQ198" i="1" s="1"/>
  <c r="CR198" i="1" s="1"/>
  <c r="KD7" i="4"/>
  <c r="Y197" i="1"/>
  <c r="KB15" i="4"/>
  <c r="JU21" i="4"/>
  <c r="KF21" i="4"/>
  <c r="JY8" i="4"/>
  <c r="JY20" i="4" s="1"/>
  <c r="CL174" i="1"/>
  <c r="CL203" i="1" s="1"/>
  <c r="JU15" i="4"/>
  <c r="KG14" i="4"/>
  <c r="CK135" i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J138" i="1"/>
  <c r="KA8" i="4"/>
  <c r="CL166" i="1"/>
  <c r="KC14" i="4"/>
  <c r="KC19" i="4" s="1"/>
  <c r="KB7" i="4"/>
  <c r="KB19" i="4" s="1"/>
  <c r="KG8" i="4"/>
  <c r="CM182" i="1"/>
  <c r="CN182" i="1" s="1"/>
  <c r="CO182" i="1" s="1"/>
  <c r="CP182" i="1" s="1"/>
  <c r="CQ182" i="1" s="1"/>
  <c r="CR182" i="1" s="1"/>
  <c r="CS182" i="1" s="1"/>
  <c r="CT182" i="1" s="1"/>
  <c r="CU182" i="1" s="1"/>
  <c r="CV182" i="1" s="1"/>
  <c r="CW182" i="1" s="1"/>
  <c r="CX182" i="1" s="1"/>
  <c r="CY182" i="1" s="1"/>
  <c r="CZ182" i="1" s="1"/>
  <c r="DA182" i="1" s="1"/>
  <c r="DB182" i="1" s="1"/>
  <c r="JR15" i="4"/>
  <c r="CG270" i="1"/>
  <c r="CG9" i="1"/>
  <c r="CG28" i="1"/>
  <c r="CG249" i="1"/>
  <c r="CJ116" i="1"/>
  <c r="CP38" i="1"/>
  <c r="CT38" i="1" s="1"/>
  <c r="CX38" i="1" s="1"/>
  <c r="DB38" i="1" s="1"/>
  <c r="CL44" i="1"/>
  <c r="JQ7" i="4"/>
  <c r="X174" i="1"/>
  <c r="X203" i="1" s="1"/>
  <c r="X202" i="1" s="1"/>
  <c r="JR21" i="4"/>
  <c r="CL95" i="1" s="1"/>
  <c r="JY7" i="4"/>
  <c r="JW14" i="4"/>
  <c r="JU8" i="4"/>
  <c r="JY14" i="4"/>
  <c r="JW7" i="4"/>
  <c r="JW19" i="4" s="1"/>
  <c r="CH177" i="1"/>
  <c r="CH179" i="1" s="1"/>
  <c r="Z179" i="1"/>
  <c r="AA227" i="1" s="1"/>
  <c r="Z149" i="1"/>
  <c r="JX7" i="4"/>
  <c r="KF14" i="4"/>
  <c r="CL249" i="1"/>
  <c r="CL28" i="1"/>
  <c r="CK142" i="1"/>
  <c r="CK146" i="1" s="1"/>
  <c r="CJ146" i="1"/>
  <c r="Y174" i="1"/>
  <c r="Z28" i="1"/>
  <c r="CG44" i="1"/>
  <c r="CG45" i="1" s="1"/>
  <c r="Y220" i="1"/>
  <c r="CJ174" i="1"/>
  <c r="CJ203" i="1" s="1"/>
  <c r="KD14" i="4"/>
  <c r="KA15" i="4"/>
  <c r="JV14" i="4"/>
  <c r="KF15" i="4"/>
  <c r="KF20" i="4" s="1"/>
  <c r="JS7" i="4"/>
  <c r="JR8" i="4"/>
  <c r="JR20" i="4" s="1"/>
  <c r="CL97" i="1" s="1"/>
  <c r="CK220" i="1"/>
  <c r="CL220" i="1"/>
  <c r="CI270" i="1"/>
  <c r="X271" i="1"/>
  <c r="X212" i="1"/>
  <c r="JW8" i="4"/>
  <c r="JO15" i="4"/>
  <c r="CJ270" i="1"/>
  <c r="CL146" i="1"/>
  <c r="CM142" i="1"/>
  <c r="JX21" i="4"/>
  <c r="KB8" i="4"/>
  <c r="CH135" i="1"/>
  <c r="Z138" i="1"/>
  <c r="AA225" i="1" s="1"/>
  <c r="X191" i="1"/>
  <c r="Z212" i="1"/>
  <c r="Z271" i="1"/>
  <c r="X44" i="1"/>
  <c r="CN38" i="1"/>
  <c r="CR38" i="1" s="1"/>
  <c r="CV38" i="1" s="1"/>
  <c r="CZ38" i="1" s="1"/>
  <c r="CJ44" i="1"/>
  <c r="JQ8" i="4"/>
  <c r="JT20" i="4"/>
  <c r="JN15" i="4"/>
  <c r="CJ249" i="1"/>
  <c r="CJ19" i="1"/>
  <c r="CJ9" i="1"/>
  <c r="CJ28" i="1"/>
  <c r="X138" i="1"/>
  <c r="CI150" i="1"/>
  <c r="CJ150" i="1" s="1"/>
  <c r="CJ149" i="1" s="1"/>
  <c r="CK149" i="1" s="1"/>
  <c r="Y179" i="1"/>
  <c r="JZ21" i="4"/>
  <c r="CJ201" i="1"/>
  <c r="CK201" i="1" s="1"/>
  <c r="KG15" i="4"/>
  <c r="CJ166" i="1"/>
  <c r="Y270" i="1"/>
  <c r="Y55" i="1"/>
  <c r="CL270" i="1"/>
  <c r="Y44" i="1"/>
  <c r="CH162" i="1"/>
  <c r="CH197" i="1" s="1"/>
  <c r="CI197" i="1" s="1"/>
  <c r="Z197" i="1"/>
  <c r="Y51" i="1"/>
  <c r="Y271" i="1"/>
  <c r="Y212" i="1"/>
  <c r="Z44" i="1"/>
  <c r="CH142" i="1"/>
  <c r="Z146" i="1"/>
  <c r="KC21" i="4"/>
  <c r="JZ15" i="4"/>
  <c r="JZ20" i="4" s="1"/>
  <c r="Y201" i="1"/>
  <c r="X9" i="1"/>
  <c r="X28" i="1"/>
  <c r="X249" i="1"/>
  <c r="KH15" i="4"/>
  <c r="CK83" i="1"/>
  <c r="X152" i="1"/>
  <c r="CL201" i="1"/>
  <c r="CM144" i="1"/>
  <c r="CN144" i="1" s="1"/>
  <c r="CO144" i="1" s="1"/>
  <c r="CP144" i="1" s="1"/>
  <c r="CQ144" i="1" s="1"/>
  <c r="CR144" i="1" s="1"/>
  <c r="CS144" i="1" s="1"/>
  <c r="CT144" i="1" s="1"/>
  <c r="CU144" i="1" s="1"/>
  <c r="CV144" i="1" s="1"/>
  <c r="CW144" i="1" s="1"/>
  <c r="CX144" i="1" s="1"/>
  <c r="CY144" i="1" s="1"/>
  <c r="CZ144" i="1" s="1"/>
  <c r="DA144" i="1" s="1"/>
  <c r="DB144" i="1" s="1"/>
  <c r="CL156" i="1"/>
  <c r="X166" i="1"/>
  <c r="Y191" i="1"/>
  <c r="JN7" i="4"/>
  <c r="CL212" i="1"/>
  <c r="CL271" i="1"/>
  <c r="Y166" i="1"/>
  <c r="CG212" i="1"/>
  <c r="CG271" i="1"/>
  <c r="CI158" i="1"/>
  <c r="CJ220" i="1" s="1"/>
  <c r="KG7" i="4"/>
  <c r="JQ14" i="4"/>
  <c r="JQ15" i="4"/>
  <c r="JQ20" i="4" s="1"/>
  <c r="CK97" i="1" s="1"/>
  <c r="Z191" i="1"/>
  <c r="CJ156" i="1"/>
  <c r="KE14" i="4"/>
  <c r="KE19" i="4" s="1"/>
  <c r="CH9" i="1"/>
  <c r="CK116" i="1"/>
  <c r="CH28" i="1"/>
  <c r="CH249" i="1"/>
  <c r="CN63" i="1"/>
  <c r="CO63" i="1" s="1"/>
  <c r="CP63" i="1" s="1"/>
  <c r="CQ63" i="1" s="1"/>
  <c r="JR7" i="4"/>
  <c r="JR19" i="4" s="1"/>
  <c r="CL96" i="1" s="1"/>
  <c r="CM145" i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JX15" i="4"/>
  <c r="JV15" i="4"/>
  <c r="JV20" i="4" s="1"/>
  <c r="JU7" i="4"/>
  <c r="AB151" i="1"/>
  <c r="CQ151" i="1"/>
  <c r="CR151" i="1" s="1"/>
  <c r="CS151" i="1" s="1"/>
  <c r="CT151" i="1" s="1"/>
  <c r="CH171" i="1"/>
  <c r="Z201" i="1"/>
  <c r="Z270" i="1"/>
  <c r="KH8" i="4"/>
  <c r="CI81" i="1"/>
  <c r="CJ83" i="1"/>
  <c r="Z166" i="1"/>
  <c r="AA214" i="1" s="1"/>
  <c r="Z198" i="1"/>
  <c r="CH163" i="1"/>
  <c r="CH198" i="1" s="1"/>
  <c r="CI198" i="1" s="1"/>
  <c r="JW15" i="4"/>
  <c r="JZ14" i="4"/>
  <c r="CM136" i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JU14" i="4"/>
  <c r="JN8" i="4"/>
  <c r="CL138" i="1"/>
  <c r="Y138" i="1"/>
  <c r="Y193" i="1" s="1"/>
  <c r="JV7" i="4"/>
  <c r="CK44" i="1"/>
  <c r="CO38" i="1"/>
  <c r="CS38" i="1" s="1"/>
  <c r="CW38" i="1" s="1"/>
  <c r="DA38" i="1" s="1"/>
  <c r="KC15" i="4"/>
  <c r="KE15" i="4"/>
  <c r="KE20" i="4" s="1"/>
  <c r="X270" i="1"/>
  <c r="JX14" i="4"/>
  <c r="Y198" i="1"/>
  <c r="CM181" i="1"/>
  <c r="CN181" i="1" s="1"/>
  <c r="CO181" i="1" s="1"/>
  <c r="CP181" i="1" s="1"/>
  <c r="CQ181" i="1" s="1"/>
  <c r="CR181" i="1" s="1"/>
  <c r="CS181" i="1" s="1"/>
  <c r="CT181" i="1" s="1"/>
  <c r="CU181" i="1" s="1"/>
  <c r="CV181" i="1" s="1"/>
  <c r="CW181" i="1" s="1"/>
  <c r="CX181" i="1" s="1"/>
  <c r="CY181" i="1" s="1"/>
  <c r="CZ181" i="1" s="1"/>
  <c r="DA181" i="1" s="1"/>
  <c r="DB181" i="1" s="1"/>
  <c r="AC13" i="1"/>
  <c r="CN158" i="1"/>
  <c r="CN220" i="1" s="1"/>
  <c r="CK212" i="1"/>
  <c r="CQ143" i="1"/>
  <c r="BY40" i="1"/>
  <c r="CA27" i="1"/>
  <c r="CE40" i="1"/>
  <c r="CA40" i="1"/>
  <c r="CF40" i="1"/>
  <c r="CD40" i="1"/>
  <c r="BZ40" i="1"/>
  <c r="BL40" i="1"/>
  <c r="CC40" i="1"/>
  <c r="CB40" i="1"/>
  <c r="CF27" i="1"/>
  <c r="CD27" i="1"/>
  <c r="BY27" i="1"/>
  <c r="CE27" i="1"/>
  <c r="BZ27" i="1"/>
  <c r="CC27" i="1"/>
  <c r="CB27" i="1"/>
  <c r="BL27" i="1"/>
  <c r="CD43" i="1"/>
  <c r="CC63" i="1"/>
  <c r="CA26" i="1"/>
  <c r="CD57" i="1"/>
  <c r="AH7" i="6" s="1"/>
  <c r="CD53" i="1"/>
  <c r="CF54" i="1"/>
  <c r="BY63" i="1"/>
  <c r="BL63" i="1"/>
  <c r="CD64" i="1"/>
  <c r="AV7" i="6" s="1"/>
  <c r="CB38" i="1"/>
  <c r="R7" i="6" s="1"/>
  <c r="X7" i="6" s="1"/>
  <c r="CD63" i="1"/>
  <c r="CD33" i="1"/>
  <c r="V7" i="6" s="1"/>
  <c r="BY33" i="1"/>
  <c r="CB26" i="1"/>
  <c r="BY69" i="1"/>
  <c r="BL26" i="1"/>
  <c r="BL9" i="1" s="1"/>
  <c r="AW7" i="6" s="1"/>
  <c r="BY39" i="1"/>
  <c r="CA31" i="1"/>
  <c r="CB41" i="1"/>
  <c r="BZ54" i="1"/>
  <c r="O7" i="6" s="1"/>
  <c r="BL65" i="1"/>
  <c r="AQ7" i="6" s="1"/>
  <c r="CF26" i="1"/>
  <c r="CF9" i="1" s="1"/>
  <c r="JJ9" i="4" s="1"/>
  <c r="BY64" i="1"/>
  <c r="AM7" i="6" s="1"/>
  <c r="JM16" i="4" s="1"/>
  <c r="CF65" i="1"/>
  <c r="CA42" i="1"/>
  <c r="BL41" i="1"/>
  <c r="BL64" i="1"/>
  <c r="CF53" i="1"/>
  <c r="BL54" i="1"/>
  <c r="BZ63" i="1"/>
  <c r="CC43" i="1"/>
  <c r="CC39" i="1"/>
  <c r="JM9" i="4" s="1"/>
  <c r="CA39" i="1"/>
  <c r="JL16" i="4" s="1"/>
  <c r="BZ42" i="1"/>
  <c r="CB39" i="1"/>
  <c r="CC31" i="1"/>
  <c r="JK16" i="4" s="1"/>
  <c r="CA69" i="1"/>
  <c r="BZ32" i="1"/>
  <c r="CE33" i="1"/>
  <c r="CC32" i="1"/>
  <c r="C7" i="6" s="1"/>
  <c r="T7" i="6" s="1"/>
  <c r="BY42" i="1"/>
  <c r="CC64" i="1"/>
  <c r="CC26" i="1"/>
  <c r="CB53" i="1"/>
  <c r="JL9" i="4" s="1"/>
  <c r="CF57" i="1"/>
  <c r="AL7" i="6" s="1"/>
  <c r="BZ50" i="1"/>
  <c r="BZ212" i="1" s="1"/>
  <c r="BZ53" i="1"/>
  <c r="J7" i="6" s="1"/>
  <c r="BY65" i="1"/>
  <c r="Z7" i="6" s="1"/>
  <c r="BL38" i="1"/>
  <c r="CF31" i="1"/>
  <c r="CF41" i="1"/>
  <c r="BZ31" i="1"/>
  <c r="CA33" i="1"/>
  <c r="CD32" i="1"/>
  <c r="BL39" i="1"/>
  <c r="BY32" i="1"/>
  <c r="CE50" i="1"/>
  <c r="CE212" i="1" s="1"/>
  <c r="AD7" i="6" s="1"/>
  <c r="CF43" i="1"/>
  <c r="CE38" i="1"/>
  <c r="CA65" i="1"/>
  <c r="CD54" i="1"/>
  <c r="CB42" i="1"/>
  <c r="CD65" i="1"/>
  <c r="AP7" i="6" s="1"/>
  <c r="Y7" i="6" s="1"/>
  <c r="CA43" i="1"/>
  <c r="AA7" i="6" s="1"/>
  <c r="AJ7" i="6" s="1"/>
  <c r="BY26" i="1"/>
  <c r="BY9" i="1" s="1"/>
  <c r="BY41" i="1"/>
  <c r="CB57" i="1"/>
  <c r="CE43" i="1"/>
  <c r="I7" i="6" s="1"/>
  <c r="AK7" i="6" s="1"/>
  <c r="CE32" i="1"/>
  <c r="K7" i="6" s="1"/>
  <c r="F7" i="6" s="1"/>
  <c r="CB63" i="1"/>
  <c r="CF42" i="1"/>
  <c r="AC7" i="6" s="1"/>
  <c r="AE7" i="6" s="1"/>
  <c r="M7" i="6" s="1"/>
  <c r="Q7" i="6" s="1"/>
  <c r="CA64" i="1"/>
  <c r="BZ64" i="1"/>
  <c r="CA54" i="1"/>
  <c r="CF64" i="1"/>
  <c r="AU7" i="6" s="1"/>
  <c r="BL33" i="1"/>
  <c r="CE42" i="1"/>
  <c r="CB50" i="1"/>
  <c r="CB212" i="1" s="1"/>
  <c r="CC65" i="1"/>
  <c r="CC69" i="1"/>
  <c r="AX7" i="6" s="1"/>
  <c r="BZ41" i="1"/>
  <c r="AT7" i="6" s="1"/>
  <c r="S7" i="6" s="1"/>
  <c r="BY31" i="1"/>
  <c r="CE53" i="1"/>
  <c r="CA63" i="1"/>
  <c r="CB65" i="1"/>
  <c r="CA53" i="1"/>
  <c r="CF69" i="1"/>
  <c r="CF39" i="1"/>
  <c r="CA38" i="1"/>
  <c r="AN7" i="6" s="1"/>
  <c r="CE64" i="1"/>
  <c r="CC33" i="1"/>
  <c r="CE69" i="1"/>
  <c r="CF33" i="1"/>
  <c r="G7" i="6" s="1"/>
  <c r="BL50" i="1"/>
  <c r="AF7" i="6" s="1"/>
  <c r="CC38" i="1"/>
  <c r="CD38" i="1"/>
  <c r="JJ16" i="4" s="1"/>
  <c r="BY43" i="1"/>
  <c r="CB64" i="1"/>
  <c r="CE26" i="1"/>
  <c r="CE9" i="1" s="1"/>
  <c r="AB7" i="6" s="1"/>
  <c r="BL32" i="1"/>
  <c r="CD69" i="1"/>
  <c r="BY38" i="1"/>
  <c r="BZ33" i="1"/>
  <c r="CD39" i="1"/>
  <c r="L7" i="6" s="1"/>
  <c r="BL57" i="1"/>
  <c r="BZ26" i="1"/>
  <c r="CA50" i="1"/>
  <c r="BZ57" i="1"/>
  <c r="BY50" i="1"/>
  <c r="BY212" i="1" s="1"/>
  <c r="AI7" i="6" s="1"/>
  <c r="CC57" i="1"/>
  <c r="D7" i="6" s="1"/>
  <c r="BZ39" i="1"/>
  <c r="AG7" i="6" s="1"/>
  <c r="BZ38" i="1"/>
  <c r="BL69" i="1"/>
  <c r="W7" i="6" s="1"/>
  <c r="CB69" i="1"/>
  <c r="CE65" i="1"/>
  <c r="CF38" i="1"/>
  <c r="CC41" i="1"/>
  <c r="CD41" i="1"/>
  <c r="CE31" i="1"/>
  <c r="BY53" i="1"/>
  <c r="CC53" i="1"/>
  <c r="BZ69" i="1"/>
  <c r="AS7" i="6" s="1"/>
  <c r="BZ65" i="1"/>
  <c r="CE54" i="1"/>
  <c r="CD31" i="1"/>
  <c r="BL53" i="1"/>
  <c r="CB32" i="1"/>
  <c r="CC50" i="1"/>
  <c r="CC212" i="1" s="1"/>
  <c r="BY57" i="1"/>
  <c r="H7" i="6" s="1"/>
  <c r="CA41" i="1"/>
  <c r="BZ43" i="1"/>
  <c r="CD26" i="1"/>
  <c r="AR7" i="6" s="1"/>
  <c r="CF32" i="1"/>
  <c r="BL31" i="1"/>
  <c r="BL42" i="1"/>
  <c r="JK9" i="4" s="1"/>
  <c r="AO7" i="6" s="1"/>
  <c r="CA57" i="1"/>
  <c r="BL43" i="1"/>
  <c r="CA32" i="1"/>
  <c r="CE63" i="1"/>
  <c r="CD42" i="1"/>
  <c r="P7" i="6" s="1"/>
  <c r="E7" i="6" s="1"/>
  <c r="U7" i="6" s="1"/>
  <c r="CC42" i="1"/>
  <c r="AY7" i="6" s="1"/>
  <c r="CD50" i="1"/>
  <c r="CB33" i="1"/>
  <c r="CC54" i="1"/>
  <c r="CB54" i="1"/>
  <c r="CE41" i="1"/>
  <c r="CE39" i="1"/>
  <c r="CF50" i="1"/>
  <c r="CF212" i="1" s="1"/>
  <c r="CB43" i="1"/>
  <c r="BY54" i="1"/>
  <c r="CF63" i="1"/>
  <c r="N7" i="6" s="1"/>
  <c r="AC64" i="1"/>
  <c r="CV64" i="1"/>
  <c r="CW64" i="1" s="1"/>
  <c r="CX64" i="1" s="1"/>
  <c r="CY64" i="1" s="1"/>
  <c r="AD53" i="1"/>
  <c r="AS80" i="3"/>
  <c r="AS77" i="3"/>
  <c r="AF65" i="3"/>
  <c r="AS66" i="3"/>
  <c r="AZ61" i="3"/>
  <c r="AV59" i="3"/>
  <c r="AZ88" i="3"/>
  <c r="C92" i="3"/>
  <c r="AW47" i="3"/>
  <c r="C69" i="3"/>
  <c r="AU71" i="3"/>
  <c r="C77" i="3"/>
  <c r="AX62" i="3"/>
  <c r="C70" i="3"/>
  <c r="AW55" i="3"/>
  <c r="AW54" i="3"/>
  <c r="AU70" i="3"/>
  <c r="C78" i="3"/>
  <c r="AW73" i="3"/>
  <c r="AW75" i="3"/>
  <c r="C94" i="3"/>
  <c r="AT94" i="3"/>
  <c r="AX63" i="3"/>
  <c r="AF77" i="3"/>
  <c r="AT86" i="3"/>
  <c r="AW86" i="3"/>
  <c r="AF73" i="3"/>
  <c r="AY56" i="3"/>
  <c r="AV86" i="3"/>
  <c r="C82" i="3"/>
  <c r="C72" i="3"/>
  <c r="AX78" i="3"/>
  <c r="AZ96" i="3"/>
  <c r="AZ54" i="3"/>
  <c r="AF84" i="3"/>
  <c r="AX82" i="3"/>
  <c r="AS71" i="3"/>
  <c r="AY88" i="3"/>
  <c r="AX75" i="3"/>
  <c r="AF81" i="3"/>
  <c r="AY96" i="3"/>
  <c r="AV63" i="3"/>
  <c r="AV90" i="3"/>
  <c r="AS60" i="3"/>
  <c r="AF62" i="3"/>
  <c r="AZ93" i="3"/>
  <c r="AU61" i="3"/>
  <c r="AV62" i="3"/>
  <c r="AZ65" i="3"/>
  <c r="AT76" i="3"/>
  <c r="AU68" i="3"/>
  <c r="AW57" i="3"/>
  <c r="AY94" i="3"/>
  <c r="AU85" i="3"/>
  <c r="AF93" i="3"/>
  <c r="AV81" i="3"/>
  <c r="AY47" i="3"/>
  <c r="AT60" i="3"/>
  <c r="AZ97" i="3"/>
  <c r="AS58" i="3"/>
  <c r="AS76" i="3"/>
  <c r="AF56" i="3"/>
  <c r="C91" i="3"/>
  <c r="AX58" i="3"/>
  <c r="C74" i="3"/>
  <c r="AT70" i="3"/>
  <c r="C88" i="3"/>
  <c r="AY75" i="3"/>
  <c r="AF76" i="3"/>
  <c r="AZ68" i="3"/>
  <c r="AX92" i="3"/>
  <c r="AZ60" i="3"/>
  <c r="AT69" i="3"/>
  <c r="AW82" i="3"/>
  <c r="AU87" i="3"/>
  <c r="AY71" i="3"/>
  <c r="AY91" i="3"/>
  <c r="AZ91" i="3"/>
  <c r="AY62" i="3"/>
  <c r="AX70" i="3"/>
  <c r="AU69" i="3"/>
  <c r="AS59" i="3"/>
  <c r="AF78" i="3"/>
  <c r="AV69" i="3"/>
  <c r="C83" i="3"/>
  <c r="AV66" i="3"/>
  <c r="AU75" i="3"/>
  <c r="AT68" i="3"/>
  <c r="AW69" i="3"/>
  <c r="C81" i="3"/>
  <c r="AU63" i="3"/>
  <c r="AX60" i="3"/>
  <c r="AV74" i="3"/>
  <c r="AZ92" i="3"/>
  <c r="AW58" i="3"/>
  <c r="AU83" i="3"/>
  <c r="AS81" i="3"/>
  <c r="AF75" i="3"/>
  <c r="AF54" i="3"/>
  <c r="AT48" i="3"/>
  <c r="AW95" i="3"/>
  <c r="C63" i="3"/>
  <c r="AF85" i="3"/>
  <c r="AX73" i="3"/>
  <c r="AS65" i="3"/>
  <c r="AU56" i="3"/>
  <c r="AY57" i="3"/>
  <c r="AW85" i="3"/>
  <c r="AT54" i="3"/>
  <c r="AW66" i="3"/>
  <c r="AT96" i="3"/>
  <c r="AY72" i="3"/>
  <c r="AU57" i="3"/>
  <c r="AS79" i="3"/>
  <c r="AU67" i="3"/>
  <c r="AS64" i="3"/>
  <c r="AY90" i="3"/>
  <c r="AU93" i="3"/>
  <c r="AX66" i="3"/>
  <c r="AU79" i="3"/>
  <c r="AW49" i="3"/>
  <c r="AU97" i="3"/>
  <c r="AS68" i="3"/>
  <c r="AS95" i="3"/>
  <c r="AV89" i="3"/>
  <c r="AS84" i="3"/>
  <c r="AW87" i="3"/>
  <c r="AF61" i="3"/>
  <c r="AT73" i="3"/>
  <c r="AX69" i="3"/>
  <c r="AV50" i="3"/>
  <c r="AY86" i="3"/>
  <c r="C66" i="3"/>
  <c r="AY73" i="3"/>
  <c r="AW67" i="3"/>
  <c r="C62" i="3"/>
  <c r="C61" i="3"/>
  <c r="C56" i="3"/>
  <c r="AZ56" i="3"/>
  <c r="AU94" i="3"/>
  <c r="AX87" i="3"/>
  <c r="AS88" i="3"/>
  <c r="AT97" i="3"/>
  <c r="AZ55" i="3"/>
  <c r="AT47" i="3"/>
  <c r="AW92" i="3"/>
  <c r="AF68" i="3"/>
  <c r="AV64" i="3"/>
  <c r="AW78" i="3"/>
  <c r="AX76" i="3"/>
  <c r="AS89" i="3"/>
  <c r="AU73" i="3"/>
  <c r="AU49" i="3"/>
  <c r="C75" i="3"/>
  <c r="AZ75" i="3"/>
  <c r="AT74" i="3"/>
  <c r="AV94" i="3"/>
  <c r="C50" i="3"/>
  <c r="AY69" i="3"/>
  <c r="AW61" i="3"/>
  <c r="AY80" i="3"/>
  <c r="AX55" i="3"/>
  <c r="AV83" i="3"/>
  <c r="AV85" i="3"/>
  <c r="AT88" i="3"/>
  <c r="AF88" i="3"/>
  <c r="AY70" i="3"/>
  <c r="AV65" i="3"/>
  <c r="AF94" i="3"/>
  <c r="AV79" i="3"/>
  <c r="AV55" i="3"/>
  <c r="AY89" i="3"/>
  <c r="AS74" i="3"/>
  <c r="AF96" i="3"/>
  <c r="AS63" i="3"/>
  <c r="AY82" i="3"/>
  <c r="AU90" i="3"/>
  <c r="AX79" i="3"/>
  <c r="AY61" i="3"/>
  <c r="AV80" i="3"/>
  <c r="AX91" i="3"/>
  <c r="AU88" i="3"/>
  <c r="AV78" i="3"/>
  <c r="AT85" i="3"/>
  <c r="AX71" i="3"/>
  <c r="AT90" i="3"/>
  <c r="AF89" i="3"/>
  <c r="AX47" i="3"/>
  <c r="AT78" i="3"/>
  <c r="AW65" i="3"/>
  <c r="AY58" i="3"/>
  <c r="AU91" i="3"/>
  <c r="AF58" i="3"/>
  <c r="AT87" i="3"/>
  <c r="AZ89" i="3"/>
  <c r="AV96" i="3"/>
  <c r="AX67" i="3"/>
  <c r="AW68" i="3"/>
  <c r="C76" i="3"/>
  <c r="AZ87" i="3"/>
  <c r="AF83" i="3"/>
  <c r="C89" i="3"/>
  <c r="AZ71" i="3"/>
  <c r="AV84" i="3"/>
  <c r="AV95" i="3"/>
  <c r="AX57" i="3"/>
  <c r="AW93" i="3"/>
  <c r="AV70" i="3"/>
  <c r="AU55" i="3"/>
  <c r="AZ78" i="3"/>
  <c r="AU59" i="3"/>
  <c r="AU66" i="3"/>
  <c r="AY95" i="3"/>
  <c r="AZ47" i="3"/>
  <c r="AS87" i="3"/>
  <c r="AY92" i="3"/>
  <c r="AX80" i="3"/>
  <c r="C57" i="3"/>
  <c r="AF72" i="3"/>
  <c r="AY59" i="3"/>
  <c r="AS69" i="3"/>
  <c r="AX61" i="3"/>
  <c r="AX65" i="3"/>
  <c r="AV47" i="3"/>
  <c r="AY54" i="3"/>
  <c r="AU76" i="3"/>
  <c r="AY64" i="3"/>
  <c r="AU82" i="3"/>
  <c r="AT59" i="3"/>
  <c r="AV68" i="3"/>
  <c r="AF90" i="3"/>
  <c r="AW91" i="3"/>
  <c r="AX89" i="3"/>
  <c r="AV76" i="3"/>
  <c r="AY66" i="3"/>
  <c r="AY81" i="3"/>
  <c r="AZ94" i="3"/>
  <c r="C59" i="3"/>
  <c r="AS97" i="3"/>
  <c r="AW59" i="3"/>
  <c r="AT83" i="3"/>
  <c r="AF47" i="3"/>
  <c r="AT89" i="3"/>
  <c r="AX56" i="3"/>
  <c r="AY79" i="3"/>
  <c r="AW62" i="3"/>
  <c r="AT66" i="3"/>
  <c r="AV54" i="3"/>
  <c r="AT72" i="3"/>
  <c r="AY83" i="3"/>
  <c r="AF55" i="3"/>
  <c r="AW90" i="3"/>
  <c r="AW81" i="3"/>
  <c r="AV75" i="3"/>
  <c r="AX95" i="3"/>
  <c r="AX54" i="3"/>
  <c r="AF71" i="3"/>
  <c r="C93" i="3"/>
  <c r="AY48" i="3"/>
  <c r="AS56" i="3"/>
  <c r="AV77" i="3"/>
  <c r="AV82" i="3"/>
  <c r="AW70" i="3"/>
  <c r="AT57" i="3"/>
  <c r="AY93" i="3"/>
  <c r="AX64" i="3"/>
  <c r="AX85" i="3"/>
  <c r="C68" i="3"/>
  <c r="AX86" i="3"/>
  <c r="AU54" i="3"/>
  <c r="AT50" i="3"/>
  <c r="AW64" i="3"/>
  <c r="AU64" i="3"/>
  <c r="AX68" i="3"/>
  <c r="AF67" i="3"/>
  <c r="AT71" i="3"/>
  <c r="AU60" i="3"/>
  <c r="AU92" i="3"/>
  <c r="AS72" i="3"/>
  <c r="AZ66" i="3"/>
  <c r="AV58" i="3"/>
  <c r="AZ49" i="3"/>
  <c r="AS55" i="3"/>
  <c r="C55" i="3"/>
  <c r="C73" i="3"/>
  <c r="AT82" i="3"/>
  <c r="AF74" i="3"/>
  <c r="AU72" i="3"/>
  <c r="AY55" i="3"/>
  <c r="AS92" i="3"/>
  <c r="AU48" i="3"/>
  <c r="AF92" i="3"/>
  <c r="AF87" i="3"/>
  <c r="AW74" i="3"/>
  <c r="AX48" i="3"/>
  <c r="AY76" i="3"/>
  <c r="AU81" i="3"/>
  <c r="AW77" i="3"/>
  <c r="AS96" i="3"/>
  <c r="AW96" i="3"/>
  <c r="AS50" i="3"/>
  <c r="AX72" i="3"/>
  <c r="AS54" i="3"/>
  <c r="AZ82" i="3"/>
  <c r="AS91" i="3"/>
  <c r="AZ86" i="3"/>
  <c r="AW97" i="3"/>
  <c r="C95" i="3"/>
  <c r="AZ74" i="3"/>
  <c r="AT56" i="3"/>
  <c r="AW83" i="3"/>
  <c r="AW72" i="3"/>
  <c r="AZ77" i="3"/>
  <c r="AX93" i="3"/>
  <c r="AF60" i="3"/>
  <c r="AY74" i="3"/>
  <c r="AF57" i="3"/>
  <c r="AV71" i="3"/>
  <c r="AV97" i="3"/>
  <c r="AF69" i="3"/>
  <c r="AU58" i="3"/>
  <c r="AS86" i="3"/>
  <c r="AZ63" i="3"/>
  <c r="AF80" i="3"/>
  <c r="AW80" i="3"/>
  <c r="AU74" i="3"/>
  <c r="AS85" i="3"/>
  <c r="C71" i="3"/>
  <c r="AX74" i="3"/>
  <c r="AY63" i="3"/>
  <c r="AY84" i="3"/>
  <c r="AT81" i="3"/>
  <c r="AS48" i="3"/>
  <c r="AZ76" i="3"/>
  <c r="AX49" i="3"/>
  <c r="AF79" i="3"/>
  <c r="AX96" i="3"/>
  <c r="AS75" i="3"/>
  <c r="AX84" i="3"/>
  <c r="AY97" i="3"/>
  <c r="AF86" i="3"/>
  <c r="AS61" i="3"/>
  <c r="AT84" i="3"/>
  <c r="AY78" i="3"/>
  <c r="AF70" i="3"/>
  <c r="AW88" i="3"/>
  <c r="AU95" i="3"/>
  <c r="AX50" i="3"/>
  <c r="AW89" i="3"/>
  <c r="AW60" i="3"/>
  <c r="AU84" i="3"/>
  <c r="AS57" i="3"/>
  <c r="AX83" i="3"/>
  <c r="AZ70" i="3"/>
  <c r="AV49" i="3"/>
  <c r="AY67" i="3"/>
  <c r="AV57" i="3"/>
  <c r="AV48" i="3"/>
  <c r="AV61" i="3"/>
  <c r="AU86" i="3"/>
  <c r="AW48" i="3"/>
  <c r="AT77" i="3"/>
  <c r="AT62" i="3"/>
  <c r="C58" i="3"/>
  <c r="AS78" i="3"/>
  <c r="AF97" i="3"/>
  <c r="AF66" i="3"/>
  <c r="AS70" i="3"/>
  <c r="AZ83" i="3"/>
  <c r="AV88" i="3"/>
  <c r="AX59" i="3"/>
  <c r="AF59" i="3"/>
  <c r="AU80" i="3"/>
  <c r="AZ81" i="3"/>
  <c r="AU96" i="3"/>
  <c r="AV91" i="3"/>
  <c r="AX97" i="3"/>
  <c r="AW50" i="3"/>
  <c r="AZ84" i="3"/>
  <c r="C96" i="3"/>
  <c r="AT65" i="3"/>
  <c r="AZ57" i="3"/>
  <c r="AT58" i="3"/>
  <c r="AU62" i="3"/>
  <c r="AV56" i="3"/>
  <c r="AW76" i="3"/>
  <c r="AS90" i="3"/>
  <c r="AT91" i="3"/>
  <c r="AX90" i="3"/>
  <c r="AV92" i="3"/>
  <c r="AT79" i="3"/>
  <c r="AZ64" i="3"/>
  <c r="AU78" i="3"/>
  <c r="AS62" i="3"/>
  <c r="AU50" i="3"/>
  <c r="AV72" i="3"/>
  <c r="AT67" i="3"/>
  <c r="AW79" i="3"/>
  <c r="C64" i="3"/>
  <c r="AS93" i="3"/>
  <c r="AT61" i="3"/>
  <c r="AF63" i="3"/>
  <c r="C90" i="3"/>
  <c r="C84" i="3"/>
  <c r="AZ67" i="3"/>
  <c r="AY50" i="3"/>
  <c r="AZ85" i="3"/>
  <c r="AV67" i="3"/>
  <c r="AW71" i="3"/>
  <c r="AV73" i="3"/>
  <c r="AF91" i="3"/>
  <c r="AS82" i="3"/>
  <c r="AT80" i="3"/>
  <c r="AZ79" i="3"/>
  <c r="AZ73" i="3"/>
  <c r="AX88" i="3"/>
  <c r="AZ48" i="3"/>
  <c r="AX77" i="3"/>
  <c r="AZ95" i="3"/>
  <c r="AY60" i="3"/>
  <c r="AZ72" i="3"/>
  <c r="AZ90" i="3"/>
  <c r="AT64" i="3"/>
  <c r="AW56" i="3"/>
  <c r="AS73" i="3"/>
  <c r="AW84" i="3"/>
  <c r="AZ80" i="3"/>
  <c r="C85" i="3"/>
  <c r="AS67" i="3"/>
  <c r="AY68" i="3"/>
  <c r="AX81" i="3"/>
  <c r="C79" i="3"/>
  <c r="C86" i="3"/>
  <c r="C54" i="3"/>
  <c r="AW63" i="3"/>
  <c r="C97" i="3"/>
  <c r="AT55" i="3"/>
  <c r="AY87" i="3"/>
  <c r="AZ59" i="3"/>
  <c r="AT92" i="3"/>
  <c r="AY77" i="3"/>
  <c r="AZ50" i="3"/>
  <c r="AF64" i="3"/>
  <c r="AF82" i="3"/>
  <c r="AY49" i="3"/>
  <c r="AU47" i="3"/>
  <c r="AW94" i="3"/>
  <c r="AU65" i="3"/>
  <c r="AZ69" i="3"/>
  <c r="AF49" i="3"/>
  <c r="AS94" i="3"/>
  <c r="AV93" i="3"/>
  <c r="AZ62" i="3"/>
  <c r="AY85" i="3"/>
  <c r="AS83" i="3"/>
  <c r="AT95" i="3"/>
  <c r="C60" i="3"/>
  <c r="AX94" i="3"/>
  <c r="AT49" i="3"/>
  <c r="AV60" i="3"/>
  <c r="AZ58" i="3"/>
  <c r="AF95" i="3"/>
  <c r="AU77" i="3"/>
  <c r="AT93" i="3"/>
  <c r="AT75" i="3"/>
  <c r="C67" i="3"/>
  <c r="C80" i="3"/>
  <c r="AT63" i="3"/>
  <c r="AU89" i="3"/>
  <c r="AV87" i="3"/>
  <c r="C87" i="3"/>
  <c r="C65" i="3"/>
  <c r="AY65" i="3"/>
  <c r="AA29" i="1" l="1"/>
  <c r="AA206" i="1"/>
  <c r="AA224" i="1"/>
  <c r="AA223" i="1" s="1"/>
  <c r="AA267" i="1"/>
  <c r="Y147" i="1"/>
  <c r="KB20" i="4"/>
  <c r="JS19" i="4"/>
  <c r="JN19" i="4"/>
  <c r="CH96" i="1" s="1"/>
  <c r="CH166" i="1"/>
  <c r="CH200" i="1" s="1"/>
  <c r="KF19" i="4"/>
  <c r="KD19" i="4"/>
  <c r="JO20" i="4"/>
  <c r="CI97" i="1" s="1"/>
  <c r="JZ19" i="4"/>
  <c r="CH45" i="1"/>
  <c r="Y186" i="1"/>
  <c r="Y127" i="1" s="1"/>
  <c r="CH199" i="1"/>
  <c r="CI199" i="1" s="1"/>
  <c r="CI164" i="1" s="1"/>
  <c r="CJ126" i="1"/>
  <c r="CR197" i="1"/>
  <c r="CJ266" i="1"/>
  <c r="JQ19" i="4"/>
  <c r="CK96" i="1" s="1"/>
  <c r="X45" i="1"/>
  <c r="KA19" i="4"/>
  <c r="Z55" i="1"/>
  <c r="CK45" i="1"/>
  <c r="Z193" i="1"/>
  <c r="Z200" i="1"/>
  <c r="CJ262" i="1"/>
  <c r="CL117" i="1"/>
  <c r="Y45" i="1"/>
  <c r="CJ202" i="1"/>
  <c r="CK202" i="1" s="1"/>
  <c r="KA20" i="4"/>
  <c r="CJ264" i="1"/>
  <c r="CK117" i="1"/>
  <c r="CK120" i="1" s="1"/>
  <c r="JX19" i="4"/>
  <c r="CK150" i="1"/>
  <c r="CK152" i="1" s="1"/>
  <c r="JX20" i="4"/>
  <c r="KC20" i="4"/>
  <c r="CL45" i="1"/>
  <c r="AB63" i="1"/>
  <c r="CJ125" i="1"/>
  <c r="CL125" i="1"/>
  <c r="CL121" i="1"/>
  <c r="Y266" i="1"/>
  <c r="X116" i="1"/>
  <c r="X34" i="1"/>
  <c r="KG20" i="4"/>
  <c r="KD20" i="4"/>
  <c r="CH172" i="1"/>
  <c r="CH174" i="1" s="1"/>
  <c r="CH203" i="1" s="1"/>
  <c r="Z174" i="1"/>
  <c r="AA215" i="1" s="1"/>
  <c r="AA216" i="1" s="1"/>
  <c r="AA217" i="1" s="1"/>
  <c r="CK126" i="1"/>
  <c r="CH81" i="1"/>
  <c r="CI83" i="1"/>
  <c r="X175" i="1"/>
  <c r="Y214" i="1"/>
  <c r="X200" i="1"/>
  <c r="CH149" i="1"/>
  <c r="Z152" i="1"/>
  <c r="CJ18" i="1"/>
  <c r="CJ22" i="1"/>
  <c r="Z266" i="1"/>
  <c r="CL200" i="1"/>
  <c r="CL175" i="1"/>
  <c r="CL183" i="1" s="1"/>
  <c r="CI126" i="1"/>
  <c r="CJ34" i="1"/>
  <c r="CK30" i="1"/>
  <c r="CK125" i="1"/>
  <c r="CK121" i="1"/>
  <c r="CI200" i="1"/>
  <c r="CR63" i="1"/>
  <c r="CS63" i="1" s="1"/>
  <c r="CT63" i="1" s="1"/>
  <c r="CU63" i="1" s="1"/>
  <c r="CI220" i="1"/>
  <c r="Z147" i="1"/>
  <c r="Z224" i="1"/>
  <c r="Z186" i="1"/>
  <c r="Z127" i="1" s="1"/>
  <c r="Z267" i="1"/>
  <c r="CI227" i="1"/>
  <c r="CJ117" i="1"/>
  <c r="JW20" i="4"/>
  <c r="CI142" i="1"/>
  <c r="CI146" i="1" s="1"/>
  <c r="CJ224" i="1" s="1"/>
  <c r="CH146" i="1"/>
  <c r="JN20" i="4"/>
  <c r="CH97" i="1" s="1"/>
  <c r="CI135" i="1"/>
  <c r="CH138" i="1"/>
  <c r="Z116" i="1"/>
  <c r="Z34" i="1"/>
  <c r="AA36" i="1" s="1"/>
  <c r="Z29" i="1"/>
  <c r="Z206" i="1"/>
  <c r="CJ147" i="1"/>
  <c r="CJ110" i="1"/>
  <c r="CL264" i="1"/>
  <c r="CH34" i="1"/>
  <c r="CI30" i="1"/>
  <c r="CL29" i="1"/>
  <c r="Z45" i="1"/>
  <c r="CJ200" i="1"/>
  <c r="CJ175" i="1"/>
  <c r="CJ183" i="1" s="1"/>
  <c r="Y215" i="1"/>
  <c r="Y203" i="1"/>
  <c r="Y202" i="1" s="1"/>
  <c r="JY19" i="4"/>
  <c r="CG34" i="1"/>
  <c r="CJ243" i="1"/>
  <c r="CK29" i="1"/>
  <c r="CH30" i="1"/>
  <c r="JO19" i="4"/>
  <c r="CI96" i="1" s="1"/>
  <c r="CL266" i="1"/>
  <c r="CH201" i="1"/>
  <c r="CI201" i="1" s="1"/>
  <c r="X156" i="1"/>
  <c r="Y221" i="1" s="1"/>
  <c r="Y219" i="1" s="1"/>
  <c r="X51" i="1"/>
  <c r="CL122" i="1"/>
  <c r="CL126" i="1"/>
  <c r="KG19" i="4"/>
  <c r="Y262" i="1"/>
  <c r="Y206" i="1"/>
  <c r="Y29" i="1"/>
  <c r="Y34" i="1"/>
  <c r="Y116" i="1"/>
  <c r="AC151" i="1"/>
  <c r="CU151" i="1"/>
  <c r="CV151" i="1" s="1"/>
  <c r="CW151" i="1" s="1"/>
  <c r="CX151" i="1" s="1"/>
  <c r="Z214" i="1"/>
  <c r="Y175" i="1"/>
  <c r="Y183" i="1" s="1"/>
  <c r="Y184" i="1" s="1"/>
  <c r="Y200" i="1"/>
  <c r="CM201" i="1"/>
  <c r="CN201" i="1" s="1"/>
  <c r="CK203" i="1"/>
  <c r="CJ45" i="1"/>
  <c r="CM45" i="1" s="1"/>
  <c r="CK267" i="1"/>
  <c r="CK224" i="1"/>
  <c r="JU20" i="4"/>
  <c r="CL243" i="1"/>
  <c r="CL262" i="1"/>
  <c r="CJ30" i="1"/>
  <c r="CI34" i="1"/>
  <c r="CK18" i="1"/>
  <c r="CK22" i="1"/>
  <c r="X193" i="1"/>
  <c r="X266" i="1"/>
  <c r="KH20" i="4"/>
  <c r="CN142" i="1"/>
  <c r="CM146" i="1"/>
  <c r="CL34" i="1"/>
  <c r="CL206" i="1"/>
  <c r="CL202" i="1"/>
  <c r="CM202" i="1" s="1"/>
  <c r="CK34" i="1"/>
  <c r="CL30" i="1"/>
  <c r="Z199" i="1"/>
  <c r="JU19" i="4"/>
  <c r="Z227" i="1"/>
  <c r="Y264" i="1"/>
  <c r="CL186" i="1"/>
  <c r="CL224" i="1"/>
  <c r="CL267" i="1"/>
  <c r="CL147" i="1"/>
  <c r="JV19" i="4"/>
  <c r="Y224" i="1"/>
  <c r="X186" i="1"/>
  <c r="X127" i="1" s="1"/>
  <c r="X55" i="1"/>
  <c r="X147" i="1"/>
  <c r="CC249" i="1"/>
  <c r="CC9" i="1"/>
  <c r="CB249" i="1"/>
  <c r="CB9" i="1"/>
  <c r="CD249" i="1"/>
  <c r="CD9" i="1"/>
  <c r="BZ249" i="1"/>
  <c r="BZ9" i="1"/>
  <c r="CA249" i="1"/>
  <c r="CA9" i="1"/>
  <c r="CO158" i="1"/>
  <c r="CP158" i="1" s="1"/>
  <c r="AE5" i="1"/>
  <c r="CR143" i="1"/>
  <c r="BZ143" i="1"/>
  <c r="CA143" i="1" s="1"/>
  <c r="BL91" i="1"/>
  <c r="CF92" i="1"/>
  <c r="CB164" i="1"/>
  <c r="CC164" i="1" s="1"/>
  <c r="CD171" i="1"/>
  <c r="CD201" i="1" s="1"/>
  <c r="CE201" i="1" s="1"/>
  <c r="CB182" i="1"/>
  <c r="CC182" i="1" s="1"/>
  <c r="BL142" i="1"/>
  <c r="BM142" i="1" s="1"/>
  <c r="CD151" i="1"/>
  <c r="CD142" i="1"/>
  <c r="CE142" i="1" s="1"/>
  <c r="CF145" i="1"/>
  <c r="CG145" i="1" s="1"/>
  <c r="CB145" i="1"/>
  <c r="CC145" i="1" s="1"/>
  <c r="CB170" i="1"/>
  <c r="CC170" i="1" s="1"/>
  <c r="CB162" i="1"/>
  <c r="CB197" i="1" s="1"/>
  <c r="CC197" i="1" s="1"/>
  <c r="BZ171" i="1"/>
  <c r="BZ201" i="1" s="1"/>
  <c r="CA201" i="1" s="1"/>
  <c r="BZ182" i="1"/>
  <c r="CA182" i="1" s="1"/>
  <c r="BZ172" i="1"/>
  <c r="CA172" i="1" s="1"/>
  <c r="BZ178" i="1"/>
  <c r="BZ168" i="1"/>
  <c r="CA168" i="1" s="1"/>
  <c r="BZ150" i="1"/>
  <c r="BL163" i="1"/>
  <c r="BL198" i="1" s="1"/>
  <c r="BM198" i="1" s="1"/>
  <c r="BL171" i="1"/>
  <c r="BL201" i="1" s="1"/>
  <c r="BM201" i="1" s="1"/>
  <c r="BL140" i="1"/>
  <c r="BM140" i="1" s="1"/>
  <c r="CA91" i="1"/>
  <c r="CF91" i="1"/>
  <c r="CF164" i="1"/>
  <c r="CG164" i="1" s="1"/>
  <c r="CF151" i="1"/>
  <c r="CB92" i="1"/>
  <c r="CF162" i="1"/>
  <c r="CF197" i="1" s="1"/>
  <c r="CG197" i="1" s="1"/>
  <c r="CG162" i="1" s="1"/>
  <c r="CF140" i="1"/>
  <c r="CG140" i="1" s="1"/>
  <c r="CB167" i="1"/>
  <c r="CC167" i="1" s="1"/>
  <c r="CF182" i="1"/>
  <c r="CG182" i="1" s="1"/>
  <c r="CB143" i="1"/>
  <c r="CC143" i="1" s="1"/>
  <c r="CB181" i="1"/>
  <c r="CC181" i="1" s="1"/>
  <c r="CD92" i="1"/>
  <c r="CB177" i="1"/>
  <c r="CD163" i="1"/>
  <c r="CD198" i="1" s="1"/>
  <c r="CE198" i="1" s="1"/>
  <c r="CD140" i="1"/>
  <c r="CE140" i="1" s="1"/>
  <c r="BL143" i="1"/>
  <c r="CD149" i="1"/>
  <c r="CD169" i="1"/>
  <c r="CE169" i="1" s="1"/>
  <c r="CD177" i="1"/>
  <c r="CD160" i="1"/>
  <c r="CE160" i="1" s="1"/>
  <c r="CF158" i="1"/>
  <c r="CF144" i="1"/>
  <c r="CG144" i="1" s="1"/>
  <c r="CB160" i="1"/>
  <c r="CC160" i="1" s="1"/>
  <c r="BL172" i="1"/>
  <c r="BM172" i="1" s="1"/>
  <c r="BL181" i="1"/>
  <c r="BM181" i="1" s="1"/>
  <c r="BL182" i="1"/>
  <c r="CB144" i="1"/>
  <c r="CC144" i="1" s="1"/>
  <c r="CE92" i="1"/>
  <c r="BZ177" i="1"/>
  <c r="BZ181" i="1"/>
  <c r="CA181" i="1" s="1"/>
  <c r="BZ137" i="1"/>
  <c r="BZ145" i="1"/>
  <c r="CA145" i="1" s="1"/>
  <c r="CF163" i="1"/>
  <c r="CF198" i="1" s="1"/>
  <c r="CG198" i="1" s="1"/>
  <c r="CG163" i="1" s="1"/>
  <c r="CF150" i="1"/>
  <c r="CF167" i="1"/>
  <c r="CB137" i="1"/>
  <c r="CB163" i="1"/>
  <c r="CB198" i="1" s="1"/>
  <c r="CC198" i="1" s="1"/>
  <c r="CD178" i="1"/>
  <c r="CD170" i="1"/>
  <c r="CE170" i="1" s="1"/>
  <c r="CB91" i="1"/>
  <c r="BZ173" i="1"/>
  <c r="CA173" i="1" s="1"/>
  <c r="BZ151" i="1"/>
  <c r="BZ135" i="1"/>
  <c r="BZ165" i="1"/>
  <c r="CA165" i="1" s="1"/>
  <c r="BZ92" i="1"/>
  <c r="BZ142" i="1"/>
  <c r="CA142" i="1" s="1"/>
  <c r="BZ144" i="1"/>
  <c r="CA144" i="1" s="1"/>
  <c r="BZ160" i="1"/>
  <c r="CA160" i="1" s="1"/>
  <c r="BZ149" i="1"/>
  <c r="BL151" i="1"/>
  <c r="BL167" i="1"/>
  <c r="BM167" i="1" s="1"/>
  <c r="CF142" i="1"/>
  <c r="CF171" i="1"/>
  <c r="CF201" i="1" s="1"/>
  <c r="CG201" i="1" s="1"/>
  <c r="CG171" i="1" s="1"/>
  <c r="CD172" i="1"/>
  <c r="CE172" i="1" s="1"/>
  <c r="CF172" i="1"/>
  <c r="CG172" i="1" s="1"/>
  <c r="CB149" i="1"/>
  <c r="CB172" i="1"/>
  <c r="CC172" i="1" s="1"/>
  <c r="BY92" i="1"/>
  <c r="CD181" i="1"/>
  <c r="CE181" i="1" s="1"/>
  <c r="CD153" i="1"/>
  <c r="CE153" i="1" s="1"/>
  <c r="BL178" i="1"/>
  <c r="CB171" i="1"/>
  <c r="CB201" i="1" s="1"/>
  <c r="CC201" i="1" s="1"/>
  <c r="CB136" i="1"/>
  <c r="CC136" i="1" s="1"/>
  <c r="BL168" i="1"/>
  <c r="BM168" i="1" s="1"/>
  <c r="CD145" i="1"/>
  <c r="CE145" i="1" s="1"/>
  <c r="CD165" i="1"/>
  <c r="CE165" i="1" s="1"/>
  <c r="CD137" i="1"/>
  <c r="CD164" i="1"/>
  <c r="CE164" i="1" s="1"/>
  <c r="CD173" i="1"/>
  <c r="CE173" i="1" s="1"/>
  <c r="CD158" i="1"/>
  <c r="CE158" i="1" s="1"/>
  <c r="CF135" i="1"/>
  <c r="CF136" i="1"/>
  <c r="CG136" i="1" s="1"/>
  <c r="CF169" i="1"/>
  <c r="CG169" i="1" s="1"/>
  <c r="CF181" i="1"/>
  <c r="CG181" i="1" s="1"/>
  <c r="CB178" i="1"/>
  <c r="CB158" i="1"/>
  <c r="AI92" i="1"/>
  <c r="BL165" i="1"/>
  <c r="BM165" i="1" s="1"/>
  <c r="BL153" i="1"/>
  <c r="BM153" i="1" s="1"/>
  <c r="BL144" i="1"/>
  <c r="BM144" i="1" s="1"/>
  <c r="CB142" i="1"/>
  <c r="CC142" i="1" s="1"/>
  <c r="BL164" i="1"/>
  <c r="BM164" i="1" s="1"/>
  <c r="BZ153" i="1"/>
  <c r="CA153" i="1" s="1"/>
  <c r="BZ91" i="1"/>
  <c r="BL170" i="1"/>
  <c r="BM170" i="1" s="1"/>
  <c r="CB150" i="1"/>
  <c r="CF165" i="1"/>
  <c r="CG165" i="1" s="1"/>
  <c r="CB165" i="1"/>
  <c r="CC165" i="1" s="1"/>
  <c r="CD91" i="1"/>
  <c r="CC92" i="1"/>
  <c r="CD136" i="1"/>
  <c r="CE136" i="1" s="1"/>
  <c r="BL137" i="1"/>
  <c r="CD143" i="1"/>
  <c r="CE143" i="1" s="1"/>
  <c r="CF177" i="1"/>
  <c r="CF170" i="1"/>
  <c r="CG170" i="1" s="1"/>
  <c r="CE91" i="1"/>
  <c r="BZ163" i="1"/>
  <c r="BZ198" i="1" s="1"/>
  <c r="CA198" i="1" s="1"/>
  <c r="BZ140" i="1"/>
  <c r="CA140" i="1" s="1"/>
  <c r="BZ162" i="1"/>
  <c r="BZ197" i="1" s="1"/>
  <c r="CA197" i="1" s="1"/>
  <c r="BZ136" i="1"/>
  <c r="CA136" i="1" s="1"/>
  <c r="BZ167" i="1"/>
  <c r="BZ169" i="1"/>
  <c r="CA169" i="1" s="1"/>
  <c r="BZ164" i="1"/>
  <c r="CA164" i="1" s="1"/>
  <c r="BZ158" i="1"/>
  <c r="CA158" i="1" s="1"/>
  <c r="BZ170" i="1"/>
  <c r="CA170" i="1" s="1"/>
  <c r="BL173" i="1"/>
  <c r="BM173" i="1" s="1"/>
  <c r="BL162" i="1"/>
  <c r="BL197" i="1" s="1"/>
  <c r="BM197" i="1" s="1"/>
  <c r="BL149" i="1"/>
  <c r="BL150" i="1"/>
  <c r="CA92" i="1"/>
  <c r="CF173" i="1"/>
  <c r="CG173" i="1" s="1"/>
  <c r="CF168" i="1"/>
  <c r="CG168" i="1" s="1"/>
  <c r="CF178" i="1"/>
  <c r="CB135" i="1"/>
  <c r="CC135" i="1" s="1"/>
  <c r="CF149" i="1"/>
  <c r="CF137" i="1"/>
  <c r="CF143" i="1"/>
  <c r="CG143" i="1" s="1"/>
  <c r="CD144" i="1"/>
  <c r="CE144" i="1" s="1"/>
  <c r="CB173" i="1"/>
  <c r="CC173" i="1" s="1"/>
  <c r="CB153" i="1"/>
  <c r="CC153" i="1" s="1"/>
  <c r="CB169" i="1"/>
  <c r="CC169" i="1" s="1"/>
  <c r="CD135" i="1"/>
  <c r="BL158" i="1"/>
  <c r="CB151" i="1"/>
  <c r="BL145" i="1"/>
  <c r="BM145" i="1" s="1"/>
  <c r="CD150" i="1"/>
  <c r="CD162" i="1"/>
  <c r="CD197" i="1" s="1"/>
  <c r="CE197" i="1" s="1"/>
  <c r="CD168" i="1"/>
  <c r="CE168" i="1" s="1"/>
  <c r="CD167" i="1"/>
  <c r="CE167" i="1" s="1"/>
  <c r="CD182" i="1"/>
  <c r="CE182" i="1" s="1"/>
  <c r="CF153" i="1"/>
  <c r="CG153" i="1" s="1"/>
  <c r="CF160" i="1"/>
  <c r="CG160" i="1" s="1"/>
  <c r="CC91" i="1"/>
  <c r="CB168" i="1"/>
  <c r="CC168" i="1" s="1"/>
  <c r="CB140" i="1"/>
  <c r="CC140" i="1" s="1"/>
  <c r="BL177" i="1"/>
  <c r="BL135" i="1"/>
  <c r="BM135" i="1" s="1"/>
  <c r="BL169" i="1"/>
  <c r="BM169" i="1" s="1"/>
  <c r="BL160" i="1"/>
  <c r="BM160" i="1" s="1"/>
  <c r="BL136" i="1"/>
  <c r="BM136" i="1" s="1"/>
  <c r="BL271" i="1"/>
  <c r="CH116" i="1"/>
  <c r="CB155" i="1"/>
  <c r="CC155" i="1" s="1"/>
  <c r="CF155" i="1"/>
  <c r="CG155" i="1" s="1"/>
  <c r="CD155" i="1"/>
  <c r="CE155" i="1" s="1"/>
  <c r="BL155" i="1"/>
  <c r="BM155" i="1" s="1"/>
  <c r="BZ155" i="1"/>
  <c r="CA155" i="1" s="1"/>
  <c r="BL161" i="1"/>
  <c r="CD161" i="1"/>
  <c r="CB161" i="1"/>
  <c r="CF161" i="1"/>
  <c r="BZ161" i="1"/>
  <c r="CA270" i="1"/>
  <c r="JJ21" i="4"/>
  <c r="CD95" i="1" s="1"/>
  <c r="CA28" i="1"/>
  <c r="CA34" i="1" s="1"/>
  <c r="CA35" i="1" s="1"/>
  <c r="JK14" i="4"/>
  <c r="BL28" i="1"/>
  <c r="BL34" i="1" s="1"/>
  <c r="BY28" i="1"/>
  <c r="BY34" i="1" s="1"/>
  <c r="BL212" i="1"/>
  <c r="CF28" i="1"/>
  <c r="AA76" i="1" s="1"/>
  <c r="CF270" i="1"/>
  <c r="JL21" i="4"/>
  <c r="CF95" i="1" s="1"/>
  <c r="CF116" i="1"/>
  <c r="CB44" i="1"/>
  <c r="CE249" i="1"/>
  <c r="CC271" i="1"/>
  <c r="CA44" i="1"/>
  <c r="CE270" i="1"/>
  <c r="CC270" i="1"/>
  <c r="JM7" i="4"/>
  <c r="CA271" i="1"/>
  <c r="JJ8" i="4"/>
  <c r="CF44" i="1"/>
  <c r="BZ270" i="1"/>
  <c r="BZ28" i="1"/>
  <c r="CA212" i="1"/>
  <c r="CD271" i="1"/>
  <c r="CB116" i="1"/>
  <c r="JK21" i="4"/>
  <c r="CE95" i="1" s="1"/>
  <c r="JK15" i="4"/>
  <c r="CD270" i="1"/>
  <c r="JL14" i="4"/>
  <c r="CC44" i="1"/>
  <c r="BY44" i="1"/>
  <c r="CI116" i="1"/>
  <c r="CF249" i="1"/>
  <c r="BY271" i="1"/>
  <c r="JL8" i="4"/>
  <c r="CE44" i="1"/>
  <c r="BL270" i="1"/>
  <c r="CE116" i="1"/>
  <c r="CD28" i="1"/>
  <c r="CD34" i="1" s="1"/>
  <c r="CC28" i="1"/>
  <c r="CD212" i="1"/>
  <c r="CE28" i="1"/>
  <c r="CG116" i="1"/>
  <c r="CD116" i="1"/>
  <c r="CB28" i="1"/>
  <c r="CB34" i="1" s="1"/>
  <c r="CB270" i="1"/>
  <c r="CC116" i="1"/>
  <c r="JJ15" i="4"/>
  <c r="CB271" i="1"/>
  <c r="BY270" i="1"/>
  <c r="CD44" i="1"/>
  <c r="JM8" i="4"/>
  <c r="JL7" i="4"/>
  <c r="CF271" i="1"/>
  <c r="JJ7" i="4"/>
  <c r="JK8" i="4"/>
  <c r="JM21" i="4"/>
  <c r="CG95" i="1" s="1"/>
  <c r="BZ271" i="1"/>
  <c r="CE271" i="1"/>
  <c r="JK7" i="4"/>
  <c r="BL44" i="1"/>
  <c r="JL15" i="4"/>
  <c r="BZ44" i="1"/>
  <c r="JM14" i="4"/>
  <c r="JM15" i="4"/>
  <c r="JJ14" i="4"/>
  <c r="CS198" i="1"/>
  <c r="AD64" i="1"/>
  <c r="CZ64" i="1"/>
  <c r="DA64" i="1" s="1"/>
  <c r="DB64" i="1" s="1"/>
  <c r="AE53" i="1"/>
  <c r="U26" i="1"/>
  <c r="U9" i="1" s="1"/>
  <c r="V26" i="1"/>
  <c r="V9" i="1" s="1"/>
  <c r="W26" i="1"/>
  <c r="W9" i="1" s="1"/>
  <c r="CS197" i="1" l="1"/>
  <c r="CL120" i="1"/>
  <c r="CI117" i="1"/>
  <c r="CI120" i="1" s="1"/>
  <c r="CI125" i="1"/>
  <c r="X262" i="1"/>
  <c r="CH202" i="1"/>
  <c r="CI202" i="1" s="1"/>
  <c r="Y216" i="1"/>
  <c r="X264" i="1"/>
  <c r="CH266" i="1"/>
  <c r="CL51" i="1"/>
  <c r="CM51" i="1" s="1"/>
  <c r="CN51" i="1" s="1"/>
  <c r="CO51" i="1" s="1"/>
  <c r="CP51" i="1" s="1"/>
  <c r="CQ51" i="1" s="1"/>
  <c r="CR51" i="1" s="1"/>
  <c r="CS51" i="1" s="1"/>
  <c r="CT51" i="1" s="1"/>
  <c r="CU51" i="1" s="1"/>
  <c r="CV51" i="1" s="1"/>
  <c r="CW51" i="1" s="1"/>
  <c r="CX51" i="1" s="1"/>
  <c r="CY51" i="1" s="1"/>
  <c r="CZ51" i="1" s="1"/>
  <c r="DA51" i="1" s="1"/>
  <c r="DB51" i="1" s="1"/>
  <c r="CK156" i="1"/>
  <c r="CK221" i="1" s="1"/>
  <c r="CK219" i="1" s="1"/>
  <c r="CL150" i="1"/>
  <c r="CL149" i="1" s="1"/>
  <c r="CJ184" i="1"/>
  <c r="CH36" i="1"/>
  <c r="CK122" i="1"/>
  <c r="CN45" i="1"/>
  <c r="CO45" i="1" s="1"/>
  <c r="AC63" i="1"/>
  <c r="CK37" i="1"/>
  <c r="CJ35" i="1"/>
  <c r="CJ46" i="1"/>
  <c r="CM224" i="1"/>
  <c r="CM267" i="1"/>
  <c r="X204" i="1"/>
  <c r="X199" i="1"/>
  <c r="X183" i="1"/>
  <c r="X184" i="1" s="1"/>
  <c r="Y199" i="1"/>
  <c r="Y204" i="1"/>
  <c r="CJ113" i="1"/>
  <c r="CJ114" i="1"/>
  <c r="CJ112" i="1"/>
  <c r="CJ267" i="1"/>
  <c r="CI267" i="1"/>
  <c r="CI224" i="1"/>
  <c r="CL22" i="1"/>
  <c r="CL19" i="1" s="1"/>
  <c r="CH83" i="1"/>
  <c r="CH125" i="1" s="1"/>
  <c r="CG81" i="1"/>
  <c r="Y36" i="1"/>
  <c r="X35" i="1"/>
  <c r="X46" i="1"/>
  <c r="CK21" i="1"/>
  <c r="CO18" i="1"/>
  <c r="CS18" i="1" s="1"/>
  <c r="CW18" i="1" s="1"/>
  <c r="DA18" i="1" s="1"/>
  <c r="CG35" i="1"/>
  <c r="CG46" i="1"/>
  <c r="CK36" i="1"/>
  <c r="CH37" i="1"/>
  <c r="CV63" i="1"/>
  <c r="CW63" i="1" s="1"/>
  <c r="CX63" i="1" s="1"/>
  <c r="CY63" i="1" s="1"/>
  <c r="CZ63" i="1" s="1"/>
  <c r="DA63" i="1" s="1"/>
  <c r="DB63" i="1" s="1"/>
  <c r="AE63" i="1" s="1"/>
  <c r="CJ21" i="1"/>
  <c r="CN18" i="1"/>
  <c r="CI149" i="1"/>
  <c r="CI152" i="1" s="1"/>
  <c r="CH152" i="1"/>
  <c r="CM203" i="1"/>
  <c r="CN202" i="1"/>
  <c r="CO202" i="1" s="1"/>
  <c r="CP202" i="1" s="1"/>
  <c r="CQ202" i="1" s="1"/>
  <c r="CR202" i="1" s="1"/>
  <c r="Y35" i="1"/>
  <c r="Z36" i="1"/>
  <c r="Y46" i="1"/>
  <c r="CH204" i="1"/>
  <c r="CO142" i="1"/>
  <c r="CN146" i="1"/>
  <c r="CL184" i="1"/>
  <c r="CL204" i="1"/>
  <c r="CL207" i="1" s="1"/>
  <c r="CL199" i="1"/>
  <c r="CM199" i="1" s="1"/>
  <c r="CL36" i="1"/>
  <c r="CI37" i="1"/>
  <c r="CH35" i="1"/>
  <c r="CH46" i="1"/>
  <c r="CO201" i="1"/>
  <c r="CH147" i="1"/>
  <c r="CH186" i="1"/>
  <c r="CI46" i="1"/>
  <c r="CI35" i="1"/>
  <c r="CJ37" i="1"/>
  <c r="CJ199" i="1"/>
  <c r="CK199" i="1" s="1"/>
  <c r="CK200" i="1" s="1"/>
  <c r="CK204" i="1" s="1"/>
  <c r="CJ204" i="1"/>
  <c r="CK35" i="1"/>
  <c r="CK46" i="1"/>
  <c r="CL37" i="1"/>
  <c r="AD151" i="1"/>
  <c r="CY151" i="1"/>
  <c r="CZ151" i="1" s="1"/>
  <c r="DA151" i="1" s="1"/>
  <c r="DB151" i="1" s="1"/>
  <c r="AE151" i="1" s="1"/>
  <c r="CJ120" i="1"/>
  <c r="CJ122" i="1"/>
  <c r="Z215" i="1"/>
  <c r="Z216" i="1" s="1"/>
  <c r="Z203" i="1"/>
  <c r="Z175" i="1"/>
  <c r="CJ121" i="1"/>
  <c r="CH175" i="1"/>
  <c r="CL46" i="1"/>
  <c r="CL35" i="1"/>
  <c r="Z35" i="1"/>
  <c r="Z46" i="1"/>
  <c r="Z156" i="1"/>
  <c r="AA221" i="1" s="1"/>
  <c r="AA219" i="1" s="1"/>
  <c r="Z51" i="1"/>
  <c r="CO220" i="1"/>
  <c r="CP220" i="1"/>
  <c r="CQ158" i="1"/>
  <c r="AD6" i="1"/>
  <c r="AD13" i="1" s="1"/>
  <c r="CS143" i="1"/>
  <c r="BZ179" i="1"/>
  <c r="BL179" i="1"/>
  <c r="CB220" i="1"/>
  <c r="CA135" i="1"/>
  <c r="BZ138" i="1"/>
  <c r="BL138" i="1"/>
  <c r="CB179" i="1"/>
  <c r="CC227" i="1" s="1"/>
  <c r="CG142" i="1"/>
  <c r="CG146" i="1" s="1"/>
  <c r="CF146" i="1"/>
  <c r="CD152" i="1"/>
  <c r="CE51" i="1" s="1"/>
  <c r="CC158" i="1"/>
  <c r="CD220" i="1" s="1"/>
  <c r="CE135" i="1"/>
  <c r="CD138" i="1"/>
  <c r="BM158" i="1"/>
  <c r="BM220" i="1" s="1"/>
  <c r="CD179" i="1"/>
  <c r="CF220" i="1"/>
  <c r="CE146" i="1"/>
  <c r="BM143" i="1"/>
  <c r="BM146" i="1" s="1"/>
  <c r="BL146" i="1"/>
  <c r="CG158" i="1"/>
  <c r="CG167" i="1"/>
  <c r="CG174" i="1" s="1"/>
  <c r="CF174" i="1"/>
  <c r="CF203" i="1" s="1"/>
  <c r="CF202" i="1" s="1"/>
  <c r="CG135" i="1"/>
  <c r="CF138" i="1"/>
  <c r="CA167" i="1"/>
  <c r="BZ174" i="1"/>
  <c r="BZ203" i="1" s="1"/>
  <c r="BZ202" i="1" s="1"/>
  <c r="BZ152" i="1"/>
  <c r="BZ156" i="1" s="1"/>
  <c r="CA146" i="1"/>
  <c r="CB152" i="1"/>
  <c r="CF179" i="1"/>
  <c r="BL152" i="1"/>
  <c r="CF152" i="1"/>
  <c r="CF156" i="1" s="1"/>
  <c r="CC146" i="1"/>
  <c r="CB146" i="1"/>
  <c r="CE220" i="1"/>
  <c r="BZ146" i="1"/>
  <c r="CB174" i="1"/>
  <c r="CB203" i="1" s="1"/>
  <c r="CB202" i="1" s="1"/>
  <c r="BL174" i="1"/>
  <c r="BL203" i="1" s="1"/>
  <c r="BL202" i="1" s="1"/>
  <c r="CD174" i="1"/>
  <c r="CD203" i="1" s="1"/>
  <c r="CD202" i="1" s="1"/>
  <c r="CB138" i="1"/>
  <c r="CD146" i="1"/>
  <c r="BM161" i="1"/>
  <c r="BL166" i="1"/>
  <c r="CE161" i="1"/>
  <c r="CD166" i="1"/>
  <c r="CC161" i="1"/>
  <c r="CB166" i="1"/>
  <c r="CG161" i="1"/>
  <c r="CG166" i="1" s="1"/>
  <c r="CG200" i="1" s="1"/>
  <c r="CG199" i="1" s="1"/>
  <c r="CF166" i="1"/>
  <c r="CA161" i="1"/>
  <c r="BZ166" i="1"/>
  <c r="CA45" i="1"/>
  <c r="CA30" i="1"/>
  <c r="JK19" i="4"/>
  <c r="CE96" i="1" s="1"/>
  <c r="BL45" i="1"/>
  <c r="CC29" i="1"/>
  <c r="CC45" i="1"/>
  <c r="CI243" i="1"/>
  <c r="CF34" i="1"/>
  <c r="AA77" i="1" s="1"/>
  <c r="CG30" i="1"/>
  <c r="CJ29" i="1"/>
  <c r="BY45" i="1"/>
  <c r="JL20" i="4"/>
  <c r="CF97" i="1" s="1"/>
  <c r="BZ34" i="1"/>
  <c r="CD36" i="1" s="1"/>
  <c r="CF45" i="1"/>
  <c r="Y76" i="1"/>
  <c r="JJ19" i="4"/>
  <c r="CD96" i="1" s="1"/>
  <c r="JM20" i="4"/>
  <c r="CG97" i="1" s="1"/>
  <c r="CD45" i="1"/>
  <c r="JM19" i="4"/>
  <c r="CG96" i="1" s="1"/>
  <c r="CE171" i="1"/>
  <c r="CE174" i="1" s="1"/>
  <c r="CE203" i="1" s="1"/>
  <c r="CE202" i="1" s="1"/>
  <c r="JJ20" i="4"/>
  <c r="CD97" i="1" s="1"/>
  <c r="JL19" i="4"/>
  <c r="CF96" i="1" s="1"/>
  <c r="JK20" i="4"/>
  <c r="CE97" i="1" s="1"/>
  <c r="CA46" i="1"/>
  <c r="CA250" i="1" s="1"/>
  <c r="CA251" i="1" s="1"/>
  <c r="CD206" i="1"/>
  <c r="CD29" i="1"/>
  <c r="BZ30" i="1"/>
  <c r="CD243" i="1"/>
  <c r="BZ45" i="1"/>
  <c r="CE162" i="1"/>
  <c r="CE206" i="1"/>
  <c r="CG206" i="1"/>
  <c r="CF29" i="1"/>
  <c r="CH243" i="1"/>
  <c r="CJ206" i="1"/>
  <c r="CE45" i="1"/>
  <c r="CC34" i="1"/>
  <c r="CC37" i="1" s="1"/>
  <c r="CF243" i="1"/>
  <c r="CB30" i="1"/>
  <c r="Z76" i="1"/>
  <c r="CE29" i="1"/>
  <c r="CG243" i="1"/>
  <c r="CF30" i="1"/>
  <c r="CF206" i="1"/>
  <c r="CE243" i="1"/>
  <c r="CC30" i="1"/>
  <c r="CC243" i="1"/>
  <c r="CE163" i="1"/>
  <c r="CB45" i="1"/>
  <c r="CB35" i="1"/>
  <c r="CB46" i="1"/>
  <c r="CB37" i="1"/>
  <c r="CD46" i="1"/>
  <c r="CD30" i="1"/>
  <c r="CH29" i="1"/>
  <c r="CI206" i="1"/>
  <c r="CE34" i="1"/>
  <c r="CE37" i="1" s="1"/>
  <c r="CI29" i="1"/>
  <c r="CD35" i="1"/>
  <c r="CG29" i="1"/>
  <c r="CE30" i="1"/>
  <c r="CH206" i="1"/>
  <c r="CA220" i="1"/>
  <c r="BL35" i="1"/>
  <c r="BL46" i="1"/>
  <c r="BY35" i="1"/>
  <c r="BY46" i="1"/>
  <c r="CT198" i="1"/>
  <c r="AE64" i="1"/>
  <c r="V249" i="1"/>
  <c r="W249" i="1"/>
  <c r="U249" i="1"/>
  <c r="CP45" i="1" l="1"/>
  <c r="CQ45" i="1" s="1"/>
  <c r="CT197" i="1"/>
  <c r="CI121" i="1"/>
  <c r="CI122" i="1"/>
  <c r="AA268" i="1"/>
  <c r="AA269" i="1" s="1"/>
  <c r="AA48" i="1"/>
  <c r="AA231" i="1"/>
  <c r="AA228" i="1"/>
  <c r="AA229" i="1" s="1"/>
  <c r="CM149" i="1"/>
  <c r="CN149" i="1" s="1"/>
  <c r="CO149" i="1" s="1"/>
  <c r="CP149" i="1" s="1"/>
  <c r="CL221" i="1"/>
  <c r="CL219" i="1" s="1"/>
  <c r="CI203" i="1"/>
  <c r="CI170" i="1"/>
  <c r="CR45" i="1"/>
  <c r="Z183" i="1"/>
  <c r="Z184" i="1" s="1"/>
  <c r="CF46" i="1"/>
  <c r="AA78" i="1" s="1"/>
  <c r="CH48" i="1"/>
  <c r="AD63" i="1"/>
  <c r="CQ149" i="1"/>
  <c r="CR149" i="1" s="1"/>
  <c r="CS149" i="1" s="1"/>
  <c r="CT149" i="1" s="1"/>
  <c r="AB149" i="1"/>
  <c r="Z204" i="1"/>
  <c r="AA207" i="1" s="1"/>
  <c r="AA208" i="1" s="1"/>
  <c r="Z202" i="1"/>
  <c r="CM22" i="1"/>
  <c r="Z221" i="1"/>
  <c r="Z219" i="1" s="1"/>
  <c r="Z262" i="1"/>
  <c r="Z264" i="1"/>
  <c r="CH127" i="1"/>
  <c r="CH128" i="1" s="1"/>
  <c r="CI55" i="1"/>
  <c r="X47" i="1"/>
  <c r="X250" i="1"/>
  <c r="X251" i="1" s="1"/>
  <c r="Y48" i="1"/>
  <c r="X52" i="1"/>
  <c r="X130" i="1"/>
  <c r="CN203" i="1"/>
  <c r="Y268" i="1"/>
  <c r="Y269" i="1" s="1"/>
  <c r="Y130" i="1"/>
  <c r="Y52" i="1"/>
  <c r="Y250" i="1"/>
  <c r="Y251" i="1" s="1"/>
  <c r="Z48" i="1"/>
  <c r="Y47" i="1"/>
  <c r="CJ52" i="1"/>
  <c r="CJ56" i="1" s="1"/>
  <c r="CJ268" i="1"/>
  <c r="CJ269" i="1" s="1"/>
  <c r="CJ250" i="1"/>
  <c r="CJ251" i="1" s="1"/>
  <c r="CK49" i="1"/>
  <c r="CJ47" i="1"/>
  <c r="CJ51" i="1"/>
  <c r="CI156" i="1"/>
  <c r="CJ221" i="1" s="1"/>
  <c r="CJ219" i="1" s="1"/>
  <c r="CR18" i="1"/>
  <c r="CH110" i="1"/>
  <c r="CL244" i="1"/>
  <c r="CI52" i="1"/>
  <c r="CI56" i="1" s="1"/>
  <c r="CI250" i="1"/>
  <c r="CI251" i="1" s="1"/>
  <c r="CI47" i="1"/>
  <c r="CJ49" i="1"/>
  <c r="CI268" i="1"/>
  <c r="CI269" i="1" s="1"/>
  <c r="CN224" i="1"/>
  <c r="CN267" i="1"/>
  <c r="CH126" i="1"/>
  <c r="CP142" i="1"/>
  <c r="CO146" i="1"/>
  <c r="Z130" i="1"/>
  <c r="Z47" i="1"/>
  <c r="Z250" i="1"/>
  <c r="Z251" i="1" s="1"/>
  <c r="Z52" i="1"/>
  <c r="Z268" i="1"/>
  <c r="Z269" i="1" s="1"/>
  <c r="CM35" i="1"/>
  <c r="CN35" i="1" s="1"/>
  <c r="CP201" i="1"/>
  <c r="CO203" i="1"/>
  <c r="CL130" i="1"/>
  <c r="CL268" i="1"/>
  <c r="CL269" i="1" s="1"/>
  <c r="CL250" i="1"/>
  <c r="CL251" i="1" s="1"/>
  <c r="CL47" i="1"/>
  <c r="CL52" i="1"/>
  <c r="CL56" i="1" s="1"/>
  <c r="CL49" i="1"/>
  <c r="CK52" i="1"/>
  <c r="CK56" i="1" s="1"/>
  <c r="CK47" i="1"/>
  <c r="CH47" i="1"/>
  <c r="CH52" i="1"/>
  <c r="CH56" i="1" s="1"/>
  <c r="CH250" i="1"/>
  <c r="CH251" i="1" s="1"/>
  <c r="CL48" i="1"/>
  <c r="CK130" i="1"/>
  <c r="CH268" i="1"/>
  <c r="CI49" i="1"/>
  <c r="CK48" i="1"/>
  <c r="CG250" i="1"/>
  <c r="CG251" i="1" s="1"/>
  <c r="CH49" i="1"/>
  <c r="CJ130" i="1"/>
  <c r="CJ244" i="1"/>
  <c r="CG47" i="1"/>
  <c r="CG52" i="1"/>
  <c r="Y207" i="1"/>
  <c r="Y208" i="1" s="1"/>
  <c r="CG83" i="1"/>
  <c r="CG117" i="1" s="1"/>
  <c r="CG120" i="1" s="1"/>
  <c r="CF81" i="1"/>
  <c r="CH156" i="1"/>
  <c r="CH183" i="1" s="1"/>
  <c r="CH184" i="1" s="1"/>
  <c r="CI51" i="1"/>
  <c r="CN199" i="1"/>
  <c r="CM200" i="1"/>
  <c r="CM204" i="1" s="1"/>
  <c r="CH117" i="1"/>
  <c r="CQ220" i="1"/>
  <c r="CR158" i="1"/>
  <c r="AD12" i="1"/>
  <c r="AD8" i="1"/>
  <c r="CC220" i="1"/>
  <c r="CS202" i="1"/>
  <c r="CG267" i="1"/>
  <c r="CH220" i="1"/>
  <c r="CG220" i="1"/>
  <c r="CA227" i="1"/>
  <c r="BZ266" i="1"/>
  <c r="CT143" i="1"/>
  <c r="CD224" i="1"/>
  <c r="CF267" i="1"/>
  <c r="BM227" i="1"/>
  <c r="BL266" i="1"/>
  <c r="CF224" i="1"/>
  <c r="CF147" i="1"/>
  <c r="BL147" i="1"/>
  <c r="BL186" i="1"/>
  <c r="BL127" i="1" s="1"/>
  <c r="CA51" i="1"/>
  <c r="CA152" i="1"/>
  <c r="CB156" i="1"/>
  <c r="CC51" i="1"/>
  <c r="CC152" i="1"/>
  <c r="BZ186" i="1"/>
  <c r="BZ147" i="1"/>
  <c r="CD156" i="1"/>
  <c r="CE152" i="1"/>
  <c r="CE227" i="1"/>
  <c r="CD266" i="1"/>
  <c r="CA267" i="1"/>
  <c r="CA224" i="1"/>
  <c r="BM224" i="1"/>
  <c r="BM267" i="1"/>
  <c r="CG227" i="1"/>
  <c r="CF186" i="1"/>
  <c r="CF266" i="1"/>
  <c r="BM152" i="1"/>
  <c r="BM156" i="1" s="1"/>
  <c r="BL156" i="1"/>
  <c r="BL264" i="1" s="1"/>
  <c r="CG51" i="1"/>
  <c r="CG152" i="1"/>
  <c r="CH267" i="1"/>
  <c r="CH224" i="1"/>
  <c r="CG224" i="1"/>
  <c r="CB267" i="1"/>
  <c r="CB147" i="1"/>
  <c r="CB186" i="1"/>
  <c r="CB224" i="1"/>
  <c r="CB266" i="1"/>
  <c r="CC267" i="1"/>
  <c r="CC224" i="1"/>
  <c r="CE224" i="1"/>
  <c r="CD267" i="1"/>
  <c r="CD147" i="1"/>
  <c r="CD186" i="1"/>
  <c r="CE267" i="1"/>
  <c r="BL200" i="1"/>
  <c r="BL175" i="1"/>
  <c r="CD200" i="1"/>
  <c r="CD175" i="1"/>
  <c r="CB200" i="1"/>
  <c r="CB175" i="1"/>
  <c r="CF200" i="1"/>
  <c r="CF175" i="1"/>
  <c r="CF183" i="1" s="1"/>
  <c r="BZ200" i="1"/>
  <c r="BZ175" i="1"/>
  <c r="BZ183" i="1" s="1"/>
  <c r="BZ37" i="1"/>
  <c r="BZ46" i="1"/>
  <c r="BZ35" i="1"/>
  <c r="CA37" i="1"/>
  <c r="CG203" i="1"/>
  <c r="CH215" i="1"/>
  <c r="CG215" i="1"/>
  <c r="CJ36" i="1"/>
  <c r="CF35" i="1"/>
  <c r="CG37" i="1"/>
  <c r="CF36" i="1"/>
  <c r="BZ264" i="1"/>
  <c r="CF264" i="1"/>
  <c r="CF262" i="1"/>
  <c r="CG36" i="1"/>
  <c r="CC35" i="1"/>
  <c r="Y77" i="1"/>
  <c r="CC46" i="1"/>
  <c r="CC52" i="1" s="1"/>
  <c r="CC56" i="1" s="1"/>
  <c r="CD37" i="1"/>
  <c r="CC36" i="1"/>
  <c r="CE166" i="1"/>
  <c r="CE215" i="1"/>
  <c r="CG214" i="1"/>
  <c r="CF215" i="1"/>
  <c r="CA52" i="1"/>
  <c r="CA56" i="1" s="1"/>
  <c r="CA59" i="1" s="1"/>
  <c r="CA66" i="1" s="1"/>
  <c r="CA211" i="1" s="1"/>
  <c r="CA213" i="1" s="1"/>
  <c r="CA47" i="1"/>
  <c r="CG175" i="1"/>
  <c r="CH214" i="1"/>
  <c r="CD47" i="1"/>
  <c r="CB47" i="1"/>
  <c r="CB250" i="1"/>
  <c r="CB251" i="1" s="1"/>
  <c r="CB52" i="1"/>
  <c r="CB56" i="1" s="1"/>
  <c r="CB49" i="1"/>
  <c r="CB268" i="1"/>
  <c r="CD250" i="1"/>
  <c r="CD251" i="1" s="1"/>
  <c r="CD52" i="1"/>
  <c r="CD56" i="1" s="1"/>
  <c r="CD59" i="1" s="1"/>
  <c r="CD252" i="1" s="1"/>
  <c r="CF37" i="1"/>
  <c r="CE36" i="1"/>
  <c r="CI36" i="1"/>
  <c r="Z77" i="1"/>
  <c r="CE46" i="1"/>
  <c r="CE35" i="1"/>
  <c r="BY52" i="1"/>
  <c r="BY56" i="1" s="1"/>
  <c r="BY47" i="1"/>
  <c r="BL52" i="1"/>
  <c r="BL56" i="1" s="1"/>
  <c r="BL47" i="1"/>
  <c r="CU198" i="1"/>
  <c r="AB168" i="1"/>
  <c r="A1" i="1"/>
  <c r="CU197" i="1" l="1"/>
  <c r="CS45" i="1"/>
  <c r="CT45" i="1" s="1"/>
  <c r="CG244" i="1"/>
  <c r="CF48" i="1"/>
  <c r="CH269" i="1"/>
  <c r="CG49" i="1"/>
  <c r="CI130" i="1"/>
  <c r="CI244" i="1"/>
  <c r="CG268" i="1"/>
  <c r="CF47" i="1"/>
  <c r="CF250" i="1"/>
  <c r="CF251" i="1" s="1"/>
  <c r="CJ48" i="1"/>
  <c r="CF52" i="1"/>
  <c r="Z207" i="1"/>
  <c r="Z208" i="1" s="1"/>
  <c r="CO35" i="1"/>
  <c r="CG121" i="1"/>
  <c r="CG125" i="1"/>
  <c r="CG126" i="1"/>
  <c r="CG122" i="1"/>
  <c r="CO224" i="1"/>
  <c r="CO267" i="1"/>
  <c r="CV18" i="1"/>
  <c r="Y56" i="1"/>
  <c r="Y73" i="1"/>
  <c r="CQ142" i="1"/>
  <c r="CP146" i="1"/>
  <c r="CH122" i="1"/>
  <c r="CH120" i="1"/>
  <c r="CH121" i="1"/>
  <c r="AA19" i="1"/>
  <c r="AA22" i="1" s="1"/>
  <c r="CO199" i="1"/>
  <c r="CN200" i="1"/>
  <c r="CN204" i="1" s="1"/>
  <c r="CN22" i="1"/>
  <c r="CO22" i="1" s="1"/>
  <c r="CP22" i="1" s="1"/>
  <c r="CQ22" i="1"/>
  <c r="CR22" i="1" s="1"/>
  <c r="CS22" i="1" s="1"/>
  <c r="CG56" i="1"/>
  <c r="CJ73" i="1"/>
  <c r="CK59" i="1"/>
  <c r="CK58" i="1"/>
  <c r="CQ201" i="1"/>
  <c r="CP203" i="1"/>
  <c r="CH129" i="1"/>
  <c r="CL59" i="1"/>
  <c r="CL58" i="1"/>
  <c r="X73" i="1"/>
  <c r="X56" i="1"/>
  <c r="CH264" i="1"/>
  <c r="CI221" i="1"/>
  <c r="CI219" i="1" s="1"/>
  <c r="CH262" i="1"/>
  <c r="CE81" i="1"/>
  <c r="CF83" i="1"/>
  <c r="Z56" i="1"/>
  <c r="Z73" i="1"/>
  <c r="CJ58" i="1"/>
  <c r="CJ59" i="1"/>
  <c r="CH112" i="1"/>
  <c r="CH113" i="1"/>
  <c r="CH114" i="1"/>
  <c r="CI59" i="1"/>
  <c r="CI58" i="1"/>
  <c r="CU149" i="1"/>
  <c r="CV149" i="1" s="1"/>
  <c r="CW149" i="1" s="1"/>
  <c r="CX149" i="1" s="1"/>
  <c r="AC149" i="1"/>
  <c r="CH59" i="1"/>
  <c r="CH58" i="1"/>
  <c r="CR220" i="1"/>
  <c r="CS158" i="1"/>
  <c r="CT202" i="1"/>
  <c r="CF184" i="1"/>
  <c r="CA156" i="1"/>
  <c r="CB51" i="1"/>
  <c r="CB183" i="1"/>
  <c r="CB184" i="1" s="1"/>
  <c r="CD183" i="1"/>
  <c r="CD184" i="1" s="1"/>
  <c r="CU143" i="1"/>
  <c r="CB264" i="1"/>
  <c r="CB262" i="1"/>
  <c r="CE156" i="1"/>
  <c r="CF51" i="1"/>
  <c r="CB269" i="1"/>
  <c r="BZ184" i="1"/>
  <c r="CD51" i="1"/>
  <c r="CC156" i="1"/>
  <c r="BZ127" i="1"/>
  <c r="CA55" i="1"/>
  <c r="CD262" i="1"/>
  <c r="CD264" i="1"/>
  <c r="CF127" i="1"/>
  <c r="CG55" i="1"/>
  <c r="CH51" i="1"/>
  <c r="CG156" i="1"/>
  <c r="CB127" i="1"/>
  <c r="CC55" i="1"/>
  <c r="CD127" i="1"/>
  <c r="CE55" i="1"/>
  <c r="CF199" i="1"/>
  <c r="CF204" i="1"/>
  <c r="CJ207" i="1" s="1"/>
  <c r="BL204" i="1"/>
  <c r="BL199" i="1"/>
  <c r="CD204" i="1"/>
  <c r="CD199" i="1"/>
  <c r="CB204" i="1"/>
  <c r="CB199" i="1"/>
  <c r="BZ199" i="1"/>
  <c r="BZ204" i="1"/>
  <c r="CG216" i="1"/>
  <c r="BZ47" i="1"/>
  <c r="BZ52" i="1"/>
  <c r="CA268" i="1"/>
  <c r="CA269" i="1" s="1"/>
  <c r="CA49" i="1"/>
  <c r="BZ250" i="1"/>
  <c r="BZ251" i="1" s="1"/>
  <c r="CD48" i="1"/>
  <c r="BZ49" i="1"/>
  <c r="BZ268" i="1"/>
  <c r="CB130" i="1"/>
  <c r="CH216" i="1"/>
  <c r="CD130" i="1"/>
  <c r="CC268" i="1"/>
  <c r="CC269" i="1" s="1"/>
  <c r="CE214" i="1"/>
  <c r="CE216" i="1" s="1"/>
  <c r="CE175" i="1"/>
  <c r="CG202" i="1"/>
  <c r="CG204" i="1"/>
  <c r="CC250" i="1"/>
  <c r="CC251" i="1" s="1"/>
  <c r="CG48" i="1"/>
  <c r="Y78" i="1"/>
  <c r="CC47" i="1"/>
  <c r="CC244" i="1"/>
  <c r="CD268" i="1"/>
  <c r="CD269" i="1" s="1"/>
  <c r="CC130" i="1"/>
  <c r="CD244" i="1"/>
  <c r="CC49" i="1"/>
  <c r="CD49" i="1"/>
  <c r="CC48" i="1"/>
  <c r="CC59" i="1"/>
  <c r="CC58" i="1"/>
  <c r="CE200" i="1"/>
  <c r="CF214" i="1"/>
  <c r="CF216" i="1" s="1"/>
  <c r="CA58" i="1"/>
  <c r="CA137" i="1"/>
  <c r="CA138" i="1" s="1"/>
  <c r="CD58" i="1"/>
  <c r="CA70" i="1"/>
  <c r="CA252" i="1"/>
  <c r="CA60" i="1"/>
  <c r="CA263" i="1" s="1"/>
  <c r="CD60" i="1"/>
  <c r="CD263" i="1" s="1"/>
  <c r="CF130" i="1"/>
  <c r="CD73" i="1"/>
  <c r="CD66" i="1"/>
  <c r="CD70" i="1" s="1"/>
  <c r="CE49" i="1"/>
  <c r="CE130" i="1"/>
  <c r="CE244" i="1"/>
  <c r="CB58" i="1"/>
  <c r="CB59" i="1"/>
  <c r="CE268" i="1"/>
  <c r="CE269" i="1" s="1"/>
  <c r="CF268" i="1"/>
  <c r="CF269" i="1" s="1"/>
  <c r="CE250" i="1"/>
  <c r="CE251" i="1" s="1"/>
  <c r="Z78" i="1"/>
  <c r="CE48" i="1"/>
  <c r="CH130" i="1"/>
  <c r="CE47" i="1"/>
  <c r="CG130" i="1"/>
  <c r="CE52" i="1"/>
  <c r="CH244" i="1"/>
  <c r="CF49" i="1"/>
  <c r="CI48" i="1"/>
  <c r="CF244" i="1"/>
  <c r="BL59" i="1"/>
  <c r="BL58" i="1"/>
  <c r="BY58" i="1"/>
  <c r="BY59" i="1"/>
  <c r="CV197" i="1"/>
  <c r="CV198" i="1"/>
  <c r="AC168" i="1"/>
  <c r="CP35" i="1" l="1"/>
  <c r="CQ35" i="1"/>
  <c r="CG269" i="1"/>
  <c r="CF56" i="1"/>
  <c r="CM58" i="1"/>
  <c r="CR35" i="1"/>
  <c r="CS35" i="1" s="1"/>
  <c r="CH252" i="1"/>
  <c r="CH60" i="1"/>
  <c r="CH263" i="1" s="1"/>
  <c r="CL61" i="1"/>
  <c r="CI62" i="1"/>
  <c r="CH66" i="1"/>
  <c r="CF117" i="1"/>
  <c r="CF110" i="1"/>
  <c r="CF125" i="1"/>
  <c r="CF128" i="1" s="1"/>
  <c r="CF131" i="1" s="1"/>
  <c r="CF126" i="1"/>
  <c r="CF129" i="1" s="1"/>
  <c r="CF132" i="1" s="1"/>
  <c r="CD81" i="1"/>
  <c r="CE83" i="1"/>
  <c r="CR201" i="1"/>
  <c r="CQ203" i="1"/>
  <c r="CK66" i="1"/>
  <c r="CK60" i="1"/>
  <c r="CL62" i="1"/>
  <c r="X59" i="1"/>
  <c r="X58" i="1"/>
  <c r="CR142" i="1"/>
  <c r="CQ146" i="1"/>
  <c r="CT22" i="1"/>
  <c r="CU22" i="1" s="1"/>
  <c r="CV22" i="1" s="1"/>
  <c r="CZ18" i="1"/>
  <c r="CH61" i="1"/>
  <c r="AD149" i="1"/>
  <c r="CY149" i="1"/>
  <c r="CZ149" i="1" s="1"/>
  <c r="DA149" i="1" s="1"/>
  <c r="DB149" i="1" s="1"/>
  <c r="AE149" i="1" s="1"/>
  <c r="CL245" i="1"/>
  <c r="CI252" i="1"/>
  <c r="CI60" i="1"/>
  <c r="CI263" i="1" s="1"/>
  <c r="CI66" i="1"/>
  <c r="CJ62" i="1"/>
  <c r="CP224" i="1"/>
  <c r="CP267" i="1"/>
  <c r="CG58" i="1"/>
  <c r="CG59" i="1"/>
  <c r="Y59" i="1"/>
  <c r="Y58" i="1"/>
  <c r="CJ66" i="1"/>
  <c r="CJ252" i="1"/>
  <c r="CK62" i="1"/>
  <c r="CJ60" i="1"/>
  <c r="CJ263" i="1" s="1"/>
  <c r="CL252" i="1"/>
  <c r="CL66" i="1"/>
  <c r="CL60" i="1"/>
  <c r="CL263" i="1" s="1"/>
  <c r="CP199" i="1"/>
  <c r="CO200" i="1"/>
  <c r="CO204" i="1" s="1"/>
  <c r="Z58" i="1"/>
  <c r="Z59" i="1"/>
  <c r="AA61" i="1" s="1"/>
  <c r="CS220" i="1"/>
  <c r="CT158" i="1"/>
  <c r="AE6" i="1"/>
  <c r="AE8" i="1" s="1"/>
  <c r="CU45" i="1"/>
  <c r="CU202" i="1"/>
  <c r="CA221" i="1"/>
  <c r="CA219" i="1" s="1"/>
  <c r="CB221" i="1"/>
  <c r="CB219" i="1" s="1"/>
  <c r="CE221" i="1"/>
  <c r="CE219" i="1" s="1"/>
  <c r="CF221" i="1"/>
  <c r="CF219" i="1" s="1"/>
  <c r="CH221" i="1"/>
  <c r="CH219" i="1" s="1"/>
  <c r="CG221" i="1"/>
  <c r="CG219" i="1" s="1"/>
  <c r="CV143" i="1"/>
  <c r="CD221" i="1"/>
  <c r="CD219" i="1" s="1"/>
  <c r="CC221" i="1"/>
  <c r="CC219" i="1" s="1"/>
  <c r="CF207" i="1"/>
  <c r="CD207" i="1"/>
  <c r="CH207" i="1"/>
  <c r="BZ56" i="1"/>
  <c r="CB73" i="1"/>
  <c r="CD245" i="1"/>
  <c r="CC61" i="1"/>
  <c r="CC252" i="1"/>
  <c r="CC66" i="1"/>
  <c r="CC60" i="1"/>
  <c r="CC263" i="1" s="1"/>
  <c r="CD62" i="1"/>
  <c r="CE199" i="1"/>
  <c r="CE204" i="1"/>
  <c r="CA225" i="1"/>
  <c r="CA223" i="1" s="1"/>
  <c r="CA147" i="1"/>
  <c r="CC62" i="1"/>
  <c r="CD211" i="1"/>
  <c r="CD213" i="1" s="1"/>
  <c r="CH131" i="1"/>
  <c r="CH132" i="1"/>
  <c r="CF73" i="1"/>
  <c r="CH73" i="1"/>
  <c r="CE56" i="1"/>
  <c r="CB66" i="1"/>
  <c r="CB62" i="1"/>
  <c r="CB252" i="1"/>
  <c r="CB60" i="1"/>
  <c r="CB263" i="1" s="1"/>
  <c r="BL66" i="1"/>
  <c r="BL60" i="1"/>
  <c r="BL263" i="1" s="1"/>
  <c r="CM82" i="1"/>
  <c r="CN82" i="1" s="1"/>
  <c r="CO82" i="1" s="1"/>
  <c r="CP82" i="1" s="1"/>
  <c r="CQ82" i="1" s="1"/>
  <c r="CR82" i="1" s="1"/>
  <c r="CS82" i="1" s="1"/>
  <c r="CT82" i="1" s="1"/>
  <c r="CU82" i="1" s="1"/>
  <c r="CV82" i="1" s="1"/>
  <c r="CW82" i="1" s="1"/>
  <c r="CX82" i="1" s="1"/>
  <c r="CY82" i="1" s="1"/>
  <c r="CZ82" i="1" s="1"/>
  <c r="DA82" i="1" s="1"/>
  <c r="DB82" i="1" s="1"/>
  <c r="BY60" i="1"/>
  <c r="BY263" i="1" s="1"/>
  <c r="BY66" i="1"/>
  <c r="CW198" i="1"/>
  <c r="CW197" i="1"/>
  <c r="AE168" i="1"/>
  <c r="AD168" i="1"/>
  <c r="CF59" i="1" l="1"/>
  <c r="AA79" i="1" s="1"/>
  <c r="CF58" i="1"/>
  <c r="Y79" i="1"/>
  <c r="CF252" i="1"/>
  <c r="CT35" i="1"/>
  <c r="CN58" i="1"/>
  <c r="CQ267" i="1"/>
  <c r="CQ224" i="1"/>
  <c r="CR146" i="1"/>
  <c r="CS142" i="1"/>
  <c r="CJ84" i="1"/>
  <c r="CJ70" i="1"/>
  <c r="CJ211" i="1"/>
  <c r="CJ213" i="1" s="1"/>
  <c r="CH84" i="1"/>
  <c r="CH211" i="1"/>
  <c r="CH213" i="1" s="1"/>
  <c r="CH217" i="1" s="1"/>
  <c r="CH70" i="1"/>
  <c r="CP200" i="1"/>
  <c r="CP204" i="1" s="1"/>
  <c r="CQ199" i="1"/>
  <c r="CF112" i="1"/>
  <c r="CF114" i="1"/>
  <c r="CF113" i="1"/>
  <c r="CJ245" i="1"/>
  <c r="CK61" i="1"/>
  <c r="CG60" i="1"/>
  <c r="CG263" i="1" s="1"/>
  <c r="CG66" i="1"/>
  <c r="CG252" i="1"/>
  <c r="CH62" i="1"/>
  <c r="CS201" i="1"/>
  <c r="CR203" i="1"/>
  <c r="CC81" i="1"/>
  <c r="CD83" i="1"/>
  <c r="CI70" i="1"/>
  <c r="CI137" i="1"/>
  <c r="CI138" i="1" s="1"/>
  <c r="CI84" i="1"/>
  <c r="CI211" i="1"/>
  <c r="CI213" i="1" s="1"/>
  <c r="CW22" i="1"/>
  <c r="X252" i="1"/>
  <c r="X60" i="1"/>
  <c r="X263" i="1" s="1"/>
  <c r="Y61" i="1"/>
  <c r="X66" i="1"/>
  <c r="Z66" i="1"/>
  <c r="Z60" i="1"/>
  <c r="Z263" i="1" s="1"/>
  <c r="Z252" i="1"/>
  <c r="CF120" i="1"/>
  <c r="CF121" i="1"/>
  <c r="CF122" i="1"/>
  <c r="Y252" i="1"/>
  <c r="Y60" i="1"/>
  <c r="Y263" i="1" s="1"/>
  <c r="Y66" i="1"/>
  <c r="Z61" i="1"/>
  <c r="CK84" i="1"/>
  <c r="CK70" i="1"/>
  <c r="CG61" i="1"/>
  <c r="CL211" i="1"/>
  <c r="CL213" i="1" s="1"/>
  <c r="CL84" i="1"/>
  <c r="CL70" i="1"/>
  <c r="CE117" i="1"/>
  <c r="CE126" i="1"/>
  <c r="CE125" i="1"/>
  <c r="CT220" i="1"/>
  <c r="CU158" i="1"/>
  <c r="CU220" i="1" s="1"/>
  <c r="AE13" i="1"/>
  <c r="AE12" i="1"/>
  <c r="CV45" i="1"/>
  <c r="CV202" i="1"/>
  <c r="CW143" i="1"/>
  <c r="BZ59" i="1"/>
  <c r="BZ58" i="1"/>
  <c r="CI245" i="1"/>
  <c r="CF66" i="1"/>
  <c r="CD72" i="1"/>
  <c r="CC70" i="1"/>
  <c r="CC137" i="1"/>
  <c r="CC138" i="1" s="1"/>
  <c r="CC211" i="1"/>
  <c r="CC213" i="1" s="1"/>
  <c r="CB70" i="1"/>
  <c r="CB211" i="1"/>
  <c r="CB213" i="1" s="1"/>
  <c r="CB225" i="1"/>
  <c r="CB223" i="1" s="1"/>
  <c r="CE59" i="1"/>
  <c r="CE58" i="1"/>
  <c r="BY211" i="1"/>
  <c r="BY213" i="1" s="1"/>
  <c r="BY70" i="1"/>
  <c r="BL211" i="1"/>
  <c r="BL213" i="1" s="1"/>
  <c r="BL70" i="1"/>
  <c r="CX198" i="1"/>
  <c r="CX197" i="1"/>
  <c r="AB144" i="1"/>
  <c r="AB154" i="1"/>
  <c r="AB153" i="1"/>
  <c r="AB145" i="1"/>
  <c r="AB140" i="1"/>
  <c r="AB169" i="1"/>
  <c r="AB161" i="1"/>
  <c r="AB136" i="1"/>
  <c r="CF61" i="1" l="1"/>
  <c r="CF60" i="1"/>
  <c r="CF263" i="1" s="1"/>
  <c r="CJ61" i="1"/>
  <c r="CG62" i="1"/>
  <c r="CJ225" i="1"/>
  <c r="CJ223" i="1" s="1"/>
  <c r="CH231" i="1"/>
  <c r="CK87" i="1"/>
  <c r="CO58" i="1"/>
  <c r="CU35" i="1"/>
  <c r="CV35" i="1"/>
  <c r="CK104" i="1"/>
  <c r="CK103" i="1"/>
  <c r="CK105" i="1"/>
  <c r="CG84" i="1"/>
  <c r="CJ87" i="1" s="1"/>
  <c r="CG70" i="1"/>
  <c r="CG211" i="1"/>
  <c r="CG213" i="1" s="1"/>
  <c r="CG217" i="1" s="1"/>
  <c r="CG231" i="1" s="1"/>
  <c r="CJ72" i="1"/>
  <c r="CG137" i="1"/>
  <c r="CG138" i="1" s="1"/>
  <c r="CE120" i="1"/>
  <c r="CE122" i="1"/>
  <c r="CE121" i="1"/>
  <c r="Y72" i="1"/>
  <c r="Y225" i="1"/>
  <c r="Y223" i="1" s="1"/>
  <c r="Y70" i="1"/>
  <c r="Y211" i="1"/>
  <c r="Y213" i="1" s="1"/>
  <c r="Y217" i="1" s="1"/>
  <c r="Y231" i="1" s="1"/>
  <c r="CD117" i="1"/>
  <c r="CD126" i="1"/>
  <c r="CD129" i="1" s="1"/>
  <c r="CD132" i="1" s="1"/>
  <c r="CD125" i="1"/>
  <c r="CD128" i="1" s="1"/>
  <c r="CD131" i="1" s="1"/>
  <c r="CD110" i="1"/>
  <c r="CD84" i="1"/>
  <c r="Z70" i="1"/>
  <c r="Z72" i="1"/>
  <c r="Z211" i="1"/>
  <c r="Z213" i="1" s="1"/>
  <c r="Z217" i="1" s="1"/>
  <c r="Z231" i="1" s="1"/>
  <c r="Z225" i="1"/>
  <c r="Z223" i="1" s="1"/>
  <c r="CQ200" i="1"/>
  <c r="CQ204" i="1" s="1"/>
  <c r="CR199" i="1"/>
  <c r="X211" i="1"/>
  <c r="X213" i="1" s="1"/>
  <c r="X70" i="1"/>
  <c r="X72" i="1"/>
  <c r="CR267" i="1"/>
  <c r="CR224" i="1"/>
  <c r="CT142" i="1"/>
  <c r="CS146" i="1"/>
  <c r="CT201" i="1"/>
  <c r="CS203" i="1"/>
  <c r="CI225" i="1"/>
  <c r="CI223" i="1" s="1"/>
  <c r="CI110" i="1"/>
  <c r="CI147" i="1"/>
  <c r="CI73" i="1" s="1"/>
  <c r="CL87" i="1"/>
  <c r="CX22" i="1"/>
  <c r="CB81" i="1"/>
  <c r="CC83" i="1"/>
  <c r="CV158" i="1"/>
  <c r="CV220" i="1" s="1"/>
  <c r="CW45" i="1"/>
  <c r="CW202" i="1"/>
  <c r="CX143" i="1"/>
  <c r="BZ60" i="1"/>
  <c r="BZ263" i="1" s="1"/>
  <c r="BZ62" i="1"/>
  <c r="CC245" i="1"/>
  <c r="BZ66" i="1"/>
  <c r="CC72" i="1" s="1"/>
  <c r="BZ252" i="1"/>
  <c r="CD61" i="1"/>
  <c r="CA62" i="1"/>
  <c r="CF211" i="1"/>
  <c r="CF213" i="1" s="1"/>
  <c r="CF217" i="1" s="1"/>
  <c r="CF231" i="1" s="1"/>
  <c r="CF70" i="1"/>
  <c r="CF84" i="1"/>
  <c r="CI72" i="1"/>
  <c r="CC147" i="1"/>
  <c r="CC73" i="1" s="1"/>
  <c r="CC225" i="1"/>
  <c r="CC223" i="1" s="1"/>
  <c r="CD225" i="1"/>
  <c r="CD223" i="1" s="1"/>
  <c r="CG245" i="1"/>
  <c r="CI61" i="1"/>
  <c r="CH245" i="1"/>
  <c r="CE62" i="1"/>
  <c r="CE60" i="1"/>
  <c r="CE263" i="1" s="1"/>
  <c r="CE61" i="1"/>
  <c r="CF62" i="1"/>
  <c r="CE66" i="1"/>
  <c r="CF245" i="1"/>
  <c r="CE245" i="1"/>
  <c r="Z79" i="1"/>
  <c r="CE252" i="1"/>
  <c r="CY198" i="1"/>
  <c r="CY197" i="1"/>
  <c r="AC154" i="1"/>
  <c r="AC144" i="1"/>
  <c r="AB182" i="1"/>
  <c r="AC140" i="1"/>
  <c r="AC169" i="1"/>
  <c r="AB165" i="1"/>
  <c r="AB172" i="1"/>
  <c r="AC161" i="1"/>
  <c r="AC145" i="1"/>
  <c r="AB173" i="1"/>
  <c r="AC136" i="1"/>
  <c r="AC153" i="1"/>
  <c r="CW35" i="1" l="1"/>
  <c r="CC110" i="1"/>
  <c r="CI87" i="1"/>
  <c r="CX35" i="1"/>
  <c r="CY35" i="1" s="1"/>
  <c r="CZ35" i="1" s="1"/>
  <c r="CP58" i="1"/>
  <c r="CC117" i="1"/>
  <c r="CC84" i="1"/>
  <c r="CD112" i="1"/>
  <c r="CD114" i="1"/>
  <c r="CD113" i="1"/>
  <c r="CA81" i="1"/>
  <c r="CB83" i="1"/>
  <c r="CS224" i="1"/>
  <c r="CS267" i="1"/>
  <c r="CT146" i="1"/>
  <c r="CU142" i="1"/>
  <c r="CL105" i="1"/>
  <c r="CL104" i="1"/>
  <c r="CL103" i="1"/>
  <c r="CU201" i="1"/>
  <c r="CT203" i="1"/>
  <c r="CJ104" i="1"/>
  <c r="CJ103" i="1"/>
  <c r="CJ105" i="1"/>
  <c r="CI114" i="1"/>
  <c r="CI113" i="1"/>
  <c r="CI112" i="1"/>
  <c r="CR200" i="1"/>
  <c r="CR204" i="1" s="1"/>
  <c r="CS199" i="1"/>
  <c r="CG110" i="1"/>
  <c r="CG225" i="1"/>
  <c r="CG223" i="1" s="1"/>
  <c r="CG228" i="1" s="1"/>
  <c r="CG178" i="1" s="1"/>
  <c r="CG179" i="1" s="1"/>
  <c r="CH225" i="1"/>
  <c r="CH223" i="1" s="1"/>
  <c r="CG147" i="1"/>
  <c r="CG73" i="1" s="1"/>
  <c r="CY22" i="1"/>
  <c r="Y228" i="1"/>
  <c r="Y229" i="1" s="1"/>
  <c r="CD120" i="1"/>
  <c r="CD121" i="1"/>
  <c r="CD122" i="1"/>
  <c r="Z228" i="1"/>
  <c r="Z229" i="1" s="1"/>
  <c r="CW158" i="1"/>
  <c r="CW220" i="1" s="1"/>
  <c r="CX45" i="1"/>
  <c r="CY45" i="1" s="1"/>
  <c r="CZ45" i="1" s="1"/>
  <c r="CX202" i="1"/>
  <c r="CY143" i="1"/>
  <c r="CB72" i="1"/>
  <c r="BZ70" i="1"/>
  <c r="BZ211" i="1"/>
  <c r="BZ213" i="1" s="1"/>
  <c r="CI105" i="1"/>
  <c r="CI103" i="1"/>
  <c r="CI104" i="1"/>
  <c r="CE70" i="1"/>
  <c r="CE137" i="1"/>
  <c r="CE138" i="1" s="1"/>
  <c r="CE72" i="1" s="1"/>
  <c r="CE211" i="1"/>
  <c r="CE213" i="1" s="1"/>
  <c r="CE217" i="1" s="1"/>
  <c r="CE231" i="1" s="1"/>
  <c r="CE84" i="1"/>
  <c r="CF72" i="1"/>
  <c r="CG72" i="1"/>
  <c r="CH72" i="1"/>
  <c r="CZ198" i="1"/>
  <c r="CZ197" i="1"/>
  <c r="AE154" i="1"/>
  <c r="AD154" i="1"/>
  <c r="AE144" i="1"/>
  <c r="AD144" i="1"/>
  <c r="AC182" i="1"/>
  <c r="AE169" i="1"/>
  <c r="AD169" i="1"/>
  <c r="AE161" i="1"/>
  <c r="AD161" i="1"/>
  <c r="AD136" i="1"/>
  <c r="AE136" i="1"/>
  <c r="AC172" i="1"/>
  <c r="AE145" i="1"/>
  <c r="AD145" i="1"/>
  <c r="AE153" i="1"/>
  <c r="AD153" i="1"/>
  <c r="AC173" i="1"/>
  <c r="AC165" i="1"/>
  <c r="AE140" i="1"/>
  <c r="AD140" i="1"/>
  <c r="DA35" i="1" l="1"/>
  <c r="DB35" i="1" s="1"/>
  <c r="CL108" i="1"/>
  <c r="CZ22" i="1"/>
  <c r="DA22" i="1" s="1"/>
  <c r="DB22" i="1" s="1"/>
  <c r="CQ58" i="1"/>
  <c r="CT199" i="1"/>
  <c r="CS200" i="1"/>
  <c r="CS204" i="1" s="1"/>
  <c r="CU146" i="1"/>
  <c r="CV142" i="1"/>
  <c r="CT267" i="1"/>
  <c r="CT224" i="1"/>
  <c r="CB117" i="1"/>
  <c r="CB110" i="1"/>
  <c r="CB84" i="1"/>
  <c r="CE87" i="1" s="1"/>
  <c r="BZ81" i="1"/>
  <c r="CA83" i="1"/>
  <c r="CV201" i="1"/>
  <c r="CU203" i="1"/>
  <c r="CG229" i="1"/>
  <c r="CH227" i="1"/>
  <c r="CH228" i="1" s="1"/>
  <c r="CH229" i="1" s="1"/>
  <c r="CG262" i="1"/>
  <c r="CG264" i="1"/>
  <c r="CG183" i="1"/>
  <c r="CG184" i="1" s="1"/>
  <c r="CG186" i="1"/>
  <c r="CG266" i="1"/>
  <c r="CG114" i="1"/>
  <c r="CG112" i="1"/>
  <c r="CG113" i="1"/>
  <c r="CX158" i="1"/>
  <c r="CY158" i="1" s="1"/>
  <c r="CX220" i="1"/>
  <c r="DA45" i="1"/>
  <c r="DB45" i="1" s="1"/>
  <c r="CY202" i="1"/>
  <c r="CZ143" i="1"/>
  <c r="CF87" i="1"/>
  <c r="CH87" i="1"/>
  <c r="CL88" i="1" s="1"/>
  <c r="CG87" i="1"/>
  <c r="CK88" i="1" s="1"/>
  <c r="CE110" i="1"/>
  <c r="CF225" i="1"/>
  <c r="CF223" i="1" s="1"/>
  <c r="CE147" i="1"/>
  <c r="CE73" i="1" s="1"/>
  <c r="CE225" i="1"/>
  <c r="CE223" i="1" s="1"/>
  <c r="CE228" i="1" s="1"/>
  <c r="CE178" i="1" s="1"/>
  <c r="CE179" i="1" s="1"/>
  <c r="CE183" i="1" s="1"/>
  <c r="DA197" i="1"/>
  <c r="DA198" i="1"/>
  <c r="AE182" i="1"/>
  <c r="AD182" i="1"/>
  <c r="AE172" i="1"/>
  <c r="AD172" i="1"/>
  <c r="AE173" i="1"/>
  <c r="AD173" i="1"/>
  <c r="AE165" i="1"/>
  <c r="AD165" i="1"/>
  <c r="BY249" i="1"/>
  <c r="CR58" i="1" l="1"/>
  <c r="CS58" i="1" s="1"/>
  <c r="BZ83" i="1"/>
  <c r="BY81" i="1"/>
  <c r="CH55" i="1"/>
  <c r="CG127" i="1"/>
  <c r="CW142" i="1"/>
  <c r="CV146" i="1"/>
  <c r="CU267" i="1"/>
  <c r="CU224" i="1"/>
  <c r="CW201" i="1"/>
  <c r="CV203" i="1"/>
  <c r="CA84" i="1"/>
  <c r="CD87" i="1" s="1"/>
  <c r="CA110" i="1"/>
  <c r="CT200" i="1"/>
  <c r="CT204" i="1" s="1"/>
  <c r="CU199" i="1"/>
  <c r="CY220" i="1"/>
  <c r="CZ158" i="1"/>
  <c r="CZ202" i="1"/>
  <c r="DA143" i="1"/>
  <c r="CE112" i="1"/>
  <c r="CE113" i="1"/>
  <c r="CE114" i="1"/>
  <c r="CE262" i="1"/>
  <c r="CE103" i="1"/>
  <c r="CE104" i="1"/>
  <c r="CI88" i="1"/>
  <c r="CE105" i="1"/>
  <c r="CE266" i="1"/>
  <c r="CG103" i="1"/>
  <c r="CG105" i="1"/>
  <c r="CG104" i="1"/>
  <c r="CE186" i="1"/>
  <c r="CE127" i="1" s="1"/>
  <c r="CE129" i="1" s="1"/>
  <c r="CE132" i="1" s="1"/>
  <c r="CF227" i="1"/>
  <c r="CF228" i="1" s="1"/>
  <c r="CF229" i="1" s="1"/>
  <c r="CE264" i="1"/>
  <c r="CH104" i="1"/>
  <c r="CK108" i="1" s="1"/>
  <c r="CH103" i="1"/>
  <c r="CH105" i="1"/>
  <c r="CE229" i="1"/>
  <c r="CJ88" i="1"/>
  <c r="CF105" i="1"/>
  <c r="CF103" i="1"/>
  <c r="CF104" i="1"/>
  <c r="DB198" i="1"/>
  <c r="DB197" i="1"/>
  <c r="CE184" i="1"/>
  <c r="AB38" i="1"/>
  <c r="CH88" i="1" l="1"/>
  <c r="CT58" i="1"/>
  <c r="CU58" i="1"/>
  <c r="CV58" i="1" s="1"/>
  <c r="CV267" i="1"/>
  <c r="CV224" i="1"/>
  <c r="BX81" i="1"/>
  <c r="BW81" i="1" s="1"/>
  <c r="BV81" i="1" s="1"/>
  <c r="BU81" i="1" s="1"/>
  <c r="BT81" i="1" s="1"/>
  <c r="BS81" i="1" s="1"/>
  <c r="BR81" i="1" s="1"/>
  <c r="BQ81" i="1" s="1"/>
  <c r="BP81" i="1" s="1"/>
  <c r="BO81" i="1" s="1"/>
  <c r="BN81" i="1" s="1"/>
  <c r="BM81" i="1" s="1"/>
  <c r="BL81" i="1" s="1"/>
  <c r="BY83" i="1"/>
  <c r="BY84" i="1" s="1"/>
  <c r="CX142" i="1"/>
  <c r="CW146" i="1"/>
  <c r="CU200" i="1"/>
  <c r="CU204" i="1" s="1"/>
  <c r="CV199" i="1"/>
  <c r="CD104" i="1"/>
  <c r="CD103" i="1"/>
  <c r="CD105" i="1"/>
  <c r="BZ110" i="1"/>
  <c r="BZ84" i="1"/>
  <c r="CC87" i="1" s="1"/>
  <c r="CG88" i="1" s="1"/>
  <c r="CX201" i="1"/>
  <c r="CW203" i="1"/>
  <c r="CG129" i="1"/>
  <c r="CG132" i="1" s="1"/>
  <c r="CG128" i="1"/>
  <c r="CG131" i="1" s="1"/>
  <c r="CZ220" i="1"/>
  <c r="DA158" i="1"/>
  <c r="DA202" i="1"/>
  <c r="DB143" i="1"/>
  <c r="CJ108" i="1"/>
  <c r="CH108" i="1"/>
  <c r="CF55" i="1"/>
  <c r="CI108" i="1"/>
  <c r="CE128" i="1"/>
  <c r="CE131" i="1" s="1"/>
  <c r="AC38" i="1"/>
  <c r="BY250" i="1"/>
  <c r="BY251" i="1" s="1"/>
  <c r="CB87" i="1" l="1"/>
  <c r="CF88" i="1" s="1"/>
  <c r="CG108" i="1"/>
  <c r="CW58" i="1"/>
  <c r="CW199" i="1"/>
  <c r="CV200" i="1"/>
  <c r="CV204" i="1" s="1"/>
  <c r="CW267" i="1"/>
  <c r="CW224" i="1"/>
  <c r="CY142" i="1"/>
  <c r="CX146" i="1"/>
  <c r="BK81" i="1"/>
  <c r="BJ81" i="1" s="1"/>
  <c r="BI81" i="1" s="1"/>
  <c r="BH81" i="1" s="1"/>
  <c r="BG81" i="1" s="1"/>
  <c r="BF81" i="1" s="1"/>
  <c r="BE81" i="1" s="1"/>
  <c r="BD81" i="1" s="1"/>
  <c r="BC81" i="1" s="1"/>
  <c r="BB81" i="1" s="1"/>
  <c r="BA81" i="1" s="1"/>
  <c r="AZ81" i="1" s="1"/>
  <c r="AY81" i="1" s="1"/>
  <c r="AX81" i="1" s="1"/>
  <c r="AW81" i="1" s="1"/>
  <c r="AV81" i="1" s="1"/>
  <c r="AU81" i="1" s="1"/>
  <c r="AT81" i="1" s="1"/>
  <c r="AS81" i="1" s="1"/>
  <c r="AR81" i="1" s="1"/>
  <c r="AQ81" i="1" s="1"/>
  <c r="AP81" i="1" s="1"/>
  <c r="AO81" i="1" s="1"/>
  <c r="AN81" i="1" s="1"/>
  <c r="AM81" i="1" s="1"/>
  <c r="AL81" i="1" s="1"/>
  <c r="BL83" i="1"/>
  <c r="CY201" i="1"/>
  <c r="CX203" i="1"/>
  <c r="DB158" i="1"/>
  <c r="DB220" i="1" s="1"/>
  <c r="DA220" i="1"/>
  <c r="DB202" i="1"/>
  <c r="AD38" i="1"/>
  <c r="BY252" i="1"/>
  <c r="CX58" i="1" l="1"/>
  <c r="CY58" i="1" s="1"/>
  <c r="CZ58" i="1"/>
  <c r="DA58" i="1" s="1"/>
  <c r="DB58" i="1" s="1"/>
  <c r="CZ201" i="1"/>
  <c r="CY203" i="1"/>
  <c r="BL84" i="1"/>
  <c r="BL110" i="1"/>
  <c r="AK81" i="1"/>
  <c r="AJ81" i="1" s="1"/>
  <c r="AI81" i="1" s="1"/>
  <c r="AL83" i="1"/>
  <c r="CX267" i="1"/>
  <c r="CX224" i="1"/>
  <c r="CZ142" i="1"/>
  <c r="CY146" i="1"/>
  <c r="CX199" i="1"/>
  <c r="CW200" i="1"/>
  <c r="CW204" i="1" s="1"/>
  <c r="AE38" i="1"/>
  <c r="CY199" i="1" l="1"/>
  <c r="CX200" i="1"/>
  <c r="CX204" i="1" s="1"/>
  <c r="DA142" i="1"/>
  <c r="CZ146" i="1"/>
  <c r="CY267" i="1"/>
  <c r="CY224" i="1"/>
  <c r="DA201" i="1"/>
  <c r="CZ203" i="1"/>
  <c r="BI83" i="1"/>
  <c r="AT83" i="1"/>
  <c r="BT83" i="1"/>
  <c r="AV83" i="1"/>
  <c r="AX83" i="1"/>
  <c r="AR83" i="1"/>
  <c r="DB201" i="1" l="1"/>
  <c r="DB203" i="1" s="1"/>
  <c r="DA203" i="1"/>
  <c r="CZ267" i="1"/>
  <c r="CZ224" i="1"/>
  <c r="DB142" i="1"/>
  <c r="DB146" i="1" s="1"/>
  <c r="DA146" i="1"/>
  <c r="CY200" i="1"/>
  <c r="CY204" i="1" s="1"/>
  <c r="CZ199" i="1"/>
  <c r="AO83" i="1"/>
  <c r="BK83" i="1"/>
  <c r="AN83" i="1"/>
  <c r="AW83" i="1"/>
  <c r="BB83" i="1"/>
  <c r="BM83" i="1"/>
  <c r="BQ83" i="1"/>
  <c r="AJ83" i="1"/>
  <c r="BS83" i="1"/>
  <c r="BR83" i="1"/>
  <c r="BO83" i="1"/>
  <c r="AM83" i="1"/>
  <c r="AI83" i="1"/>
  <c r="AP83" i="1"/>
  <c r="AZ83" i="1"/>
  <c r="AS83" i="1"/>
  <c r="BN83" i="1"/>
  <c r="BU83" i="1"/>
  <c r="BA83" i="1"/>
  <c r="BC83" i="1"/>
  <c r="AU83" i="1"/>
  <c r="BW83" i="1"/>
  <c r="BP83" i="1"/>
  <c r="BJ83" i="1"/>
  <c r="BH83" i="1"/>
  <c r="BX83" i="1"/>
  <c r="BG83" i="1"/>
  <c r="AQ83" i="1"/>
  <c r="AY83" i="1"/>
  <c r="AK83" i="1"/>
  <c r="BE83" i="1"/>
  <c r="BD83" i="1"/>
  <c r="BV83" i="1"/>
  <c r="BF83" i="1"/>
  <c r="CZ200" i="1" l="1"/>
  <c r="CZ204" i="1" s="1"/>
  <c r="DA199" i="1"/>
  <c r="DB267" i="1"/>
  <c r="DB224" i="1"/>
  <c r="DA224" i="1"/>
  <c r="DA267" i="1"/>
  <c r="BL249" i="1"/>
  <c r="DB199" i="1" l="1"/>
  <c r="DB200" i="1" s="1"/>
  <c r="DB204" i="1" s="1"/>
  <c r="DA200" i="1"/>
  <c r="DA204" i="1" s="1"/>
  <c r="CM95" i="1"/>
  <c r="AB158" i="1"/>
  <c r="CN95" i="1" l="1"/>
  <c r="AB220" i="1"/>
  <c r="CO95" i="1" l="1"/>
  <c r="CM81" i="1"/>
  <c r="CP95" i="1" l="1"/>
  <c r="CN81" i="1"/>
  <c r="CM83" i="1"/>
  <c r="CM50" i="1" l="1"/>
  <c r="AB95" i="1"/>
  <c r="CQ95" i="1"/>
  <c r="AC158" i="1"/>
  <c r="CN83" i="1"/>
  <c r="CO81" i="1"/>
  <c r="CM121" i="1" l="1"/>
  <c r="CN121" i="1" s="1"/>
  <c r="CO121" i="1" s="1"/>
  <c r="CP121" i="1" s="1"/>
  <c r="CQ121" i="1" s="1"/>
  <c r="CR121" i="1" s="1"/>
  <c r="CS121" i="1" s="1"/>
  <c r="CT121" i="1" s="1"/>
  <c r="CU121" i="1" s="1"/>
  <c r="CV121" i="1" s="1"/>
  <c r="CW121" i="1" s="1"/>
  <c r="CX121" i="1" s="1"/>
  <c r="CY121" i="1" s="1"/>
  <c r="CZ121" i="1" s="1"/>
  <c r="DA121" i="1" s="1"/>
  <c r="DB121" i="1" s="1"/>
  <c r="CM122" i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M212" i="1"/>
  <c r="CM150" i="1"/>
  <c r="CM152" i="1" s="1"/>
  <c r="CM156" i="1" s="1"/>
  <c r="CM221" i="1" s="1"/>
  <c r="CM219" i="1" s="1"/>
  <c r="CR95" i="1"/>
  <c r="AC220" i="1"/>
  <c r="AB167" i="1"/>
  <c r="AB135" i="1"/>
  <c r="CO83" i="1"/>
  <c r="CP81" i="1"/>
  <c r="AR61" i="3"/>
  <c r="EI14" i="4" a="1"/>
  <c r="R21" i="2"/>
  <c r="AR26" i="3"/>
  <c r="BQ16" i="4" a="1"/>
  <c r="AX6" i="4" a="1"/>
  <c r="F27" i="2"/>
  <c r="CK14" i="4" a="1"/>
  <c r="CV5" i="4" a="1"/>
  <c r="P23" i="2"/>
  <c r="J6" i="2"/>
  <c r="DR16" i="4" a="1"/>
  <c r="F11" i="3"/>
  <c r="I35" i="2"/>
  <c r="R31" i="2"/>
  <c r="V32" i="2"/>
  <c r="T34" i="2"/>
  <c r="D28" i="2"/>
  <c r="M5" i="2"/>
  <c r="O22" i="2"/>
  <c r="T27" i="2"/>
  <c r="U15" i="2"/>
  <c r="I27" i="2"/>
  <c r="E24" i="2"/>
  <c r="K31" i="2"/>
  <c r="S33" i="2"/>
  <c r="K30" i="2"/>
  <c r="I23" i="2"/>
  <c r="EG11" i="4" a="1"/>
  <c r="N26" i="2"/>
  <c r="AX9" i="4" a="1"/>
  <c r="E32" i="3"/>
  <c r="AR97" i="3"/>
  <c r="AU16" i="4" a="1"/>
  <c r="E29" i="3"/>
  <c r="P14" i="4" a="1"/>
  <c r="H36" i="2"/>
  <c r="F21" i="2"/>
  <c r="EH5" i="4" a="1"/>
  <c r="CF6" i="4" a="1"/>
  <c r="G36" i="2"/>
  <c r="K29" i="2"/>
  <c r="D33" i="3"/>
  <c r="AR77" i="3"/>
  <c r="D24" i="2"/>
  <c r="E32" i="2"/>
  <c r="F18" i="3"/>
  <c r="P10" i="2"/>
  <c r="C36" i="2"/>
  <c r="DJ8" i="4" a="1"/>
  <c r="G23" i="2"/>
  <c r="AR82" i="3"/>
  <c r="BW7" i="4" a="1"/>
  <c r="E14" i="4" a="1"/>
  <c r="C46" i="3"/>
  <c r="N9" i="4" a="1"/>
  <c r="BL16" i="4" a="1"/>
  <c r="X36" i="2"/>
  <c r="CF9" i="4" a="1"/>
  <c r="M26" i="2"/>
  <c r="N6" i="2"/>
  <c r="BZ9" i="4" a="1"/>
  <c r="W21" i="2"/>
  <c r="L14" i="2"/>
  <c r="U13" i="2"/>
  <c r="D12" i="2"/>
  <c r="AP15" i="4" a="1"/>
  <c r="DS8" i="4" a="1"/>
  <c r="DQ8" i="4" a="1"/>
  <c r="CH12" i="4" a="1"/>
  <c r="K7" i="2"/>
  <c r="BC16" i="4" a="1"/>
  <c r="AR12" i="3"/>
  <c r="T12" i="4" a="1"/>
  <c r="CG8" i="4" a="1"/>
  <c r="G12" i="3"/>
  <c r="AR94" i="3"/>
  <c r="F41" i="3"/>
  <c r="CX11" i="4" a="1"/>
  <c r="CX14" i="4" a="1"/>
  <c r="M22" i="2"/>
  <c r="T14" i="2"/>
  <c r="AS16" i="4" a="1"/>
  <c r="E21" i="3"/>
  <c r="X5" i="4" a="1"/>
  <c r="Z5" i="4" a="1"/>
  <c r="DQ5" i="4" a="1"/>
  <c r="F13" i="4" a="1"/>
  <c r="R24" i="2"/>
  <c r="G12" i="2"/>
  <c r="CA15" i="4" a="1"/>
  <c r="EE12" i="4" a="1"/>
  <c r="DY15" i="4" a="1"/>
  <c r="U26" i="2"/>
  <c r="E20" i="2"/>
  <c r="BJ5" i="4" a="1"/>
  <c r="BE16" i="4" a="1"/>
  <c r="EG12" i="4" a="1"/>
  <c r="D14" i="2"/>
  <c r="CK8" i="4" a="1"/>
  <c r="EI12" i="4" a="1"/>
  <c r="EA11" i="4" a="1"/>
  <c r="BC12" i="4" a="1"/>
  <c r="BG11" i="4" a="1"/>
  <c r="AR71" i="3"/>
  <c r="G11" i="3"/>
  <c r="DA16" i="4" a="1"/>
  <c r="EF13" i="4" a="1"/>
  <c r="F13" i="3"/>
  <c r="H9" i="2"/>
  <c r="DR12" i="4" a="1"/>
  <c r="G11" i="4" a="1"/>
  <c r="EH9" i="4" a="1"/>
  <c r="DZ11" i="4" a="1"/>
  <c r="BJ11" i="4" a="1"/>
  <c r="G26" i="2"/>
  <c r="T31" i="2"/>
  <c r="I13" i="2"/>
  <c r="CE7" i="4" a="1"/>
  <c r="CG11" i="4" a="1"/>
  <c r="E23" i="2"/>
  <c r="DI12" i="4" a="1"/>
  <c r="O13" i="4" a="1"/>
  <c r="U7" i="4" a="1"/>
  <c r="G20" i="3"/>
  <c r="Y16" i="4" a="1"/>
  <c r="CI11" i="4" a="1"/>
  <c r="G10" i="2"/>
  <c r="BC13" i="4" a="1"/>
  <c r="D29" i="3"/>
  <c r="CJ13" i="4" a="1"/>
  <c r="N13" i="4" a="1"/>
  <c r="AR16" i="3"/>
  <c r="C13" i="2"/>
  <c r="BU6" i="4" a="1"/>
  <c r="K11" i="4" a="1"/>
  <c r="H45" i="3"/>
  <c r="AR17" i="3"/>
  <c r="M17" i="2"/>
  <c r="C32" i="2"/>
  <c r="Q69" i="2"/>
  <c r="AQ46" i="3"/>
  <c r="L25" i="2"/>
  <c r="E9" i="3"/>
  <c r="E20" i="3"/>
  <c r="W9" i="2"/>
  <c r="AR32" i="3"/>
  <c r="X41" i="2"/>
  <c r="R16" i="2"/>
  <c r="AR72" i="3"/>
  <c r="P7" i="2"/>
  <c r="D42" i="3"/>
  <c r="W22" i="2"/>
  <c r="D17" i="2"/>
  <c r="DI16" i="4" a="1"/>
  <c r="BR8" i="4" a="1"/>
  <c r="G24" i="3"/>
  <c r="BE7" i="4" a="1"/>
  <c r="P35" i="2"/>
  <c r="CN11" i="4" a="1"/>
  <c r="CR13" i="4" a="1"/>
  <c r="X18" i="2"/>
  <c r="H14" i="4" a="1"/>
  <c r="AR27" i="3"/>
  <c r="I6" i="2"/>
  <c r="DM13" i="4" a="1"/>
  <c r="R45" i="3"/>
  <c r="S14" i="2"/>
  <c r="AR96" i="3"/>
  <c r="X63" i="2"/>
  <c r="S28" i="2"/>
  <c r="F19" i="3"/>
  <c r="J8" i="2"/>
  <c r="I17" i="2"/>
  <c r="BD15" i="4" a="1"/>
  <c r="C6" i="2"/>
  <c r="BM14" i="4" a="1"/>
  <c r="F26" i="2"/>
  <c r="CD8" i="4" a="1"/>
  <c r="DG13" i="4" a="1"/>
  <c r="DO16" i="4" a="1"/>
  <c r="P69" i="2"/>
  <c r="CE13" i="4" a="1"/>
  <c r="DH7" i="4" a="1"/>
  <c r="J12" i="4" a="1"/>
  <c r="T15" i="4" a="1"/>
  <c r="AO6" i="3"/>
  <c r="X14" i="2"/>
  <c r="CU5" i="4" a="1"/>
  <c r="N8" i="2"/>
  <c r="L20" i="2"/>
  <c r="W16" i="2"/>
  <c r="G46" i="3"/>
  <c r="N20" i="2"/>
  <c r="E41" i="3"/>
  <c r="AS11" i="4" a="1"/>
  <c r="CV15" i="4" a="1"/>
  <c r="G45" i="3"/>
  <c r="BD5" i="4" a="1"/>
  <c r="R8" i="2"/>
  <c r="DM5" i="4" a="1"/>
  <c r="BE15" i="4" a="1"/>
  <c r="E26" i="2"/>
  <c r="L9" i="2"/>
  <c r="V11" i="2"/>
  <c r="DV11" i="4" a="1"/>
  <c r="AS6" i="4" a="1"/>
  <c r="D21" i="2"/>
  <c r="AL46" i="3"/>
  <c r="D7" i="2"/>
  <c r="DN12" i="4" a="1"/>
  <c r="AJ8" i="4" a="1"/>
  <c r="G19" i="2"/>
  <c r="J13" i="4" a="1"/>
  <c r="BX14" i="4" a="1"/>
  <c r="BO6" i="4" a="1"/>
  <c r="K19" i="2"/>
  <c r="AR47" i="3"/>
  <c r="DG11" i="4" a="1"/>
  <c r="DI11" i="4" a="1"/>
  <c r="D47" i="2"/>
  <c r="O46" i="3"/>
  <c r="H17" i="2"/>
  <c r="CU6" i="4" a="1"/>
  <c r="BQ5" i="4" a="1"/>
  <c r="BF13" i="4" a="1"/>
  <c r="T20" i="2"/>
  <c r="DH5" i="4" a="1"/>
  <c r="BH7" i="4" a="1"/>
  <c r="Y11" i="4" a="1"/>
  <c r="BN14" i="4" a="1"/>
  <c r="G28" i="3"/>
  <c r="K36" i="2"/>
  <c r="X66" i="2"/>
  <c r="AA9" i="4" a="1"/>
  <c r="AP9" i="4" a="1"/>
  <c r="E17" i="2"/>
  <c r="H49" i="2"/>
  <c r="CU11" i="4" a="1"/>
  <c r="R11" i="2"/>
  <c r="CB5" i="4" a="1"/>
  <c r="G15" i="3"/>
  <c r="DP12" i="4" a="1"/>
  <c r="T9" i="2"/>
  <c r="AI14" i="4" a="1"/>
  <c r="I14" i="4" a="1"/>
  <c r="S6" i="2"/>
  <c r="O28" i="2"/>
  <c r="AG45" i="3"/>
  <c r="BD13" i="4" a="1"/>
  <c r="P16" i="2"/>
  <c r="O10" i="2"/>
  <c r="R33" i="2"/>
  <c r="R54" i="2"/>
  <c r="Q59" i="2"/>
  <c r="P19" i="2"/>
  <c r="U30" i="2"/>
  <c r="AS49" i="3"/>
  <c r="Q26" i="2"/>
  <c r="L11" i="2"/>
  <c r="P29" i="2"/>
  <c r="AR68" i="3"/>
  <c r="K17" i="2"/>
  <c r="O30" i="2"/>
  <c r="AR54" i="3"/>
  <c r="Q13" i="2"/>
  <c r="W35" i="2"/>
  <c r="G31" i="3"/>
  <c r="BL8" i="4" a="1"/>
  <c r="F35" i="2"/>
  <c r="P5" i="2"/>
  <c r="AL12" i="4" a="1"/>
  <c r="K11" i="2"/>
  <c r="DG7" i="4" a="1"/>
  <c r="BF14" i="4" a="1"/>
  <c r="F10" i="2"/>
  <c r="AI8" i="4" a="1"/>
  <c r="J20" i="2"/>
  <c r="DR5" i="4" a="1"/>
  <c r="AI7" i="4" a="1"/>
  <c r="K9" i="4" a="1"/>
  <c r="Q17" i="2"/>
  <c r="H19" i="2"/>
  <c r="Q28" i="2"/>
  <c r="M45" i="3"/>
  <c r="R9" i="2"/>
  <c r="EC7" i="4" a="1"/>
  <c r="J10" i="2"/>
  <c r="CW14" i="4" a="1"/>
  <c r="F22" i="2"/>
  <c r="CN16" i="4" a="1"/>
  <c r="J26" i="2"/>
  <c r="W15" i="4" a="1"/>
  <c r="DL16" i="4" a="1"/>
  <c r="R5" i="2"/>
  <c r="V26" i="2"/>
  <c r="I30" i="2"/>
  <c r="M13" i="4" a="1"/>
  <c r="BB11" i="4" a="1"/>
  <c r="AW14" i="4" a="1"/>
  <c r="C14" i="2"/>
  <c r="J14" i="2"/>
  <c r="D15" i="2"/>
  <c r="I32" i="2"/>
  <c r="K27" i="2"/>
  <c r="T23" i="2"/>
  <c r="G5" i="2"/>
  <c r="V13" i="2"/>
  <c r="AR93" i="3"/>
  <c r="BH11" i="4" a="1"/>
  <c r="G15" i="2"/>
  <c r="H15" i="2"/>
  <c r="Q58" i="2"/>
  <c r="AC45" i="3"/>
  <c r="AZ12" i="4" a="1"/>
  <c r="L35" i="2"/>
  <c r="F34" i="3"/>
  <c r="AB45" i="3"/>
  <c r="P30" i="2"/>
  <c r="DS9" i="4" a="1"/>
  <c r="CD16" i="4" a="1"/>
  <c r="BW12" i="4" a="1"/>
  <c r="Q24" i="2"/>
  <c r="DW5" i="4" a="1"/>
  <c r="EG6" i="4" a="1"/>
  <c r="BF8" i="4" a="1"/>
  <c r="G26" i="3"/>
  <c r="CZ13" i="4" a="1"/>
  <c r="AF15" i="4" a="1"/>
  <c r="AK45" i="3"/>
  <c r="DF12" i="4" a="1"/>
  <c r="Q18" i="2"/>
  <c r="BU16" i="4" a="1"/>
  <c r="G17" i="3"/>
  <c r="G14" i="2"/>
  <c r="DD9" i="4" a="1"/>
  <c r="W14" i="4" a="1"/>
  <c r="R46" i="3"/>
  <c r="BG15" i="4" a="1"/>
  <c r="CR6" i="4" a="1"/>
  <c r="BB9" i="4" a="1"/>
  <c r="DI5" i="4" a="1"/>
  <c r="AD15" i="4" a="1"/>
  <c r="BT12" i="4" a="1"/>
  <c r="CB13" i="4" a="1"/>
  <c r="AR48" i="3"/>
  <c r="K7" i="4" a="1"/>
  <c r="AN9" i="4" a="1"/>
  <c r="G7" i="2"/>
  <c r="CG16" i="4" a="1"/>
  <c r="D31" i="2"/>
  <c r="AV5" i="4" a="1"/>
  <c r="EI16" i="4" a="1"/>
  <c r="EA8" i="4" a="1"/>
  <c r="DP13" i="4" a="1"/>
  <c r="S35" i="2"/>
  <c r="P22" i="2"/>
  <c r="O11" i="4" a="1"/>
  <c r="EB16" i="4" a="1"/>
  <c r="M16" i="2"/>
  <c r="AH12" i="4" a="1"/>
  <c r="CR5" i="4" a="1"/>
  <c r="DY7" i="4" a="1"/>
  <c r="CJ6" i="4" a="1"/>
  <c r="E33" i="2"/>
  <c r="S25" i="2"/>
  <c r="E12" i="3"/>
  <c r="AO9" i="4" a="1"/>
  <c r="L16" i="2"/>
  <c r="T35" i="2"/>
  <c r="AL45" i="3"/>
  <c r="AR70" i="3"/>
  <c r="DB9" i="4" a="1"/>
  <c r="G29" i="3"/>
  <c r="U36" i="2"/>
  <c r="M9" i="2"/>
  <c r="E9" i="2"/>
  <c r="K87" i="2"/>
  <c r="AD9" i="3"/>
  <c r="N46" i="3"/>
  <c r="BT5" i="4" a="1"/>
  <c r="K34" i="2"/>
  <c r="S32" i="2"/>
  <c r="G34" i="2"/>
  <c r="R35" i="2"/>
  <c r="E25" i="3"/>
  <c r="AR24" i="3"/>
  <c r="S16" i="2"/>
  <c r="DV16" i="4" a="1"/>
  <c r="F16" i="2"/>
  <c r="AR10" i="3"/>
  <c r="DI8" i="4" a="1"/>
  <c r="O17" i="2"/>
  <c r="V28" i="2"/>
  <c r="DT16" i="4" a="1"/>
  <c r="E7" i="2"/>
  <c r="AE7" i="4" a="1"/>
  <c r="CU8" i="4" a="1"/>
  <c r="AR60" i="3"/>
  <c r="J9" i="4" a="1"/>
  <c r="Q46" i="2"/>
  <c r="DX12" i="4" a="1"/>
  <c r="EC8" i="4" a="1"/>
  <c r="F89" i="2"/>
  <c r="AR22" i="3"/>
  <c r="AQ6" i="3"/>
  <c r="N23" i="2"/>
  <c r="E15" i="2"/>
  <c r="G23" i="3"/>
  <c r="CL6" i="4" a="1"/>
  <c r="D37" i="3"/>
  <c r="AB13" i="4" a="1"/>
  <c r="J19" i="2"/>
  <c r="L7" i="4" a="1"/>
  <c r="X12" i="2"/>
  <c r="Y6" i="4" a="1"/>
  <c r="BX5" i="4" a="1"/>
  <c r="C12" i="2"/>
  <c r="AS47" i="3"/>
  <c r="E34" i="3"/>
  <c r="EK14" i="4" a="1"/>
  <c r="CL12" i="4" a="1"/>
  <c r="Z6" i="4" a="1"/>
  <c r="N29" i="2"/>
  <c r="X10" i="2"/>
  <c r="D39" i="3"/>
  <c r="AP45" i="3"/>
  <c r="N19" i="2"/>
  <c r="H30" i="2"/>
  <c r="U45" i="3"/>
  <c r="O13" i="2"/>
  <c r="EA6" i="4" a="1"/>
  <c r="AD14" i="4" a="1"/>
  <c r="G21" i="2"/>
  <c r="I7" i="2"/>
  <c r="D11" i="2"/>
  <c r="DO6" i="4" a="1"/>
  <c r="T30" i="2"/>
  <c r="AR73" i="3"/>
  <c r="L6" i="2"/>
  <c r="H7" i="2"/>
  <c r="CD9" i="4" a="1"/>
  <c r="BD9" i="4" a="1"/>
  <c r="BV15" i="4" a="1"/>
  <c r="V21" i="2"/>
  <c r="AR92" i="3"/>
  <c r="CD5" i="4" a="1"/>
  <c r="CF14" i="4" a="1"/>
  <c r="BF15" i="4" a="1"/>
  <c r="DH15" i="4" a="1"/>
  <c r="T32" i="2"/>
  <c r="BA13" i="4" a="1"/>
  <c r="CR11" i="4" a="1"/>
  <c r="V15" i="2"/>
  <c r="P16" i="4" a="1"/>
  <c r="G8" i="3"/>
  <c r="EJ9" i="4" a="1"/>
  <c r="CY9" i="4" a="1"/>
  <c r="T18" i="2"/>
  <c r="J34" i="2"/>
  <c r="EB7" i="4" a="1"/>
  <c r="BV14" i="4" a="1"/>
  <c r="CF12" i="4" a="1"/>
  <c r="BM9" i="4" a="1"/>
  <c r="DS13" i="4" a="1"/>
  <c r="CZ7" i="4" a="1"/>
  <c r="DJ9" i="4" a="1"/>
  <c r="AU8" i="4" a="1"/>
  <c r="EK9" i="4" a="1"/>
  <c r="L30" i="2"/>
  <c r="AD5" i="3"/>
  <c r="AD96" i="3" s="1"/>
  <c r="DR11" i="4" a="1"/>
  <c r="BS14" i="4" a="1"/>
  <c r="V18" i="2"/>
  <c r="K10" i="2"/>
  <c r="AV16" i="4" a="1"/>
  <c r="X28" i="2"/>
  <c r="CM8" i="4" a="1"/>
  <c r="W11" i="4" a="1"/>
  <c r="CN6" i="4" a="1"/>
  <c r="BX16" i="4" a="1"/>
  <c r="AR83" i="3"/>
  <c r="W7" i="2"/>
  <c r="DA5" i="4" a="1"/>
  <c r="F22" i="3"/>
  <c r="EA7" i="4" a="1"/>
  <c r="DS5" i="4" a="1"/>
  <c r="AG9" i="4" a="1"/>
  <c r="CP9" i="4" a="1"/>
  <c r="AR57" i="3"/>
  <c r="DB11" i="4" a="1"/>
  <c r="U6" i="4" a="1"/>
  <c r="F9" i="3"/>
  <c r="W23" i="2"/>
  <c r="AN13" i="4" a="1"/>
  <c r="F32" i="2"/>
  <c r="K20" i="2"/>
  <c r="DX13" i="4" a="1"/>
  <c r="I15" i="4" a="1"/>
  <c r="J17" i="2"/>
  <c r="U9" i="4" a="1"/>
  <c r="DG15" i="4" a="1"/>
  <c r="E18" i="2"/>
  <c r="H5" i="2"/>
  <c r="BW16" i="4" a="1"/>
  <c r="P8" i="2"/>
  <c r="E5" i="3"/>
  <c r="V20" i="2"/>
  <c r="D13" i="2"/>
  <c r="BW13" i="4" a="1"/>
  <c r="AR87" i="3"/>
  <c r="AA46" i="3"/>
  <c r="N22" i="2"/>
  <c r="G5" i="3"/>
  <c r="BI15" i="4" a="1"/>
  <c r="V22" i="2"/>
  <c r="D23" i="3"/>
  <c r="X29" i="2"/>
  <c r="V17" i="2"/>
  <c r="AK11" i="4" a="1"/>
  <c r="I22" i="2"/>
  <c r="G14" i="4" a="1"/>
  <c r="AA5" i="4" a="1"/>
  <c r="J5" i="4" a="1"/>
  <c r="P36" i="2"/>
  <c r="L29" i="2"/>
  <c r="G30" i="3"/>
  <c r="BS12" i="4" a="1"/>
  <c r="U32" i="2"/>
  <c r="V27" i="2"/>
  <c r="I33" i="2"/>
  <c r="L36" i="2"/>
  <c r="E37" i="3"/>
  <c r="D33" i="2"/>
  <c r="M10" i="2"/>
  <c r="H22" i="2"/>
  <c r="R18" i="2"/>
  <c r="J11" i="2"/>
  <c r="Q15" i="2"/>
  <c r="R32" i="2"/>
  <c r="E23" i="3"/>
  <c r="J31" i="2"/>
  <c r="EA13" i="4" a="1"/>
  <c r="F20" i="2"/>
  <c r="X9" i="2"/>
  <c r="DV5" i="4" a="1"/>
  <c r="AC6" i="4" a="1"/>
  <c r="S20" i="2"/>
  <c r="BY8" i="4" a="1"/>
  <c r="F21" i="3"/>
  <c r="E26" i="3"/>
  <c r="BK6" i="4" a="1"/>
  <c r="K16" i="2"/>
  <c r="AI15" i="4" a="1"/>
  <c r="D13" i="3"/>
  <c r="DP15" i="4" a="1"/>
  <c r="DG14" i="4" a="1"/>
  <c r="G27" i="3"/>
  <c r="T17" i="2"/>
  <c r="N36" i="2"/>
  <c r="BE13" i="4" a="1"/>
  <c r="DE8" i="4" a="1"/>
  <c r="CW6" i="4" a="1"/>
  <c r="C33" i="2"/>
  <c r="AD8" i="4" a="1"/>
  <c r="I20" i="2"/>
  <c r="E36" i="3"/>
  <c r="DA12" i="4" a="1"/>
  <c r="AO5" i="4" a="1"/>
  <c r="V7" i="2"/>
  <c r="M5" i="4" a="1"/>
  <c r="AS8" i="4" a="1"/>
  <c r="BF11" i="4" a="1"/>
  <c r="AD12" i="3"/>
  <c r="BV5" i="4" a="1"/>
  <c r="EF12" i="4" a="1"/>
  <c r="L21" i="2"/>
  <c r="DK14" i="4" a="1"/>
  <c r="CK6" i="4" a="1"/>
  <c r="CO11" i="4" a="1"/>
  <c r="J16" i="4" a="1"/>
  <c r="G93" i="3"/>
  <c r="D6" i="3"/>
  <c r="W29" i="2"/>
  <c r="CG6" i="4" a="1"/>
  <c r="CS7" i="4" a="1"/>
  <c r="BB5" i="4" a="1"/>
  <c r="AR45" i="3"/>
  <c r="G6" i="2"/>
  <c r="AR62" i="3"/>
  <c r="EJ7" i="4" a="1"/>
  <c r="AO46" i="3"/>
  <c r="F9" i="4" a="1"/>
  <c r="DN5" i="4" a="1"/>
  <c r="DL7" i="4" a="1"/>
  <c r="I36" i="2"/>
  <c r="D32" i="2"/>
  <c r="R34" i="2"/>
  <c r="F28" i="3"/>
  <c r="D12" i="4" a="1"/>
  <c r="Y12" i="4" a="1"/>
  <c r="K8" i="2"/>
  <c r="S15" i="4" a="1"/>
  <c r="R6" i="2"/>
  <c r="AV8" i="4" a="1"/>
  <c r="G33" i="2"/>
  <c r="D35" i="3"/>
  <c r="S18" i="2"/>
  <c r="AD10" i="3"/>
  <c r="C25" i="2"/>
  <c r="CG5" i="4" a="1"/>
  <c r="BL11" i="4" a="1"/>
  <c r="AR79" i="3"/>
  <c r="N35" i="2"/>
  <c r="V31" i="2"/>
  <c r="CB14" i="4" a="1"/>
  <c r="J7" i="2"/>
  <c r="R27" i="2"/>
  <c r="CM11" i="4" a="1"/>
  <c r="AB16" i="4" a="1"/>
  <c r="BU13" i="4" a="1"/>
  <c r="R15" i="2"/>
  <c r="C13" i="4" a="1"/>
  <c r="O18" i="2"/>
  <c r="E39" i="3"/>
  <c r="L23" i="2"/>
  <c r="AZ5" i="4" a="1"/>
  <c r="AR11" i="4" a="1"/>
  <c r="EH14" i="4" a="1"/>
  <c r="AR59" i="3"/>
  <c r="M30" i="2"/>
  <c r="DY11" i="4" a="1"/>
  <c r="AE16" i="4" a="1"/>
  <c r="F14" i="2"/>
  <c r="H25" i="2"/>
  <c r="E10" i="2"/>
  <c r="V33" i="2"/>
  <c r="S45" i="3"/>
  <c r="O7" i="2"/>
  <c r="W27" i="2"/>
  <c r="C9" i="4" a="1"/>
  <c r="D36" i="2"/>
  <c r="AE6" i="4" a="1"/>
  <c r="AA15" i="4" a="1"/>
  <c r="W24" i="2"/>
  <c r="DW13" i="4" a="1"/>
  <c r="P11" i="2"/>
  <c r="K5" i="2"/>
  <c r="AR75" i="3"/>
  <c r="F33" i="2"/>
  <c r="S26" i="2"/>
  <c r="CZ16" i="4" a="1"/>
  <c r="T7" i="2"/>
  <c r="W16" i="4" a="1"/>
  <c r="CY7" i="4" a="1"/>
  <c r="AD11" i="3"/>
  <c r="V9" i="2"/>
  <c r="DG8" i="4" a="1"/>
  <c r="G32" i="2"/>
  <c r="C19" i="2"/>
  <c r="DN9" i="4" a="1"/>
  <c r="DQ16" i="4" a="1"/>
  <c r="R20" i="2"/>
  <c r="F36" i="2"/>
  <c r="E25" i="2"/>
  <c r="BR5" i="4" a="1"/>
  <c r="AD7" i="3"/>
  <c r="D11" i="3"/>
  <c r="EJ6" i="4" a="1"/>
  <c r="Z16" i="4" a="1"/>
  <c r="E79" i="3"/>
  <c r="AP7" i="4" a="1"/>
  <c r="EF5" i="4" a="1"/>
  <c r="I11" i="2"/>
  <c r="DQ15" i="4" a="1"/>
  <c r="N21" i="2"/>
  <c r="CB9" i="4" a="1"/>
  <c r="DH8" i="4" a="1"/>
  <c r="J11" i="4" a="1"/>
  <c r="J14" i="4" a="1"/>
  <c r="AD93" i="3"/>
  <c r="EG9" i="4" a="1"/>
  <c r="AZ9" i="4" a="1"/>
  <c r="V15" i="4" a="1"/>
  <c r="I24" i="2"/>
  <c r="T25" i="2"/>
  <c r="DI7" i="4" a="1"/>
  <c r="BM15" i="4" a="1"/>
  <c r="BM12" i="4" a="1"/>
  <c r="CA12" i="4" a="1"/>
  <c r="AJ13" i="4" a="1"/>
  <c r="P13" i="4" a="1"/>
  <c r="CS5" i="4" a="1"/>
  <c r="CQ13" i="4" a="1"/>
  <c r="AJ5" i="4" a="1"/>
  <c r="X8" i="2"/>
  <c r="DE9" i="4" a="1"/>
  <c r="P13" i="2"/>
  <c r="DC9" i="4" a="1"/>
  <c r="X15" i="4" a="1"/>
  <c r="AU5" i="4" a="1"/>
  <c r="AP11" i="4" a="1"/>
  <c r="E61" i="3"/>
  <c r="EE15" i="4" a="1"/>
  <c r="BG14" i="4" a="1"/>
  <c r="G9" i="2"/>
  <c r="D28" i="3"/>
  <c r="BY7" i="4" a="1"/>
  <c r="AR95" i="3"/>
  <c r="T21" i="2"/>
  <c r="AG12" i="4" a="1"/>
  <c r="DF5" i="4" a="1"/>
  <c r="D15" i="3"/>
  <c r="CD15" i="4" a="1"/>
  <c r="W8" i="4" a="1"/>
  <c r="R8" i="4" a="1"/>
  <c r="BV12" i="4" a="1"/>
  <c r="G6" i="4" a="1"/>
  <c r="CP14" i="4" a="1"/>
  <c r="BQ14" i="4" a="1"/>
  <c r="V5" i="4" a="1"/>
  <c r="DV15" i="4" a="1"/>
  <c r="AF6" i="4" a="1"/>
  <c r="AR80" i="3"/>
  <c r="V5" i="2"/>
  <c r="DS7" i="4" a="1"/>
  <c r="CN13" i="4" a="1"/>
  <c r="BL15" i="4" a="1"/>
  <c r="G83" i="3"/>
  <c r="V9" i="4" a="1"/>
  <c r="AH8" i="4" a="1"/>
  <c r="BG12" i="4" a="1"/>
  <c r="EG13" i="4" a="1"/>
  <c r="Q13" i="4" a="1"/>
  <c r="DW11" i="4" a="1"/>
  <c r="DV8" i="4" a="1"/>
  <c r="BO5" i="4" a="1"/>
  <c r="BZ5" i="4" a="1"/>
  <c r="EI15" i="4" a="1"/>
  <c r="CF11" i="4" a="1"/>
  <c r="BG16" i="4" a="1"/>
  <c r="AJ9" i="4" a="1"/>
  <c r="AA13" i="4" a="1"/>
  <c r="AW12" i="4" a="1"/>
  <c r="D13" i="4" a="1"/>
  <c r="AD94" i="3"/>
  <c r="CK9" i="4" a="1"/>
  <c r="CC12" i="4" a="1"/>
  <c r="BS5" i="4" a="1"/>
  <c r="DL9" i="4" a="1"/>
  <c r="G58" i="3"/>
  <c r="CG7" i="4" a="1"/>
  <c r="BP16" i="4" a="1"/>
  <c r="AE12" i="4" a="1"/>
  <c r="N12" i="4" a="1"/>
  <c r="CH16" i="4" a="1"/>
  <c r="G73" i="3"/>
  <c r="CK12" i="4" a="1"/>
  <c r="AF9" i="4" a="1"/>
  <c r="Z45" i="3"/>
  <c r="AD91" i="3"/>
  <c r="DC16" i="4" a="1"/>
  <c r="AD70" i="3"/>
  <c r="CK11" i="4" a="1"/>
  <c r="E63" i="3"/>
  <c r="BD8" i="4" a="1"/>
  <c r="V19" i="2"/>
  <c r="D6" i="4" a="1"/>
  <c r="AD82" i="3"/>
  <c r="T5" i="4" a="1"/>
  <c r="CS6" i="4" a="1"/>
  <c r="G63" i="3"/>
  <c r="G81" i="3"/>
  <c r="BO11" i="4" a="1"/>
  <c r="CR15" i="4" a="1"/>
  <c r="CJ16" i="4" a="1"/>
  <c r="V11" i="4" a="1"/>
  <c r="AL5" i="4" a="1"/>
  <c r="D25" i="2"/>
  <c r="CY6" i="4" a="1"/>
  <c r="C65" i="2"/>
  <c r="O45" i="3"/>
  <c r="S7" i="2"/>
  <c r="EA16" i="4" a="1"/>
  <c r="EA5" i="4" a="1"/>
  <c r="AK46" i="3"/>
  <c r="S36" i="2"/>
  <c r="AR78" i="3"/>
  <c r="W8" i="2"/>
  <c r="AR64" i="3"/>
  <c r="CT15" i="4" a="1"/>
  <c r="DE11" i="4" a="1"/>
  <c r="DD13" i="4" a="1"/>
  <c r="Q5" i="2"/>
  <c r="CE11" i="4" a="1"/>
  <c r="K12" i="4" a="1"/>
  <c r="S9" i="2"/>
  <c r="L46" i="3"/>
  <c r="O15" i="2"/>
  <c r="P28" i="2"/>
  <c r="E42" i="3"/>
  <c r="V24" i="2"/>
  <c r="CS12" i="4" a="1"/>
  <c r="L7" i="2"/>
  <c r="P24" i="2"/>
  <c r="O16" i="2"/>
  <c r="CH14" i="4" a="1"/>
  <c r="T46" i="3"/>
  <c r="G25" i="2"/>
  <c r="M31" i="2"/>
  <c r="Q12" i="2"/>
  <c r="CH7" i="4" a="1"/>
  <c r="Z14" i="4" a="1"/>
  <c r="K35" i="2"/>
  <c r="J22" i="2"/>
  <c r="DF14" i="4" a="1"/>
  <c r="AE11" i="4" a="1"/>
  <c r="Y8" i="4" a="1"/>
  <c r="BX6" i="4" a="1"/>
  <c r="L26" i="2"/>
  <c r="F17" i="3"/>
  <c r="O5" i="2"/>
  <c r="K18" i="2"/>
  <c r="U29" i="2"/>
  <c r="M32" i="2"/>
  <c r="AT5" i="4" a="1"/>
  <c r="CJ11" i="4" a="1"/>
  <c r="DY12" i="4" a="1"/>
  <c r="U7" i="2"/>
  <c r="C8" i="2"/>
  <c r="DP8" i="4" a="1"/>
  <c r="D45" i="3"/>
  <c r="S31" i="2"/>
  <c r="C7" i="2"/>
  <c r="AK5" i="4" a="1"/>
  <c r="G14" i="3"/>
  <c r="D27" i="3"/>
  <c r="DU12" i="4" a="1"/>
  <c r="CR7" i="4" a="1"/>
  <c r="AD14" i="3"/>
  <c r="O19" i="2"/>
  <c r="K59" i="2"/>
  <c r="E9" i="4" a="1"/>
  <c r="CC13" i="4" a="1"/>
  <c r="AQ7" i="4" a="1"/>
  <c r="DF6" i="4" a="1"/>
  <c r="DJ6" i="4" a="1"/>
  <c r="AX15" i="4" a="1"/>
  <c r="E18" i="3"/>
  <c r="BH12" i="4" a="1"/>
  <c r="E16" i="4" a="1"/>
  <c r="DO15" i="4" a="1"/>
  <c r="CQ7" i="4" a="1"/>
  <c r="CG15" i="4" a="1"/>
  <c r="E5" i="4" a="1"/>
  <c r="N28" i="2"/>
  <c r="F11" i="2"/>
  <c r="DB12" i="4" a="1"/>
  <c r="L8" i="2"/>
  <c r="DF7" i="4" a="1"/>
  <c r="BO9" i="4" a="1"/>
  <c r="BW8" i="4" a="1"/>
  <c r="BA14" i="4" a="1"/>
  <c r="CZ11" i="4" a="1"/>
  <c r="AR76" i="3"/>
  <c r="DP7" i="4" a="1"/>
  <c r="DB14" i="4" a="1"/>
  <c r="F13" i="2"/>
  <c r="W11" i="2"/>
  <c r="CZ9" i="4" a="1"/>
  <c r="K12" i="2"/>
  <c r="EJ16" i="4" a="1"/>
  <c r="AK7" i="4" a="1"/>
  <c r="AO15" i="4" a="1"/>
  <c r="CM13" i="4" a="1"/>
  <c r="AT11" i="4" a="1"/>
  <c r="AR86" i="3"/>
  <c r="H32" i="2"/>
  <c r="E45" i="2"/>
  <c r="AD9" i="4" a="1"/>
  <c r="AS13" i="4" a="1"/>
  <c r="CN8" i="4" a="1"/>
  <c r="BD11" i="4" a="1"/>
  <c r="DK8" i="4" a="1"/>
  <c r="G87" i="3"/>
  <c r="BZ8" i="4" a="1"/>
  <c r="E11" i="3"/>
  <c r="H6" i="4" a="1"/>
  <c r="G18" i="2"/>
  <c r="DL14" i="4" a="1"/>
  <c r="E10" i="3"/>
  <c r="DM16" i="4" a="1"/>
  <c r="N11" i="2"/>
  <c r="AM7" i="4" a="1"/>
  <c r="Q57" i="2"/>
  <c r="EE16" i="4" a="1"/>
  <c r="CG9" i="4" a="1"/>
  <c r="BR14" i="4" a="1"/>
  <c r="BH15" i="4" a="1"/>
  <c r="AU12" i="4" a="1"/>
  <c r="C45" i="3"/>
  <c r="CQ9" i="4" a="1"/>
  <c r="CU16" i="4" a="1"/>
  <c r="EG7" i="4" a="1"/>
  <c r="AZ13" i="4" a="1"/>
  <c r="X17" i="2"/>
  <c r="L9" i="4" a="1"/>
  <c r="BA16" i="4" a="1"/>
  <c r="CW5" i="4" a="1"/>
  <c r="DN13" i="4" a="1"/>
  <c r="CD13" i="4" a="1"/>
  <c r="AG8" i="4" a="1"/>
  <c r="E94" i="3"/>
  <c r="DF8" i="4" a="1"/>
  <c r="J15" i="4" a="1"/>
  <c r="CU12" i="4" a="1"/>
  <c r="DW12" i="4" a="1"/>
  <c r="D15" i="4" a="1"/>
  <c r="DZ12" i="4" a="1"/>
  <c r="CN15" i="4" a="1"/>
  <c r="D24" i="3"/>
  <c r="BK16" i="4" a="1"/>
  <c r="Q15" i="4" a="1"/>
  <c r="CW13" i="4" a="1"/>
  <c r="G65" i="3"/>
  <c r="N11" i="4" a="1"/>
  <c r="AZ15" i="4" a="1"/>
  <c r="AU13" i="4" a="1"/>
  <c r="L45" i="3"/>
  <c r="AW8" i="4" a="1"/>
  <c r="BK12" i="4" a="1"/>
  <c r="M12" i="4" a="1"/>
  <c r="EG15" i="4" a="1"/>
  <c r="AK8" i="4" a="1"/>
  <c r="CR12" i="4" a="1"/>
  <c r="AE13" i="4" a="1"/>
  <c r="U15" i="4" a="1"/>
  <c r="DE5" i="4" a="1"/>
  <c r="DZ5" i="4" a="1"/>
  <c r="BE14" i="4" a="1"/>
  <c r="CJ14" i="4" a="1"/>
  <c r="G90" i="3"/>
  <c r="AD72" i="3"/>
  <c r="G30" i="2"/>
  <c r="P33" i="2"/>
  <c r="DM9" i="4" a="1"/>
  <c r="E65" i="3"/>
  <c r="CE14" i="4" a="1"/>
  <c r="AY8" i="4" a="1"/>
  <c r="CS8" i="4" a="1"/>
  <c r="DF16" i="4" a="1"/>
  <c r="CM9" i="4" a="1"/>
  <c r="H16" i="4" a="1"/>
  <c r="AA7" i="4" a="1"/>
  <c r="AQ11" i="4" a="1"/>
  <c r="AD57" i="3"/>
  <c r="DL15" i="4" a="1"/>
  <c r="AJ6" i="4" a="1"/>
  <c r="AH16" i="4" a="1"/>
  <c r="CO16" i="4" a="1"/>
  <c r="AR91" i="3"/>
  <c r="E35" i="2"/>
  <c r="I25" i="2"/>
  <c r="DT7" i="4" a="1"/>
  <c r="AU7" i="4" a="1"/>
  <c r="DX11" i="4" a="1"/>
  <c r="N30" i="2"/>
  <c r="H33" i="2"/>
  <c r="K24" i="2"/>
  <c r="E6" i="3"/>
  <c r="K13" i="2"/>
  <c r="J15" i="2"/>
  <c r="DN15" i="4" a="1"/>
  <c r="DU16" i="4" a="1"/>
  <c r="G28" i="2"/>
  <c r="DN11" i="4" a="1"/>
  <c r="I7" i="4" a="1"/>
  <c r="AR40" i="3"/>
  <c r="T28" i="2"/>
  <c r="H35" i="2"/>
  <c r="G18" i="3"/>
  <c r="CW7" i="4" a="1"/>
  <c r="G7" i="3"/>
  <c r="BO8" i="4" a="1"/>
  <c r="X35" i="2"/>
  <c r="H8" i="2"/>
  <c r="K22" i="2"/>
  <c r="AI6" i="4" a="1"/>
  <c r="N7" i="2"/>
  <c r="W25" i="2"/>
  <c r="R23" i="2"/>
  <c r="AD17" i="3"/>
  <c r="BA5" i="4" a="1"/>
  <c r="X7" i="2"/>
  <c r="D10" i="3"/>
  <c r="F19" i="2"/>
  <c r="CO13" i="4" a="1"/>
  <c r="P6" i="2"/>
  <c r="DW6" i="4" a="1"/>
  <c r="AY5" i="4" a="1"/>
  <c r="T5" i="2"/>
  <c r="M12" i="2"/>
  <c r="D26" i="3"/>
  <c r="BV13" i="4" a="1"/>
  <c r="T24" i="2"/>
  <c r="Z46" i="3"/>
  <c r="M27" i="2"/>
  <c r="J24" i="2"/>
  <c r="CC9" i="4" a="1"/>
  <c r="CJ5" i="4" a="1"/>
  <c r="E62" i="3"/>
  <c r="F7" i="2"/>
  <c r="J36" i="2"/>
  <c r="CC16" i="4" a="1"/>
  <c r="DW14" i="4" a="1"/>
  <c r="AR66" i="3"/>
  <c r="EI9" i="4" a="1"/>
  <c r="DO5" i="4" a="1"/>
  <c r="CJ9" i="4" a="1"/>
  <c r="DV7" i="4" a="1"/>
  <c r="DD16" i="4" a="1"/>
  <c r="AD11" i="4" a="1"/>
  <c r="AJ7" i="4" a="1"/>
  <c r="DZ6" i="4" a="1"/>
  <c r="X33" i="2"/>
  <c r="BB14" i="4" a="1"/>
  <c r="BV16" i="4" a="1"/>
  <c r="CX13" i="4" a="1"/>
  <c r="L10" i="2"/>
  <c r="J18" i="2"/>
  <c r="ED9" i="4" a="1"/>
  <c r="M14" i="4" a="1"/>
  <c r="I45" i="3"/>
  <c r="BO7" i="4" a="1"/>
  <c r="BU11" i="4" a="1"/>
  <c r="DM11" i="4" a="1"/>
  <c r="AD58" i="3"/>
  <c r="W70" i="2"/>
  <c r="F24" i="3"/>
  <c r="BI14" i="4" a="1"/>
  <c r="AY9" i="4" a="1"/>
  <c r="K45" i="3"/>
  <c r="DW8" i="4" a="1"/>
  <c r="AO16" i="4" a="1"/>
  <c r="AB46" i="3"/>
  <c r="E83" i="3"/>
  <c r="D38" i="3"/>
  <c r="R13" i="2"/>
  <c r="I12" i="2"/>
  <c r="X7" i="4" a="1"/>
  <c r="AR69" i="3"/>
  <c r="F7" i="3"/>
  <c r="H54" i="2"/>
  <c r="C7" i="4" a="1"/>
  <c r="DA13" i="4" a="1"/>
  <c r="EK6" i="4" a="1"/>
  <c r="AP13" i="4" a="1"/>
  <c r="E13" i="4" a="1"/>
  <c r="BM8" i="4" a="1"/>
  <c r="F24" i="2"/>
  <c r="Q14" i="4" a="1"/>
  <c r="BT9" i="4" a="1"/>
  <c r="Q6" i="4" a="1"/>
  <c r="X5" i="2"/>
  <c r="P12" i="4" a="1"/>
  <c r="CA7" i="4" a="1"/>
  <c r="G79" i="3"/>
  <c r="W13" i="4" a="1"/>
  <c r="CO9" i="4" a="1"/>
  <c r="U11" i="2"/>
  <c r="BX13" i="4" a="1"/>
  <c r="DD5" i="4" a="1"/>
  <c r="AY7" i="4" a="1"/>
  <c r="I19" i="2"/>
  <c r="EJ5" i="4" a="1"/>
  <c r="V13" i="4" a="1"/>
  <c r="DD6" i="4" a="1"/>
  <c r="F6" i="3"/>
  <c r="DS16" i="4" a="1"/>
  <c r="AM16" i="4" a="1"/>
  <c r="K14" i="4" a="1"/>
  <c r="DC7" i="4" a="1"/>
  <c r="DJ12" i="4" a="1"/>
  <c r="EK15" i="4" a="1"/>
  <c r="CW12" i="4" a="1"/>
  <c r="AI9" i="4" a="1"/>
  <c r="EF8" i="4" a="1"/>
  <c r="I11" i="4" a="1"/>
  <c r="CZ8" i="4" a="1"/>
  <c r="DY6" i="4" a="1"/>
  <c r="DK15" i="4" a="1"/>
  <c r="BV11" i="4" a="1"/>
  <c r="BV8" i="4" a="1"/>
  <c r="CV16" i="4" a="1"/>
  <c r="CN12" i="4" a="1"/>
  <c r="L22" i="2"/>
  <c r="BI11" i="4" a="1"/>
  <c r="BN12" i="4" a="1"/>
  <c r="G77" i="3"/>
  <c r="O25" i="2"/>
  <c r="F23" i="3"/>
  <c r="X32" i="2"/>
  <c r="DR13" i="4" a="1"/>
  <c r="BQ11" i="4" a="1"/>
  <c r="BF9" i="4" a="1"/>
  <c r="Q7" i="4" a="1"/>
  <c r="BP15" i="4" a="1"/>
  <c r="DX5" i="4" a="1"/>
  <c r="J45" i="3"/>
  <c r="DZ14" i="4" a="1"/>
  <c r="CS13" i="4" a="1"/>
  <c r="CF15" i="4" a="1"/>
  <c r="E74" i="3"/>
  <c r="CZ14" i="4" a="1"/>
  <c r="C9" i="2"/>
  <c r="F14" i="3"/>
  <c r="R10" i="2"/>
  <c r="K43" i="2"/>
  <c r="CX8" i="4" a="1"/>
  <c r="AM6" i="4" a="1"/>
  <c r="AR35" i="3"/>
  <c r="BT13" i="4" a="1"/>
  <c r="AR8" i="3"/>
  <c r="M13" i="2"/>
  <c r="H31" i="2"/>
  <c r="N34" i="2"/>
  <c r="U16" i="4" a="1"/>
  <c r="AX16" i="4" a="1"/>
  <c r="EC9" i="4" a="1"/>
  <c r="DK12" i="4" a="1"/>
  <c r="BY5" i="4" a="1"/>
  <c r="M29" i="2"/>
  <c r="AR39" i="3"/>
  <c r="C34" i="2"/>
  <c r="H21" i="2"/>
  <c r="F26" i="3"/>
  <c r="M28" i="2"/>
  <c r="BJ8" i="4" a="1"/>
  <c r="W5" i="4" a="1"/>
  <c r="BQ8" i="4" a="1"/>
  <c r="U18" i="2"/>
  <c r="EB11" i="4" a="1"/>
  <c r="N5" i="2"/>
  <c r="N12" i="2"/>
  <c r="V45" i="3"/>
  <c r="M25" i="2"/>
  <c r="DM7" i="4" a="1"/>
  <c r="F10" i="3"/>
  <c r="EA15" i="4" a="1"/>
  <c r="J27" i="2"/>
  <c r="F5" i="3"/>
  <c r="G10" i="3"/>
  <c r="V12" i="4" a="1"/>
  <c r="W32" i="2"/>
  <c r="AR55" i="3"/>
  <c r="E15" i="3"/>
  <c r="P26" i="2"/>
  <c r="DV6" i="4" a="1"/>
  <c r="E7" i="3"/>
  <c r="BC9" i="4" a="1"/>
  <c r="Q9" i="2"/>
  <c r="DP14" i="4" a="1"/>
  <c r="G20" i="2"/>
  <c r="BG8" i="4" a="1"/>
  <c r="DI14" i="4" a="1"/>
  <c r="W30" i="2"/>
  <c r="BS16" i="4" a="1"/>
  <c r="P17" i="2"/>
  <c r="T6" i="4" a="1"/>
  <c r="E14" i="3"/>
  <c r="AB5" i="4" a="1"/>
  <c r="D14" i="3"/>
  <c r="E7" i="4" a="1"/>
  <c r="AE15" i="4" a="1"/>
  <c r="DC8" i="4" a="1"/>
  <c r="Q6" i="2"/>
  <c r="EI6" i="4" a="1"/>
  <c r="P9" i="2"/>
  <c r="W33" i="2"/>
  <c r="EE7" i="4" a="1"/>
  <c r="DJ11" i="4" a="1"/>
  <c r="DJ13" i="4" a="1"/>
  <c r="O23" i="2"/>
  <c r="D32" i="3"/>
  <c r="BU14" i="4" a="1"/>
  <c r="R14" i="4" a="1"/>
  <c r="H18" i="2"/>
  <c r="F5" i="4" a="1"/>
  <c r="BM11" i="4" a="1"/>
  <c r="AJ11" i="4" a="1"/>
  <c r="W12" i="4" a="1"/>
  <c r="AV12" i="4" a="1"/>
  <c r="BI5" i="4" a="1"/>
  <c r="H5" i="4" a="1"/>
  <c r="BE6" i="4" a="1"/>
  <c r="U5" i="2"/>
  <c r="CA14" i="4" a="1"/>
  <c r="T29" i="2"/>
  <c r="CY5" i="4" a="1"/>
  <c r="EG8" i="4" a="1"/>
  <c r="C26" i="2"/>
  <c r="AK14" i="4" a="1"/>
  <c r="T33" i="2"/>
  <c r="F15" i="4" a="1"/>
  <c r="V46" i="3"/>
  <c r="Q5" i="4" a="1"/>
  <c r="DR6" i="4" a="1"/>
  <c r="EF15" i="4" a="1"/>
  <c r="D16" i="2"/>
  <c r="DK11" i="4" a="1"/>
  <c r="F82" i="3"/>
  <c r="AX7" i="4" a="1"/>
  <c r="AP5" i="4" a="1"/>
  <c r="O11" i="2"/>
  <c r="D26" i="2"/>
  <c r="BC14" i="4" a="1"/>
  <c r="CQ14" i="4" a="1"/>
  <c r="DW9" i="4" a="1"/>
  <c r="G21" i="3"/>
  <c r="H11" i="4" a="1"/>
  <c r="BJ13" i="4" a="1"/>
  <c r="P5" i="4" a="1"/>
  <c r="BX11" i="4" a="1"/>
  <c r="F31" i="3"/>
  <c r="E16" i="2"/>
  <c r="CQ15" i="4" a="1"/>
  <c r="CP16" i="4" a="1"/>
  <c r="E24" i="3"/>
  <c r="AR63" i="3"/>
  <c r="BL13" i="4" a="1"/>
  <c r="DH16" i="4" a="1"/>
  <c r="CI12" i="4" a="1"/>
  <c r="Q33" i="2"/>
  <c r="DJ7" i="4" a="1"/>
  <c r="C11" i="4" a="1"/>
  <c r="G84" i="3"/>
  <c r="CU14" i="4" a="1"/>
  <c r="G15" i="4" a="1"/>
  <c r="O14" i="4" a="1"/>
  <c r="S8" i="4" a="1"/>
  <c r="AG13" i="4" a="1"/>
  <c r="CA5" i="4" a="1"/>
  <c r="CL8" i="4" a="1"/>
  <c r="DR8" i="4" a="1"/>
  <c r="DG16" i="4" a="1"/>
  <c r="DB15" i="4" a="1"/>
  <c r="BB15" i="4" a="1"/>
  <c r="CU9" i="4" a="1"/>
  <c r="EB14" i="4" a="1"/>
  <c r="CH13" i="4" a="1"/>
  <c r="AT16" i="4" a="1"/>
  <c r="DB13" i="4" a="1"/>
  <c r="CI6" i="4" a="1"/>
  <c r="M8" i="4" a="1"/>
  <c r="AA11" i="4" a="1"/>
  <c r="BH14" i="4" a="1"/>
  <c r="CY11" i="4" a="1"/>
  <c r="CL11" i="4" a="1"/>
  <c r="AC12" i="4" a="1"/>
  <c r="E69" i="3"/>
  <c r="CW11" i="4" a="1"/>
  <c r="DC6" i="4" a="1"/>
  <c r="AQ14" i="4" a="1"/>
  <c r="CV7" i="4" a="1"/>
  <c r="DX16" i="4" a="1"/>
  <c r="CU13" i="4" a="1"/>
  <c r="CV6" i="4" a="1"/>
  <c r="CF16" i="4" a="1"/>
  <c r="EH6" i="4" a="1"/>
  <c r="BQ7" i="4" a="1"/>
  <c r="DO7" i="4" a="1"/>
  <c r="DA7" i="4" a="1"/>
  <c r="DS11" i="4" a="1"/>
  <c r="DI13" i="4" a="1"/>
  <c r="C16" i="4" a="1"/>
  <c r="DH11" i="4" a="1"/>
  <c r="BR9" i="4" a="1"/>
  <c r="U19" i="2"/>
  <c r="DT15" i="4" a="1"/>
  <c r="O16" i="4" a="1"/>
  <c r="BI12" i="4" a="1"/>
  <c r="I16" i="4" a="1"/>
  <c r="BB12" i="4" a="1"/>
  <c r="DN6" i="4" a="1"/>
  <c r="BN5" i="4" a="1"/>
  <c r="J46" i="3"/>
  <c r="EE8" i="4" a="1"/>
  <c r="EB13" i="4" a="1"/>
  <c r="I13" i="4" a="1"/>
  <c r="D34" i="3"/>
  <c r="H6" i="2"/>
  <c r="S24" i="2"/>
  <c r="C35" i="2"/>
  <c r="AH46" i="3"/>
  <c r="CT8" i="4" a="1"/>
  <c r="R7" i="2"/>
  <c r="E30" i="2"/>
  <c r="E6" i="2"/>
  <c r="C15" i="4" a="1"/>
  <c r="AH5" i="4" a="1"/>
  <c r="BJ9" i="4" a="1"/>
  <c r="N24" i="2"/>
  <c r="F29" i="2"/>
  <c r="S46" i="3"/>
  <c r="N10" i="2"/>
  <c r="Q7" i="2"/>
  <c r="BO13" i="4" a="1"/>
  <c r="AR41" i="3"/>
  <c r="AX5" i="4" a="1"/>
  <c r="Q34" i="2"/>
  <c r="H29" i="2"/>
  <c r="O12" i="2"/>
  <c r="C15" i="2"/>
  <c r="C31" i="2"/>
  <c r="Q23" i="2"/>
  <c r="AR14" i="3"/>
  <c r="CM6" i="4" a="1"/>
  <c r="CH15" i="4" a="1"/>
  <c r="DF9" i="4" a="1"/>
  <c r="CN5" i="4" a="1"/>
  <c r="F34" i="2"/>
  <c r="J23" i="2"/>
  <c r="E45" i="3"/>
  <c r="L31" i="2"/>
  <c r="G8" i="2"/>
  <c r="X16" i="4" a="1"/>
  <c r="AT8" i="4" a="1"/>
  <c r="M33" i="2"/>
  <c r="H26" i="2"/>
  <c r="C17" i="2"/>
  <c r="U14" i="4" a="1"/>
  <c r="AA12" i="4" a="1"/>
  <c r="K33" i="2"/>
  <c r="U27" i="2"/>
  <c r="U24" i="2"/>
  <c r="F30" i="2"/>
  <c r="BI16" i="4" a="1"/>
  <c r="EA9" i="4" a="1"/>
  <c r="R14" i="2"/>
  <c r="AF16" i="4" a="1"/>
  <c r="DN8" i="4" a="1"/>
  <c r="DT9" i="4" a="1"/>
  <c r="AV11" i="4" a="1"/>
  <c r="R30" i="2"/>
  <c r="DL8" i="4" a="1"/>
  <c r="BO14" i="4" a="1"/>
  <c r="F18" i="2"/>
  <c r="X19" i="2"/>
  <c r="BS8" i="4" a="1"/>
  <c r="Q35" i="2"/>
  <c r="S9" i="4" a="1"/>
  <c r="BC6" i="4" a="1"/>
  <c r="E86" i="3"/>
  <c r="P14" i="2"/>
  <c r="DP5" i="4" a="1"/>
  <c r="F33" i="3"/>
  <c r="EG5" i="4" a="1"/>
  <c r="S8" i="2"/>
  <c r="BF7" i="4" a="1"/>
  <c r="W5" i="2"/>
  <c r="F16" i="3"/>
  <c r="J32" i="2"/>
  <c r="EC12" i="4" a="1"/>
  <c r="Z7" i="4" a="1"/>
  <c r="T16" i="4" a="1"/>
  <c r="G92" i="3"/>
  <c r="G16" i="4" a="1"/>
  <c r="DD14" i="4" a="1"/>
  <c r="N9" i="2"/>
  <c r="L13" i="2"/>
  <c r="CL7" i="4" a="1"/>
  <c r="O9" i="2"/>
  <c r="AX8" i="4" a="1"/>
  <c r="DU7" i="4" a="1"/>
  <c r="ED6" i="4" a="1"/>
  <c r="DZ15" i="4" a="1"/>
  <c r="E92" i="3"/>
  <c r="BR16" i="4" a="1"/>
  <c r="J30" i="2"/>
  <c r="K25" i="2"/>
  <c r="BI7" i="4" a="1"/>
  <c r="D20" i="2"/>
  <c r="G13" i="2"/>
  <c r="BZ7" i="4" a="1"/>
  <c r="P27" i="2"/>
  <c r="BY15" i="4" a="1"/>
  <c r="EG14" i="4" a="1"/>
  <c r="CW8" i="4" a="1"/>
  <c r="AK12" i="4" a="1"/>
  <c r="CW15" i="4" a="1"/>
  <c r="BL14" i="4" a="1"/>
  <c r="D5" i="3"/>
  <c r="M16" i="4" a="1"/>
  <c r="S34" i="2"/>
  <c r="AT9" i="4" a="1"/>
  <c r="H23" i="2"/>
  <c r="F35" i="3"/>
  <c r="BR15" i="4" a="1"/>
  <c r="BC15" i="4" a="1"/>
  <c r="BE11" i="4" a="1"/>
  <c r="AD56" i="3"/>
  <c r="P46" i="3"/>
  <c r="K23" i="2"/>
  <c r="BK9" i="4" a="1"/>
  <c r="M7" i="2"/>
  <c r="D46" i="3"/>
  <c r="X27" i="2"/>
  <c r="CA16" i="4" a="1"/>
  <c r="H14" i="2"/>
  <c r="V14" i="4" a="1"/>
  <c r="CT7" i="4" a="1"/>
  <c r="AR13" i="4" a="1"/>
  <c r="CJ15" i="4" a="1"/>
  <c r="BH16" i="4" a="1"/>
  <c r="BW14" i="4" a="1"/>
  <c r="S7" i="4" a="1"/>
  <c r="CK7" i="4" a="1"/>
  <c r="AR7" i="4" a="1"/>
  <c r="T11" i="4" a="1"/>
  <c r="ED15" i="4" a="1"/>
  <c r="AD75" i="3"/>
  <c r="BF5" i="4" a="1"/>
  <c r="BD7" i="4" a="1"/>
  <c r="DT8" i="4" a="1"/>
  <c r="BA12" i="4" a="1"/>
  <c r="AE14" i="4" a="1"/>
  <c r="BQ9" i="4" a="1"/>
  <c r="DU5" i="4" a="1"/>
  <c r="G71" i="3"/>
  <c r="AD6" i="4" a="1"/>
  <c r="G74" i="3"/>
  <c r="BL6" i="4" a="1"/>
  <c r="D58" i="3"/>
  <c r="H34" i="2"/>
  <c r="G95" i="3"/>
  <c r="J8" i="4" a="1"/>
  <c r="DE7" i="4" a="1"/>
  <c r="CJ8" i="4" a="1"/>
  <c r="Q21" i="2"/>
  <c r="AL7" i="4" a="1"/>
  <c r="E11" i="4" a="1"/>
  <c r="AD66" i="3"/>
  <c r="ED13" i="4" a="1"/>
  <c r="DK9" i="4" a="1"/>
  <c r="CX16" i="4" a="1"/>
  <c r="X92" i="2"/>
  <c r="DX15" i="4" a="1"/>
  <c r="CS9" i="4" a="1"/>
  <c r="CB16" i="4" a="1"/>
  <c r="CE12" i="4" a="1"/>
  <c r="BK8" i="4" a="1"/>
  <c r="D94" i="3"/>
  <c r="BP5" i="4" a="1"/>
  <c r="CN9" i="4" a="1"/>
  <c r="AK15" i="4" a="1"/>
  <c r="BD16" i="4" a="1"/>
  <c r="EF6" i="4" a="1"/>
  <c r="BY9" i="4" a="1"/>
  <c r="BG13" i="4" a="1"/>
  <c r="DE6" i="4" a="1"/>
  <c r="CC15" i="4" a="1"/>
  <c r="D67" i="3"/>
  <c r="V8" i="4" a="1"/>
  <c r="D86" i="3"/>
  <c r="BT15" i="4" a="1"/>
  <c r="L34" i="2"/>
  <c r="U10" i="2"/>
  <c r="R36" i="2"/>
  <c r="I28" i="2"/>
  <c r="AR13" i="3"/>
  <c r="S12" i="2"/>
  <c r="BD12" i="4" a="1"/>
  <c r="Z8" i="4" a="1"/>
  <c r="K16" i="4" a="1"/>
  <c r="AF50" i="3"/>
  <c r="K32" i="2"/>
  <c r="L18" i="2"/>
  <c r="F27" i="3"/>
  <c r="F6" i="2"/>
  <c r="DM12" i="4" a="1"/>
  <c r="P34" i="2"/>
  <c r="U35" i="2"/>
  <c r="R12" i="2"/>
  <c r="O31" i="2"/>
  <c r="F31" i="2"/>
  <c r="C24" i="2"/>
  <c r="W34" i="2"/>
  <c r="O32" i="2"/>
  <c r="Q27" i="2"/>
  <c r="V34" i="2"/>
  <c r="C20" i="2"/>
  <c r="DX9" i="4" a="1"/>
  <c r="X15" i="2"/>
  <c r="AE46" i="3"/>
  <c r="V16" i="2"/>
  <c r="S15" i="2"/>
  <c r="L15" i="2"/>
  <c r="AS5" i="4" a="1"/>
  <c r="AK16" i="4" a="1"/>
  <c r="DM15" i="4" a="1"/>
  <c r="F36" i="3"/>
  <c r="F11" i="4" a="1"/>
  <c r="O34" i="2"/>
  <c r="CX9" i="4" a="1"/>
  <c r="BE8" i="4" a="1"/>
  <c r="X26" i="2"/>
  <c r="C10" i="2"/>
  <c r="J21" i="2"/>
  <c r="X34" i="2"/>
  <c r="T11" i="2"/>
  <c r="DF11" i="4" a="1"/>
  <c r="N15" i="2"/>
  <c r="K46" i="3"/>
  <c r="EK12" i="4" a="1"/>
  <c r="DH9" i="4" a="1"/>
  <c r="M8" i="2"/>
  <c r="F12" i="4" a="1"/>
  <c r="DU15" i="4" a="1"/>
  <c r="U46" i="3"/>
  <c r="G22" i="3"/>
  <c r="F15" i="3"/>
  <c r="CV8" i="4" a="1"/>
  <c r="CN7" i="4" a="1"/>
  <c r="BM7" i="4" a="1"/>
  <c r="CU15" i="4" a="1"/>
  <c r="W46" i="2"/>
  <c r="I26" i="2"/>
  <c r="M35" i="2"/>
  <c r="M46" i="3"/>
  <c r="I15" i="2"/>
  <c r="CR9" i="4" a="1"/>
  <c r="CP15" i="4" a="1"/>
  <c r="DP9" i="4" a="1"/>
  <c r="EH13" i="4" a="1"/>
  <c r="W36" i="2"/>
  <c r="CX12" i="4" a="1"/>
  <c r="DI15" i="4" a="1"/>
  <c r="CA6" i="4" a="1"/>
  <c r="AR9" i="3"/>
  <c r="BT11" i="4" a="1"/>
  <c r="R6" i="4" a="1"/>
  <c r="DO14" i="4" a="1"/>
  <c r="P31" i="2"/>
  <c r="BD14" i="4" a="1"/>
  <c r="AS9" i="4" a="1"/>
  <c r="DX7" i="4" a="1"/>
  <c r="AG7" i="4" a="1"/>
  <c r="CP13" i="4" a="1"/>
  <c r="BK5" i="4" a="1"/>
  <c r="AD90" i="3"/>
  <c r="R13" i="4" a="1"/>
  <c r="D8" i="2"/>
  <c r="E36" i="2"/>
  <c r="BJ14" i="4" a="1"/>
  <c r="DS6" i="4" a="1"/>
  <c r="G16" i="2"/>
  <c r="EC6" i="4" a="1"/>
  <c r="F5" i="2"/>
  <c r="BU7" i="4" a="1"/>
  <c r="BS7" i="4" a="1"/>
  <c r="AF8" i="4" a="1"/>
  <c r="AP16" i="4" a="1"/>
  <c r="E91" i="3"/>
  <c r="M15" i="2"/>
  <c r="X45" i="3"/>
  <c r="CV13" i="4" a="1"/>
  <c r="CX15" i="4" a="1"/>
  <c r="CP5" i="4" a="1"/>
  <c r="U12" i="4" a="1"/>
  <c r="EB5" i="4" a="1"/>
  <c r="H8" i="4" a="1"/>
  <c r="BS11" i="4" a="1"/>
  <c r="C8" i="4" a="1"/>
  <c r="AV15" i="4" a="1"/>
  <c r="O26" i="2"/>
  <c r="M34" i="2"/>
  <c r="S27" i="2"/>
  <c r="BR12" i="4" a="1"/>
  <c r="N25" i="2"/>
  <c r="E28" i="3"/>
  <c r="I14" i="2"/>
  <c r="CQ6" i="4" a="1"/>
  <c r="AP14" i="4" a="1"/>
  <c r="X8" i="4" a="1"/>
  <c r="AL11" i="4" a="1"/>
  <c r="DZ8" i="4" a="1"/>
  <c r="CC8" i="4" a="1"/>
  <c r="AD65" i="3"/>
  <c r="DE13" i="4" a="1"/>
  <c r="DO12" i="4" a="1"/>
  <c r="DV14" i="4" a="1"/>
  <c r="L5" i="2"/>
  <c r="S13" i="2"/>
  <c r="AR56" i="3"/>
  <c r="E28" i="2"/>
  <c r="O8" i="2"/>
  <c r="DZ13" i="4" a="1"/>
  <c r="L24" i="2"/>
  <c r="J9" i="2"/>
  <c r="AM11" i="4" a="1"/>
  <c r="O35" i="2"/>
  <c r="J29" i="2"/>
  <c r="X25" i="2"/>
  <c r="W19" i="2"/>
  <c r="J25" i="2"/>
  <c r="H24" i="2"/>
  <c r="T10" i="2"/>
  <c r="P15" i="2"/>
  <c r="E19" i="2"/>
  <c r="Q19" i="2"/>
  <c r="DH14" i="4" a="1"/>
  <c r="D29" i="2"/>
  <c r="M24" i="2"/>
  <c r="C18" i="2"/>
  <c r="CY14" i="4" a="1"/>
  <c r="BU9" i="4" a="1"/>
  <c r="ED8" i="4" a="1"/>
  <c r="AI13" i="4" a="1"/>
  <c r="BP9" i="4" a="1"/>
  <c r="BR13" i="4" a="1"/>
  <c r="AO14" i="4" a="1"/>
  <c r="AW15" i="4" a="1"/>
  <c r="O8" i="4" a="1"/>
  <c r="X22" i="2"/>
  <c r="CO6" i="4" a="1"/>
  <c r="DI9" i="4" a="1"/>
  <c r="AM8" i="4" a="1"/>
  <c r="E12" i="4" a="1"/>
  <c r="G13" i="3"/>
  <c r="DU9" i="4" a="1"/>
  <c r="BW11" i="4" a="1"/>
  <c r="AF13" i="4" a="1"/>
  <c r="AG11" i="4" a="1"/>
  <c r="DG12" i="4" a="1"/>
  <c r="F8" i="4" a="1"/>
  <c r="U17" i="2"/>
  <c r="O24" i="2"/>
  <c r="CT13" i="4" a="1"/>
  <c r="AG46" i="3"/>
  <c r="BI6" i="4" a="1"/>
  <c r="E85" i="3"/>
  <c r="L28" i="2"/>
  <c r="E15" i="4" a="1"/>
  <c r="AR18" i="3"/>
  <c r="AD85" i="3"/>
  <c r="E80" i="3"/>
  <c r="DQ9" i="4" a="1"/>
  <c r="O29" i="2"/>
  <c r="AU11" i="4" a="1"/>
  <c r="L27" i="2"/>
  <c r="W14" i="2"/>
  <c r="V35" i="2"/>
  <c r="BH13" i="4" a="1"/>
  <c r="BY16" i="4" a="1"/>
  <c r="EH11" i="4" a="1"/>
  <c r="DK5" i="4" a="1"/>
  <c r="AL6" i="4" a="1"/>
  <c r="EK8" i="4" a="1"/>
  <c r="BX7" i="4" a="1"/>
  <c r="AB8" i="4" a="1"/>
  <c r="DU13" i="4" a="1"/>
  <c r="EB9" i="4" a="1"/>
  <c r="AZ6" i="4" a="1"/>
  <c r="E64" i="3"/>
  <c r="BA8" i="4" a="1"/>
  <c r="AD13" i="4" a="1"/>
  <c r="EA14" i="4" a="1"/>
  <c r="T15" i="2"/>
  <c r="AZ8" i="4" a="1"/>
  <c r="EH15" i="4" a="1"/>
  <c r="S21" i="2"/>
  <c r="P8" i="4" a="1"/>
  <c r="E76" i="3"/>
  <c r="AY14" i="4" a="1"/>
  <c r="BS9" i="4" a="1"/>
  <c r="AP6" i="4" a="1"/>
  <c r="BL12" i="4" a="1"/>
  <c r="AD87" i="3"/>
  <c r="DL11" i="4" a="1"/>
  <c r="CE15" i="4" a="1"/>
  <c r="AR16" i="4" a="1"/>
  <c r="EB15" i="4" a="1"/>
  <c r="AV7" i="4" a="1"/>
  <c r="AL15" i="4" a="1"/>
  <c r="N18" i="2"/>
  <c r="D70" i="3"/>
  <c r="BC7" i="4" a="1"/>
  <c r="G54" i="3"/>
  <c r="D80" i="3"/>
  <c r="BA6" i="4" a="1"/>
  <c r="AP12" i="4" a="1"/>
  <c r="E75" i="3"/>
  <c r="Q9" i="4" a="1"/>
  <c r="DM14" i="4" a="1"/>
  <c r="E68" i="3"/>
  <c r="J16" i="2"/>
  <c r="U31" i="2"/>
  <c r="DJ5" i="4" a="1"/>
  <c r="AX12" i="4" a="1"/>
  <c r="O27" i="2"/>
  <c r="E22" i="2"/>
  <c r="EF11" i="4" a="1"/>
  <c r="I9" i="4" a="1"/>
  <c r="I29" i="2"/>
  <c r="AQ13" i="4" a="1"/>
  <c r="BF16" i="4" a="1"/>
  <c r="U5" i="4" a="1"/>
  <c r="AC14" i="4" a="1"/>
  <c r="AD79" i="3"/>
  <c r="BX15" i="4" a="1"/>
  <c r="DG5" i="4" a="1"/>
  <c r="P15" i="4" a="1"/>
  <c r="AL8" i="4" a="1"/>
  <c r="E8" i="2"/>
  <c r="DW7" i="4" a="1"/>
  <c r="AD81" i="3"/>
  <c r="AD13" i="3"/>
  <c r="T14" i="4" a="1"/>
  <c r="BS13" i="4" a="1"/>
  <c r="I8" i="2"/>
  <c r="H15" i="4" a="1"/>
  <c r="BC11" i="4" a="1"/>
  <c r="DE14" i="4" a="1"/>
  <c r="D69" i="3"/>
  <c r="I12" i="4" a="1"/>
  <c r="CQ16" i="4" a="1"/>
  <c r="DE12" i="4" a="1"/>
  <c r="EH12" i="4" a="1"/>
  <c r="AD69" i="3"/>
  <c r="BK15" i="4" a="1"/>
  <c r="I16" i="2"/>
  <c r="ED11" i="4" a="1"/>
  <c r="L17" i="2"/>
  <c r="BE5" i="4" a="1"/>
  <c r="BM16" i="4" a="1"/>
  <c r="BX8" i="4" a="1"/>
  <c r="N33" i="2"/>
  <c r="E16" i="3"/>
  <c r="BZ14" i="4" a="1"/>
  <c r="DE16" i="4" a="1"/>
  <c r="L15" i="4" a="1"/>
  <c r="AW11" i="4" a="1"/>
  <c r="BP6" i="4" a="1"/>
  <c r="DO13" i="4" a="1"/>
  <c r="D92" i="3"/>
  <c r="R15" i="4" a="1"/>
  <c r="AR5" i="4" a="1"/>
  <c r="Q8" i="4" a="1"/>
  <c r="E5" i="2"/>
  <c r="AJ15" i="4" a="1"/>
  <c r="F75" i="2"/>
  <c r="X24" i="2"/>
  <c r="AZ7" i="4" a="1"/>
  <c r="E29" i="2"/>
  <c r="AF48" i="3"/>
  <c r="DT13" i="4" a="1"/>
  <c r="BE12" i="4" a="1"/>
  <c r="AN15" i="4" a="1"/>
  <c r="DH13" i="4" a="1"/>
  <c r="L8" i="4" a="1"/>
  <c r="BA11" i="4" a="1"/>
  <c r="D96" i="3"/>
  <c r="BC5" i="4" a="1"/>
  <c r="J12" i="2"/>
  <c r="D19" i="3"/>
  <c r="H28" i="2"/>
  <c r="CY15" i="4" a="1"/>
  <c r="AR25" i="3"/>
  <c r="D18" i="3"/>
  <c r="M11" i="2"/>
  <c r="L12" i="2"/>
  <c r="BP7" i="4" a="1"/>
  <c r="Q45" i="3"/>
  <c r="O7" i="4" a="1"/>
  <c r="EC11" i="4" a="1"/>
  <c r="CA8" i="4" a="1"/>
  <c r="AC8" i="4" a="1"/>
  <c r="U8" i="4" a="1"/>
  <c r="G68" i="3"/>
  <c r="EI7" i="4" a="1"/>
  <c r="I5" i="4" a="1"/>
  <c r="DF15" i="4" a="1"/>
  <c r="AO11" i="4" a="1"/>
  <c r="P21" i="2"/>
  <c r="W17" i="2"/>
  <c r="Q20" i="2"/>
  <c r="K9" i="2"/>
  <c r="BT7" i="4" a="1"/>
  <c r="D19" i="2"/>
  <c r="K8" i="4" a="1"/>
  <c r="C16" i="2"/>
  <c r="AD97" i="3"/>
  <c r="L14" i="4" a="1"/>
  <c r="DB6" i="4" a="1"/>
  <c r="DA6" i="4" a="1"/>
  <c r="EH7" i="4" a="1"/>
  <c r="BY11" i="4" a="1"/>
  <c r="E88" i="3"/>
  <c r="T12" i="2"/>
  <c r="AI46" i="3"/>
  <c r="D27" i="2"/>
  <c r="F38" i="3"/>
  <c r="J5" i="2"/>
  <c r="DW15" i="4" a="1"/>
  <c r="Y45" i="3"/>
  <c r="AR42" i="3"/>
  <c r="E21" i="2"/>
  <c r="E27" i="2"/>
  <c r="I18" i="2"/>
  <c r="F23" i="2"/>
  <c r="BU8" i="4" a="1"/>
  <c r="AD18" i="3"/>
  <c r="E13" i="2"/>
  <c r="E11" i="2"/>
  <c r="AR30" i="3"/>
  <c r="K15" i="2"/>
  <c r="P18" i="2"/>
  <c r="L11" i="4" a="1"/>
  <c r="F39" i="3"/>
  <c r="V14" i="2"/>
  <c r="Q46" i="3"/>
  <c r="R25" i="2"/>
  <c r="BQ12" i="4" a="1"/>
  <c r="AS12" i="4" a="1"/>
  <c r="C23" i="2"/>
  <c r="BX12" i="4" a="1"/>
  <c r="H13" i="2"/>
  <c r="T13" i="4" a="1"/>
  <c r="CB11" i="4" a="1"/>
  <c r="C22" i="2"/>
  <c r="AR36" i="3"/>
  <c r="P7" i="4" a="1"/>
  <c r="AD78" i="3"/>
  <c r="AH7" i="4" a="1"/>
  <c r="N31" i="2"/>
  <c r="CP12" i="4" a="1"/>
  <c r="AD60" i="3"/>
  <c r="CM7" i="4" a="1"/>
  <c r="AA14" i="4" a="1"/>
  <c r="DY14" i="4" a="1"/>
  <c r="EF7" i="4" a="1"/>
  <c r="AT7" i="4" a="1"/>
  <c r="S19" i="2"/>
  <c r="AC5" i="4" a="1"/>
  <c r="R26" i="2"/>
  <c r="K21" i="2"/>
  <c r="CF8" i="4" a="1"/>
  <c r="M36" i="2"/>
  <c r="D36" i="3"/>
  <c r="E34" i="2"/>
  <c r="DL6" i="4" a="1"/>
  <c r="BJ12" i="4" a="1"/>
  <c r="O9" i="4" a="1"/>
  <c r="L33" i="2"/>
  <c r="DA14" i="4" a="1"/>
  <c r="S17" i="2"/>
  <c r="CG14" i="4" a="1"/>
  <c r="BN9" i="4" a="1"/>
  <c r="AD46" i="3"/>
  <c r="AN14" i="4" a="1"/>
  <c r="CE16" i="4" a="1"/>
  <c r="CQ11" i="4" a="1"/>
  <c r="DK6" i="4" a="1"/>
  <c r="AB7" i="4" a="1"/>
  <c r="BZ12" i="4" a="1"/>
  <c r="G8" i="4" a="1"/>
  <c r="BT8" i="4" a="1"/>
  <c r="T8" i="4" a="1"/>
  <c r="CB6" i="4" a="1"/>
  <c r="CI14" i="4" a="1"/>
  <c r="DR15" i="4" a="1"/>
  <c r="EF9" i="4" a="1"/>
  <c r="BL7" i="4" a="1"/>
  <c r="D85" i="3"/>
  <c r="AT14" i="4" a="1"/>
  <c r="AQ12" i="4" a="1"/>
  <c r="AG16" i="4" a="1"/>
  <c r="E81" i="3"/>
  <c r="X13" i="4" a="1"/>
  <c r="D60" i="3"/>
  <c r="E84" i="3"/>
  <c r="DR9" i="4" a="1"/>
  <c r="DN7" i="4" a="1"/>
  <c r="M11" i="4" a="1"/>
  <c r="AD95" i="3"/>
  <c r="G13" i="4" a="1"/>
  <c r="O5" i="4" a="1"/>
  <c r="G56" i="3"/>
  <c r="D95" i="3"/>
  <c r="DY16" i="4" a="1"/>
  <c r="U13" i="4" a="1"/>
  <c r="DO11" i="4" a="1"/>
  <c r="I6" i="4" a="1"/>
  <c r="AQ6" i="4" a="1"/>
  <c r="CM5" i="4" a="1"/>
  <c r="BG6" i="4" a="1"/>
  <c r="D61" i="3"/>
  <c r="AL9" i="4" a="1"/>
  <c r="AE5" i="4" a="1"/>
  <c r="CK16" i="4" a="1"/>
  <c r="CH8" i="4" a="1"/>
  <c r="AR15" i="4" a="1"/>
  <c r="G11" i="2"/>
  <c r="F29" i="3"/>
  <c r="T13" i="2"/>
  <c r="AO13" i="4" a="1"/>
  <c r="CB12" i="4" a="1"/>
  <c r="BI8" i="4" a="1"/>
  <c r="Z11" i="4" a="1"/>
  <c r="AO8" i="4" a="1"/>
  <c r="AR58" i="3"/>
  <c r="DX8" i="4" a="1"/>
  <c r="DP6" i="4" a="1"/>
  <c r="J35" i="2"/>
  <c r="DR14" i="4" a="1"/>
  <c r="O36" i="2"/>
  <c r="CD6" i="4" a="1"/>
  <c r="X12" i="4" a="1"/>
  <c r="E77" i="3"/>
  <c r="G78" i="3"/>
  <c r="DD7" i="4" a="1"/>
  <c r="BP12" i="4" a="1"/>
  <c r="S16" i="4" a="1"/>
  <c r="DT5" i="4" a="1"/>
  <c r="CI16" i="4" a="1"/>
  <c r="D55" i="3"/>
  <c r="DO8" i="4" a="1"/>
  <c r="P6" i="4" a="1"/>
  <c r="E38" i="3"/>
  <c r="K15" i="4" a="1"/>
  <c r="N32" i="2"/>
  <c r="DZ16" i="4" a="1"/>
  <c r="BP11" i="4" a="1"/>
  <c r="AR89" i="3"/>
  <c r="EJ11" i="4" a="1"/>
  <c r="AR31" i="3"/>
  <c r="AH11" i="4" a="1"/>
  <c r="DQ14" i="4" a="1"/>
  <c r="AM15" i="4" a="1"/>
  <c r="BN13" i="4" a="1"/>
  <c r="DT12" i="4" a="1"/>
  <c r="CL5" i="4" a="1"/>
  <c r="C27" i="2"/>
  <c r="D68" i="3"/>
  <c r="Q30" i="2"/>
  <c r="Y5" i="4" a="1"/>
  <c r="BG5" i="4" a="1"/>
  <c r="K6" i="2"/>
  <c r="H99" i="2"/>
  <c r="S11" i="4" a="1"/>
  <c r="D30" i="3"/>
  <c r="D5" i="2"/>
  <c r="X11" i="4" a="1"/>
  <c r="E19" i="3"/>
  <c r="DG6" i="4" a="1"/>
  <c r="AA16" i="4" a="1"/>
  <c r="EK11" i="4" a="1"/>
  <c r="EJ12" i="4" a="1"/>
  <c r="AU14" i="4" a="1"/>
  <c r="AC7" i="4" a="1"/>
  <c r="EC16" i="4" a="1"/>
  <c r="CR14" i="4" a="1"/>
  <c r="AR12" i="4" a="1"/>
  <c r="EI11" i="4" a="1"/>
  <c r="BN15" i="4" a="1"/>
  <c r="K14" i="2"/>
  <c r="D30" i="2"/>
  <c r="M14" i="2"/>
  <c r="S22" i="2"/>
  <c r="F42" i="3"/>
  <c r="CM15" i="4" a="1"/>
  <c r="AD5" i="4" a="1"/>
  <c r="N14" i="4" a="1"/>
  <c r="ED5" i="4" a="1"/>
  <c r="BK7" i="4" a="1"/>
  <c r="DB5" i="4" a="1"/>
  <c r="EK13" i="4" a="1"/>
  <c r="BL5" i="4" a="1"/>
  <c r="D79" i="3"/>
  <c r="AD63" i="3"/>
  <c r="V12" i="2"/>
  <c r="BB16" i="4" a="1"/>
  <c r="R17" i="2"/>
  <c r="D41" i="3"/>
  <c r="U8" i="2"/>
  <c r="CY12" i="4" a="1"/>
  <c r="H11" i="2"/>
  <c r="BZ6" i="4" a="1"/>
  <c r="AG15" i="4" a="1"/>
  <c r="CX7" i="4" a="1"/>
  <c r="BG9" i="4" a="1"/>
  <c r="AN8" i="4" a="1"/>
  <c r="DV9" i="4" a="1"/>
  <c r="DJ14" i="4" a="1"/>
  <c r="Y13" i="4" a="1"/>
  <c r="W45" i="3"/>
  <c r="G66" i="3"/>
  <c r="AM9" i="4" a="1"/>
  <c r="H9" i="4" a="1"/>
  <c r="F37" i="3"/>
  <c r="AH15" i="4" a="1"/>
  <c r="E35" i="3"/>
  <c r="C30" i="2"/>
  <c r="S11" i="2"/>
  <c r="AR50" i="3"/>
  <c r="BY14" i="4" a="1"/>
  <c r="F17" i="2"/>
  <c r="G9" i="3"/>
  <c r="CF13" i="4" a="1"/>
  <c r="DT6" i="4" a="1"/>
  <c r="CT6" i="4" a="1"/>
  <c r="W15" i="2"/>
  <c r="X23" i="2"/>
  <c r="F8" i="2"/>
  <c r="AX14" i="4" a="1"/>
  <c r="AR37" i="3"/>
  <c r="AR88" i="3"/>
  <c r="F9" i="2"/>
  <c r="U33" i="2"/>
  <c r="AR23" i="3"/>
  <c r="AQ45" i="3"/>
  <c r="R16" i="4" a="1"/>
  <c r="M19" i="2"/>
  <c r="D9" i="2"/>
  <c r="AC15" i="4" a="1"/>
  <c r="DK16" i="4" a="1"/>
  <c r="AR34" i="3"/>
  <c r="G97" i="3"/>
  <c r="DQ13" i="4" a="1"/>
  <c r="V23" i="2"/>
  <c r="BK11" i="4" a="1"/>
  <c r="AW13" i="4" a="1"/>
  <c r="DY5" i="4" a="1"/>
  <c r="AY16" i="4" a="1"/>
  <c r="M21" i="2"/>
  <c r="EC13" i="4" a="1"/>
  <c r="AR15" i="3"/>
  <c r="AW7" i="4" a="1"/>
  <c r="AI5" i="4" a="1"/>
  <c r="E67" i="3"/>
  <c r="CQ12" i="4" a="1"/>
  <c r="DT11" i="4" a="1"/>
  <c r="AQ15" i="4" a="1"/>
  <c r="AM14" i="4" a="1"/>
  <c r="E96" i="3"/>
  <c r="CF7" i="4" a="1"/>
  <c r="AB12" i="4" a="1"/>
  <c r="I10" i="2"/>
  <c r="BV6" i="4" a="1"/>
  <c r="AA45" i="3"/>
  <c r="G89" i="3"/>
  <c r="E87" i="3"/>
  <c r="M18" i="2"/>
  <c r="DU6" i="4" a="1"/>
  <c r="EJ14" i="4" a="1"/>
  <c r="E57" i="3"/>
  <c r="N15" i="4" a="1"/>
  <c r="AD16" i="3"/>
  <c r="D12" i="3"/>
  <c r="CM12" i="4" a="1"/>
  <c r="I31" i="2"/>
  <c r="BS15" i="4" a="1"/>
  <c r="AO12" i="4" a="1"/>
  <c r="S14" i="4" a="1"/>
  <c r="AD73" i="3"/>
  <c r="BW5" i="4" a="1"/>
  <c r="DM6" i="4" a="1"/>
  <c r="E55" i="3"/>
  <c r="BZ16" i="4" a="1"/>
  <c r="AS14" i="4" a="1"/>
  <c r="CJ7" i="4" a="1"/>
  <c r="CT11" i="4" a="1"/>
  <c r="E71" i="3"/>
  <c r="AH45" i="3"/>
  <c r="AD74" i="3"/>
  <c r="BB13" i="4" a="1"/>
  <c r="G9" i="4" a="1"/>
  <c r="Q16" i="4" a="1"/>
  <c r="O21" i="2"/>
  <c r="CH9" i="4" a="1"/>
  <c r="EH8" i="4" a="1"/>
  <c r="P32" i="2"/>
  <c r="BO15" i="4" a="1"/>
  <c r="G72" i="3"/>
  <c r="L5" i="4" a="1"/>
  <c r="BX9" i="4" a="1"/>
  <c r="G67" i="3"/>
  <c r="BN8" i="4" a="1"/>
  <c r="V7" i="4" a="1"/>
  <c r="E31" i="2"/>
  <c r="DA8" i="4" a="1"/>
  <c r="AR19" i="3"/>
  <c r="DO9" i="4" a="1"/>
  <c r="EK7" i="4" a="1"/>
  <c r="AC11" i="4" a="1"/>
  <c r="Y14" i="4" a="1"/>
  <c r="W26" i="2"/>
  <c r="AM12" i="4" a="1"/>
  <c r="E78" i="3"/>
  <c r="EA12" i="4" a="1"/>
  <c r="CT14" i="4" a="1"/>
  <c r="AD68" i="3"/>
  <c r="AE9" i="4" a="1"/>
  <c r="E82" i="3"/>
  <c r="R7" i="4" a="1"/>
  <c r="E58" i="3"/>
  <c r="AP46" i="3"/>
  <c r="Q36" i="2"/>
  <c r="D18" i="2"/>
  <c r="ED12" i="4" a="1"/>
  <c r="Q56" i="2"/>
  <c r="E6" i="4" a="1"/>
  <c r="DZ9" i="4" a="1"/>
  <c r="BZ15" i="4" a="1"/>
  <c r="E70" i="3"/>
  <c r="G85" i="3"/>
  <c r="CA13" i="4" a="1"/>
  <c r="J6" i="4" a="1"/>
  <c r="CE8" i="4" a="1"/>
  <c r="CL15" i="4" a="1"/>
  <c r="G59" i="3"/>
  <c r="M9" i="4" a="1"/>
  <c r="R9" i="4" a="1"/>
  <c r="W74" i="2"/>
  <c r="S5" i="4" a="1"/>
  <c r="BF6" i="4" a="1"/>
  <c r="AI16" i="4" a="1"/>
  <c r="M6" i="2"/>
  <c r="BP8" i="4" a="1"/>
  <c r="J7" i="4" a="1"/>
  <c r="DM8" i="4" a="1"/>
  <c r="D6" i="2"/>
  <c r="DC12" i="4" a="1"/>
  <c r="AR8" i="4" a="1"/>
  <c r="AQ16" i="4" a="1"/>
  <c r="V36" i="2"/>
  <c r="CH5" i="4" a="1"/>
  <c r="DG9" i="4" a="1"/>
  <c r="AL16" i="4" a="1"/>
  <c r="Z13" i="4" a="1"/>
  <c r="CV11" i="4" a="1"/>
  <c r="AM45" i="3"/>
  <c r="E60" i="3"/>
  <c r="CB8" i="4" a="1"/>
  <c r="G70" i="3"/>
  <c r="X11" i="2"/>
  <c r="ED16" i="4" a="1"/>
  <c r="F12" i="3"/>
  <c r="U12" i="2"/>
  <c r="H46" i="3"/>
  <c r="AF7" i="4" a="1"/>
  <c r="CP6" i="4" a="1"/>
  <c r="X30" i="2"/>
  <c r="CS16" i="4" a="1"/>
  <c r="EK5" i="4" a="1"/>
  <c r="G80" i="3"/>
  <c r="H10" i="2"/>
  <c r="Y46" i="3"/>
  <c r="CW9" i="4" a="1"/>
  <c r="N6" i="4" a="1"/>
  <c r="AQ8" i="4" a="1"/>
  <c r="BT16" i="4" a="1"/>
  <c r="CL14" i="4" a="1"/>
  <c r="DT14" i="4" a="1"/>
  <c r="BU5" i="4" a="1"/>
  <c r="E89" i="3"/>
  <c r="U16" i="2"/>
  <c r="DH6" i="4" a="1"/>
  <c r="S10" i="2"/>
  <c r="DL13" i="4" a="1"/>
  <c r="AF5" i="4" a="1"/>
  <c r="U22" i="2"/>
  <c r="I9" i="2"/>
  <c r="BG7" i="4" a="1"/>
  <c r="D25" i="3"/>
  <c r="CO5" i="4" a="1"/>
  <c r="AN45" i="3"/>
  <c r="G69" i="3"/>
  <c r="AF11" i="4" a="1"/>
  <c r="G17" i="2"/>
  <c r="G24" i="2"/>
  <c r="D9" i="3"/>
  <c r="CP7" i="4" a="1"/>
  <c r="D31" i="3"/>
  <c r="DK13" i="4" a="1"/>
  <c r="EE13" i="4" a="1"/>
  <c r="AD6" i="3"/>
  <c r="CV14" i="4" a="1"/>
  <c r="D22" i="2"/>
  <c r="BB8" i="4" a="1"/>
  <c r="U9" i="2"/>
  <c r="P11" i="4" a="1"/>
  <c r="AY15" i="4" a="1"/>
  <c r="CO12" i="4" a="1"/>
  <c r="E56" i="3"/>
  <c r="BM13" i="4" a="1"/>
  <c r="D83" i="3"/>
  <c r="CF5" i="4" a="1"/>
  <c r="AJ46" i="3"/>
  <c r="W46" i="3"/>
  <c r="V29" i="2"/>
  <c r="M23" i="2"/>
  <c r="D9" i="4" a="1"/>
  <c r="Z9" i="4" a="1"/>
  <c r="AJ12" i="4" a="1"/>
  <c r="G16" i="3"/>
  <c r="BW6" i="4" a="1"/>
  <c r="F8" i="3"/>
  <c r="BK13" i="4" a="1"/>
  <c r="U6" i="2"/>
  <c r="F32" i="3"/>
  <c r="DC5" i="4" a="1"/>
  <c r="AL14" i="4" a="1"/>
  <c r="C14" i="4" a="1"/>
  <c r="AN16" i="4" a="1"/>
  <c r="H7" i="4" a="1"/>
  <c r="P12" i="2"/>
  <c r="I5" i="2"/>
  <c r="Q11" i="2"/>
  <c r="G35" i="2"/>
  <c r="Q55" i="2"/>
  <c r="DP11" i="4" a="1"/>
  <c r="W13" i="2"/>
  <c r="BZ11" i="4" a="1"/>
  <c r="G27" i="2"/>
  <c r="AM46" i="3"/>
  <c r="N16" i="2"/>
  <c r="R22" i="2"/>
  <c r="R19" i="2"/>
  <c r="AR49" i="3"/>
  <c r="AL13" i="4" a="1"/>
  <c r="G22" i="2"/>
  <c r="AR38" i="3"/>
  <c r="D11" i="4" a="1"/>
  <c r="AE45" i="3"/>
  <c r="AT15" i="4" a="1"/>
  <c r="CC7" i="4" a="1"/>
  <c r="O20" i="2"/>
  <c r="AR81" i="3"/>
  <c r="V10" i="2"/>
  <c r="DC11" i="4" a="1"/>
  <c r="T45" i="3"/>
  <c r="AN7" i="4" a="1"/>
  <c r="V25" i="2"/>
  <c r="W10" i="2"/>
  <c r="DI6" i="4" a="1"/>
  <c r="CP11" i="4" a="1"/>
  <c r="BL9" i="4" a="1"/>
  <c r="BA9" i="4" a="1"/>
  <c r="AZ14" i="4" a="1"/>
  <c r="R29" i="2"/>
  <c r="K28" i="2"/>
  <c r="V30" i="2"/>
  <c r="AT12" i="4" a="1"/>
  <c r="AH6" i="4" a="1"/>
  <c r="AR65" i="3"/>
  <c r="AC46" i="3"/>
  <c r="AR6" i="4" a="1"/>
  <c r="AP8" i="4" a="1"/>
  <c r="D20" i="3"/>
  <c r="EB8" i="4" a="1"/>
  <c r="DA15" i="4" a="1"/>
  <c r="F25" i="2"/>
  <c r="AH9" i="4" a="1"/>
  <c r="T7" i="4" a="1"/>
  <c r="S13" i="4" a="1"/>
  <c r="M7" i="4" a="1"/>
  <c r="F25" i="3"/>
  <c r="Q10" i="2"/>
  <c r="DB16" i="4" a="1"/>
  <c r="BJ16" i="4" a="1"/>
  <c r="BV9" i="4" a="1"/>
  <c r="U23" i="2"/>
  <c r="F16" i="4" a="1"/>
  <c r="J33" i="2"/>
  <c r="EE11" i="4" a="1"/>
  <c r="AR67" i="3"/>
  <c r="H12" i="4" a="1"/>
  <c r="CC14" i="4" a="1"/>
  <c r="D78" i="3"/>
  <c r="DC13" i="4" a="1"/>
  <c r="AI12" i="4" a="1"/>
  <c r="Q11" i="4" a="1"/>
  <c r="AD67" i="3"/>
  <c r="AD80" i="3"/>
  <c r="G19" i="3"/>
  <c r="CQ5" i="4" a="1"/>
  <c r="D84" i="3"/>
  <c r="CZ5" i="4" a="1"/>
  <c r="EE5" i="4" a="1"/>
  <c r="I8" i="4" a="1"/>
  <c r="L12" i="4" a="1"/>
  <c r="CV12" i="4" a="1"/>
  <c r="G57" i="3"/>
  <c r="AO6" i="4" a="1"/>
  <c r="CT12" i="4" a="1"/>
  <c r="AD12" i="4" a="1"/>
  <c r="DL5" i="4" a="1"/>
  <c r="K6" i="4" a="1"/>
  <c r="BB6" i="4" a="1"/>
  <c r="V6" i="4" a="1"/>
  <c r="BR6" i="4" a="1"/>
  <c r="CD11" i="4" a="1"/>
  <c r="F61" i="3"/>
  <c r="AW6" i="4" a="1"/>
  <c r="AB15" i="4" a="1"/>
  <c r="BW15" i="4" a="1"/>
  <c r="CQ8" i="4" a="1"/>
  <c r="CI7" i="4" a="1"/>
  <c r="G75" i="3"/>
  <c r="EB12" i="4" a="1"/>
  <c r="F55" i="3"/>
  <c r="G82" i="3"/>
  <c r="AN46" i="3"/>
  <c r="E40" i="3"/>
  <c r="K26" i="2"/>
  <c r="D40" i="3"/>
  <c r="D14" i="4" a="1"/>
  <c r="N13" i="2"/>
  <c r="CI15" i="4" a="1"/>
  <c r="AR46" i="3"/>
  <c r="D10" i="2"/>
  <c r="D21" i="3"/>
  <c r="AC16" i="4" a="1"/>
  <c r="W31" i="2"/>
  <c r="CC11" i="4" a="1"/>
  <c r="D34" i="2"/>
  <c r="AR21" i="3"/>
  <c r="S5" i="2"/>
  <c r="DC15" i="4" a="1"/>
  <c r="R28" i="2"/>
  <c r="AJ14" i="4" a="1"/>
  <c r="DC14" i="4" a="1"/>
  <c r="AD45" i="3"/>
  <c r="DY8" i="4" a="1"/>
  <c r="H27" i="2"/>
  <c r="R11" i="4" a="1"/>
  <c r="C11" i="2"/>
  <c r="W28" i="2"/>
  <c r="AD15" i="3"/>
  <c r="AY12" i="4" a="1"/>
  <c r="T19" i="2"/>
  <c r="S23" i="2"/>
  <c r="BT6" i="4" a="1"/>
  <c r="AB11" i="4" a="1"/>
  <c r="Z15" i="4" a="1"/>
  <c r="Y15" i="4" a="1"/>
  <c r="AD84" i="3"/>
  <c r="DY9" i="4" a="1"/>
  <c r="AX11" i="4" a="1"/>
  <c r="CC5" i="4" a="1"/>
  <c r="EI8" i="4" a="1"/>
  <c r="F7" i="4" a="1"/>
  <c r="CU7" i="4" a="1"/>
  <c r="R12" i="4" a="1"/>
  <c r="DV13" i="4" a="1"/>
  <c r="BM6" i="4" a="1"/>
  <c r="E8" i="3"/>
  <c r="CO14" i="4" a="1"/>
  <c r="E13" i="3"/>
  <c r="E8" i="4" a="1"/>
  <c r="E12" i="2"/>
  <c r="C12" i="4" a="1"/>
  <c r="CL13" i="4" a="1"/>
  <c r="H12" i="2"/>
  <c r="E30" i="3"/>
  <c r="F80" i="3"/>
  <c r="CY13" i="4" a="1"/>
  <c r="O12" i="4" a="1"/>
  <c r="DK7" i="4" a="1"/>
  <c r="AI11" i="4" a="1"/>
  <c r="T36" i="2"/>
  <c r="T6" i="2"/>
  <c r="X20" i="2"/>
  <c r="AK13" i="4" a="1"/>
  <c r="DN16" i="4" a="1"/>
  <c r="F91" i="3"/>
  <c r="I34" i="2"/>
  <c r="G62" i="3"/>
  <c r="CG13" i="4" a="1"/>
  <c r="CD7" i="4" a="1"/>
  <c r="AH14" i="4" a="1"/>
  <c r="BC8" i="4" a="1"/>
  <c r="AD55" i="3"/>
  <c r="AJ16" i="4" a="1"/>
  <c r="AR29" i="3"/>
  <c r="G6" i="3"/>
  <c r="ED14" i="4" a="1"/>
  <c r="CX5" i="4" a="1"/>
  <c r="G12" i="4" a="1"/>
  <c r="O33" i="2"/>
  <c r="L16" i="4" a="1"/>
  <c r="AD7" i="4" a="1"/>
  <c r="N27" i="2"/>
  <c r="AV13" i="4" a="1"/>
  <c r="DQ11" i="4" a="1"/>
  <c r="CA9" i="4" a="1"/>
  <c r="BQ15" i="4" a="1"/>
  <c r="DD8" i="4" a="1"/>
  <c r="BS6" i="4" a="1"/>
  <c r="AV6" i="4" a="1"/>
  <c r="CW16" i="4" a="1"/>
  <c r="DJ16" i="4" a="1"/>
  <c r="CO8" i="4" a="1"/>
  <c r="CP8" i="4" a="1"/>
  <c r="O15" i="4" a="1"/>
  <c r="EF16" i="4" a="1"/>
  <c r="D73" i="3"/>
  <c r="AO7" i="4" a="1"/>
  <c r="DQ12" i="4" a="1"/>
  <c r="BA7" i="4" a="1"/>
  <c r="CA11" i="4" a="1"/>
  <c r="C21" i="2"/>
  <c r="F30" i="3"/>
  <c r="D23" i="2"/>
  <c r="D7" i="4" a="1"/>
  <c r="CC6" i="4" a="1"/>
  <c r="EE6" i="4" a="1"/>
  <c r="CT5" i="4" a="1"/>
  <c r="CH6" i="4" a="1"/>
  <c r="M6" i="4" a="1"/>
  <c r="DS15" i="4" a="1"/>
  <c r="AU15" i="4" a="1"/>
  <c r="CK5" i="4" a="1"/>
  <c r="O6" i="4" a="1"/>
  <c r="X31" i="2"/>
  <c r="H16" i="2"/>
  <c r="U21" i="2"/>
  <c r="X6" i="4" a="1"/>
  <c r="T26" i="2"/>
  <c r="DH12" i="4" a="1"/>
  <c r="EF14" i="4" a="1"/>
  <c r="E46" i="3"/>
  <c r="P45" i="3"/>
  <c r="U20" i="2"/>
  <c r="BR11" i="4" a="1"/>
  <c r="W20" i="2"/>
  <c r="U11" i="4" a="1"/>
  <c r="AR33" i="3"/>
  <c r="BH6" i="4" a="1"/>
  <c r="J13" i="2"/>
  <c r="BN16" i="4" a="1"/>
  <c r="E22" i="3"/>
  <c r="CY8" i="4" a="1"/>
  <c r="AT6" i="4" a="1"/>
  <c r="T16" i="2"/>
  <c r="C28" i="2"/>
  <c r="AA6" i="4" a="1"/>
  <c r="E17" i="3"/>
  <c r="AC9" i="4" a="1"/>
  <c r="L13" i="4" a="1"/>
  <c r="BF12" i="4" a="1"/>
  <c r="EC15" i="4" a="1"/>
  <c r="W9" i="4" a="1"/>
  <c r="DP16" i="4" a="1"/>
  <c r="E31" i="3"/>
  <c r="DU11" i="4" a="1"/>
  <c r="AT13" i="4" a="1"/>
  <c r="ED7" i="4" a="1"/>
  <c r="AX13" i="4" a="1"/>
  <c r="EI5" i="4" a="1"/>
  <c r="AN5" i="4" a="1"/>
  <c r="DW16" i="4" a="1"/>
  <c r="U25" i="2"/>
  <c r="W6" i="4" a="1"/>
  <c r="N17" i="2"/>
  <c r="CJ12" i="4" a="1"/>
  <c r="N16" i="4" a="1"/>
  <c r="AI45" i="3"/>
  <c r="DA11" i="4" a="1"/>
  <c r="X13" i="2"/>
  <c r="BH5" i="4" a="1"/>
  <c r="X46" i="3"/>
  <c r="F14" i="4" a="1"/>
  <c r="AS15" i="4" a="1"/>
  <c r="AY11" i="4" a="1"/>
  <c r="AG14" i="4" a="1"/>
  <c r="BE9" i="4" a="1"/>
  <c r="AG5" i="4" a="1"/>
  <c r="D22" i="3"/>
  <c r="S62" i="2"/>
  <c r="DQ6" i="4" a="1"/>
  <c r="F15" i="2"/>
  <c r="AW9" i="4" a="1"/>
  <c r="CG12" i="4" a="1"/>
  <c r="BN6" i="4" a="1"/>
  <c r="AQ9" i="4" a="1"/>
  <c r="CO15" i="4" a="1"/>
  <c r="AF12" i="4" a="1"/>
  <c r="BT14" i="4" a="1"/>
  <c r="AD16" i="4" a="1"/>
  <c r="CE9" i="4" a="1"/>
  <c r="EC14" i="4" a="1"/>
  <c r="AC13" i="4" a="1"/>
  <c r="BH8" i="4" a="1"/>
  <c r="BQ6" i="4" a="1"/>
  <c r="CI8" i="4" a="1"/>
  <c r="BJ6" i="4" a="1"/>
  <c r="AV14" i="4" a="1"/>
  <c r="F40" i="3"/>
  <c r="AH13" i="4" a="1"/>
  <c r="EJ8" i="4" a="1"/>
  <c r="DD15" i="4" a="1"/>
  <c r="M15" i="4" a="1"/>
  <c r="AD76" i="3"/>
  <c r="O6" i="2"/>
  <c r="CH11" i="4" a="1"/>
  <c r="U28" i="2"/>
  <c r="AM13" i="4" a="1"/>
  <c r="AB9" i="4" a="1"/>
  <c r="F79" i="3"/>
  <c r="AB6" i="4" a="1"/>
  <c r="E27" i="3"/>
  <c r="DU14" i="4" a="1"/>
  <c r="AD86" i="3"/>
  <c r="CD14" i="4" a="1"/>
  <c r="DN14" i="4" a="1"/>
  <c r="E73" i="3"/>
  <c r="AR74" i="3"/>
  <c r="CV9" i="4" a="1"/>
  <c r="DQ7" i="4" a="1"/>
  <c r="AZ11" i="4" a="1"/>
  <c r="F20" i="3"/>
  <c r="AA8" i="4" a="1"/>
  <c r="BN7" i="4" a="1"/>
  <c r="CZ12" i="4" a="1"/>
  <c r="BH9" i="4" a="1"/>
  <c r="AD61" i="3"/>
  <c r="X9" i="4" a="1"/>
  <c r="AM5" i="4" a="1"/>
  <c r="W18" i="2"/>
  <c r="H20" i="2"/>
  <c r="AR85" i="3"/>
  <c r="L32" i="2"/>
  <c r="T9" i="4" a="1"/>
  <c r="BV7" i="4" a="1"/>
  <c r="W7" i="4" a="1"/>
  <c r="DS12" i="4" a="1"/>
  <c r="G5" i="4" a="1"/>
  <c r="Q14" i="2"/>
  <c r="AB14" i="4" a="1"/>
  <c r="D35" i="2"/>
  <c r="BJ15" i="4" a="1"/>
  <c r="DE15" i="4" a="1"/>
  <c r="U34" i="2"/>
  <c r="EC5" i="4" a="1"/>
  <c r="D5" i="4" a="1"/>
  <c r="CX6" i="4" a="1"/>
  <c r="DX14" i="4" a="1"/>
  <c r="P9" i="4" a="1"/>
  <c r="D8" i="3"/>
  <c r="BD6" i="4" a="1"/>
  <c r="BK14" i="4" a="1"/>
  <c r="T8" i="2"/>
  <c r="BZ13" i="4" a="1"/>
  <c r="BI13" i="4" a="1"/>
  <c r="H13" i="4" a="1"/>
  <c r="Q54" i="2"/>
  <c r="AV9" i="4" a="1"/>
  <c r="I21" i="2"/>
  <c r="E66" i="3"/>
  <c r="E72" i="3"/>
  <c r="BU15" i="4" a="1"/>
  <c r="BP14" i="4" a="1"/>
  <c r="DZ7" i="4" a="1"/>
  <c r="R5" i="4" a="1"/>
  <c r="CE6" i="4" a="1"/>
  <c r="N7" i="4" a="1"/>
  <c r="M20" i="2"/>
  <c r="V16" i="4" a="1"/>
  <c r="AR90" i="3"/>
  <c r="CT9" i="4" a="1"/>
  <c r="DD11" i="4" a="1"/>
  <c r="CM16" i="4" a="1"/>
  <c r="N5" i="4" a="1"/>
  <c r="CS11" i="4" a="1"/>
  <c r="AS7" i="4" a="1"/>
  <c r="AR9" i="4" a="1"/>
  <c r="D8" i="4" a="1"/>
  <c r="AG6" i="4" a="1"/>
  <c r="F54" i="3"/>
  <c r="G7" i="4" a="1"/>
  <c r="G88" i="3"/>
  <c r="AU6" i="4" a="1"/>
  <c r="AR84" i="3"/>
  <c r="CI13" i="4" a="1"/>
  <c r="DF13" i="4" a="1"/>
  <c r="BY13" i="4" a="1"/>
  <c r="CI5" i="4" a="1"/>
  <c r="CK15" i="4" a="1"/>
  <c r="BO16" i="4" a="1"/>
  <c r="Y9" i="4" a="1"/>
  <c r="CK13" i="4" a="1"/>
  <c r="G31" i="2"/>
  <c r="S6" i="4" a="1"/>
  <c r="Q8" i="2"/>
  <c r="U14" i="2"/>
  <c r="AK9" i="4" a="1"/>
  <c r="EI13" i="4" a="1"/>
  <c r="Z12" i="4" a="1"/>
  <c r="BN11" i="4" a="1"/>
  <c r="G60" i="3"/>
  <c r="CR16" i="4" a="1"/>
  <c r="BY6" i="4" a="1"/>
  <c r="AZ16" i="4" a="1"/>
  <c r="G25" i="3"/>
  <c r="Q78" i="2"/>
  <c r="E33" i="3"/>
  <c r="Q25" i="2"/>
  <c r="AO45" i="3"/>
  <c r="V8" i="2"/>
  <c r="BJ7" i="4" a="1"/>
  <c r="CZ15" i="4" a="1"/>
  <c r="DB7" i="4" a="1"/>
  <c r="C29" i="2"/>
  <c r="S30" i="2"/>
  <c r="T22" i="2"/>
  <c r="AR11" i="3"/>
  <c r="EH16" i="4" a="1"/>
  <c r="EE14" i="4" a="1"/>
  <c r="CM14" i="4" a="1"/>
  <c r="DU8" i="4" a="1"/>
  <c r="Q31" i="2"/>
  <c r="F28" i="2"/>
  <c r="F6" i="4" a="1"/>
  <c r="BP13" i="4" a="1"/>
  <c r="N45" i="3"/>
  <c r="AN11" i="4" a="1"/>
  <c r="F83" i="3"/>
  <c r="AQ5" i="4" a="1"/>
  <c r="X14" i="4" a="1"/>
  <c r="AY6" i="4" a="1"/>
  <c r="DD12" i="4" a="1"/>
  <c r="BW9" i="4" a="1"/>
  <c r="AN6" i="4" a="1"/>
  <c r="DB8" i="4" a="1"/>
  <c r="AK6" i="4" a="1"/>
  <c r="BO12" i="4" a="1"/>
  <c r="CB15" i="4" a="1"/>
  <c r="P20" i="2"/>
  <c r="X21" i="2"/>
  <c r="AW16" i="4" a="1"/>
  <c r="CD12" i="4" a="1"/>
  <c r="AR20" i="3"/>
  <c r="W12" i="2"/>
  <c r="E14" i="2"/>
  <c r="DL12" i="4" a="1"/>
  <c r="K13" i="4" a="1"/>
  <c r="BQ13" i="4" a="1"/>
  <c r="Q12" i="4" a="1"/>
  <c r="BM5" i="4" a="1"/>
  <c r="EJ15" i="4" a="1"/>
  <c r="CO7" i="4" a="1"/>
  <c r="CN14" i="4" a="1"/>
  <c r="N8" i="4" a="1"/>
  <c r="Y7" i="4" a="1"/>
  <c r="D17" i="3"/>
  <c r="S29" i="2"/>
  <c r="F12" i="2"/>
  <c r="AJ45" i="3"/>
  <c r="D7" i="3"/>
  <c r="I46" i="3"/>
  <c r="CL16" i="4" a="1"/>
  <c r="O14" i="2"/>
  <c r="AU9" i="4" a="1"/>
  <c r="AN12" i="4" a="1"/>
  <c r="Q29" i="2"/>
  <c r="CL9" i="4" a="1"/>
  <c r="D16" i="3"/>
  <c r="X16" i="2"/>
  <c r="CS14" i="4" a="1"/>
  <c r="DA9" i="4" a="1"/>
  <c r="DR7" i="4" a="1"/>
  <c r="P25" i="2"/>
  <c r="BI9" i="4" a="1"/>
  <c r="K5" i="4" a="1"/>
  <c r="CE5" i="4" a="1"/>
  <c r="EJ13" i="4" a="1"/>
  <c r="BY12" i="4" a="1"/>
  <c r="AE8" i="4" a="1"/>
  <c r="CT16" i="4" a="1"/>
  <c r="S12" i="4" a="1"/>
  <c r="BA15" i="4" a="1"/>
  <c r="DS14" i="4" a="1"/>
  <c r="DV12" i="4" a="1"/>
  <c r="C59" i="2"/>
  <c r="N14" i="2"/>
  <c r="Q22" i="2"/>
  <c r="EG16" i="4" a="1"/>
  <c r="L6" i="4" a="1"/>
  <c r="D16" i="4" a="1"/>
  <c r="CB7" i="4" a="1"/>
  <c r="BB7" i="4" a="1"/>
  <c r="CZ6" i="4" a="1"/>
  <c r="Q32" i="2"/>
  <c r="AD8" i="3"/>
  <c r="E90" i="3"/>
  <c r="CS15" i="4" a="1"/>
  <c r="AR28" i="3"/>
  <c r="AF14" i="4" a="1"/>
  <c r="F86" i="3"/>
  <c r="BR7" i="4" a="1"/>
  <c r="DJ15" i="4" a="1"/>
  <c r="BU12" i="4" a="1"/>
  <c r="J28" i="2"/>
  <c r="DX6" i="4" a="1"/>
  <c r="AW5" i="4" a="1"/>
  <c r="L19" i="2"/>
  <c r="EK16" i="4" a="1"/>
  <c r="AR14" i="4" a="1"/>
  <c r="EE9" i="4" a="1"/>
  <c r="Q16" i="2"/>
  <c r="AD88" i="3"/>
  <c r="G29" i="2"/>
  <c r="CR8" i="4" a="1"/>
  <c r="EB6" i="4" a="1"/>
  <c r="CY16" i="4" a="1"/>
  <c r="F97" i="3"/>
  <c r="AY13" i="4" a="1"/>
  <c r="DY13" i="4" a="1"/>
  <c r="AD89" i="3"/>
  <c r="CI9" i="4" a="1"/>
  <c r="G76" i="3"/>
  <c r="G86" i="3"/>
  <c r="G96" i="3"/>
  <c r="F75" i="3"/>
  <c r="F84" i="3"/>
  <c r="F58" i="3"/>
  <c r="F95" i="3"/>
  <c r="D65" i="3"/>
  <c r="D71" i="3"/>
  <c r="D66" i="3"/>
  <c r="D59" i="3"/>
  <c r="D88" i="3"/>
  <c r="D91" i="3"/>
  <c r="D64" i="3"/>
  <c r="D62" i="3"/>
  <c r="D63" i="3" l="1"/>
  <c r="AD54" i="3"/>
  <c r="E54" i="3"/>
  <c r="AD77" i="3"/>
  <c r="AD71" i="3"/>
  <c r="AD64" i="3"/>
  <c r="D82" i="3"/>
  <c r="F76" i="3"/>
  <c r="F50" i="3"/>
  <c r="E95" i="3"/>
  <c r="F63" i="3"/>
  <c r="G64" i="3"/>
  <c r="F65" i="3"/>
  <c r="E93" i="3"/>
  <c r="G91" i="3"/>
  <c r="F81" i="3"/>
  <c r="F57" i="3"/>
  <c r="AD92" i="3"/>
  <c r="G55" i="3"/>
  <c r="F74" i="3"/>
  <c r="F88" i="3"/>
  <c r="D74" i="3"/>
  <c r="D87" i="3"/>
  <c r="D97" i="3"/>
  <c r="D93" i="3"/>
  <c r="D54" i="3"/>
  <c r="F48" i="3"/>
  <c r="D89" i="3"/>
  <c r="F70" i="3"/>
  <c r="F73" i="3"/>
  <c r="F59" i="3"/>
  <c r="D72" i="3"/>
  <c r="D81" i="3"/>
  <c r="D90" i="3"/>
  <c r="D76" i="3"/>
  <c r="D75" i="3"/>
  <c r="D77" i="3"/>
  <c r="D56" i="3"/>
  <c r="D57" i="3"/>
  <c r="G94" i="3"/>
  <c r="AD59" i="3"/>
  <c r="AD62" i="3"/>
  <c r="E97" i="3"/>
  <c r="E59" i="3"/>
  <c r="AD83" i="3"/>
  <c r="G61" i="3"/>
  <c r="F78" i="3"/>
  <c r="F49" i="3"/>
  <c r="F62" i="3"/>
  <c r="F93" i="3"/>
  <c r="F92" i="3"/>
  <c r="F68" i="3"/>
  <c r="F85" i="3"/>
  <c r="F96" i="3"/>
  <c r="F89" i="3"/>
  <c r="F67" i="3"/>
  <c r="F94" i="3"/>
  <c r="F56" i="3"/>
  <c r="F60" i="3"/>
  <c r="F47" i="3"/>
  <c r="F72" i="3"/>
  <c r="F71" i="3"/>
  <c r="F64" i="3"/>
  <c r="F90" i="3"/>
  <c r="F66" i="3"/>
  <c r="F69" i="3"/>
  <c r="F87" i="3"/>
  <c r="F77" i="3"/>
  <c r="AJ142" i="1"/>
  <c r="AK142" i="1" s="1"/>
  <c r="AJ167" i="1"/>
  <c r="AK167" i="1" s="1"/>
  <c r="AJ172" i="1"/>
  <c r="AK172" i="1" s="1"/>
  <c r="AJ145" i="1"/>
  <c r="AK145" i="1" s="1"/>
  <c r="AJ169" i="1"/>
  <c r="AK169" i="1" s="1"/>
  <c r="AJ168" i="1"/>
  <c r="AK168" i="1" s="1"/>
  <c r="AL182" i="1"/>
  <c r="AM182" i="1" s="1"/>
  <c r="AL137" i="1"/>
  <c r="AL164" i="1"/>
  <c r="AM164" i="1" s="1"/>
  <c r="BJ171" i="1"/>
  <c r="F65" i="1"/>
  <c r="BJ145" i="1"/>
  <c r="BK145" i="1" s="1"/>
  <c r="JG9" i="4" s="1"/>
  <c r="JI16" i="4" s="1"/>
  <c r="K40" i="1"/>
  <c r="BX50" i="1"/>
  <c r="IU15" i="4" s="1"/>
  <c r="P63" i="1"/>
  <c r="M38" i="1"/>
  <c r="O54" i="1"/>
  <c r="IW9" i="4" s="1"/>
  <c r="AJ38" i="1"/>
  <c r="IR9" i="4" s="1"/>
  <c r="P65" i="1"/>
  <c r="N38" i="1"/>
  <c r="IR16" i="4" s="1"/>
  <c r="E33" i="1"/>
  <c r="R65" i="1"/>
  <c r="AJ39" i="1"/>
  <c r="D38" i="1"/>
  <c r="V33" i="1"/>
  <c r="BX27" i="1"/>
  <c r="IM9" i="4" s="1"/>
  <c r="AL178" i="1"/>
  <c r="BX33" i="1"/>
  <c r="R57" i="1"/>
  <c r="B65" i="1"/>
  <c r="P54" i="1"/>
  <c r="P178" i="1"/>
  <c r="AM54" i="1"/>
  <c r="T38" i="1"/>
  <c r="BX164" i="1"/>
  <c r="BY164" i="1" s="1"/>
  <c r="IC7" i="4" s="1"/>
  <c r="BX144" i="1"/>
  <c r="BY144" i="1" s="1"/>
  <c r="ID9" i="4" s="1"/>
  <c r="P171" i="1"/>
  <c r="C69" i="1"/>
  <c r="P38" i="1"/>
  <c r="K63" i="1"/>
  <c r="BX165" i="1"/>
  <c r="BY165" i="1" s="1"/>
  <c r="V43" i="1"/>
  <c r="HV9" i="4" s="1"/>
  <c r="IH9" i="4" s="1"/>
  <c r="AL27" i="1"/>
  <c r="BX155" i="1"/>
  <c r="BY155" i="1" s="1"/>
  <c r="N26" i="1"/>
  <c r="E41" i="1"/>
  <c r="IG9" i="4" s="1"/>
  <c r="W42" i="1"/>
  <c r="M39" i="1"/>
  <c r="T54" i="1"/>
  <c r="JB16" i="4" s="1"/>
  <c r="AK39" i="1"/>
  <c r="IJ16" i="4" s="1"/>
  <c r="I42" i="1"/>
  <c r="JH14" i="4" s="1"/>
  <c r="HP7" i="4" s="1"/>
  <c r="C53" i="1"/>
  <c r="M50" i="1"/>
  <c r="N64" i="1"/>
  <c r="AM26" i="1"/>
  <c r="BX57" i="1"/>
  <c r="HZ16" i="4" s="1"/>
  <c r="AL172" i="1"/>
  <c r="AM172" i="1" s="1"/>
  <c r="S26" i="1"/>
  <c r="AL177" i="1"/>
  <c r="G33" i="1"/>
  <c r="D33" i="1"/>
  <c r="JE9" i="4" s="1"/>
  <c r="BJ164" i="1"/>
  <c r="BK164" i="1" s="1"/>
  <c r="HW15" i="4" s="1"/>
  <c r="R53" i="1"/>
  <c r="S40" i="1"/>
  <c r="BJ42" i="1"/>
  <c r="B31" i="1"/>
  <c r="G50" i="1"/>
  <c r="G212" i="1" s="1"/>
  <c r="HZ14" i="4" s="1"/>
  <c r="BX40" i="1"/>
  <c r="AJ40" i="1"/>
  <c r="M42" i="1"/>
  <c r="HP14" i="4" s="1"/>
  <c r="AJ164" i="1"/>
  <c r="AK164" i="1" s="1"/>
  <c r="BJ177" i="1"/>
  <c r="AJ160" i="1"/>
  <c r="AK160" i="1" s="1"/>
  <c r="I64" i="1"/>
  <c r="HP16" i="4" s="1"/>
  <c r="T53" i="1"/>
  <c r="AL54" i="1"/>
  <c r="HS7" i="4" s="1"/>
  <c r="E54" i="1"/>
  <c r="AJ27" i="1"/>
  <c r="BX168" i="1"/>
  <c r="BY168" i="1" s="1"/>
  <c r="U57" i="1"/>
  <c r="Q65" i="1"/>
  <c r="U54" i="1"/>
  <c r="U270" i="1" s="1"/>
  <c r="IB7" i="4" s="1"/>
  <c r="BX162" i="1"/>
  <c r="BX91" i="1"/>
  <c r="Q40" i="1"/>
  <c r="F50" i="1"/>
  <c r="F212" i="1" s="1"/>
  <c r="V42" i="1"/>
  <c r="F69" i="1"/>
  <c r="P31" i="1"/>
  <c r="O33" i="1"/>
  <c r="T26" i="1"/>
  <c r="T9" i="1" s="1"/>
  <c r="AM38" i="1"/>
  <c r="L53" i="1"/>
  <c r="U65" i="1"/>
  <c r="AJ178" i="1"/>
  <c r="BJ26" i="1"/>
  <c r="F39" i="1"/>
  <c r="AJ54" i="1"/>
  <c r="IL16" i="4" s="1"/>
  <c r="W57" i="1"/>
  <c r="T33" i="1"/>
  <c r="AL32" i="1"/>
  <c r="W31" i="1"/>
  <c r="IY9" i="4" s="1"/>
  <c r="C26" i="1"/>
  <c r="L26" i="1"/>
  <c r="L249" i="1" s="1"/>
  <c r="HT9" i="4" s="1"/>
  <c r="P145" i="1"/>
  <c r="C43" i="1"/>
  <c r="BJ149" i="1"/>
  <c r="O63" i="1"/>
  <c r="BJ155" i="1"/>
  <c r="BK155" i="1" s="1"/>
  <c r="IN16" i="4" s="1"/>
  <c r="AJ32" i="1"/>
  <c r="BJ38" i="1"/>
  <c r="JI14" i="4" s="1"/>
  <c r="L43" i="1"/>
  <c r="IC15" i="4" s="1"/>
  <c r="IE7" i="4" s="1"/>
  <c r="BX42" i="1"/>
  <c r="IE16" i="4" s="1"/>
  <c r="U53" i="1"/>
  <c r="BX63" i="1"/>
  <c r="L40" i="1"/>
  <c r="BX53" i="1"/>
  <c r="T64" i="1"/>
  <c r="BX145" i="1"/>
  <c r="BY145" i="1" s="1"/>
  <c r="W53" i="1"/>
  <c r="V41" i="1"/>
  <c r="E39" i="1"/>
  <c r="BX92" i="1"/>
  <c r="R31" i="1"/>
  <c r="B57" i="1"/>
  <c r="AK64" i="1"/>
  <c r="IA9" i="4" s="1"/>
  <c r="JD9" i="4" s="1"/>
  <c r="IB8" i="4" s="1"/>
  <c r="G31" i="1"/>
  <c r="Q39" i="1"/>
  <c r="IF16" i="4" s="1"/>
  <c r="U33" i="1"/>
  <c r="BJ143" i="1"/>
  <c r="BK143" i="1" s="1"/>
  <c r="AL69" i="1"/>
  <c r="L38" i="1"/>
  <c r="C57" i="1"/>
  <c r="J38" i="1"/>
  <c r="J26" i="1"/>
  <c r="P57" i="1"/>
  <c r="AJ149" i="1"/>
  <c r="B50" i="1"/>
  <c r="JC14" i="4" s="1"/>
  <c r="BX171" i="1"/>
  <c r="M63" i="1"/>
  <c r="IQ16" i="4" s="1"/>
  <c r="I69" i="1"/>
  <c r="BX137" i="1"/>
  <c r="BY137" i="1" s="1"/>
  <c r="S42" i="1"/>
  <c r="AL57" i="1"/>
  <c r="F31" i="1"/>
  <c r="JE16" i="4" s="1"/>
  <c r="AJ182" i="1"/>
  <c r="BJ182" i="1"/>
  <c r="JB7" i="4" s="1"/>
  <c r="AJ140" i="1"/>
  <c r="AK140" i="1" s="1"/>
  <c r="HY16" i="4" s="1"/>
  <c r="AJ165" i="1"/>
  <c r="AK165" i="1" s="1"/>
  <c r="IJ9" i="4" s="1"/>
  <c r="R39" i="1"/>
  <c r="K64" i="1"/>
  <c r="HS9" i="4" s="1"/>
  <c r="R40" i="1"/>
  <c r="HW14" i="4" s="1"/>
  <c r="IS7" i="4" s="1"/>
  <c r="BJ140" i="1"/>
  <c r="BK140" i="1" s="1"/>
  <c r="BJ160" i="1"/>
  <c r="BK160" i="1" s="1"/>
  <c r="G42" i="1"/>
  <c r="B53" i="1"/>
  <c r="Q54" i="1"/>
  <c r="U38" i="1"/>
  <c r="O43" i="1"/>
  <c r="J41" i="1"/>
  <c r="D31" i="1"/>
  <c r="D42" i="1"/>
  <c r="BJ43" i="1"/>
  <c r="IM8" i="4" s="1"/>
  <c r="E53" i="1"/>
  <c r="H43" i="1"/>
  <c r="D50" i="1"/>
  <c r="BX69" i="1"/>
  <c r="C50" i="1"/>
  <c r="S33" i="1"/>
  <c r="C40" i="1"/>
  <c r="V39" i="1"/>
  <c r="K33" i="1"/>
  <c r="L31" i="1"/>
  <c r="AJ43" i="1"/>
  <c r="BX54" i="1"/>
  <c r="IW15" i="4" s="1"/>
  <c r="I33" i="1"/>
  <c r="AJ181" i="1"/>
  <c r="AK181" i="1" s="1"/>
  <c r="D65" i="1"/>
  <c r="E177" i="1"/>
  <c r="HT8" i="4" s="1"/>
  <c r="AJ173" i="1"/>
  <c r="AK173" i="1" s="1"/>
  <c r="AK38" i="1"/>
  <c r="M64" i="1"/>
  <c r="K39" i="1"/>
  <c r="BJ150" i="1"/>
  <c r="AJ150" i="1"/>
  <c r="BJ162" i="1"/>
  <c r="HT15" i="4" s="1"/>
  <c r="IN15" i="4" s="1"/>
  <c r="BJ161" i="1"/>
  <c r="BK161" i="1" s="1"/>
  <c r="H65" i="1"/>
  <c r="HQ9" i="4" s="1"/>
  <c r="N50" i="1"/>
  <c r="AJ177" i="1"/>
  <c r="AJ151" i="1"/>
  <c r="M43" i="1"/>
  <c r="BJ170" i="1"/>
  <c r="BK170" i="1" s="1"/>
  <c r="S41" i="1"/>
  <c r="JF14" i="4" s="1"/>
  <c r="JF9" i="4" s="1"/>
  <c r="U69" i="1"/>
  <c r="V38" i="1"/>
  <c r="K50" i="1"/>
  <c r="K212" i="1" s="1"/>
  <c r="N65" i="1"/>
  <c r="BJ165" i="1"/>
  <c r="BK165" i="1" s="1"/>
  <c r="BX43" i="1"/>
  <c r="T39" i="1"/>
  <c r="IE15" i="4" s="1"/>
  <c r="B43" i="1"/>
  <c r="C65" i="1"/>
  <c r="IZ14" i="4" s="1"/>
  <c r="P40" i="1"/>
  <c r="D40" i="1"/>
  <c r="O41" i="1"/>
  <c r="I54" i="1"/>
  <c r="V40" i="1"/>
  <c r="W54" i="1"/>
  <c r="W270" i="1" s="1"/>
  <c r="I65" i="1"/>
  <c r="N69" i="1"/>
  <c r="BX135" i="1"/>
  <c r="BY135" i="1" s="1"/>
  <c r="R42" i="1"/>
  <c r="JD14" i="4" s="1"/>
  <c r="BJ168" i="1"/>
  <c r="BK168" i="1" s="1"/>
  <c r="H38" i="1"/>
  <c r="AK50" i="1"/>
  <c r="AK212" i="1" s="1"/>
  <c r="M54" i="1"/>
  <c r="R50" i="1"/>
  <c r="R271" i="1" s="1"/>
  <c r="L41" i="1"/>
  <c r="IB16" i="4" s="1"/>
  <c r="IB21" i="4" s="1"/>
  <c r="AV95" i="1" s="1"/>
  <c r="HY8" i="4" s="1"/>
  <c r="BJ144" i="1"/>
  <c r="BK144" i="1" s="1"/>
  <c r="JE7" i="4" s="1"/>
  <c r="IC9" i="4" s="1"/>
  <c r="JB9" i="4" s="1"/>
  <c r="IT9" i="4" s="1"/>
  <c r="H41" i="1"/>
  <c r="L69" i="1"/>
  <c r="AL42" i="1"/>
  <c r="M41" i="1"/>
  <c r="S31" i="1"/>
  <c r="IV9" i="4" s="1"/>
  <c r="K41" i="1"/>
  <c r="R41" i="1"/>
  <c r="W41" i="1"/>
  <c r="P50" i="1"/>
  <c r="P212" i="1" s="1"/>
  <c r="N63" i="1"/>
  <c r="Q33" i="1"/>
  <c r="T69" i="1"/>
  <c r="E26" i="1"/>
  <c r="K43" i="1"/>
  <c r="J63" i="1"/>
  <c r="BL92" i="1"/>
  <c r="R33" i="1"/>
  <c r="BJ169" i="1"/>
  <c r="BK169" i="1" s="1"/>
  <c r="IR8" i="4" s="1"/>
  <c r="AJ137" i="1"/>
  <c r="IK9" i="4" s="1"/>
  <c r="G38" i="1"/>
  <c r="W50" i="1"/>
  <c r="L27" i="1"/>
  <c r="II9" i="4" s="1"/>
  <c r="J53" i="1"/>
  <c r="BJ135" i="1"/>
  <c r="BK135" i="1" s="1"/>
  <c r="IL15" i="4" s="1"/>
  <c r="IL20" i="4" s="1"/>
  <c r="BF97" i="1" s="1"/>
  <c r="BF126" i="1" s="1"/>
  <c r="AL64" i="1"/>
  <c r="G53" i="1"/>
  <c r="O50" i="1"/>
  <c r="F42" i="1"/>
  <c r="J54" i="1"/>
  <c r="I57" i="1"/>
  <c r="K42" i="1"/>
  <c r="I63" i="1"/>
  <c r="AL38" i="1"/>
  <c r="O38" i="1"/>
  <c r="P69" i="1"/>
  <c r="W40" i="1"/>
  <c r="E43" i="1"/>
  <c r="Q57" i="1"/>
  <c r="JB8" i="4" s="1"/>
  <c r="Q38" i="1"/>
  <c r="E57" i="1"/>
  <c r="T50" i="1"/>
  <c r="T212" i="1" s="1"/>
  <c r="J64" i="1"/>
  <c r="B39" i="1"/>
  <c r="L64" i="1"/>
  <c r="HV16" i="4" s="1"/>
  <c r="I53" i="1"/>
  <c r="BX41" i="1"/>
  <c r="P53" i="1"/>
  <c r="B41" i="1"/>
  <c r="N33" i="1"/>
  <c r="G65" i="1"/>
  <c r="P27" i="1"/>
  <c r="E65" i="1"/>
  <c r="D26" i="1"/>
  <c r="D57" i="1"/>
  <c r="Q27" i="1"/>
  <c r="B69" i="1"/>
  <c r="G26" i="1"/>
  <c r="AJ63" i="1"/>
  <c r="HQ16" i="4" s="1"/>
  <c r="HS16" i="4" s="1"/>
  <c r="T40" i="1"/>
  <c r="IP16" i="4" s="1"/>
  <c r="P64" i="1"/>
  <c r="BX143" i="1"/>
  <c r="BY143" i="1" s="1"/>
  <c r="AM40" i="1"/>
  <c r="IT14" i="4" s="1"/>
  <c r="N31" i="1"/>
  <c r="AL163" i="1"/>
  <c r="S64" i="1"/>
  <c r="S65" i="1"/>
  <c r="G43" i="1"/>
  <c r="N53" i="1"/>
  <c r="V64" i="1"/>
  <c r="P26" i="1"/>
  <c r="AJ41" i="1"/>
  <c r="AK41" i="1"/>
  <c r="O39" i="1"/>
  <c r="V57" i="1"/>
  <c r="AK42" i="1"/>
  <c r="V63" i="1"/>
  <c r="AM31" i="1"/>
  <c r="I50" i="1"/>
  <c r="I212" i="1" s="1"/>
  <c r="AL31" i="1"/>
  <c r="L54" i="1"/>
  <c r="M33" i="1"/>
  <c r="T43" i="1"/>
  <c r="IK8" i="4" s="1"/>
  <c r="AL65" i="1"/>
  <c r="L65" i="1"/>
  <c r="HU16" i="4" s="1"/>
  <c r="L42" i="1"/>
  <c r="BX26" i="1"/>
  <c r="BX64" i="1"/>
  <c r="J137" i="1"/>
  <c r="AL41" i="1"/>
  <c r="W63" i="1"/>
  <c r="AL53" i="1"/>
  <c r="N54" i="1"/>
  <c r="IW8" i="4" s="1"/>
  <c r="IX7" i="4" s="1"/>
  <c r="IA16" i="4" s="1"/>
  <c r="AL26" i="1"/>
  <c r="AL249" i="1" s="1"/>
  <c r="H40" i="1"/>
  <c r="T31" i="1"/>
  <c r="IS9" i="4" s="1"/>
  <c r="IL9" i="4" s="1"/>
  <c r="G171" i="1"/>
  <c r="BX150" i="1"/>
  <c r="H33" i="1"/>
  <c r="Q42" i="1"/>
  <c r="BJ137" i="1"/>
  <c r="IK7" i="4" s="1"/>
  <c r="I43" i="1"/>
  <c r="W64" i="1"/>
  <c r="IX16" i="4" s="1"/>
  <c r="BX169" i="1"/>
  <c r="BY169" i="1" s="1"/>
  <c r="IO16" i="4" s="1"/>
  <c r="E27" i="1"/>
  <c r="IO9" i="4" s="1"/>
  <c r="L50" i="1"/>
  <c r="L212" i="1" s="1"/>
  <c r="AJ65" i="1"/>
  <c r="L33" i="1"/>
  <c r="O26" i="1"/>
  <c r="O249" i="1" s="1"/>
  <c r="E40" i="1"/>
  <c r="AJ31" i="1"/>
  <c r="W27" i="1"/>
  <c r="W28" i="1" s="1"/>
  <c r="X206" i="1" s="1"/>
  <c r="BJ39" i="1"/>
  <c r="Q53" i="1"/>
  <c r="V54" i="1"/>
  <c r="V270" i="1" s="1"/>
  <c r="M27" i="1"/>
  <c r="W69" i="1"/>
  <c r="AM43" i="1"/>
  <c r="G69" i="1"/>
  <c r="I41" i="1"/>
  <c r="J42" i="1"/>
  <c r="AK26" i="1"/>
  <c r="AK249" i="1" s="1"/>
  <c r="G64" i="1"/>
  <c r="M57" i="1"/>
  <c r="H54" i="1"/>
  <c r="D69" i="1"/>
  <c r="BX172" i="1"/>
  <c r="BY172" i="1" s="1"/>
  <c r="IS16" i="4" s="1"/>
  <c r="BJ136" i="1"/>
  <c r="BK136" i="1" s="1"/>
  <c r="JA9" i="4" s="1"/>
  <c r="O64" i="1"/>
  <c r="F57" i="1"/>
  <c r="BJ153" i="1"/>
  <c r="BK153" i="1" s="1"/>
  <c r="II16" i="4" s="1"/>
  <c r="W39" i="1"/>
  <c r="IU16" i="4" s="1"/>
  <c r="P173" i="1"/>
  <c r="M31" i="1"/>
  <c r="JA16" i="4" s="1"/>
  <c r="JA21" i="4" s="1"/>
  <c r="BU95" i="1" s="1"/>
  <c r="AK31" i="1"/>
  <c r="F43" i="1"/>
  <c r="AK33" i="1"/>
  <c r="JA8" i="4" s="1"/>
  <c r="HX9" i="4" s="1"/>
  <c r="D140" i="1"/>
  <c r="G63" i="1"/>
  <c r="J33" i="1"/>
  <c r="V31" i="1"/>
  <c r="E42" i="1"/>
  <c r="IF14" i="4" s="1"/>
  <c r="E31" i="1"/>
  <c r="IQ15" i="4" s="1"/>
  <c r="IQ20" i="4" s="1"/>
  <c r="BK97" i="1" s="1"/>
  <c r="BK126" i="1" s="1"/>
  <c r="AK43" i="1"/>
  <c r="N40" i="1"/>
  <c r="BJ41" i="1"/>
  <c r="AM41" i="1"/>
  <c r="B27" i="1"/>
  <c r="T27" i="1"/>
  <c r="L63" i="1"/>
  <c r="T65" i="1"/>
  <c r="J43" i="1"/>
  <c r="AL39" i="1"/>
  <c r="HW8" i="4" s="1"/>
  <c r="J69" i="1"/>
  <c r="P33" i="1"/>
  <c r="F54" i="1"/>
  <c r="K27" i="1"/>
  <c r="AK69" i="1"/>
  <c r="N41" i="1"/>
  <c r="BX167" i="1"/>
  <c r="BY167" i="1" s="1"/>
  <c r="BX160" i="1"/>
  <c r="BY160" i="1" s="1"/>
  <c r="R27" i="1"/>
  <c r="C54" i="1"/>
  <c r="BJ163" i="1"/>
  <c r="U40" i="1"/>
  <c r="BJ151" i="1"/>
  <c r="BJ172" i="1"/>
  <c r="BK172" i="1" s="1"/>
  <c r="IQ7" i="4" s="1"/>
  <c r="HZ9" i="4" s="1"/>
  <c r="BX177" i="1"/>
  <c r="AJ42" i="1"/>
  <c r="BX182" i="1"/>
  <c r="BY182" i="1" s="1"/>
  <c r="AJ50" i="1"/>
  <c r="AJ51" i="1" s="1"/>
  <c r="O42" i="1"/>
  <c r="S54" i="1"/>
  <c r="H31" i="1"/>
  <c r="AJ33" i="1"/>
  <c r="D54" i="1"/>
  <c r="B40" i="1"/>
  <c r="F63" i="1"/>
  <c r="BJ33" i="1"/>
  <c r="S27" i="1"/>
  <c r="E64" i="1"/>
  <c r="O31" i="1"/>
  <c r="V50" i="1"/>
  <c r="V271" i="1" s="1"/>
  <c r="N27" i="1"/>
  <c r="U64" i="1"/>
  <c r="G54" i="1"/>
  <c r="E38" i="1"/>
  <c r="L57" i="1"/>
  <c r="K53" i="1"/>
  <c r="N43" i="1"/>
  <c r="Q41" i="1"/>
  <c r="Q50" i="1"/>
  <c r="Q212" i="1" s="1"/>
  <c r="I27" i="1"/>
  <c r="M69" i="1"/>
  <c r="BX161" i="1"/>
  <c r="BY161" i="1" s="1"/>
  <c r="B54" i="1"/>
  <c r="BJ31" i="1"/>
  <c r="R43" i="1"/>
  <c r="AJ64" i="1"/>
  <c r="F64" i="1"/>
  <c r="Q26" i="1"/>
  <c r="AL50" i="1"/>
  <c r="C63" i="1"/>
  <c r="HP9" i="4" s="1"/>
  <c r="BX142" i="1"/>
  <c r="BY142" i="1" s="1"/>
  <c r="F26" i="1"/>
  <c r="F249" i="1" s="1"/>
  <c r="V65" i="1"/>
  <c r="AJ26" i="1"/>
  <c r="AJ249" i="1" s="1"/>
  <c r="BJ32" i="1"/>
  <c r="U27" i="1"/>
  <c r="U28" i="1" s="1"/>
  <c r="U116" i="1" s="1"/>
  <c r="B64" i="1"/>
  <c r="S39" i="1"/>
  <c r="AK65" i="1"/>
  <c r="AL40" i="1"/>
  <c r="AK53" i="1"/>
  <c r="Q63" i="1"/>
  <c r="P41" i="1"/>
  <c r="I31" i="1"/>
  <c r="Q43" i="1"/>
  <c r="C64" i="1"/>
  <c r="H64" i="1"/>
  <c r="U50" i="1"/>
  <c r="U212" i="1" s="1"/>
  <c r="T63" i="1"/>
  <c r="K65" i="1"/>
  <c r="HQ14" i="4" s="1"/>
  <c r="U39" i="1"/>
  <c r="W65" i="1"/>
  <c r="AJ53" i="1"/>
  <c r="BX170" i="1"/>
  <c r="BY170" i="1" s="1"/>
  <c r="C42" i="1"/>
  <c r="IM16" i="4" s="1"/>
  <c r="IM21" i="4" s="1"/>
  <c r="BG95" i="1" s="1"/>
  <c r="D43" i="1"/>
  <c r="IY15" i="4" s="1"/>
  <c r="HU9" i="4" s="1"/>
  <c r="I39" i="1"/>
  <c r="E63" i="1"/>
  <c r="V53" i="1"/>
  <c r="BX136" i="1"/>
  <c r="BY136" i="1" s="1"/>
  <c r="HY9" i="4" s="1"/>
  <c r="V27" i="1"/>
  <c r="V28" i="1" s="1"/>
  <c r="BX178" i="1"/>
  <c r="ID16" i="4" s="1"/>
  <c r="ID21" i="4" s="1"/>
  <c r="AX95" i="1" s="1"/>
  <c r="U43" i="1"/>
  <c r="IL14" i="4" s="1"/>
  <c r="BJ181" i="1"/>
  <c r="BK181" i="1" s="1"/>
  <c r="K57" i="1"/>
  <c r="JI9" i="4" s="1"/>
  <c r="IZ9" i="4" s="1"/>
  <c r="S43" i="1"/>
  <c r="U41" i="1"/>
  <c r="S63" i="1"/>
  <c r="IZ15" i="4" s="1"/>
  <c r="IZ20" i="4" s="1"/>
  <c r="BT97" i="1" s="1"/>
  <c r="BT126" i="1" s="1"/>
  <c r="IH15" i="4" s="1"/>
  <c r="IP14" i="4" s="1"/>
  <c r="BX173" i="1"/>
  <c r="BY173" i="1" s="1"/>
  <c r="G27" i="1"/>
  <c r="K26" i="1"/>
  <c r="S57" i="1"/>
  <c r="C31" i="1"/>
  <c r="H27" i="1"/>
  <c r="N42" i="1"/>
  <c r="G57" i="1"/>
  <c r="M40" i="1"/>
  <c r="M65" i="1"/>
  <c r="AK63" i="1"/>
  <c r="B33" i="1"/>
  <c r="W33" i="1"/>
  <c r="HR7" i="4" s="1"/>
  <c r="I40" i="1"/>
  <c r="AM53" i="1"/>
  <c r="D41" i="1"/>
  <c r="M53" i="1"/>
  <c r="BX140" i="1"/>
  <c r="BY140" i="1" s="1"/>
  <c r="HY7" i="4" s="1"/>
  <c r="D27" i="1"/>
  <c r="N39" i="1"/>
  <c r="BX31" i="1"/>
  <c r="JD16" i="4" s="1"/>
  <c r="AK54" i="1"/>
  <c r="Q69" i="1"/>
  <c r="R63" i="1"/>
  <c r="AM57" i="1"/>
  <c r="BX151" i="1"/>
  <c r="S69" i="1"/>
  <c r="AK32" i="1"/>
  <c r="R54" i="1"/>
  <c r="D64" i="1"/>
  <c r="JF16" i="4" s="1"/>
  <c r="JF21" i="4" s="1"/>
  <c r="BZ95" i="1" s="1"/>
  <c r="BZ112" i="1" s="1"/>
  <c r="R69" i="1"/>
  <c r="F27" i="1"/>
  <c r="IF9" i="4" s="1"/>
  <c r="IX9" i="4" s="1"/>
  <c r="F38" i="1"/>
  <c r="AM39" i="1"/>
  <c r="P43" i="1"/>
  <c r="JC9" i="4" s="1"/>
  <c r="O57" i="1"/>
  <c r="AL63" i="1"/>
  <c r="K69" i="1"/>
  <c r="G41" i="1"/>
  <c r="F41" i="1"/>
  <c r="U42" i="1"/>
  <c r="S53" i="1"/>
  <c r="J50" i="1"/>
  <c r="H63" i="1"/>
  <c r="C41" i="1"/>
  <c r="I38" i="1"/>
  <c r="B38" i="1"/>
  <c r="IE14" i="4" s="1"/>
  <c r="H57" i="1"/>
  <c r="G40" i="1"/>
  <c r="P39" i="1"/>
  <c r="IH14" i="4" s="1"/>
  <c r="J31" i="1"/>
  <c r="E69" i="1"/>
  <c r="V69" i="1"/>
  <c r="P42" i="1"/>
  <c r="N57" i="1"/>
  <c r="J39" i="1"/>
  <c r="BX149" i="1"/>
  <c r="O65" i="1"/>
  <c r="K31" i="1"/>
  <c r="BY91" i="1"/>
  <c r="T57" i="1"/>
  <c r="O40" i="1"/>
  <c r="Q171" i="1"/>
  <c r="Q64" i="1"/>
  <c r="R26" i="1"/>
  <c r="R9" i="1" s="1"/>
  <c r="AM42" i="1"/>
  <c r="Q31" i="1"/>
  <c r="G181" i="1"/>
  <c r="D39" i="1"/>
  <c r="IB9" i="4" s="1"/>
  <c r="HW9" i="4" s="1"/>
  <c r="AM50" i="1"/>
  <c r="G39" i="1"/>
  <c r="C142" i="1"/>
  <c r="J40" i="1"/>
  <c r="F40" i="1"/>
  <c r="HZ8" i="4" s="1"/>
  <c r="C27" i="1"/>
  <c r="U31" i="1"/>
  <c r="IV15" i="4" s="1"/>
  <c r="W38" i="1"/>
  <c r="B26" i="1"/>
  <c r="B249" i="1" s="1"/>
  <c r="H39" i="1"/>
  <c r="W150" i="1"/>
  <c r="BX181" i="1"/>
  <c r="BY181" i="1" s="1"/>
  <c r="R38" i="1"/>
  <c r="H26" i="1"/>
  <c r="W43" i="1"/>
  <c r="O69" i="1"/>
  <c r="IL8" i="4" s="1"/>
  <c r="C39" i="1"/>
  <c r="AJ69" i="1"/>
  <c r="O27" i="1"/>
  <c r="BX153" i="1"/>
  <c r="BY153" i="1" s="1"/>
  <c r="W135" i="1"/>
  <c r="AK27" i="1"/>
  <c r="K54" i="1"/>
  <c r="B63" i="1"/>
  <c r="L39" i="1"/>
  <c r="BX39" i="1"/>
  <c r="B42" i="1"/>
  <c r="BX38" i="1"/>
  <c r="AJ57" i="1"/>
  <c r="AM27" i="1"/>
  <c r="D53" i="1"/>
  <c r="H42" i="1"/>
  <c r="JH9" i="4" s="1"/>
  <c r="IW16" i="4" s="1"/>
  <c r="IW21" i="4" s="1"/>
  <c r="BQ95" i="1" s="1"/>
  <c r="AM33" i="1"/>
  <c r="C38" i="1"/>
  <c r="IG16" i="4" s="1"/>
  <c r="F33" i="1"/>
  <c r="AK40" i="1"/>
  <c r="IC16" i="4" s="1"/>
  <c r="S38" i="1"/>
  <c r="AM32" i="1"/>
  <c r="IQ8" i="4" s="1"/>
  <c r="BX32" i="1"/>
  <c r="J27" i="1"/>
  <c r="JC8" i="4" s="1"/>
  <c r="IB15" i="4" s="1"/>
  <c r="C33" i="1"/>
  <c r="T42" i="1"/>
  <c r="K38" i="1"/>
  <c r="M26" i="1"/>
  <c r="IP9" i="4" s="1"/>
  <c r="BX163" i="1"/>
  <c r="F53" i="1"/>
  <c r="IZ8" i="4" s="1"/>
  <c r="AL43" i="1"/>
  <c r="D63" i="1"/>
  <c r="BX158" i="1"/>
  <c r="J65" i="1"/>
  <c r="AK57" i="1"/>
  <c r="H53" i="1"/>
  <c r="J57" i="1"/>
  <c r="R64" i="1"/>
  <c r="H50" i="1"/>
  <c r="H212" i="1" s="1"/>
  <c r="T41" i="1"/>
  <c r="S50" i="1"/>
  <c r="S212" i="1" s="1"/>
  <c r="U63" i="1"/>
  <c r="H69" i="1"/>
  <c r="AL33" i="1"/>
  <c r="I26" i="1"/>
  <c r="O53" i="1"/>
  <c r="E50" i="1"/>
  <c r="E212" i="1" s="1"/>
  <c r="IK16" i="4" s="1"/>
  <c r="BX65" i="1"/>
  <c r="JH8" i="4"/>
  <c r="IG14" i="4"/>
  <c r="HU7" i="4"/>
  <c r="IU14" i="4"/>
  <c r="H249" i="1"/>
  <c r="JG7" i="4"/>
  <c r="IT7" i="4"/>
  <c r="IA14" i="4"/>
  <c r="BX212" i="1"/>
  <c r="CN50" i="1"/>
  <c r="CS95" i="1"/>
  <c r="AB181" i="1"/>
  <c r="CP83" i="1"/>
  <c r="CQ81" i="1"/>
  <c r="AC135" i="1"/>
  <c r="AC167" i="1"/>
  <c r="CB243" i="1"/>
  <c r="BQ1" i="1"/>
  <c r="BR1" i="1" s="1"/>
  <c r="BS1" i="1" s="1"/>
  <c r="BT1" i="1" s="1"/>
  <c r="AJ143" i="1" l="1"/>
  <c r="AK143" i="1" s="1"/>
  <c r="S249" i="1"/>
  <c r="BJ167" i="1"/>
  <c r="BJ158" i="1"/>
  <c r="T270" i="1"/>
  <c r="T249" i="1"/>
  <c r="AJ136" i="1"/>
  <c r="AK136" i="1" s="1"/>
  <c r="AJ135" i="1"/>
  <c r="AJ158" i="1"/>
  <c r="AK158" i="1" s="1"/>
  <c r="AJ144" i="1"/>
  <c r="AK144" i="1" s="1"/>
  <c r="AK146" i="1" s="1"/>
  <c r="AJ170" i="1"/>
  <c r="AK170" i="1" s="1"/>
  <c r="AJ162" i="1"/>
  <c r="AJ153" i="1"/>
  <c r="AK153" i="1" s="1"/>
  <c r="AJ155" i="1"/>
  <c r="AK155" i="1" s="1"/>
  <c r="AL145" i="1"/>
  <c r="AM145" i="1" s="1"/>
  <c r="AL155" i="1"/>
  <c r="AM155" i="1" s="1"/>
  <c r="AL151" i="1"/>
  <c r="IQ9" i="4" s="1"/>
  <c r="IQ21" i="4" s="1"/>
  <c r="BK95" i="1" s="1"/>
  <c r="BJ173" i="1"/>
  <c r="BK173" i="1" s="1"/>
  <c r="AL136" i="1"/>
  <c r="AM136" i="1" s="1"/>
  <c r="AL162" i="1"/>
  <c r="AJ171" i="1"/>
  <c r="AL168" i="1"/>
  <c r="AM168" i="1" s="1"/>
  <c r="AL143" i="1"/>
  <c r="AM143" i="1" s="1"/>
  <c r="AL161" i="1"/>
  <c r="AM161" i="1" s="1"/>
  <c r="AJ161" i="1"/>
  <c r="AK161" i="1" s="1"/>
  <c r="AL92" i="1"/>
  <c r="HX16" i="4" s="1"/>
  <c r="AJ163" i="1"/>
  <c r="IZ16" i="4" s="1"/>
  <c r="HV21" i="4"/>
  <c r="AP95" i="1" s="1"/>
  <c r="II21" i="4"/>
  <c r="BC95" i="1" s="1"/>
  <c r="HR9" i="4" s="1"/>
  <c r="C270" i="1"/>
  <c r="BY146" i="1"/>
  <c r="BZ224" i="1" s="1"/>
  <c r="W212" i="1"/>
  <c r="W271" i="1"/>
  <c r="L28" i="1"/>
  <c r="J28" i="1"/>
  <c r="J270" i="1"/>
  <c r="JI21" i="4"/>
  <c r="CC95" i="1" s="1"/>
  <c r="CC120" i="1" s="1"/>
  <c r="AJ201" i="1"/>
  <c r="JI15" i="4" s="1"/>
  <c r="N28" i="1"/>
  <c r="N116" i="1" s="1"/>
  <c r="M44" i="1"/>
  <c r="IZ21" i="4"/>
  <c r="BT95" i="1" s="1"/>
  <c r="HZ21" i="4"/>
  <c r="AT95" i="1" s="1"/>
  <c r="HW20" i="4"/>
  <c r="AQ97" i="1" s="1"/>
  <c r="AQ126" i="1" s="1"/>
  <c r="AL135" i="1"/>
  <c r="AM135" i="1" s="1"/>
  <c r="AL158" i="1"/>
  <c r="AM158" i="1" s="1"/>
  <c r="AM220" i="1" s="1"/>
  <c r="AL170" i="1"/>
  <c r="AM170" i="1" s="1"/>
  <c r="AL150" i="1"/>
  <c r="IV14" i="4" s="1"/>
  <c r="AL169" i="1"/>
  <c r="AM169" i="1" s="1"/>
  <c r="AL144" i="1"/>
  <c r="AM144" i="1" s="1"/>
  <c r="AL167" i="1"/>
  <c r="AM167" i="1" s="1"/>
  <c r="IJ8" i="4" s="1"/>
  <c r="AL153" i="1"/>
  <c r="AM153" i="1" s="1"/>
  <c r="AL140" i="1"/>
  <c r="AM140" i="1" s="1"/>
  <c r="HW16" i="4" s="1"/>
  <c r="HW21" i="4" s="1"/>
  <c r="AQ95" i="1" s="1"/>
  <c r="AL171" i="1"/>
  <c r="AL181" i="1"/>
  <c r="AM181" i="1" s="1"/>
  <c r="AL165" i="1"/>
  <c r="AM165" i="1" s="1"/>
  <c r="AL149" i="1"/>
  <c r="AL173" i="1"/>
  <c r="AM173" i="1" s="1"/>
  <c r="AL142" i="1"/>
  <c r="IV16" i="4" s="1"/>
  <c r="IV21" i="4" s="1"/>
  <c r="BP95" i="1" s="1"/>
  <c r="AL91" i="1"/>
  <c r="AL160" i="1"/>
  <c r="AM160" i="1" s="1"/>
  <c r="IH16" i="4" s="1"/>
  <c r="IH21" i="4" s="1"/>
  <c r="BB95" i="1" s="1"/>
  <c r="O44" i="1"/>
  <c r="Q44" i="1"/>
  <c r="G270" i="1"/>
  <c r="HS21" i="4"/>
  <c r="AM95" i="1" s="1"/>
  <c r="IP21" i="4"/>
  <c r="BJ95" i="1" s="1"/>
  <c r="IU9" i="4" s="1"/>
  <c r="HU21" i="4"/>
  <c r="AO95" i="1" s="1"/>
  <c r="BJ178" i="1"/>
  <c r="IA21" i="4"/>
  <c r="AU95" i="1" s="1"/>
  <c r="JC16" i="4" s="1"/>
  <c r="JC21" i="4" s="1"/>
  <c r="BW95" i="1" s="1"/>
  <c r="BJ142" i="1"/>
  <c r="IE9" i="4" s="1"/>
  <c r="IX21" i="4"/>
  <c r="BR95" i="1" s="1"/>
  <c r="JD7" i="4" s="1"/>
  <c r="K28" i="1"/>
  <c r="W44" i="1"/>
  <c r="IG21" i="4"/>
  <c r="BA95" i="1" s="1"/>
  <c r="JE15" i="4" s="1"/>
  <c r="IO15" i="4" s="1"/>
  <c r="K44" i="1"/>
  <c r="IN9" i="4" s="1"/>
  <c r="IN21" i="4" s="1"/>
  <c r="BH95" i="1" s="1"/>
  <c r="V212" i="1"/>
  <c r="M212" i="1"/>
  <c r="T271" i="1"/>
  <c r="J249" i="1"/>
  <c r="AJ212" i="1"/>
  <c r="S9" i="1"/>
  <c r="IF21" i="4"/>
  <c r="AZ95" i="1" s="1"/>
  <c r="V116" i="1"/>
  <c r="V206" i="1"/>
  <c r="V29" i="1"/>
  <c r="AK182" i="1"/>
  <c r="AI214" i="1"/>
  <c r="AI216" i="1" s="1"/>
  <c r="M271" i="1"/>
  <c r="HR16" i="4" s="1"/>
  <c r="HR21" i="4" s="1"/>
  <c r="AL95" i="1" s="1"/>
  <c r="V44" i="1"/>
  <c r="U34" i="1"/>
  <c r="U35" i="1" s="1"/>
  <c r="R44" i="1"/>
  <c r="IW14" i="4" s="1"/>
  <c r="L270" i="1"/>
  <c r="BX28" i="1"/>
  <c r="CA243" i="1" s="1"/>
  <c r="G201" i="1"/>
  <c r="U44" i="1"/>
  <c r="BX179" i="1"/>
  <c r="BY227" i="1" s="1"/>
  <c r="HV8" i="4" s="1"/>
  <c r="K271" i="1"/>
  <c r="H28" i="1"/>
  <c r="HX14" i="4" s="1"/>
  <c r="G44" i="1"/>
  <c r="AJ197" i="1"/>
  <c r="AL179" i="1"/>
  <c r="JH16" i="4" s="1"/>
  <c r="P270" i="1"/>
  <c r="AM270" i="1"/>
  <c r="IT16" i="4" s="1"/>
  <c r="BJ179" i="1"/>
  <c r="BX197" i="1"/>
  <c r="BY197" i="1" s="1"/>
  <c r="ID15" i="4" s="1"/>
  <c r="L44" i="1"/>
  <c r="HT16" i="4" s="1"/>
  <c r="HT21" i="4" s="1"/>
  <c r="AN95" i="1" s="1"/>
  <c r="AL152" i="1"/>
  <c r="AM152" i="1" s="1"/>
  <c r="AM156" i="1" s="1"/>
  <c r="AJ152" i="1"/>
  <c r="M270" i="1"/>
  <c r="O271" i="1"/>
  <c r="AL198" i="1"/>
  <c r="AM198" i="1" s="1"/>
  <c r="S270" i="1"/>
  <c r="HV15" i="4" s="1"/>
  <c r="HV20" i="4" s="1"/>
  <c r="AP97" i="1" s="1"/>
  <c r="AP126" i="1" s="1"/>
  <c r="D270" i="1"/>
  <c r="S28" i="1"/>
  <c r="V34" i="1"/>
  <c r="V36" i="1" s="1"/>
  <c r="I44" i="1"/>
  <c r="K270" i="1"/>
  <c r="BX198" i="1"/>
  <c r="BY198" i="1" s="1"/>
  <c r="K249" i="1"/>
  <c r="B44" i="1"/>
  <c r="AM249" i="1"/>
  <c r="HQ21" i="4"/>
  <c r="AK95" i="1" s="1"/>
  <c r="T28" i="1"/>
  <c r="BJ152" i="1"/>
  <c r="O270" i="1"/>
  <c r="J212" i="1"/>
  <c r="J271" i="1"/>
  <c r="R270" i="1"/>
  <c r="HP21" i="4"/>
  <c r="AJ95" i="1" s="1"/>
  <c r="BY138" i="1"/>
  <c r="BX44" i="1"/>
  <c r="AK44" i="1"/>
  <c r="IP15" i="4"/>
  <c r="H44" i="1"/>
  <c r="N271" i="1"/>
  <c r="BX270" i="1"/>
  <c r="G271" i="1"/>
  <c r="CA116" i="1"/>
  <c r="CA117" i="1" s="1"/>
  <c r="BX152" i="1"/>
  <c r="BX156" i="1" s="1"/>
  <c r="R249" i="1"/>
  <c r="AJ179" i="1"/>
  <c r="AK227" i="1" s="1"/>
  <c r="P44" i="1"/>
  <c r="J44" i="1"/>
  <c r="IS14" i="4"/>
  <c r="IH7" i="4"/>
  <c r="IH19" i="4" s="1"/>
  <c r="BB96" i="1" s="1"/>
  <c r="BB125" i="1" s="1"/>
  <c r="B28" i="1"/>
  <c r="B34" i="1" s="1"/>
  <c r="N212" i="1"/>
  <c r="AL44" i="1"/>
  <c r="HT7" i="4"/>
  <c r="ID8" i="4"/>
  <c r="S44" i="1"/>
  <c r="B271" i="1"/>
  <c r="E44" i="1"/>
  <c r="AM44" i="1"/>
  <c r="BX201" i="1"/>
  <c r="BY201" i="1" s="1"/>
  <c r="W206" i="1"/>
  <c r="W116" i="1"/>
  <c r="HR15" i="4"/>
  <c r="IE19" i="4"/>
  <c r="AY96" i="1" s="1"/>
  <c r="AY125" i="1" s="1"/>
  <c r="HT20" i="4"/>
  <c r="AN97" i="1" s="1"/>
  <c r="AN126" i="1" s="1"/>
  <c r="IW20" i="4"/>
  <c r="BQ97" i="1" s="1"/>
  <c r="BQ126" i="1" s="1"/>
  <c r="IV7" i="4"/>
  <c r="IO7" i="4"/>
  <c r="IT15" i="4"/>
  <c r="IA8" i="4"/>
  <c r="BX174" i="1"/>
  <c r="BX203" i="1" s="1"/>
  <c r="IS8" i="4"/>
  <c r="F270" i="1"/>
  <c r="IV8" i="4"/>
  <c r="IV20" i="4" s="1"/>
  <c r="BP97" i="1" s="1"/>
  <c r="BP126" i="1" s="1"/>
  <c r="JI7" i="4"/>
  <c r="IJ21" i="4"/>
  <c r="BD95" i="1" s="1"/>
  <c r="R212" i="1"/>
  <c r="BJ146" i="1"/>
  <c r="U271" i="1"/>
  <c r="C44" i="1"/>
  <c r="JG8" i="4"/>
  <c r="IN8" i="4"/>
  <c r="IJ15" i="4"/>
  <c r="H270" i="1"/>
  <c r="W29" i="1"/>
  <c r="X29" i="1"/>
  <c r="II14" i="4"/>
  <c r="HY15" i="4"/>
  <c r="HY20" i="4" s="1"/>
  <c r="AS97" i="1" s="1"/>
  <c r="AS126" i="1" s="1"/>
  <c r="Q28" i="1"/>
  <c r="IR7" i="4"/>
  <c r="IB14" i="4"/>
  <c r="IB19" i="4" s="1"/>
  <c r="AV96" i="1" s="1"/>
  <c r="AV125" i="1" s="1"/>
  <c r="JI8" i="4"/>
  <c r="JI20" i="4" s="1"/>
  <c r="CC97" i="1" s="1"/>
  <c r="BJ197" i="1"/>
  <c r="BK197" i="1" s="1"/>
  <c r="ID14" i="4"/>
  <c r="AJ28" i="1"/>
  <c r="HW7" i="4"/>
  <c r="JD8" i="4"/>
  <c r="JA14" i="4"/>
  <c r="HV7" i="4"/>
  <c r="BJ201" i="1"/>
  <c r="BK201" i="1" s="1"/>
  <c r="F271" i="1"/>
  <c r="IG15" i="4"/>
  <c r="IX14" i="4"/>
  <c r="IX19" i="4" s="1"/>
  <c r="BR96" i="1" s="1"/>
  <c r="BR125" i="1" s="1"/>
  <c r="JB15" i="4"/>
  <c r="JB20" i="4" s="1"/>
  <c r="BV97" i="1" s="1"/>
  <c r="BV126" i="1" s="1"/>
  <c r="IM14" i="4"/>
  <c r="AM116" i="1"/>
  <c r="AM117" i="1" s="1"/>
  <c r="BJ198" i="1"/>
  <c r="BK198" i="1" s="1"/>
  <c r="IN14" i="4"/>
  <c r="JH7" i="4"/>
  <c r="HP19" i="4"/>
  <c r="AJ96" i="1" s="1"/>
  <c r="JD21" i="4"/>
  <c r="BX95" i="1" s="1"/>
  <c r="IW7" i="4"/>
  <c r="E28" i="1"/>
  <c r="E249" i="1"/>
  <c r="JA15" i="4"/>
  <c r="JA20" i="4" s="1"/>
  <c r="BU97" i="1" s="1"/>
  <c r="BU126" i="1" s="1"/>
  <c r="IP7" i="4"/>
  <c r="HU14" i="4"/>
  <c r="HU19" i="4" s="1"/>
  <c r="AO96" i="1" s="1"/>
  <c r="AO125" i="1" s="1"/>
  <c r="IS15" i="4"/>
  <c r="IT8" i="4"/>
  <c r="AL28" i="1"/>
  <c r="AL34" i="1" s="1"/>
  <c r="AL35" i="1" s="1"/>
  <c r="IG7" i="4"/>
  <c r="IG19" i="4" s="1"/>
  <c r="BA96" i="1" s="1"/>
  <c r="BA125" i="1" s="1"/>
  <c r="II8" i="4"/>
  <c r="IR15" i="4"/>
  <c r="IR20" i="4" s="1"/>
  <c r="BL97" i="1" s="1"/>
  <c r="BL114" i="1" s="1"/>
  <c r="HX15" i="4"/>
  <c r="IP19" i="4"/>
  <c r="BJ96" i="1" s="1"/>
  <c r="BJ125" i="1" s="1"/>
  <c r="HR14" i="4"/>
  <c r="HR19" i="4" s="1"/>
  <c r="AL96" i="1" s="1"/>
  <c r="AL125" i="1" s="1"/>
  <c r="HS8" i="4"/>
  <c r="IF8" i="4"/>
  <c r="HU8" i="4"/>
  <c r="IP8" i="4"/>
  <c r="B270" i="1"/>
  <c r="I271" i="1"/>
  <c r="O212" i="1"/>
  <c r="HT14" i="4"/>
  <c r="D44" i="1"/>
  <c r="AL212" i="1"/>
  <c r="AL271" i="1"/>
  <c r="JC15" i="4"/>
  <c r="JG15" i="4"/>
  <c r="ID7" i="4"/>
  <c r="IO21" i="4"/>
  <c r="BI95" i="1" s="1"/>
  <c r="JE8" i="4"/>
  <c r="JE20" i="4" s="1"/>
  <c r="BY97" i="1" s="1"/>
  <c r="BY126" i="1" s="1"/>
  <c r="IH8" i="4"/>
  <c r="IH20" i="4" s="1"/>
  <c r="BB97" i="1" s="1"/>
  <c r="BB126" i="1" s="1"/>
  <c r="P28" i="1"/>
  <c r="P249" i="1"/>
  <c r="HP15" i="4"/>
  <c r="D28" i="1"/>
  <c r="D249" i="1"/>
  <c r="IK14" i="4"/>
  <c r="HX8" i="4"/>
  <c r="HX7" i="4"/>
  <c r="JE21" i="4"/>
  <c r="BY95" i="1" s="1"/>
  <c r="HZ15" i="4"/>
  <c r="HZ20" i="4" s="1"/>
  <c r="AT97" i="1" s="1"/>
  <c r="AT126" i="1" s="1"/>
  <c r="F44" i="1"/>
  <c r="IK15" i="4"/>
  <c r="IK20" i="4" s="1"/>
  <c r="BE97" i="1" s="1"/>
  <c r="BE126" i="1" s="1"/>
  <c r="II15" i="4"/>
  <c r="P201" i="1"/>
  <c r="IL7" i="4"/>
  <c r="Q271" i="1"/>
  <c r="Q249" i="1"/>
  <c r="BJ249" i="1"/>
  <c r="BJ9" i="1"/>
  <c r="JF7" i="4"/>
  <c r="JF19" i="4" s="1"/>
  <c r="BZ96" i="1" s="1"/>
  <c r="HP8" i="4"/>
  <c r="AL270" i="1"/>
  <c r="IA15" i="4"/>
  <c r="JB21" i="4"/>
  <c r="BV95" i="1" s="1"/>
  <c r="JD15" i="4"/>
  <c r="JD20" i="4" s="1"/>
  <c r="BX97" i="1" s="1"/>
  <c r="HQ7" i="4"/>
  <c r="HQ19" i="4" s="1"/>
  <c r="AK96" i="1" s="1"/>
  <c r="IC21" i="4"/>
  <c r="AW95" i="1" s="1"/>
  <c r="IU8" i="4"/>
  <c r="IU20" i="4" s="1"/>
  <c r="BO97" i="1" s="1"/>
  <c r="BO126" i="1" s="1"/>
  <c r="BX9" i="1"/>
  <c r="BX249" i="1"/>
  <c r="H271" i="1"/>
  <c r="P271" i="1"/>
  <c r="Q201" i="1"/>
  <c r="BX166" i="1"/>
  <c r="F28" i="1"/>
  <c r="F116" i="1" s="1"/>
  <c r="BJ138" i="1"/>
  <c r="BJ110" i="1" s="1"/>
  <c r="BJ112" i="1" s="1"/>
  <c r="BX138" i="1"/>
  <c r="BX110" i="1" s="1"/>
  <c r="O28" i="1"/>
  <c r="O45" i="1" s="1"/>
  <c r="IZ7" i="4"/>
  <c r="AJ55" i="1"/>
  <c r="IA7" i="4"/>
  <c r="IA19" i="4" s="1"/>
  <c r="AU96" i="1" s="1"/>
  <c r="AU125" i="1" s="1"/>
  <c r="IF15" i="4"/>
  <c r="JE14" i="4"/>
  <c r="JE19" i="4" s="1"/>
  <c r="BY96" i="1" s="1"/>
  <c r="BY125" i="1" s="1"/>
  <c r="N270" i="1"/>
  <c r="IJ7" i="4"/>
  <c r="JF8" i="4"/>
  <c r="C212" i="1"/>
  <c r="C271" i="1"/>
  <c r="HZ7" i="4"/>
  <c r="HZ19" i="4" s="1"/>
  <c r="AT96" i="1" s="1"/>
  <c r="AT125" i="1" s="1"/>
  <c r="HY21" i="4"/>
  <c r="AS95" i="1" s="1"/>
  <c r="W34" i="1"/>
  <c r="IL21" i="4"/>
  <c r="BF95" i="1" s="1"/>
  <c r="JA7" i="4"/>
  <c r="AM28" i="1"/>
  <c r="IF7" i="4"/>
  <c r="D212" i="1"/>
  <c r="D271" i="1"/>
  <c r="IB20" i="4"/>
  <c r="AV97" i="1" s="1"/>
  <c r="AV126" i="1" s="1"/>
  <c r="BX146" i="1"/>
  <c r="IS21" i="4"/>
  <c r="BM95" i="1" s="1"/>
  <c r="IE8" i="4"/>
  <c r="AK28" i="1"/>
  <c r="N44" i="1"/>
  <c r="IY14" i="4"/>
  <c r="IY19" i="4" s="1"/>
  <c r="BS96" i="1" s="1"/>
  <c r="BS125" i="1" s="1"/>
  <c r="IY8" i="4"/>
  <c r="IY20" i="4" s="1"/>
  <c r="BS97" i="1" s="1"/>
  <c r="BS126" i="1" s="1"/>
  <c r="IR14" i="4"/>
  <c r="HR8" i="4"/>
  <c r="IG8" i="4"/>
  <c r="JB14" i="4"/>
  <c r="JB19" i="4" s="1"/>
  <c r="BV96" i="1" s="1"/>
  <c r="BV125" i="1" s="1"/>
  <c r="IM7" i="4"/>
  <c r="IO8" i="4"/>
  <c r="HQ8" i="4"/>
  <c r="HY14" i="4"/>
  <c r="HY19" i="4" s="1"/>
  <c r="AS96" i="1" s="1"/>
  <c r="AS125" i="1" s="1"/>
  <c r="HS15" i="4"/>
  <c r="IM15" i="4"/>
  <c r="IM20" i="4" s="1"/>
  <c r="BG97" i="1" s="1"/>
  <c r="BG126" i="1" s="1"/>
  <c r="JG14" i="4"/>
  <c r="JG19" i="4" s="1"/>
  <c r="CA96" i="1" s="1"/>
  <c r="IR21" i="4"/>
  <c r="BL95" i="1" s="1"/>
  <c r="BL112" i="1" s="1"/>
  <c r="BY158" i="1"/>
  <c r="BZ220" i="1" s="1"/>
  <c r="HS14" i="4"/>
  <c r="HS19" i="4" s="1"/>
  <c r="AM96" i="1" s="1"/>
  <c r="IQ14" i="4"/>
  <c r="IQ19" i="4" s="1"/>
  <c r="BK96" i="1" s="1"/>
  <c r="BK125" i="1" s="1"/>
  <c r="N249" i="1"/>
  <c r="G28" i="1"/>
  <c r="G249" i="1"/>
  <c r="AJ44" i="1"/>
  <c r="BJ166" i="1"/>
  <c r="I249" i="1"/>
  <c r="I28" i="1"/>
  <c r="AM212" i="1"/>
  <c r="AM271" i="1"/>
  <c r="T44" i="1"/>
  <c r="R28" i="1"/>
  <c r="BX271" i="1"/>
  <c r="Q270" i="1"/>
  <c r="L271" i="1"/>
  <c r="S271" i="1"/>
  <c r="IK21" i="4"/>
  <c r="BE95" i="1" s="1"/>
  <c r="M249" i="1"/>
  <c r="M28" i="1"/>
  <c r="IC8" i="4"/>
  <c r="IC20" i="4" s="1"/>
  <c r="AW97" i="1" s="1"/>
  <c r="AW126" i="1" s="1"/>
  <c r="IU7" i="4"/>
  <c r="IU19" i="4" s="1"/>
  <c r="BO96" i="1" s="1"/>
  <c r="BO125" i="1" s="1"/>
  <c r="HU15" i="4"/>
  <c r="IO14" i="4"/>
  <c r="IN7" i="4"/>
  <c r="JF15" i="4"/>
  <c r="JH15" i="4"/>
  <c r="JH20" i="4" s="1"/>
  <c r="CB97" i="1" s="1"/>
  <c r="CB126" i="1" s="1"/>
  <c r="CB129" i="1" s="1"/>
  <c r="CB132" i="1" s="1"/>
  <c r="HQ15" i="4"/>
  <c r="HV14" i="4"/>
  <c r="IY7" i="4"/>
  <c r="I270" i="1"/>
  <c r="II7" i="4"/>
  <c r="IC14" i="4"/>
  <c r="IC19" i="4" s="1"/>
  <c r="AW96" i="1" s="1"/>
  <c r="AW125" i="1" s="1"/>
  <c r="C249" i="1"/>
  <c r="C28" i="1"/>
  <c r="JC7" i="4"/>
  <c r="JC19" i="4" s="1"/>
  <c r="BW96" i="1" s="1"/>
  <c r="BW125" i="1" s="1"/>
  <c r="IX8" i="4"/>
  <c r="IT19" i="4"/>
  <c r="BN96" i="1" s="1"/>
  <c r="BN125" i="1" s="1"/>
  <c r="CN150" i="1"/>
  <c r="CN152" i="1" s="1"/>
  <c r="CO50" i="1" s="1"/>
  <c r="CT95" i="1"/>
  <c r="AB155" i="1"/>
  <c r="AD167" i="1"/>
  <c r="AE167" i="1"/>
  <c r="AD135" i="1"/>
  <c r="AE135" i="1"/>
  <c r="CQ83" i="1"/>
  <c r="CR81" i="1"/>
  <c r="AC181" i="1"/>
  <c r="BU1" i="1"/>
  <c r="K34" i="1" l="1"/>
  <c r="W45" i="1"/>
  <c r="IJ14" i="4" s="1"/>
  <c r="BK167" i="1"/>
  <c r="L29" i="1"/>
  <c r="BK142" i="1"/>
  <c r="BK146" i="1" s="1"/>
  <c r="L34" i="1"/>
  <c r="AJ166" i="1"/>
  <c r="AJ200" i="1" s="1"/>
  <c r="CC112" i="1"/>
  <c r="AM120" i="1"/>
  <c r="L116" i="1"/>
  <c r="AL220" i="1"/>
  <c r="N45" i="1"/>
  <c r="N34" i="1"/>
  <c r="N35" i="1" s="1"/>
  <c r="CC103" i="1"/>
  <c r="AJ198" i="1"/>
  <c r="AK198" i="1" s="1"/>
  <c r="BK158" i="1"/>
  <c r="BL220" i="1" s="1"/>
  <c r="BK220" i="1"/>
  <c r="AJ146" i="1"/>
  <c r="AL197" i="1"/>
  <c r="AM197" i="1" s="1"/>
  <c r="AJ174" i="1"/>
  <c r="BJ174" i="1"/>
  <c r="BJ203" i="1" s="1"/>
  <c r="AM142" i="1"/>
  <c r="AM146" i="1" s="1"/>
  <c r="AL146" i="1"/>
  <c r="AL267" i="1" s="1"/>
  <c r="AK220" i="1"/>
  <c r="AJ138" i="1"/>
  <c r="AK135" i="1"/>
  <c r="K116" i="1"/>
  <c r="BX45" i="1"/>
  <c r="AJ220" i="1"/>
  <c r="AL166" i="1"/>
  <c r="AL200" i="1" s="1"/>
  <c r="AL138" i="1"/>
  <c r="AL110" i="1" s="1"/>
  <c r="AL112" i="1" s="1"/>
  <c r="H34" i="1"/>
  <c r="IF19" i="4"/>
  <c r="AZ96" i="1" s="1"/>
  <c r="AZ125" i="1" s="1"/>
  <c r="JI19" i="4"/>
  <c r="CC96" i="1" s="1"/>
  <c r="CC125" i="1" s="1"/>
  <c r="AL174" i="1"/>
  <c r="AL203" i="1" s="1"/>
  <c r="IJ20" i="4"/>
  <c r="BD97" i="1" s="1"/>
  <c r="BD126" i="1" s="1"/>
  <c r="IW19" i="4"/>
  <c r="BQ96" i="1" s="1"/>
  <c r="BQ125" i="1" s="1"/>
  <c r="HX19" i="4"/>
  <c r="AR96" i="1" s="1"/>
  <c r="AR125" i="1" s="1"/>
  <c r="IO20" i="4"/>
  <c r="BI97" i="1" s="1"/>
  <c r="BI126" i="1" s="1"/>
  <c r="IE21" i="4"/>
  <c r="AY95" i="1" s="1"/>
  <c r="HX21" i="4"/>
  <c r="AR95" i="1" s="1"/>
  <c r="HS20" i="4"/>
  <c r="AM97" i="1" s="1"/>
  <c r="BZ267" i="1"/>
  <c r="BZ269" i="1" s="1"/>
  <c r="J116" i="1"/>
  <c r="J34" i="1"/>
  <c r="G45" i="1"/>
  <c r="IU21" i="4"/>
  <c r="BO95" i="1" s="1"/>
  <c r="JG16" i="4" s="1"/>
  <c r="JG21" i="4" s="1"/>
  <c r="CA95" i="1" s="1"/>
  <c r="CA112" i="1" s="1"/>
  <c r="IX15" i="4"/>
  <c r="JH19" i="4"/>
  <c r="CB96" i="1" s="1"/>
  <c r="CB104" i="1" s="1"/>
  <c r="V45" i="1"/>
  <c r="IE20" i="4"/>
  <c r="AY97" i="1" s="1"/>
  <c r="AY126" i="1" s="1"/>
  <c r="HW19" i="4"/>
  <c r="AQ96" i="1" s="1"/>
  <c r="AQ125" i="1" s="1"/>
  <c r="IV19" i="4"/>
  <c r="BP96" i="1" s="1"/>
  <c r="BP125" i="1" s="1"/>
  <c r="IZ19" i="4"/>
  <c r="BT96" i="1" s="1"/>
  <c r="BT125" i="1" s="1"/>
  <c r="IN20" i="4"/>
  <c r="BH97" i="1" s="1"/>
  <c r="BH126" i="1" s="1"/>
  <c r="IL19" i="4"/>
  <c r="BF96" i="1" s="1"/>
  <c r="BF125" i="1" s="1"/>
  <c r="JD19" i="4"/>
  <c r="BX96" i="1" s="1"/>
  <c r="HX20" i="4"/>
  <c r="AR97" i="1" s="1"/>
  <c r="AR126" i="1" s="1"/>
  <c r="HT19" i="4"/>
  <c r="AN96" i="1" s="1"/>
  <c r="AN125" i="1" s="1"/>
  <c r="L206" i="1"/>
  <c r="BX112" i="1"/>
  <c r="AL201" i="1"/>
  <c r="AM201" i="1" s="1"/>
  <c r="I206" i="1"/>
  <c r="T45" i="1"/>
  <c r="S206" i="1"/>
  <c r="N29" i="1"/>
  <c r="IO19" i="4"/>
  <c r="BI96" i="1" s="1"/>
  <c r="BI125" i="1" s="1"/>
  <c r="HQ20" i="4"/>
  <c r="AK97" i="1" s="1"/>
  <c r="HV19" i="4"/>
  <c r="AP96" i="1" s="1"/>
  <c r="AP125" i="1" s="1"/>
  <c r="BX34" i="1"/>
  <c r="BY30" i="1"/>
  <c r="CC206" i="1"/>
  <c r="CB29" i="1"/>
  <c r="H116" i="1"/>
  <c r="K206" i="1"/>
  <c r="K29" i="1"/>
  <c r="BK227" i="1"/>
  <c r="AM227" i="1"/>
  <c r="U45" i="1"/>
  <c r="L45" i="1"/>
  <c r="K45" i="1"/>
  <c r="BX264" i="1"/>
  <c r="B46" i="1"/>
  <c r="ID20" i="4"/>
  <c r="AX97" i="1" s="1"/>
  <c r="AX126" i="1" s="1"/>
  <c r="JC20" i="4"/>
  <c r="BW97" i="1" s="1"/>
  <c r="BW126" i="1" s="1"/>
  <c r="IT21" i="4"/>
  <c r="BN95" i="1" s="1"/>
  <c r="JH21" i="4"/>
  <c r="CB95" i="1" s="1"/>
  <c r="IK19" i="4"/>
  <c r="BE96" i="1" s="1"/>
  <c r="BE125" i="1" s="1"/>
  <c r="BX147" i="1"/>
  <c r="BX126" i="1"/>
  <c r="F45" i="1"/>
  <c r="U29" i="1"/>
  <c r="T29" i="1"/>
  <c r="IS19" i="4"/>
  <c r="BM96" i="1" s="1"/>
  <c r="BM125" i="1" s="1"/>
  <c r="AM45" i="1"/>
  <c r="S116" i="1"/>
  <c r="S34" i="1"/>
  <c r="BX202" i="1"/>
  <c r="E45" i="1"/>
  <c r="IP20" i="4"/>
  <c r="BJ97" i="1" s="1"/>
  <c r="BZ225" i="1"/>
  <c r="BZ223" i="1" s="1"/>
  <c r="P45" i="1"/>
  <c r="AJ175" i="1"/>
  <c r="T34" i="1"/>
  <c r="IJ19" i="4"/>
  <c r="BD96" i="1" s="1"/>
  <c r="BD125" i="1" s="1"/>
  <c r="W36" i="1"/>
  <c r="BY110" i="1"/>
  <c r="AM51" i="1"/>
  <c r="AJ214" i="1"/>
  <c r="AL156" i="1"/>
  <c r="AM221" i="1" s="1"/>
  <c r="AM219" i="1" s="1"/>
  <c r="H206" i="1"/>
  <c r="T206" i="1"/>
  <c r="AL46" i="1"/>
  <c r="AL52" i="1" s="1"/>
  <c r="AL56" i="1" s="1"/>
  <c r="AL59" i="1" s="1"/>
  <c r="AL60" i="1" s="1"/>
  <c r="AL263" i="1" s="1"/>
  <c r="AM267" i="1"/>
  <c r="BY147" i="1"/>
  <c r="U206" i="1"/>
  <c r="V35" i="1"/>
  <c r="V46" i="1"/>
  <c r="BK152" i="1"/>
  <c r="BJ156" i="1"/>
  <c r="AK51" i="1"/>
  <c r="AK152" i="1"/>
  <c r="AJ156" i="1"/>
  <c r="CB114" i="1"/>
  <c r="BL224" i="1"/>
  <c r="BL267" i="1"/>
  <c r="T116" i="1"/>
  <c r="L36" i="1"/>
  <c r="K35" i="1"/>
  <c r="L35" i="1"/>
  <c r="Q45" i="1"/>
  <c r="H45" i="1"/>
  <c r="S45" i="1"/>
  <c r="J45" i="1"/>
  <c r="B45" i="1"/>
  <c r="BX186" i="1"/>
  <c r="BY55" i="1" s="1"/>
  <c r="BY224" i="1"/>
  <c r="W46" i="1"/>
  <c r="R45" i="1"/>
  <c r="BX266" i="1"/>
  <c r="HR20" i="4"/>
  <c r="AL97" i="1" s="1"/>
  <c r="BY267" i="1"/>
  <c r="B35" i="1"/>
  <c r="BY152" i="1"/>
  <c r="C45" i="1"/>
  <c r="BJ147" i="1"/>
  <c r="BK224" i="1"/>
  <c r="AJ45" i="1"/>
  <c r="BX114" i="1"/>
  <c r="BJ186" i="1"/>
  <c r="BJ127" i="1" s="1"/>
  <c r="BY51" i="1"/>
  <c r="G29" i="1"/>
  <c r="N206" i="1"/>
  <c r="BK267" i="1"/>
  <c r="I45" i="1"/>
  <c r="CC122" i="1"/>
  <c r="CC114" i="1"/>
  <c r="CC126" i="1"/>
  <c r="CC105" i="1"/>
  <c r="CA125" i="1"/>
  <c r="CA113" i="1"/>
  <c r="CA121" i="1"/>
  <c r="BZ125" i="1"/>
  <c r="BZ128" i="1" s="1"/>
  <c r="BZ107" i="1"/>
  <c r="BZ113" i="1"/>
  <c r="BL126" i="1"/>
  <c r="BL129" i="1" s="1"/>
  <c r="IR19" i="4"/>
  <c r="BL96" i="1" s="1"/>
  <c r="BX200" i="1"/>
  <c r="BX175" i="1"/>
  <c r="BX183" i="1" s="1"/>
  <c r="S29" i="1"/>
  <c r="AJ224" i="1"/>
  <c r="AJ186" i="1"/>
  <c r="AK55" i="1" s="1"/>
  <c r="J206" i="1"/>
  <c r="G116" i="1"/>
  <c r="G206" i="1"/>
  <c r="G34" i="1"/>
  <c r="Q206" i="1"/>
  <c r="Q34" i="1"/>
  <c r="Q46" i="1" s="1"/>
  <c r="Q29" i="1"/>
  <c r="Q116" i="1"/>
  <c r="F34" i="1"/>
  <c r="F35" i="1" s="1"/>
  <c r="BJ113" i="1"/>
  <c r="BJ200" i="1"/>
  <c r="JF20" i="4"/>
  <c r="BZ97" i="1" s="1"/>
  <c r="JG20" i="4"/>
  <c r="CA97" i="1" s="1"/>
  <c r="JA19" i="4"/>
  <c r="BU96" i="1" s="1"/>
  <c r="BU125" i="1" s="1"/>
  <c r="IT20" i="4"/>
  <c r="BN97" i="1" s="1"/>
  <c r="BN126" i="1" s="1"/>
  <c r="BY107" i="1"/>
  <c r="J29" i="1"/>
  <c r="AK30" i="1"/>
  <c r="AL30" i="1"/>
  <c r="AK34" i="1"/>
  <c r="AM30" i="1"/>
  <c r="AM34" i="1"/>
  <c r="IF20" i="4"/>
  <c r="AZ97" i="1" s="1"/>
  <c r="AZ126" i="1" s="1"/>
  <c r="HU20" i="4"/>
  <c r="AO97" i="1" s="1"/>
  <c r="AO126" i="1" s="1"/>
  <c r="IS20" i="4"/>
  <c r="BM97" i="1" s="1"/>
  <c r="BM126" i="1" s="1"/>
  <c r="IN19" i="4"/>
  <c r="BH96" i="1" s="1"/>
  <c r="BH125" i="1" s="1"/>
  <c r="II19" i="4"/>
  <c r="BC96" i="1" s="1"/>
  <c r="BC125" i="1" s="1"/>
  <c r="AK45" i="1"/>
  <c r="AL45" i="1"/>
  <c r="R29" i="1"/>
  <c r="R206" i="1"/>
  <c r="CB105" i="1"/>
  <c r="M45" i="1"/>
  <c r="BJ266" i="1"/>
  <c r="CB122" i="1"/>
  <c r="R34" i="1"/>
  <c r="R46" i="1" s="1"/>
  <c r="H29" i="1"/>
  <c r="C34" i="1"/>
  <c r="C206" i="1"/>
  <c r="C29" i="1"/>
  <c r="AM121" i="1"/>
  <c r="AM125" i="1"/>
  <c r="AJ215" i="1"/>
  <c r="AJ203" i="1"/>
  <c r="D206" i="1"/>
  <c r="D29" i="1"/>
  <c r="D34" i="1"/>
  <c r="BY225" i="1"/>
  <c r="R116" i="1"/>
  <c r="BY220" i="1"/>
  <c r="W35" i="1"/>
  <c r="X36" i="1"/>
  <c r="IA20" i="4"/>
  <c r="AU97" i="1" s="1"/>
  <c r="AU126" i="1" s="1"/>
  <c r="D45" i="1"/>
  <c r="IM19" i="4"/>
  <c r="BG96" i="1" s="1"/>
  <c r="BG125" i="1" s="1"/>
  <c r="P206" i="1"/>
  <c r="P29" i="1"/>
  <c r="P34" i="1"/>
  <c r="P116" i="1"/>
  <c r="O116" i="1"/>
  <c r="O29" i="1"/>
  <c r="O206" i="1"/>
  <c r="II20" i="4"/>
  <c r="BC97" i="1" s="1"/>
  <c r="BC126" i="1" s="1"/>
  <c r="HP20" i="4"/>
  <c r="AJ97" i="1" s="1"/>
  <c r="AJ34" i="1"/>
  <c r="AM243" i="1"/>
  <c r="O34" i="1"/>
  <c r="AK224" i="1"/>
  <c r="M34" i="1"/>
  <c r="M206" i="1"/>
  <c r="M116" i="1"/>
  <c r="M29" i="1"/>
  <c r="I116" i="1"/>
  <c r="I34" i="1"/>
  <c r="I46" i="1" s="1"/>
  <c r="I29" i="1"/>
  <c r="E34" i="1"/>
  <c r="E29" i="1"/>
  <c r="E116" i="1"/>
  <c r="E206" i="1"/>
  <c r="ID19" i="4"/>
  <c r="AX96" i="1" s="1"/>
  <c r="AX125" i="1" s="1"/>
  <c r="F29" i="1"/>
  <c r="F206" i="1"/>
  <c r="IG20" i="4"/>
  <c r="BA97" i="1" s="1"/>
  <c r="BA126" i="1" s="1"/>
  <c r="CO212" i="1"/>
  <c r="CO150" i="1"/>
  <c r="CN156" i="1"/>
  <c r="CN212" i="1"/>
  <c r="AC95" i="1"/>
  <c r="CU95" i="1"/>
  <c r="AD181" i="1"/>
  <c r="AE181" i="1"/>
  <c r="AD158" i="1"/>
  <c r="CR83" i="1"/>
  <c r="CS81" i="1"/>
  <c r="AC155" i="1"/>
  <c r="BV1" i="1"/>
  <c r="BW1" i="1" s="1"/>
  <c r="BX1" i="1" s="1"/>
  <c r="BL250" i="1"/>
  <c r="BL251" i="1" s="1"/>
  <c r="K46" i="1"/>
  <c r="L46" i="1"/>
  <c r="U46" i="1"/>
  <c r="N46" i="1"/>
  <c r="BJ175" i="1" l="1"/>
  <c r="BJ204" i="1"/>
  <c r="BJ202" i="1"/>
  <c r="AM224" i="1"/>
  <c r="AL186" i="1"/>
  <c r="AL127" i="1" s="1"/>
  <c r="AL224" i="1"/>
  <c r="AL199" i="1"/>
  <c r="AL266" i="1"/>
  <c r="H35" i="1"/>
  <c r="AL175" i="1"/>
  <c r="AL204" i="1"/>
  <c r="K36" i="1"/>
  <c r="CC121" i="1"/>
  <c r="AL147" i="1"/>
  <c r="AL113" i="1"/>
  <c r="CC113" i="1"/>
  <c r="AM126" i="1"/>
  <c r="AM122" i="1"/>
  <c r="AJ147" i="1"/>
  <c r="CC104" i="1"/>
  <c r="J35" i="1"/>
  <c r="H46" i="1"/>
  <c r="J46" i="1"/>
  <c r="IX20" i="4"/>
  <c r="BR97" i="1" s="1"/>
  <c r="BR126" i="1" s="1"/>
  <c r="IY16" i="4"/>
  <c r="IY21" i="4" s="1"/>
  <c r="BS95" i="1" s="1"/>
  <c r="CB36" i="1"/>
  <c r="BX35" i="1"/>
  <c r="BY37" i="1"/>
  <c r="T36" i="1"/>
  <c r="CA120" i="1"/>
  <c r="B47" i="1"/>
  <c r="B130" i="1"/>
  <c r="BX46" i="1"/>
  <c r="S35" i="1"/>
  <c r="CB121" i="1"/>
  <c r="CB113" i="1"/>
  <c r="CB125" i="1"/>
  <c r="CB128" i="1" s="1"/>
  <c r="CB131" i="1" s="1"/>
  <c r="BX113" i="1"/>
  <c r="BX107" i="1"/>
  <c r="BX125" i="1"/>
  <c r="AL202" i="1"/>
  <c r="BY113" i="1"/>
  <c r="BJ126" i="1"/>
  <c r="BJ129" i="1" s="1"/>
  <c r="BJ114" i="1"/>
  <c r="BX184" i="1"/>
  <c r="AJ221" i="1"/>
  <c r="AJ219" i="1" s="1"/>
  <c r="AL51" i="1"/>
  <c r="BJ264" i="1"/>
  <c r="BY112" i="1"/>
  <c r="BY114" i="1"/>
  <c r="CB112" i="1"/>
  <c r="CB120" i="1"/>
  <c r="CB103" i="1"/>
  <c r="AL264" i="1"/>
  <c r="AK156" i="1"/>
  <c r="AJ216" i="1"/>
  <c r="BY223" i="1"/>
  <c r="AL47" i="1"/>
  <c r="AL58" i="1"/>
  <c r="AJ183" i="1"/>
  <c r="B250" i="1"/>
  <c r="B251" i="1" s="1"/>
  <c r="T35" i="1"/>
  <c r="U36" i="1"/>
  <c r="AL66" i="1"/>
  <c r="AL252" i="1"/>
  <c r="AL250" i="1"/>
  <c r="AL251" i="1" s="1"/>
  <c r="BL51" i="1"/>
  <c r="BK156" i="1"/>
  <c r="BL221" i="1" s="1"/>
  <c r="BL219" i="1" s="1"/>
  <c r="V47" i="1"/>
  <c r="V130" i="1"/>
  <c r="W268" i="1"/>
  <c r="V250" i="1"/>
  <c r="V251" i="1" s="1"/>
  <c r="W48" i="1"/>
  <c r="V52" i="1"/>
  <c r="V56" i="1" s="1"/>
  <c r="G46" i="1"/>
  <c r="O46" i="1"/>
  <c r="S46" i="1"/>
  <c r="T46" i="1"/>
  <c r="AM55" i="1"/>
  <c r="BJ128" i="1"/>
  <c r="AL126" i="1"/>
  <c r="AL114" i="1"/>
  <c r="G36" i="1"/>
  <c r="BX127" i="1"/>
  <c r="BX129" i="1" s="1"/>
  <c r="W52" i="1"/>
  <c r="W56" i="1" s="1"/>
  <c r="W47" i="1"/>
  <c r="W250" i="1"/>
  <c r="W251" i="1" s="1"/>
  <c r="W130" i="1"/>
  <c r="X48" i="1"/>
  <c r="X268" i="1"/>
  <c r="BZ51" i="1"/>
  <c r="BY156" i="1"/>
  <c r="AK35" i="1"/>
  <c r="AL37" i="1"/>
  <c r="AK46" i="1"/>
  <c r="BJ199" i="1"/>
  <c r="O35" i="1"/>
  <c r="O36" i="1"/>
  <c r="P36" i="1"/>
  <c r="Q36" i="1"/>
  <c r="P35" i="1"/>
  <c r="E36" i="1"/>
  <c r="D35" i="1"/>
  <c r="D46" i="1"/>
  <c r="P46" i="1"/>
  <c r="P52" i="1" s="1"/>
  <c r="BX204" i="1"/>
  <c r="CB207" i="1" s="1"/>
  <c r="BX199" i="1"/>
  <c r="C46" i="1"/>
  <c r="C35" i="1"/>
  <c r="C36" i="1"/>
  <c r="D36" i="1"/>
  <c r="M35" i="1"/>
  <c r="N36" i="1"/>
  <c r="M36" i="1"/>
  <c r="R35" i="1"/>
  <c r="S36" i="1"/>
  <c r="F46" i="1"/>
  <c r="F130" i="1" s="1"/>
  <c r="F36" i="1"/>
  <c r="E35" i="1"/>
  <c r="E46" i="1"/>
  <c r="E47" i="1" s="1"/>
  <c r="AJ35" i="1"/>
  <c r="AJ46" i="1"/>
  <c r="AK37" i="1"/>
  <c r="CA126" i="1"/>
  <c r="CA122" i="1"/>
  <c r="CA114" i="1"/>
  <c r="Q35" i="1"/>
  <c r="R36" i="1"/>
  <c r="BL113" i="1"/>
  <c r="BL125" i="1"/>
  <c r="BL128" i="1" s="1"/>
  <c r="M46" i="1"/>
  <c r="N268" i="1" s="1"/>
  <c r="I35" i="1"/>
  <c r="J36" i="1"/>
  <c r="I36" i="1"/>
  <c r="AM37" i="1"/>
  <c r="AM46" i="1"/>
  <c r="AM35" i="1"/>
  <c r="BZ126" i="1"/>
  <c r="BZ129" i="1" s="1"/>
  <c r="BZ114" i="1"/>
  <c r="H36" i="1"/>
  <c r="G35" i="1"/>
  <c r="M268" i="1"/>
  <c r="R268" i="1"/>
  <c r="L268" i="1"/>
  <c r="V268" i="1"/>
  <c r="R130" i="1"/>
  <c r="U130" i="1"/>
  <c r="V48" i="1"/>
  <c r="Q130" i="1"/>
  <c r="R48" i="1"/>
  <c r="I130" i="1"/>
  <c r="L130" i="1"/>
  <c r="M48" i="1"/>
  <c r="N130" i="1"/>
  <c r="K130" i="1"/>
  <c r="L48" i="1"/>
  <c r="M130" i="1"/>
  <c r="CN221" i="1"/>
  <c r="CN219" i="1" s="1"/>
  <c r="CO152" i="1"/>
  <c r="CV95" i="1"/>
  <c r="AD220" i="1"/>
  <c r="AB160" i="1"/>
  <c r="AE155" i="1"/>
  <c r="AD155" i="1"/>
  <c r="CT81" i="1"/>
  <c r="CS83" i="1"/>
  <c r="BY1" i="1"/>
  <c r="L47" i="1"/>
  <c r="N47" i="1"/>
  <c r="U52" i="1"/>
  <c r="U56" i="1" s="1"/>
  <c r="U47" i="1"/>
  <c r="R47" i="1"/>
  <c r="I47" i="1"/>
  <c r="K47" i="1"/>
  <c r="Q47" i="1"/>
  <c r="Q250" i="1"/>
  <c r="Q251" i="1" s="1"/>
  <c r="K250" i="1"/>
  <c r="K251" i="1" s="1"/>
  <c r="U250" i="1"/>
  <c r="U251" i="1" s="1"/>
  <c r="L250" i="1"/>
  <c r="L251" i="1" s="1"/>
  <c r="I250" i="1"/>
  <c r="I251" i="1" s="1"/>
  <c r="R250" i="1"/>
  <c r="R251" i="1" s="1"/>
  <c r="N250" i="1"/>
  <c r="N251" i="1" s="1"/>
  <c r="B52" i="1"/>
  <c r="L52" i="1"/>
  <c r="Q52" i="1"/>
  <c r="N52" i="1"/>
  <c r="K52" i="1"/>
  <c r="I52" i="1"/>
  <c r="R52" i="1"/>
  <c r="CA130" i="1" l="1"/>
  <c r="BX250" i="1"/>
  <c r="BX251" i="1" s="1"/>
  <c r="BX47" i="1"/>
  <c r="CB48" i="1"/>
  <c r="BX52" i="1"/>
  <c r="AL183" i="1"/>
  <c r="AL184" i="1" s="1"/>
  <c r="CF108" i="1"/>
  <c r="BY49" i="1"/>
  <c r="BY268" i="1"/>
  <c r="BY269" i="1" s="1"/>
  <c r="J130" i="1"/>
  <c r="K48" i="1"/>
  <c r="AL128" i="1"/>
  <c r="I48" i="1"/>
  <c r="J48" i="1"/>
  <c r="H130" i="1"/>
  <c r="CE108" i="1"/>
  <c r="I268" i="1"/>
  <c r="K268" i="1"/>
  <c r="J268" i="1"/>
  <c r="S48" i="1"/>
  <c r="O48" i="1"/>
  <c r="J47" i="1"/>
  <c r="H47" i="1"/>
  <c r="J250" i="1"/>
  <c r="J251" i="1" s="1"/>
  <c r="H250" i="1"/>
  <c r="H251" i="1" s="1"/>
  <c r="H52" i="1"/>
  <c r="J52" i="1"/>
  <c r="P250" i="1"/>
  <c r="P251" i="1" s="1"/>
  <c r="M250" i="1"/>
  <c r="M251" i="1" s="1"/>
  <c r="F52" i="1"/>
  <c r="C52" i="1"/>
  <c r="M52" i="1"/>
  <c r="E52" i="1"/>
  <c r="AJ184" i="1"/>
  <c r="AK221" i="1"/>
  <c r="AK219" i="1" s="1"/>
  <c r="AL221" i="1"/>
  <c r="AL219" i="1" s="1"/>
  <c r="AL70" i="1"/>
  <c r="AL84" i="1"/>
  <c r="AL211" i="1"/>
  <c r="AL213" i="1" s="1"/>
  <c r="O52" i="1"/>
  <c r="V58" i="1"/>
  <c r="V59" i="1"/>
  <c r="AL129" i="1"/>
  <c r="T268" i="1"/>
  <c r="P268" i="1"/>
  <c r="H268" i="1"/>
  <c r="S268" i="1"/>
  <c r="O268" i="1"/>
  <c r="U268" i="1"/>
  <c r="Q268" i="1"/>
  <c r="T130" i="1"/>
  <c r="U48" i="1"/>
  <c r="P130" i="1"/>
  <c r="Q48" i="1"/>
  <c r="S130" i="1"/>
  <c r="T48" i="1"/>
  <c r="O130" i="1"/>
  <c r="P48" i="1"/>
  <c r="G48" i="1"/>
  <c r="G130" i="1"/>
  <c r="H48" i="1"/>
  <c r="C130" i="1"/>
  <c r="F47" i="1"/>
  <c r="O47" i="1"/>
  <c r="G47" i="1"/>
  <c r="S47" i="1"/>
  <c r="P47" i="1"/>
  <c r="T47" i="1"/>
  <c r="T250" i="1"/>
  <c r="T251" i="1" s="1"/>
  <c r="O250" i="1"/>
  <c r="O251" i="1" s="1"/>
  <c r="G250" i="1"/>
  <c r="G251" i="1" s="1"/>
  <c r="F250" i="1"/>
  <c r="F251" i="1" s="1"/>
  <c r="S250" i="1"/>
  <c r="S251" i="1" s="1"/>
  <c r="T52" i="1"/>
  <c r="S52" i="1"/>
  <c r="G52" i="1"/>
  <c r="W59" i="1"/>
  <c r="W58" i="1"/>
  <c r="M47" i="1"/>
  <c r="G268" i="1"/>
  <c r="BX128" i="1"/>
  <c r="BZ221" i="1"/>
  <c r="BZ219" i="1" s="1"/>
  <c r="BY221" i="1"/>
  <c r="BY219" i="1" s="1"/>
  <c r="E250" i="1"/>
  <c r="E251" i="1" s="1"/>
  <c r="N48" i="1"/>
  <c r="AJ250" i="1"/>
  <c r="AJ251" i="1" s="1"/>
  <c r="AJ52" i="1"/>
  <c r="AJ56" i="1" s="1"/>
  <c r="AJ47" i="1"/>
  <c r="AM130" i="1"/>
  <c r="AK49" i="1"/>
  <c r="AM244" i="1"/>
  <c r="F48" i="1"/>
  <c r="C268" i="1"/>
  <c r="C47" i="1"/>
  <c r="C48" i="1"/>
  <c r="D48" i="1"/>
  <c r="E130" i="1"/>
  <c r="C250" i="1"/>
  <c r="C251" i="1" s="1"/>
  <c r="F268" i="1"/>
  <c r="AL268" i="1"/>
  <c r="AL269" i="1" s="1"/>
  <c r="AK52" i="1"/>
  <c r="AK56" i="1" s="1"/>
  <c r="AK47" i="1"/>
  <c r="AL49" i="1"/>
  <c r="AK250" i="1"/>
  <c r="AK251" i="1" s="1"/>
  <c r="AM250" i="1"/>
  <c r="AM251" i="1" s="1"/>
  <c r="AM268" i="1"/>
  <c r="AM269" i="1" s="1"/>
  <c r="AM52" i="1"/>
  <c r="AM56" i="1" s="1"/>
  <c r="AM47" i="1"/>
  <c r="AM49" i="1"/>
  <c r="D250" i="1"/>
  <c r="D251" i="1" s="1"/>
  <c r="D268" i="1"/>
  <c r="D130" i="1"/>
  <c r="E48" i="1"/>
  <c r="D52" i="1"/>
  <c r="D56" i="1" s="1"/>
  <c r="D47" i="1"/>
  <c r="BK182" i="1"/>
  <c r="BM182" i="1"/>
  <c r="CO156" i="1"/>
  <c r="CP50" i="1"/>
  <c r="CW95" i="1"/>
  <c r="AE158" i="1"/>
  <c r="AE220" i="1" s="1"/>
  <c r="CT83" i="1"/>
  <c r="CU81" i="1"/>
  <c r="BZ1" i="1"/>
  <c r="U59" i="1"/>
  <c r="U58" i="1"/>
  <c r="P56" i="1"/>
  <c r="P59" i="1" s="1"/>
  <c r="R56" i="1"/>
  <c r="R59" i="1" s="1"/>
  <c r="K56" i="1"/>
  <c r="K59" i="1" s="1"/>
  <c r="B56" i="1"/>
  <c r="N56" i="1"/>
  <c r="N59" i="1" s="1"/>
  <c r="L56" i="1"/>
  <c r="L58" i="1" s="1"/>
  <c r="I56" i="1"/>
  <c r="I58" i="1" s="1"/>
  <c r="Q56" i="1"/>
  <c r="Q59" i="1" s="1"/>
  <c r="BX56" i="1" l="1"/>
  <c r="CA73" i="1"/>
  <c r="W61" i="1"/>
  <c r="F56" i="1"/>
  <c r="F58" i="1" s="1"/>
  <c r="J56" i="1"/>
  <c r="J58" i="1" s="1"/>
  <c r="V61" i="1"/>
  <c r="E56" i="1"/>
  <c r="O56" i="1"/>
  <c r="O59" i="1" s="1"/>
  <c r="H56" i="1"/>
  <c r="H59" i="1" s="1"/>
  <c r="C56" i="1"/>
  <c r="M56" i="1"/>
  <c r="M58" i="1" s="1"/>
  <c r="V252" i="1"/>
  <c r="V66" i="1"/>
  <c r="S56" i="1"/>
  <c r="S58" i="1" s="1"/>
  <c r="G56" i="1"/>
  <c r="G59" i="1" s="1"/>
  <c r="T56" i="1"/>
  <c r="T59" i="1" s="1"/>
  <c r="V60" i="1"/>
  <c r="V263" i="1" s="1"/>
  <c r="W66" i="1"/>
  <c r="W70" i="1" s="1"/>
  <c r="W60" i="1"/>
  <c r="W263" i="1" s="1"/>
  <c r="X61" i="1"/>
  <c r="W252" i="1"/>
  <c r="AM59" i="1"/>
  <c r="AM58" i="1"/>
  <c r="D58" i="1"/>
  <c r="D59" i="1"/>
  <c r="AK59" i="1"/>
  <c r="AK58" i="1"/>
  <c r="AJ59" i="1"/>
  <c r="AJ58" i="1"/>
  <c r="R61" i="1"/>
  <c r="AB50" i="1"/>
  <c r="B59" i="1"/>
  <c r="B58" i="1"/>
  <c r="C59" i="1"/>
  <c r="Q61" i="1"/>
  <c r="BJ183" i="1"/>
  <c r="BJ184" i="1" s="1"/>
  <c r="BL183" i="1"/>
  <c r="BL184" i="1" s="1"/>
  <c r="CP212" i="1"/>
  <c r="CP150" i="1"/>
  <c r="CO221" i="1"/>
  <c r="CO219" i="1" s="1"/>
  <c r="CX95" i="1"/>
  <c r="CV81" i="1"/>
  <c r="CU83" i="1"/>
  <c r="CA1" i="1"/>
  <c r="CB1" i="1" s="1"/>
  <c r="BL252" i="1"/>
  <c r="U60" i="1"/>
  <c r="U263" i="1" s="1"/>
  <c r="P60" i="1"/>
  <c r="P263" i="1" s="1"/>
  <c r="Q66" i="1"/>
  <c r="Q60" i="1"/>
  <c r="Q263" i="1" s="1"/>
  <c r="L59" i="1"/>
  <c r="P58" i="1"/>
  <c r="U66" i="1"/>
  <c r="N60" i="1"/>
  <c r="N263" i="1" s="1"/>
  <c r="R60" i="1"/>
  <c r="R263" i="1" s="1"/>
  <c r="K60" i="1"/>
  <c r="K263" i="1" s="1"/>
  <c r="R58" i="1"/>
  <c r="K58" i="1"/>
  <c r="N58" i="1"/>
  <c r="I59" i="1"/>
  <c r="Q58" i="1"/>
  <c r="P252" i="1"/>
  <c r="P66" i="1"/>
  <c r="K252" i="1"/>
  <c r="K66" i="1"/>
  <c r="R66" i="1"/>
  <c r="N66" i="1"/>
  <c r="R252" i="1"/>
  <c r="N252" i="1"/>
  <c r="Q252" i="1"/>
  <c r="U252" i="1"/>
  <c r="BX58" i="1" l="1"/>
  <c r="BX59" i="1"/>
  <c r="O61" i="1"/>
  <c r="C58" i="1"/>
  <c r="O58" i="1"/>
  <c r="H60" i="1"/>
  <c r="H263" i="1" s="1"/>
  <c r="BX252" i="1"/>
  <c r="BX60" i="1"/>
  <c r="BX263" i="1" s="1"/>
  <c r="U61" i="1"/>
  <c r="E59" i="1"/>
  <c r="E66" i="1" s="1"/>
  <c r="E58" i="1"/>
  <c r="P61" i="1"/>
  <c r="H61" i="1"/>
  <c r="CB61" i="1"/>
  <c r="BX66" i="1"/>
  <c r="O66" i="1"/>
  <c r="O60" i="1"/>
  <c r="O263" i="1" s="1"/>
  <c r="H58" i="1"/>
  <c r="J59" i="1"/>
  <c r="K61" i="1" s="1"/>
  <c r="M59" i="1"/>
  <c r="N61" i="1" s="1"/>
  <c r="F59" i="1"/>
  <c r="G61" i="1" s="1"/>
  <c r="I61" i="1"/>
  <c r="O252" i="1"/>
  <c r="H252" i="1"/>
  <c r="H66" i="1"/>
  <c r="G66" i="1"/>
  <c r="G252" i="1"/>
  <c r="T252" i="1"/>
  <c r="V70" i="1"/>
  <c r="V211" i="1"/>
  <c r="V213" i="1" s="1"/>
  <c r="BY62" i="1"/>
  <c r="S59" i="1"/>
  <c r="G60" i="1"/>
  <c r="G263" i="1" s="1"/>
  <c r="T66" i="1"/>
  <c r="T60" i="1"/>
  <c r="T263" i="1" s="1"/>
  <c r="G58" i="1"/>
  <c r="T58" i="1"/>
  <c r="AJ252" i="1"/>
  <c r="AJ60" i="1"/>
  <c r="AJ66" i="1"/>
  <c r="AK62" i="1"/>
  <c r="AM245" i="1"/>
  <c r="AK252" i="1"/>
  <c r="AL62" i="1"/>
  <c r="AK60" i="1"/>
  <c r="AK66" i="1"/>
  <c r="D66" i="1"/>
  <c r="D60" i="1"/>
  <c r="D252" i="1"/>
  <c r="AM60" i="1"/>
  <c r="AM263" i="1" s="1"/>
  <c r="AM62" i="1"/>
  <c r="AM252" i="1"/>
  <c r="E252" i="1"/>
  <c r="AB212" i="1"/>
  <c r="E60" i="1"/>
  <c r="E263" i="1" s="1"/>
  <c r="E61" i="1"/>
  <c r="D61" i="1"/>
  <c r="C60" i="1"/>
  <c r="B60" i="1"/>
  <c r="C61" i="1"/>
  <c r="L61" i="1"/>
  <c r="AB150" i="1"/>
  <c r="AB152" i="1" s="1"/>
  <c r="AB51" i="1" s="1"/>
  <c r="CP152" i="1"/>
  <c r="AD95" i="1"/>
  <c r="CY95" i="1"/>
  <c r="CV83" i="1"/>
  <c r="CW81" i="1"/>
  <c r="CC1" i="1"/>
  <c r="K70" i="1"/>
  <c r="L252" i="1"/>
  <c r="L66" i="1"/>
  <c r="B252" i="1"/>
  <c r="B66" i="1"/>
  <c r="C252" i="1"/>
  <c r="I66" i="1"/>
  <c r="I60" i="1"/>
  <c r="I263" i="1" s="1"/>
  <c r="L60" i="1"/>
  <c r="L263" i="1" s="1"/>
  <c r="E211" i="1"/>
  <c r="E213" i="1" s="1"/>
  <c r="R211" i="1"/>
  <c r="R213" i="1" s="1"/>
  <c r="R70" i="1"/>
  <c r="I252" i="1"/>
  <c r="C66" i="1"/>
  <c r="N211" i="1"/>
  <c r="N213" i="1" s="1"/>
  <c r="N70" i="1"/>
  <c r="P70" i="1"/>
  <c r="K211" i="1"/>
  <c r="K213" i="1" s="1"/>
  <c r="P211" i="1"/>
  <c r="P213" i="1" s="1"/>
  <c r="U70" i="1"/>
  <c r="U211" i="1"/>
  <c r="U213" i="1" s="1"/>
  <c r="Q70" i="1"/>
  <c r="Q211" i="1"/>
  <c r="Q213" i="1" s="1"/>
  <c r="E70" i="1" l="1"/>
  <c r="BX84" i="1"/>
  <c r="CA87" i="1" s="1"/>
  <c r="CA72" i="1"/>
  <c r="BX211" i="1"/>
  <c r="BX213" i="1" s="1"/>
  <c r="BX70" i="1"/>
  <c r="F61" i="1"/>
  <c r="M61" i="1"/>
  <c r="T61" i="1"/>
  <c r="J61" i="1"/>
  <c r="S61" i="1"/>
  <c r="G70" i="1"/>
  <c r="O211" i="1"/>
  <c r="O213" i="1" s="1"/>
  <c r="O70" i="1"/>
  <c r="M66" i="1"/>
  <c r="M60" i="1"/>
  <c r="M263" i="1" s="1"/>
  <c r="J66" i="1"/>
  <c r="J60" i="1"/>
  <c r="J263" i="1" s="1"/>
  <c r="F66" i="1"/>
  <c r="F60" i="1"/>
  <c r="F263" i="1" s="1"/>
  <c r="J252" i="1"/>
  <c r="M252" i="1"/>
  <c r="H70" i="1"/>
  <c r="H211" i="1"/>
  <c r="H213" i="1" s="1"/>
  <c r="F252" i="1"/>
  <c r="G211" i="1"/>
  <c r="G213" i="1" s="1"/>
  <c r="T70" i="1"/>
  <c r="T211" i="1"/>
  <c r="T213" i="1" s="1"/>
  <c r="S60" i="1"/>
  <c r="S263" i="1" s="1"/>
  <c r="S66" i="1"/>
  <c r="S252" i="1"/>
  <c r="AK211" i="1"/>
  <c r="AK213" i="1" s="1"/>
  <c r="AK84" i="1"/>
  <c r="AK70" i="1"/>
  <c r="AK137" i="1"/>
  <c r="AK138" i="1" s="1"/>
  <c r="AJ225" i="1"/>
  <c r="AJ223" i="1" s="1"/>
  <c r="AJ211" i="1"/>
  <c r="AJ213" i="1" s="1"/>
  <c r="AJ217" i="1" s="1"/>
  <c r="AJ231" i="1" s="1"/>
  <c r="AJ84" i="1"/>
  <c r="AJ70" i="1"/>
  <c r="D70" i="1"/>
  <c r="D211" i="1"/>
  <c r="D213" i="1" s="1"/>
  <c r="CP156" i="1"/>
  <c r="CP221" i="1" s="1"/>
  <c r="CP219" i="1" s="1"/>
  <c r="CQ50" i="1"/>
  <c r="CZ95" i="1"/>
  <c r="AC160" i="1"/>
  <c r="CX81" i="1"/>
  <c r="CW83" i="1"/>
  <c r="CD1" i="1"/>
  <c r="CE1" i="1" s="1"/>
  <c r="CF1" i="1" s="1"/>
  <c r="CG1" i="1" s="1"/>
  <c r="CH1" i="1" s="1"/>
  <c r="CI1" i="1" s="1"/>
  <c r="CJ1" i="1" s="1"/>
  <c r="L211" i="1"/>
  <c r="L213" i="1" s="1"/>
  <c r="B70" i="1"/>
  <c r="I70" i="1"/>
  <c r="C70" i="1"/>
  <c r="L70" i="1"/>
  <c r="I211" i="1"/>
  <c r="I213" i="1" s="1"/>
  <c r="C211" i="1"/>
  <c r="C213" i="1" s="1"/>
  <c r="BW107" i="1" l="1"/>
  <c r="CA103" i="1"/>
  <c r="CE88" i="1"/>
  <c r="CA105" i="1"/>
  <c r="CA104" i="1"/>
  <c r="CD108" i="1" s="1"/>
  <c r="J211" i="1"/>
  <c r="J213" i="1" s="1"/>
  <c r="M211" i="1"/>
  <c r="M213" i="1" s="1"/>
  <c r="F70" i="1"/>
  <c r="J70" i="1"/>
  <c r="M70" i="1"/>
  <c r="F211" i="1"/>
  <c r="F213" i="1" s="1"/>
  <c r="S70" i="1"/>
  <c r="S211" i="1"/>
  <c r="S213" i="1" s="1"/>
  <c r="AK225" i="1"/>
  <c r="AK223" i="1" s="1"/>
  <c r="AK147" i="1"/>
  <c r="AL225" i="1"/>
  <c r="AL223" i="1" s="1"/>
  <c r="AJ228" i="1"/>
  <c r="AJ229" i="1" s="1"/>
  <c r="CQ212" i="1"/>
  <c r="CQ150" i="1"/>
  <c r="DA95" i="1"/>
  <c r="CX83" i="1"/>
  <c r="CY81" i="1"/>
  <c r="AB142" i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CQ152" i="1" l="1"/>
  <c r="DB95" i="1"/>
  <c r="CY83" i="1"/>
  <c r="CZ81" i="1"/>
  <c r="W83" i="2"/>
  <c r="E68" i="2"/>
  <c r="AI5" i="3"/>
  <c r="U66" i="2"/>
  <c r="G72" i="2"/>
  <c r="M78" i="2"/>
  <c r="U21" i="3"/>
  <c r="S76" i="2"/>
  <c r="J62" i="2"/>
  <c r="F43" i="2"/>
  <c r="R68" i="2"/>
  <c r="G55" i="2"/>
  <c r="J66" i="2"/>
  <c r="X40" i="2"/>
  <c r="J44" i="2"/>
  <c r="G45" i="2"/>
  <c r="J60" i="2"/>
  <c r="O50" i="2"/>
  <c r="N106" i="2"/>
  <c r="C71" i="2"/>
  <c r="J91" i="2"/>
  <c r="E71" i="2"/>
  <c r="AI12" i="3"/>
  <c r="AC42" i="3"/>
  <c r="W34" i="3"/>
  <c r="AH18" i="3"/>
  <c r="V109" i="2"/>
  <c r="S47" i="2"/>
  <c r="Q62" i="2"/>
  <c r="H74" i="2"/>
  <c r="N108" i="2"/>
  <c r="C88" i="2"/>
  <c r="X70" i="2"/>
  <c r="U46" i="2"/>
  <c r="O70" i="2"/>
  <c r="AO23" i="3"/>
  <c r="W81" i="2"/>
  <c r="W44" i="2"/>
  <c r="C95" i="2"/>
  <c r="AM25" i="3"/>
  <c r="O82" i="2"/>
  <c r="AK5" i="3"/>
  <c r="Z42" i="3"/>
  <c r="O42" i="2"/>
  <c r="AB47" i="3"/>
  <c r="P89" i="2"/>
  <c r="J14" i="3"/>
  <c r="I92" i="2"/>
  <c r="G81" i="2"/>
  <c r="W99" i="2"/>
  <c r="C104" i="2"/>
  <c r="I74" i="2"/>
  <c r="U108" i="2"/>
  <c r="N52" i="2"/>
  <c r="I105" i="2"/>
  <c r="X25" i="3"/>
  <c r="R69" i="2"/>
  <c r="H82" i="2"/>
  <c r="C62" i="2"/>
  <c r="M32" i="3"/>
  <c r="D73" i="2"/>
  <c r="V97" i="2"/>
  <c r="X65" i="2"/>
  <c r="U55" i="2"/>
  <c r="E105" i="2"/>
  <c r="O55" i="2"/>
  <c r="O85" i="2"/>
  <c r="N5" i="3"/>
  <c r="V96" i="2"/>
  <c r="W86" i="2"/>
  <c r="Q98" i="2"/>
  <c r="J98" i="2"/>
  <c r="M13" i="3"/>
  <c r="V69" i="2"/>
  <c r="H75" i="2"/>
  <c r="L65" i="2"/>
  <c r="E104" i="2"/>
  <c r="D46" i="2"/>
  <c r="AM12" i="3"/>
  <c r="AD38" i="3"/>
  <c r="H51" i="2"/>
  <c r="E79" i="2"/>
  <c r="AP64" i="3"/>
  <c r="O45" i="2"/>
  <c r="E54" i="2"/>
  <c r="N39" i="3"/>
  <c r="AD50" i="3"/>
  <c r="J58" i="2"/>
  <c r="X59" i="2"/>
  <c r="AN22" i="3"/>
  <c r="S39" i="3"/>
  <c r="Z7" i="3"/>
  <c r="I42" i="3"/>
  <c r="U28" i="3"/>
  <c r="U60" i="2"/>
  <c r="N74" i="2"/>
  <c r="U63" i="2"/>
  <c r="D96" i="2"/>
  <c r="S27" i="3"/>
  <c r="I13" i="3"/>
  <c r="X112" i="2"/>
  <c r="S69" i="2"/>
  <c r="D79" i="2"/>
  <c r="AI57" i="3"/>
  <c r="AQ32" i="3"/>
  <c r="L17" i="3"/>
  <c r="AO9" i="3"/>
  <c r="U92" i="2"/>
  <c r="L104" i="2"/>
  <c r="G59" i="2"/>
  <c r="D60" i="2"/>
  <c r="U97" i="2"/>
  <c r="J47" i="2"/>
  <c r="Q63" i="2"/>
  <c r="R40" i="2"/>
  <c r="G48" i="2"/>
  <c r="D78" i="2"/>
  <c r="N47" i="3"/>
  <c r="U22" i="3"/>
  <c r="D88" i="2"/>
  <c r="AL32" i="3"/>
  <c r="M5" i="3"/>
  <c r="AC33" i="3"/>
  <c r="W14" i="3"/>
  <c r="F68" i="2"/>
  <c r="AB91" i="3"/>
  <c r="N58" i="2"/>
  <c r="O79" i="2"/>
  <c r="AP85" i="3"/>
  <c r="AQ27" i="3"/>
  <c r="P59" i="2"/>
  <c r="K99" i="2"/>
  <c r="Q60" i="2"/>
  <c r="Q110" i="2"/>
  <c r="AP84" i="3"/>
  <c r="C76" i="2"/>
  <c r="C28" i="3"/>
  <c r="K35" i="3"/>
  <c r="AD32" i="3"/>
  <c r="P80" i="2"/>
  <c r="W58" i="2"/>
  <c r="AM16" i="3"/>
  <c r="G68" i="2"/>
  <c r="AB37" i="3"/>
  <c r="S80" i="2"/>
  <c r="D51" i="2"/>
  <c r="O65" i="2"/>
  <c r="W79" i="2"/>
  <c r="K63" i="2"/>
  <c r="R52" i="2"/>
  <c r="P112" i="2"/>
  <c r="D92" i="2"/>
  <c r="AJ13" i="3"/>
  <c r="N40" i="3"/>
  <c r="AQ38" i="3"/>
  <c r="D72" i="2"/>
  <c r="L51" i="2"/>
  <c r="AB48" i="3"/>
  <c r="H87" i="2"/>
  <c r="W61" i="2"/>
  <c r="AB19" i="3"/>
  <c r="Y25" i="3"/>
  <c r="AE22" i="3"/>
  <c r="P49" i="2"/>
  <c r="H106" i="2"/>
  <c r="D99" i="2"/>
  <c r="P50" i="2"/>
  <c r="E83" i="2"/>
  <c r="X94" i="2"/>
  <c r="D53" i="2"/>
  <c r="U93" i="2"/>
  <c r="AI42" i="3"/>
  <c r="I38" i="3"/>
  <c r="K107" i="2"/>
  <c r="K68" i="2"/>
  <c r="R76" i="2"/>
  <c r="C83" i="2"/>
  <c r="U19" i="3"/>
  <c r="I72" i="2"/>
  <c r="Q113" i="2"/>
  <c r="M47" i="2"/>
  <c r="H11" i="3"/>
  <c r="W39" i="3"/>
  <c r="X44" i="2"/>
  <c r="J74" i="2"/>
  <c r="AP71" i="3"/>
  <c r="R42" i="2"/>
  <c r="I16" i="3"/>
  <c r="W12" i="3"/>
  <c r="N93" i="2"/>
  <c r="F45" i="2"/>
  <c r="AL33" i="3"/>
  <c r="R25" i="3"/>
  <c r="W76" i="2"/>
  <c r="H84" i="2"/>
  <c r="W55" i="2"/>
  <c r="W29" i="3"/>
  <c r="Q31" i="3"/>
  <c r="L6" i="3"/>
  <c r="G89" i="2"/>
  <c r="L83" i="2"/>
  <c r="W85" i="2"/>
  <c r="E51" i="2"/>
  <c r="V81" i="2"/>
  <c r="AB80" i="3"/>
  <c r="Q14" i="3"/>
  <c r="M50" i="2"/>
  <c r="M113" i="2"/>
  <c r="R43" i="2"/>
  <c r="R41" i="2"/>
  <c r="V83" i="2"/>
  <c r="AB71" i="3"/>
  <c r="D45" i="2"/>
  <c r="AA21" i="3"/>
  <c r="C55" i="2"/>
  <c r="C66" i="2"/>
  <c r="C31" i="3"/>
  <c r="O9" i="3"/>
  <c r="Q39" i="3"/>
  <c r="J10" i="3"/>
  <c r="X23" i="3"/>
  <c r="S58" i="2"/>
  <c r="C40" i="3"/>
  <c r="S71" i="2"/>
  <c r="K40" i="3"/>
  <c r="AA39" i="3"/>
  <c r="AL5" i="3"/>
  <c r="AL81" i="3" s="1"/>
  <c r="AC9" i="3"/>
  <c r="K48" i="2"/>
  <c r="H113" i="2"/>
  <c r="P13" i="3"/>
  <c r="U72" i="2"/>
  <c r="AE27" i="3"/>
  <c r="AP20" i="3"/>
  <c r="AG13" i="3"/>
  <c r="K58" i="2"/>
  <c r="AK20" i="3"/>
  <c r="K78" i="2"/>
  <c r="W48" i="2"/>
  <c r="N70" i="2"/>
  <c r="V70" i="2"/>
  <c r="O105" i="2"/>
  <c r="X106" i="2"/>
  <c r="S93" i="2"/>
  <c r="Y27" i="3"/>
  <c r="P57" i="2"/>
  <c r="M64" i="3"/>
  <c r="AP38" i="3"/>
  <c r="M93" i="3"/>
  <c r="R35" i="3"/>
  <c r="P73" i="2"/>
  <c r="W108" i="2"/>
  <c r="W51" i="2"/>
  <c r="T93" i="2"/>
  <c r="AJ33" i="3"/>
  <c r="Q92" i="2"/>
  <c r="V85" i="2"/>
  <c r="E40" i="2"/>
  <c r="O6" i="3"/>
  <c r="I70" i="2"/>
  <c r="I82" i="2"/>
  <c r="E73" i="2"/>
  <c r="AJ17" i="3"/>
  <c r="J46" i="2"/>
  <c r="F88" i="2"/>
  <c r="R23" i="3"/>
  <c r="U41" i="2"/>
  <c r="H81" i="2"/>
  <c r="T17" i="3"/>
  <c r="H83" i="2"/>
  <c r="H36" i="3"/>
  <c r="V48" i="2"/>
  <c r="R96" i="2"/>
  <c r="H96" i="2"/>
  <c r="AO5" i="3"/>
  <c r="S60" i="2"/>
  <c r="M105" i="2"/>
  <c r="H53" i="2"/>
  <c r="M72" i="2"/>
  <c r="P95" i="2"/>
  <c r="X86" i="2"/>
  <c r="O109" i="2"/>
  <c r="K97" i="2"/>
  <c r="F94" i="2"/>
  <c r="I6" i="3"/>
  <c r="Q33" i="3"/>
  <c r="L33" i="3"/>
  <c r="M106" i="2"/>
  <c r="U81" i="2"/>
  <c r="AP76" i="3"/>
  <c r="L74" i="2"/>
  <c r="W80" i="2"/>
  <c r="AA34" i="3"/>
  <c r="AP21" i="3"/>
  <c r="K49" i="2"/>
  <c r="K60" i="2"/>
  <c r="AL20" i="3"/>
  <c r="AN33" i="3"/>
  <c r="Z34" i="3"/>
  <c r="I80" i="2"/>
  <c r="N71" i="2"/>
  <c r="V51" i="2"/>
  <c r="M93" i="2"/>
  <c r="W90" i="2"/>
  <c r="C96" i="2"/>
  <c r="C44" i="2"/>
  <c r="AB90" i="3"/>
  <c r="E110" i="2"/>
  <c r="H52" i="2"/>
  <c r="G44" i="2"/>
  <c r="K45" i="2"/>
  <c r="E111" i="2"/>
  <c r="AB23" i="3"/>
  <c r="C50" i="2"/>
  <c r="M91" i="2"/>
  <c r="S35" i="3"/>
  <c r="M81" i="2"/>
  <c r="K64" i="2"/>
  <c r="AE30" i="3"/>
  <c r="E76" i="2"/>
  <c r="K44" i="2"/>
  <c r="V93" i="2"/>
  <c r="G111" i="2"/>
  <c r="N46" i="2"/>
  <c r="N92" i="2"/>
  <c r="AI24" i="3"/>
  <c r="E75" i="2"/>
  <c r="J43" i="2"/>
  <c r="I97" i="2"/>
  <c r="K57" i="2"/>
  <c r="Q16" i="3"/>
  <c r="N89" i="2"/>
  <c r="U54" i="2"/>
  <c r="R44" i="2"/>
  <c r="N43" i="2"/>
  <c r="H40" i="2"/>
  <c r="F106" i="2"/>
  <c r="F87" i="2"/>
  <c r="AL8" i="3"/>
  <c r="N23" i="3"/>
  <c r="AH27" i="3"/>
  <c r="U39" i="3"/>
  <c r="P42" i="3"/>
  <c r="F77" i="2"/>
  <c r="J79" i="2"/>
  <c r="P62" i="2"/>
  <c r="AG31" i="3"/>
  <c r="O25" i="3"/>
  <c r="AK13" i="3"/>
  <c r="AO40" i="3"/>
  <c r="I26" i="3"/>
  <c r="Q61" i="2"/>
  <c r="L89" i="2"/>
  <c r="K13" i="3"/>
  <c r="Q44" i="2"/>
  <c r="S74" i="2"/>
  <c r="AC10" i="3"/>
  <c r="Z16" i="3"/>
  <c r="X78" i="2"/>
  <c r="S72" i="2"/>
  <c r="I47" i="2"/>
  <c r="L79" i="2"/>
  <c r="AG30" i="3"/>
  <c r="M22" i="3"/>
  <c r="L97" i="2"/>
  <c r="E93" i="2"/>
  <c r="C46" i="2"/>
  <c r="C34" i="3"/>
  <c r="R11" i="3"/>
  <c r="AK58" i="3"/>
  <c r="AI80" i="3"/>
  <c r="J68" i="2"/>
  <c r="S41" i="2"/>
  <c r="L99" i="2"/>
  <c r="X110" i="2"/>
  <c r="L15" i="3"/>
  <c r="W9" i="3"/>
  <c r="AN17" i="3"/>
  <c r="M28" i="3"/>
  <c r="S8" i="3"/>
  <c r="O31" i="3"/>
  <c r="M26" i="3"/>
  <c r="I83" i="2"/>
  <c r="V110" i="2"/>
  <c r="E85" i="2"/>
  <c r="AP48" i="3"/>
  <c r="AE14" i="3"/>
  <c r="Q87" i="2"/>
  <c r="X74" i="2"/>
  <c r="U45" i="2"/>
  <c r="J12" i="3"/>
  <c r="V28" i="3"/>
  <c r="J85" i="2"/>
  <c r="N99" i="2"/>
  <c r="U41" i="3"/>
  <c r="J41" i="2"/>
  <c r="R112" i="2"/>
  <c r="P51" i="2"/>
  <c r="S109" i="2"/>
  <c r="O92" i="2"/>
  <c r="F98" i="2"/>
  <c r="V27" i="3"/>
  <c r="N48" i="2"/>
  <c r="D110" i="2"/>
  <c r="S42" i="2"/>
  <c r="U30" i="3"/>
  <c r="AP95" i="3"/>
  <c r="O10" i="3"/>
  <c r="T47" i="2"/>
  <c r="V99" i="2"/>
  <c r="K92" i="2"/>
  <c r="Z6" i="3"/>
  <c r="F92" i="2"/>
  <c r="R32" i="3"/>
  <c r="G65" i="2"/>
  <c r="M52" i="2"/>
  <c r="N83" i="2"/>
  <c r="S37" i="3"/>
  <c r="G97" i="2"/>
  <c r="O81" i="2"/>
  <c r="C98" i="2"/>
  <c r="U106" i="2"/>
  <c r="S91" i="2"/>
  <c r="D94" i="2"/>
  <c r="AP68" i="3"/>
  <c r="I71" i="2"/>
  <c r="Q21" i="3"/>
  <c r="G110" i="2"/>
  <c r="G80" i="2"/>
  <c r="S38" i="3"/>
  <c r="P113" i="2"/>
  <c r="S85" i="2"/>
  <c r="G52" i="2"/>
  <c r="R15" i="3"/>
  <c r="K65" i="2"/>
  <c r="F109" i="2"/>
  <c r="T87" i="2"/>
  <c r="X76" i="2"/>
  <c r="AP36" i="3"/>
  <c r="M65" i="2"/>
  <c r="X72" i="2"/>
  <c r="I89" i="2"/>
  <c r="C105" i="2"/>
  <c r="E91" i="2"/>
  <c r="F67" i="2"/>
  <c r="AQ24" i="3"/>
  <c r="I63" i="2"/>
  <c r="R64" i="2"/>
  <c r="F41" i="2"/>
  <c r="M35" i="3"/>
  <c r="O18" i="3"/>
  <c r="T108" i="2"/>
  <c r="J99" i="2"/>
  <c r="T89" i="2"/>
  <c r="N15" i="3"/>
  <c r="P75" i="2"/>
  <c r="T111" i="2"/>
  <c r="O48" i="2"/>
  <c r="D50" i="2"/>
  <c r="D105" i="2"/>
  <c r="L77" i="2"/>
  <c r="H55" i="2"/>
  <c r="L11" i="3"/>
  <c r="V40" i="2"/>
  <c r="D106" i="2"/>
  <c r="P81" i="2"/>
  <c r="U47" i="2"/>
  <c r="O16" i="3"/>
  <c r="AP90" i="3"/>
  <c r="H48" i="2"/>
  <c r="W5" i="3"/>
  <c r="W50" i="3" s="1"/>
  <c r="N35" i="3"/>
  <c r="AD48" i="3"/>
  <c r="AO31" i="3"/>
  <c r="R6" i="3"/>
  <c r="T84" i="2"/>
  <c r="N91" i="2"/>
  <c r="R86" i="2"/>
  <c r="I19" i="3"/>
  <c r="C27" i="3"/>
  <c r="AO24" i="3"/>
  <c r="J19" i="3"/>
  <c r="AH19" i="3"/>
  <c r="AO35" i="3"/>
  <c r="K23" i="3"/>
  <c r="H110" i="2"/>
  <c r="AP91" i="3"/>
  <c r="H37" i="3"/>
  <c r="Q34" i="3"/>
  <c r="H12" i="3"/>
  <c r="V74" i="2"/>
  <c r="K83" i="2"/>
  <c r="P68" i="2"/>
  <c r="P25" i="3"/>
  <c r="U11" i="3"/>
  <c r="N41" i="3"/>
  <c r="V10" i="3"/>
  <c r="X13" i="3"/>
  <c r="AP34" i="3"/>
  <c r="X87" i="2"/>
  <c r="E53" i="2"/>
  <c r="O78" i="2"/>
  <c r="AG29" i="3"/>
  <c r="U90" i="2"/>
  <c r="G74" i="2"/>
  <c r="T74" i="2"/>
  <c r="S87" i="2"/>
  <c r="Q97" i="2"/>
  <c r="J105" i="2"/>
  <c r="X49" i="2"/>
  <c r="D56" i="2"/>
  <c r="O89" i="2"/>
  <c r="Z37" i="3"/>
  <c r="AQ29" i="3"/>
  <c r="S31" i="3"/>
  <c r="W60" i="2"/>
  <c r="T50" i="2"/>
  <c r="X81" i="2"/>
  <c r="Q70" i="2"/>
  <c r="W107" i="2"/>
  <c r="H34" i="3"/>
  <c r="T33" i="3"/>
  <c r="H8" i="3"/>
  <c r="M90" i="2"/>
  <c r="K71" i="2"/>
  <c r="AA36" i="3"/>
  <c r="P109" i="2"/>
  <c r="F40" i="2"/>
  <c r="W47" i="2"/>
  <c r="AP92" i="3"/>
  <c r="AB92" i="3"/>
  <c r="Y40" i="3"/>
  <c r="P46" i="2"/>
  <c r="T91" i="2"/>
  <c r="T72" i="2"/>
  <c r="V80" i="2"/>
  <c r="K106" i="2"/>
  <c r="H17" i="3"/>
  <c r="K75" i="2"/>
  <c r="D55" i="2"/>
  <c r="D112" i="2"/>
  <c r="M75" i="2"/>
  <c r="W33" i="3"/>
  <c r="I96" i="2"/>
  <c r="AM39" i="3"/>
  <c r="U104" i="2"/>
  <c r="I59" i="2"/>
  <c r="H25" i="3"/>
  <c r="Q47" i="2"/>
  <c r="AO20" i="3"/>
  <c r="AM36" i="3"/>
  <c r="R88" i="2"/>
  <c r="L57" i="2"/>
  <c r="N77" i="2"/>
  <c r="R92" i="2"/>
  <c r="J72" i="2"/>
  <c r="S56" i="2"/>
  <c r="AP80" i="3"/>
  <c r="L19" i="3"/>
  <c r="Q104" i="2"/>
  <c r="T104" i="2"/>
  <c r="S90" i="2"/>
  <c r="X46" i="2"/>
  <c r="AB70" i="3"/>
  <c r="AQ39" i="3"/>
  <c r="W50" i="2"/>
  <c r="J11" i="3"/>
  <c r="D113" i="2"/>
  <c r="J95" i="2"/>
  <c r="D71" i="2"/>
  <c r="N84" i="2"/>
  <c r="F52" i="2"/>
  <c r="I66" i="2"/>
  <c r="U107" i="2"/>
  <c r="R24" i="3"/>
  <c r="S77" i="2"/>
  <c r="O97" i="2"/>
  <c r="H86" i="2"/>
  <c r="E58" i="2"/>
  <c r="X89" i="2"/>
  <c r="H80" i="2"/>
  <c r="U43" i="2"/>
  <c r="T59" i="2"/>
  <c r="X57" i="2"/>
  <c r="C106" i="2"/>
  <c r="I67" i="2"/>
  <c r="O52" i="2"/>
  <c r="D68" i="2"/>
  <c r="V89" i="2"/>
  <c r="H60" i="2"/>
  <c r="N87" i="2"/>
  <c r="X64" i="2"/>
  <c r="M24" i="3"/>
  <c r="K25" i="3"/>
  <c r="AQ34" i="3"/>
  <c r="X37" i="3"/>
  <c r="AL28" i="3"/>
  <c r="P108" i="2"/>
  <c r="V45" i="2"/>
  <c r="C4" i="3"/>
  <c r="V14" i="3"/>
  <c r="H30" i="3"/>
  <c r="I20" i="3"/>
  <c r="AQ9" i="3"/>
  <c r="AJ11" i="3"/>
  <c r="AD34" i="3"/>
  <c r="L66" i="2"/>
  <c r="X113" i="2"/>
  <c r="AL10" i="3"/>
  <c r="AB73" i="3"/>
  <c r="K27" i="3"/>
  <c r="M79" i="2"/>
  <c r="AB61" i="3"/>
  <c r="AB8" i="3"/>
  <c r="S29" i="3"/>
  <c r="AK33" i="3"/>
  <c r="R33" i="3"/>
  <c r="Q32" i="3"/>
  <c r="AP24" i="3"/>
  <c r="AB11" i="3"/>
  <c r="E57" i="2"/>
  <c r="T32" i="3"/>
  <c r="U112" i="2"/>
  <c r="AP74" i="3"/>
  <c r="Z29" i="3"/>
  <c r="U13" i="3"/>
  <c r="V52" i="2"/>
  <c r="AP58" i="3"/>
  <c r="AM8" i="3"/>
  <c r="AC27" i="3"/>
  <c r="I90" i="2"/>
  <c r="G104" i="2"/>
  <c r="AB84" i="3"/>
  <c r="V76" i="2"/>
  <c r="AB38" i="3"/>
  <c r="N73" i="2"/>
  <c r="I17" i="3"/>
  <c r="L88" i="2"/>
  <c r="R78" i="2"/>
  <c r="N107" i="2"/>
  <c r="L98" i="2"/>
  <c r="L20" i="3"/>
  <c r="S110" i="2"/>
  <c r="D41" i="2"/>
  <c r="N85" i="2"/>
  <c r="W43" i="2"/>
  <c r="W35" i="3"/>
  <c r="AJ25" i="3"/>
  <c r="AK12" i="3"/>
  <c r="R81" i="2"/>
  <c r="I113" i="2"/>
  <c r="I56" i="2"/>
  <c r="C77" i="2"/>
  <c r="W6" i="3"/>
  <c r="N97" i="2"/>
  <c r="K86" i="2"/>
  <c r="Q93" i="2"/>
  <c r="Z25" i="3"/>
  <c r="C68" i="2"/>
  <c r="I55" i="2"/>
  <c r="E90" i="2"/>
  <c r="E52" i="2"/>
  <c r="R58" i="2"/>
  <c r="R29" i="3"/>
  <c r="AB69" i="3"/>
  <c r="C7" i="3"/>
  <c r="N50" i="2"/>
  <c r="V59" i="2"/>
  <c r="V78" i="2"/>
  <c r="C42" i="2"/>
  <c r="X68" i="2"/>
  <c r="AB17" i="3"/>
  <c r="M48" i="2"/>
  <c r="Q109" i="2"/>
  <c r="D63" i="2"/>
  <c r="S52" i="2"/>
  <c r="L78" i="2"/>
  <c r="L85" i="2"/>
  <c r="X58" i="2"/>
  <c r="R49" i="2"/>
  <c r="M15" i="3"/>
  <c r="M55" i="2"/>
  <c r="K50" i="2"/>
  <c r="V84" i="2"/>
  <c r="V44" i="2"/>
  <c r="AL31" i="3"/>
  <c r="D59" i="2"/>
  <c r="C15" i="3"/>
  <c r="T98" i="2"/>
  <c r="P106" i="2"/>
  <c r="R13" i="3"/>
  <c r="V42" i="2"/>
  <c r="H107" i="2"/>
  <c r="C49" i="3"/>
  <c r="K67" i="2"/>
  <c r="O64" i="2"/>
  <c r="P93" i="2"/>
  <c r="O42" i="3"/>
  <c r="V87" i="2"/>
  <c r="O96" i="2"/>
  <c r="L75" i="2"/>
  <c r="W82" i="2"/>
  <c r="O71" i="2"/>
  <c r="AB68" i="3"/>
  <c r="AP13" i="3"/>
  <c r="V41" i="3"/>
  <c r="T54" i="2"/>
  <c r="L49" i="2"/>
  <c r="AP79" i="3"/>
  <c r="E69" i="2"/>
  <c r="AD20" i="3"/>
  <c r="AM40" i="3"/>
  <c r="J50" i="2"/>
  <c r="AP97" i="3"/>
  <c r="U79" i="2"/>
  <c r="R97" i="2"/>
  <c r="M8" i="3"/>
  <c r="AB36" i="3"/>
  <c r="W63" i="3"/>
  <c r="S89" i="2"/>
  <c r="R63" i="2"/>
  <c r="W62" i="2"/>
  <c r="AJ28" i="3"/>
  <c r="AE29" i="3"/>
  <c r="AA5" i="3"/>
  <c r="AA67" i="3" s="1"/>
  <c r="AI34" i="3"/>
  <c r="AK26" i="3"/>
  <c r="L21" i="3"/>
  <c r="AD19" i="3"/>
  <c r="AM5" i="3"/>
  <c r="AB86" i="3"/>
  <c r="AK87" i="3"/>
  <c r="AK10" i="3"/>
  <c r="R10" i="3"/>
  <c r="U56" i="2"/>
  <c r="S88" i="2"/>
  <c r="P98" i="2"/>
  <c r="H16" i="3"/>
  <c r="C9" i="3"/>
  <c r="AO32" i="3"/>
  <c r="W32" i="3"/>
  <c r="Y29" i="3"/>
  <c r="AE5" i="3"/>
  <c r="AE73" i="3" s="1"/>
  <c r="K32" i="3"/>
  <c r="O54" i="2"/>
  <c r="W26" i="3"/>
  <c r="I24" i="3"/>
  <c r="V36" i="3"/>
  <c r="J15" i="3"/>
  <c r="M70" i="2"/>
  <c r="AP28" i="3"/>
  <c r="I109" i="2"/>
  <c r="U68" i="2"/>
  <c r="T61" i="2"/>
  <c r="AP60" i="3"/>
  <c r="F108" i="2"/>
  <c r="D107" i="2"/>
  <c r="AA11" i="3"/>
  <c r="D42" i="2"/>
  <c r="P19" i="3"/>
  <c r="S48" i="2"/>
  <c r="U94" i="2"/>
  <c r="V63" i="2"/>
  <c r="AP67" i="3"/>
  <c r="L91" i="2"/>
  <c r="S32" i="3"/>
  <c r="J42" i="3"/>
  <c r="M77" i="2"/>
  <c r="Q41" i="2"/>
  <c r="N27" i="3"/>
  <c r="M97" i="2"/>
  <c r="U82" i="2"/>
  <c r="M54" i="2"/>
  <c r="U89" i="2"/>
  <c r="I88" i="2"/>
  <c r="M34" i="3"/>
  <c r="AP29" i="3"/>
  <c r="E65" i="2"/>
  <c r="I53" i="2"/>
  <c r="H77" i="2"/>
  <c r="O94" i="2"/>
  <c r="AP25" i="3"/>
  <c r="Z15" i="3"/>
  <c r="M86" i="2"/>
  <c r="M89" i="2"/>
  <c r="N49" i="2"/>
  <c r="Y16" i="3"/>
  <c r="V98" i="2"/>
  <c r="Q40" i="2"/>
  <c r="D54" i="2"/>
  <c r="X14" i="3"/>
  <c r="N75" i="2"/>
  <c r="S59" i="2"/>
  <c r="I95" i="2"/>
  <c r="AD21" i="3"/>
  <c r="S108" i="2"/>
  <c r="S45" i="2"/>
  <c r="H71" i="2"/>
  <c r="AP19" i="3"/>
  <c r="G108" i="2"/>
  <c r="W95" i="2"/>
  <c r="AB76" i="3"/>
  <c r="H76" i="2"/>
  <c r="P17" i="3"/>
  <c r="R75" i="2"/>
  <c r="R105" i="2"/>
  <c r="AP88" i="3"/>
  <c r="AK17" i="3"/>
  <c r="I77" i="2"/>
  <c r="AH13" i="3"/>
  <c r="Q20" i="3"/>
  <c r="V86" i="2"/>
  <c r="M74" i="2"/>
  <c r="AE19" i="3"/>
  <c r="P72" i="2"/>
  <c r="O83" i="2"/>
  <c r="I52" i="2"/>
  <c r="N55" i="2"/>
  <c r="Z8" i="3"/>
  <c r="N19" i="3"/>
  <c r="O43" i="2"/>
  <c r="L76" i="2"/>
  <c r="I73" i="2"/>
  <c r="Q106" i="2"/>
  <c r="AE32" i="3"/>
  <c r="O93" i="2"/>
  <c r="S9" i="3"/>
  <c r="L68" i="2"/>
  <c r="K104" i="2"/>
  <c r="O111" i="2"/>
  <c r="AB94" i="3"/>
  <c r="P66" i="2"/>
  <c r="F62" i="2"/>
  <c r="W13" i="3"/>
  <c r="D69" i="2"/>
  <c r="T71" i="2"/>
  <c r="F104" i="2"/>
  <c r="AI30" i="3"/>
  <c r="S61" i="2"/>
  <c r="N69" i="3"/>
  <c r="V75" i="2"/>
  <c r="AB88" i="3"/>
  <c r="C92" i="2"/>
  <c r="L92" i="2"/>
  <c r="L25" i="3"/>
  <c r="O20" i="3"/>
  <c r="AD31" i="3"/>
  <c r="R12" i="3"/>
  <c r="Y42" i="3"/>
  <c r="S41" i="3"/>
  <c r="AD30" i="3"/>
  <c r="AD39" i="3"/>
  <c r="AG14" i="3"/>
  <c r="AL38" i="3"/>
  <c r="AK61" i="3"/>
  <c r="E70" i="2"/>
  <c r="Q66" i="2"/>
  <c r="O73" i="2"/>
  <c r="L43" i="2"/>
  <c r="M29" i="3"/>
  <c r="C109" i="2"/>
  <c r="H109" i="2"/>
  <c r="C58" i="2"/>
  <c r="AI41" i="3"/>
  <c r="W71" i="2"/>
  <c r="S70" i="2"/>
  <c r="R110" i="2"/>
  <c r="H62" i="2"/>
  <c r="O91" i="2"/>
  <c r="W69" i="2"/>
  <c r="L63" i="2"/>
  <c r="K47" i="2"/>
  <c r="U52" i="2"/>
  <c r="Q75" i="2"/>
  <c r="H42" i="2"/>
  <c r="T81" i="2"/>
  <c r="K110" i="2"/>
  <c r="I112" i="2"/>
  <c r="AB62" i="3"/>
  <c r="X111" i="2"/>
  <c r="P47" i="2"/>
  <c r="S63" i="2"/>
  <c r="I62" i="2"/>
  <c r="F64" i="2"/>
  <c r="J61" i="2"/>
  <c r="M108" i="2"/>
  <c r="AB63" i="3"/>
  <c r="X7" i="3"/>
  <c r="L71" i="2"/>
  <c r="K62" i="2"/>
  <c r="K94" i="2"/>
  <c r="AB85" i="3"/>
  <c r="U37" i="3"/>
  <c r="K42" i="2"/>
  <c r="O90" i="2"/>
  <c r="C78" i="2"/>
  <c r="X33" i="3"/>
  <c r="U75" i="2"/>
  <c r="L30" i="3"/>
  <c r="Q76" i="2"/>
  <c r="U48" i="2"/>
  <c r="I75" i="2"/>
  <c r="AK77" i="3"/>
  <c r="W109" i="2"/>
  <c r="AO8" i="3"/>
  <c r="W27" i="3"/>
  <c r="Z14" i="3"/>
  <c r="AC15" i="3"/>
  <c r="G36" i="3"/>
  <c r="C51" i="2"/>
  <c r="U109" i="2"/>
  <c r="C42" i="3"/>
  <c r="I41" i="3"/>
  <c r="M61" i="2"/>
  <c r="P54" i="2"/>
  <c r="N44" i="2"/>
  <c r="H58" i="2"/>
  <c r="F49" i="2"/>
  <c r="M110" i="2"/>
  <c r="W73" i="2"/>
  <c r="V43" i="2"/>
  <c r="AP11" i="3"/>
  <c r="I31" i="3"/>
  <c r="K39" i="3"/>
  <c r="X28" i="3"/>
  <c r="V111" i="2"/>
  <c r="X97" i="2"/>
  <c r="W45" i="2"/>
  <c r="S81" i="2"/>
  <c r="N80" i="2"/>
  <c r="AD41" i="3"/>
  <c r="AC8" i="3"/>
  <c r="AI62" i="3"/>
  <c r="S14" i="3"/>
  <c r="R9" i="3"/>
  <c r="W110" i="2"/>
  <c r="F44" i="2"/>
  <c r="E82" i="2"/>
  <c r="R37" i="3"/>
  <c r="AL11" i="3"/>
  <c r="K9" i="3"/>
  <c r="I18" i="3"/>
  <c r="Z36" i="3"/>
  <c r="AI18" i="3"/>
  <c r="AQ21" i="3"/>
  <c r="Q99" i="2"/>
  <c r="X29" i="3"/>
  <c r="Y36" i="3"/>
  <c r="K28" i="3"/>
  <c r="N7" i="3"/>
  <c r="D109" i="2"/>
  <c r="V25" i="3"/>
  <c r="AE24" i="3"/>
  <c r="E49" i="2"/>
  <c r="W19" i="3"/>
  <c r="Y18" i="3"/>
  <c r="G76" i="2"/>
  <c r="R113" i="2"/>
  <c r="AK84" i="3"/>
  <c r="AG9" i="3"/>
  <c r="AK29" i="3"/>
  <c r="AJ42" i="3"/>
  <c r="K70" i="2"/>
  <c r="S34" i="3"/>
  <c r="J92" i="2"/>
  <c r="Y28" i="3"/>
  <c r="U17" i="3"/>
  <c r="O68" i="2"/>
  <c r="S55" i="2"/>
  <c r="M85" i="2"/>
  <c r="J78" i="2"/>
  <c r="K38" i="3"/>
  <c r="O14" i="3"/>
  <c r="AM18" i="3"/>
  <c r="X20" i="3"/>
  <c r="Q19" i="3"/>
  <c r="D65" i="2"/>
  <c r="AE38" i="3"/>
  <c r="AN39" i="3"/>
  <c r="R74" i="2"/>
  <c r="U96" i="2"/>
  <c r="R55" i="2"/>
  <c r="L94" i="2"/>
  <c r="N10" i="3"/>
  <c r="AI21" i="3"/>
  <c r="K108" i="2"/>
  <c r="D52" i="2"/>
  <c r="H47" i="2"/>
  <c r="X54" i="2"/>
  <c r="O53" i="2"/>
  <c r="J73" i="2"/>
  <c r="D48" i="2"/>
  <c r="K81" i="2"/>
  <c r="P44" i="2"/>
  <c r="N42" i="2"/>
  <c r="AK31" i="3"/>
  <c r="AC22" i="3"/>
  <c r="X45" i="2"/>
  <c r="I84" i="2"/>
  <c r="D62" i="2"/>
  <c r="N59" i="2"/>
  <c r="AP73" i="3"/>
  <c r="K89" i="2"/>
  <c r="X84" i="2"/>
  <c r="L58" i="2"/>
  <c r="AP61" i="3"/>
  <c r="G41" i="2"/>
  <c r="M11" i="3"/>
  <c r="T52" i="2"/>
  <c r="V77" i="2"/>
  <c r="S75" i="2"/>
  <c r="AH33" i="3"/>
  <c r="T80" i="2"/>
  <c r="I57" i="2"/>
  <c r="H14" i="3"/>
  <c r="X26" i="3"/>
  <c r="G85" i="2"/>
  <c r="K51" i="2"/>
  <c r="Q88" i="2"/>
  <c r="L38" i="3"/>
  <c r="AC11" i="3"/>
  <c r="E112" i="2"/>
  <c r="W104" i="2"/>
  <c r="X35" i="3"/>
  <c r="F74" i="2"/>
  <c r="J82" i="2"/>
  <c r="AD23" i="3"/>
  <c r="R67" i="2"/>
  <c r="AB89" i="3"/>
  <c r="N64" i="3"/>
  <c r="N96" i="3"/>
  <c r="U76" i="2"/>
  <c r="Z21" i="3"/>
  <c r="M38" i="3"/>
  <c r="N38" i="3"/>
  <c r="I10" i="3"/>
  <c r="AM26" i="3"/>
  <c r="E63" i="2"/>
  <c r="X42" i="3"/>
  <c r="V92" i="2"/>
  <c r="N104" i="2"/>
  <c r="AO33" i="3"/>
  <c r="L105" i="2"/>
  <c r="M99" i="2"/>
  <c r="AM13" i="3"/>
  <c r="AP63" i="3"/>
  <c r="I87" i="2"/>
  <c r="R107" i="2"/>
  <c r="O80" i="2"/>
  <c r="N90" i="2"/>
  <c r="AJ6" i="3"/>
  <c r="K76" i="2"/>
  <c r="Z22" i="3"/>
  <c r="Q5" i="3"/>
  <c r="I34" i="3"/>
  <c r="E81" i="2"/>
  <c r="N76" i="2"/>
  <c r="G37" i="3"/>
  <c r="M42" i="3"/>
  <c r="M71" i="2"/>
  <c r="Q95" i="2"/>
  <c r="AP39" i="3"/>
  <c r="AA19" i="3"/>
  <c r="V24" i="3"/>
  <c r="F76" i="2"/>
  <c r="R82" i="2"/>
  <c r="N21" i="3"/>
  <c r="T37" i="3"/>
  <c r="AM23" i="3"/>
  <c r="AI76" i="3"/>
  <c r="Q25" i="3"/>
  <c r="G40" i="3"/>
  <c r="V15" i="3"/>
  <c r="F81" i="2"/>
  <c r="H88" i="2"/>
  <c r="C26" i="3"/>
  <c r="AK56" i="3"/>
  <c r="Q12" i="3"/>
  <c r="U29" i="3"/>
  <c r="H59" i="2"/>
  <c r="L54" i="2"/>
  <c r="K72" i="2"/>
  <c r="S96" i="2"/>
  <c r="AK21" i="3"/>
  <c r="D81" i="2"/>
  <c r="N68" i="2"/>
  <c r="W56" i="2"/>
  <c r="N87" i="3"/>
  <c r="AI36" i="3"/>
  <c r="AQ35" i="3"/>
  <c r="AI86" i="3"/>
  <c r="M80" i="2"/>
  <c r="AD35" i="3"/>
  <c r="F56" i="2"/>
  <c r="AJ40" i="3"/>
  <c r="AQ15" i="3"/>
  <c r="X15" i="3"/>
  <c r="I91" i="2"/>
  <c r="O63" i="2"/>
  <c r="K53" i="2"/>
  <c r="J54" i="2"/>
  <c r="AP12" i="3"/>
  <c r="N28" i="3"/>
  <c r="U9" i="3"/>
  <c r="AK8" i="3"/>
  <c r="J77" i="2"/>
  <c r="AH26" i="3"/>
  <c r="Z9" i="3"/>
  <c r="E106" i="2"/>
  <c r="N24" i="3"/>
  <c r="AP59" i="3"/>
  <c r="U91" i="2"/>
  <c r="O22" i="3"/>
  <c r="AP50" i="3"/>
  <c r="AL27" i="3"/>
  <c r="W63" i="2"/>
  <c r="S19" i="3"/>
  <c r="U80" i="2"/>
  <c r="U86" i="2"/>
  <c r="C60" i="2"/>
  <c r="N109" i="2"/>
  <c r="L90" i="2"/>
  <c r="T57" i="2"/>
  <c r="P96" i="2"/>
  <c r="N61" i="2"/>
  <c r="K80" i="2"/>
  <c r="C89" i="2"/>
  <c r="V11" i="3"/>
  <c r="L8" i="3"/>
  <c r="AH42" i="3"/>
  <c r="I23" i="3"/>
  <c r="S111" i="2"/>
  <c r="D67" i="2"/>
  <c r="W72" i="2"/>
  <c r="V65" i="2"/>
  <c r="V37" i="3"/>
  <c r="R30" i="3"/>
  <c r="F69" i="2"/>
  <c r="I40" i="2"/>
  <c r="V67" i="2"/>
  <c r="I35" i="3"/>
  <c r="AI11" i="3"/>
  <c r="AH36" i="3"/>
  <c r="K90" i="2"/>
  <c r="O76" i="2"/>
  <c r="R91" i="2"/>
  <c r="Q74" i="2"/>
  <c r="C64" i="2"/>
  <c r="X108" i="2"/>
  <c r="W21" i="3"/>
  <c r="J96" i="2"/>
  <c r="S21" i="3"/>
  <c r="AD42" i="3"/>
  <c r="W24" i="3"/>
  <c r="P67" i="2"/>
  <c r="AI60" i="3"/>
  <c r="N54" i="3"/>
  <c r="AJ36" i="3"/>
  <c r="P6" i="3"/>
  <c r="AD36" i="3"/>
  <c r="L64" i="2"/>
  <c r="J53" i="2"/>
  <c r="O87" i="2"/>
  <c r="E47" i="2"/>
  <c r="U40" i="2"/>
  <c r="J22" i="3"/>
  <c r="AE41" i="3"/>
  <c r="H21" i="3"/>
  <c r="AJ9" i="3"/>
  <c r="O40" i="2"/>
  <c r="V106" i="2"/>
  <c r="F95" i="2"/>
  <c r="AK65" i="3"/>
  <c r="N25" i="3"/>
  <c r="AL34" i="3"/>
  <c r="V29" i="3"/>
  <c r="Q57" i="3"/>
  <c r="L106" i="2"/>
  <c r="L52" i="2"/>
  <c r="L47" i="2"/>
  <c r="O108" i="2"/>
  <c r="V82" i="2"/>
  <c r="AC21" i="3"/>
  <c r="F58" i="2"/>
  <c r="K109" i="2"/>
  <c r="H27" i="3"/>
  <c r="H26" i="3"/>
  <c r="AJ8" i="3"/>
  <c r="Z13" i="3"/>
  <c r="AG33" i="3"/>
  <c r="AB28" i="3"/>
  <c r="AK36" i="3"/>
  <c r="R106" i="2"/>
  <c r="I108" i="2"/>
  <c r="J24" i="3"/>
  <c r="Y7" i="3"/>
  <c r="O28" i="3"/>
  <c r="AP83" i="3"/>
  <c r="U87" i="2"/>
  <c r="L56" i="2"/>
  <c r="W66" i="2"/>
  <c r="M42" i="2"/>
  <c r="T34" i="3"/>
  <c r="M109" i="2"/>
  <c r="R45" i="2"/>
  <c r="P65" i="2"/>
  <c r="AK71" i="3"/>
  <c r="AG17" i="3"/>
  <c r="I44" i="2"/>
  <c r="X77" i="2"/>
  <c r="G38" i="3"/>
  <c r="Y19" i="3"/>
  <c r="M87" i="2"/>
  <c r="AE10" i="3"/>
  <c r="Y39" i="3"/>
  <c r="T86" i="2"/>
  <c r="K84" i="2"/>
  <c r="T46" i="2"/>
  <c r="AP96" i="3"/>
  <c r="W31" i="3"/>
  <c r="AJ23" i="3"/>
  <c r="AN30" i="3"/>
  <c r="V105" i="2"/>
  <c r="D40" i="2"/>
  <c r="AM17" i="3"/>
  <c r="AC31" i="3"/>
  <c r="U36" i="3"/>
  <c r="H32" i="3"/>
  <c r="R17" i="3"/>
  <c r="G42" i="3"/>
  <c r="H63" i="2"/>
  <c r="P91" i="2"/>
  <c r="AP82" i="3"/>
  <c r="Z30" i="3"/>
  <c r="W22" i="3"/>
  <c r="T22" i="3"/>
  <c r="AG32" i="3"/>
  <c r="M66" i="3"/>
  <c r="Q69" i="3"/>
  <c r="O58" i="2"/>
  <c r="M54" i="3"/>
  <c r="K11" i="3"/>
  <c r="O38" i="3"/>
  <c r="U69" i="2"/>
  <c r="N18" i="3"/>
  <c r="C8" i="3"/>
  <c r="AN9" i="3"/>
  <c r="T26" i="3"/>
  <c r="AP33" i="3"/>
  <c r="AK68" i="3"/>
  <c r="Q50" i="3"/>
  <c r="F113" i="2"/>
  <c r="AH10" i="3"/>
  <c r="J51" i="2"/>
  <c r="AK37" i="3"/>
  <c r="AM19" i="3"/>
  <c r="I40" i="3"/>
  <c r="AC35" i="3"/>
  <c r="J94" i="2"/>
  <c r="Q66" i="3"/>
  <c r="T94" i="2"/>
  <c r="J40" i="3"/>
  <c r="G92" i="2"/>
  <c r="S6" i="3"/>
  <c r="Q78" i="3"/>
  <c r="P11" i="3"/>
  <c r="G78" i="2"/>
  <c r="AG41" i="3"/>
  <c r="G107" i="2"/>
  <c r="D80" i="2"/>
  <c r="W105" i="2"/>
  <c r="T44" i="2"/>
  <c r="AP77" i="3"/>
  <c r="V64" i="2"/>
  <c r="S49" i="2"/>
  <c r="L72" i="2"/>
  <c r="J59" i="2"/>
  <c r="AJ30" i="3"/>
  <c r="G83" i="2"/>
  <c r="AP41" i="3"/>
  <c r="C57" i="2"/>
  <c r="F53" i="2"/>
  <c r="AP27" i="3"/>
  <c r="P105" i="2"/>
  <c r="M83" i="2"/>
  <c r="J49" i="2"/>
  <c r="T5" i="3"/>
  <c r="F63" i="2"/>
  <c r="L48" i="2"/>
  <c r="F99" i="2"/>
  <c r="T35" i="3"/>
  <c r="AJ41" i="3"/>
  <c r="F46" i="2"/>
  <c r="R80" i="2"/>
  <c r="N81" i="2"/>
  <c r="AM34" i="3"/>
  <c r="J109" i="2"/>
  <c r="U44" i="2"/>
  <c r="F111" i="2"/>
  <c r="D83" i="2"/>
  <c r="M82" i="2"/>
  <c r="V61" i="2"/>
  <c r="C107" i="2"/>
  <c r="Q77" i="2"/>
  <c r="S79" i="2"/>
  <c r="E84" i="2"/>
  <c r="I46" i="2"/>
  <c r="AB31" i="3"/>
  <c r="D49" i="2"/>
  <c r="T67" i="2"/>
  <c r="V39" i="3"/>
  <c r="R104" i="2"/>
  <c r="R7" i="3"/>
  <c r="N60" i="2"/>
  <c r="V60" i="2"/>
  <c r="U32" i="3"/>
  <c r="W77" i="2"/>
  <c r="AI87" i="3"/>
  <c r="M96" i="3"/>
  <c r="G82" i="2"/>
  <c r="I64" i="2"/>
  <c r="S66" i="2"/>
  <c r="U99" i="2"/>
  <c r="V7" i="3"/>
  <c r="AB25" i="3"/>
  <c r="AE11" i="3"/>
  <c r="Z26" i="3"/>
  <c r="J13" i="3"/>
  <c r="Q50" i="2"/>
  <c r="AH17" i="3"/>
  <c r="S5" i="3"/>
  <c r="AG16" i="3"/>
  <c r="M83" i="3"/>
  <c r="T73" i="3"/>
  <c r="AB67" i="3"/>
  <c r="S82" i="2"/>
  <c r="P10" i="3"/>
  <c r="AI28" i="3"/>
  <c r="U67" i="2"/>
  <c r="Q82" i="2"/>
  <c r="G67" i="2"/>
  <c r="G112" i="2"/>
  <c r="S67" i="2"/>
  <c r="I50" i="2"/>
  <c r="J88" i="2"/>
  <c r="G63" i="2"/>
  <c r="V112" i="2"/>
  <c r="J57" i="2"/>
  <c r="O77" i="2"/>
  <c r="E109" i="2"/>
  <c r="W96" i="2"/>
  <c r="U88" i="2"/>
  <c r="T43" i="2"/>
  <c r="T85" i="2"/>
  <c r="AN31" i="3"/>
  <c r="S54" i="2"/>
  <c r="N9" i="3"/>
  <c r="M98" i="2"/>
  <c r="J111" i="2"/>
  <c r="AH8" i="3"/>
  <c r="X90" i="2"/>
  <c r="E64" i="2"/>
  <c r="G88" i="2"/>
  <c r="AB72" i="3"/>
  <c r="X48" i="2"/>
  <c r="AI38" i="3"/>
  <c r="E41" i="2"/>
  <c r="R87" i="2"/>
  <c r="Q42" i="2"/>
  <c r="F91" i="2"/>
  <c r="K61" i="2"/>
  <c r="X55" i="2"/>
  <c r="AB60" i="3"/>
  <c r="Q105" i="2"/>
  <c r="G61" i="2"/>
  <c r="J113" i="2"/>
  <c r="R77" i="2"/>
  <c r="P15" i="3"/>
  <c r="F105" i="2"/>
  <c r="O8" i="3"/>
  <c r="C20" i="3"/>
  <c r="C36" i="3"/>
  <c r="AQ10" i="3"/>
  <c r="I8" i="3"/>
  <c r="P86" i="2"/>
  <c r="U50" i="2"/>
  <c r="AP81" i="3"/>
  <c r="N76" i="3"/>
  <c r="D64" i="2"/>
  <c r="T58" i="3"/>
  <c r="N71" i="3"/>
  <c r="L28" i="3"/>
  <c r="G91" i="2"/>
  <c r="Q27" i="3"/>
  <c r="AB66" i="3"/>
  <c r="V56" i="2"/>
  <c r="AO13" i="3"/>
  <c r="AB15" i="3"/>
  <c r="O19" i="3"/>
  <c r="U40" i="3"/>
  <c r="AA42" i="3"/>
  <c r="AK9" i="3"/>
  <c r="U83" i="2"/>
  <c r="C39" i="3"/>
  <c r="AL62" i="3"/>
  <c r="N75" i="3"/>
  <c r="AI56" i="3"/>
  <c r="U110" i="2"/>
  <c r="AH15" i="3"/>
  <c r="P99" i="2"/>
  <c r="S92" i="2"/>
  <c r="E67" i="2"/>
  <c r="F59" i="2"/>
  <c r="O37" i="3"/>
  <c r="N37" i="3"/>
  <c r="Z19" i="3"/>
  <c r="I48" i="2"/>
  <c r="AB41" i="3"/>
  <c r="AK55" i="3"/>
  <c r="AD37" i="3"/>
  <c r="V68" i="2"/>
  <c r="N72" i="2"/>
  <c r="AM38" i="3"/>
  <c r="AI29" i="3"/>
  <c r="W38" i="3"/>
  <c r="U77" i="2"/>
  <c r="X8" i="3"/>
  <c r="AK82" i="3"/>
  <c r="D104" i="2"/>
  <c r="AC34" i="3"/>
  <c r="W91" i="2"/>
  <c r="M40" i="2"/>
  <c r="H97" i="2"/>
  <c r="X107" i="2"/>
  <c r="Q86" i="2"/>
  <c r="X32" i="3"/>
  <c r="AE40" i="3"/>
  <c r="L37" i="3"/>
  <c r="G86" i="2"/>
  <c r="I107" i="2"/>
  <c r="K41" i="2"/>
  <c r="AB56" i="3"/>
  <c r="N92" i="3"/>
  <c r="AE6" i="3"/>
  <c r="AK63" i="3"/>
  <c r="AC30" i="3"/>
  <c r="AB20" i="3"/>
  <c r="X91" i="2"/>
  <c r="S11" i="3"/>
  <c r="T40" i="3"/>
  <c r="X80" i="2"/>
  <c r="X93" i="2"/>
  <c r="AJ31" i="3"/>
  <c r="AO19" i="3"/>
  <c r="O66" i="2"/>
  <c r="E48" i="2"/>
  <c r="Y11" i="3"/>
  <c r="F82" i="2"/>
  <c r="L110" i="2"/>
  <c r="C79" i="2"/>
  <c r="AB22" i="3"/>
  <c r="J41" i="3"/>
  <c r="F107" i="2"/>
  <c r="E56" i="2"/>
  <c r="N105" i="2"/>
  <c r="G84" i="2"/>
  <c r="C17" i="3"/>
  <c r="U85" i="2"/>
  <c r="R83" i="2"/>
  <c r="C97" i="2"/>
  <c r="N65" i="2"/>
  <c r="L109" i="2"/>
  <c r="AP86" i="3"/>
  <c r="C91" i="2"/>
  <c r="C37" i="3"/>
  <c r="Z38" i="3"/>
  <c r="N69" i="2"/>
  <c r="M95" i="2"/>
  <c r="AB74" i="3"/>
  <c r="L95" i="2"/>
  <c r="H78" i="2"/>
  <c r="AA22" i="3"/>
  <c r="D77" i="2"/>
  <c r="P60" i="2"/>
  <c r="AA25" i="3"/>
  <c r="AP72" i="3"/>
  <c r="M41" i="2"/>
  <c r="AA40" i="3"/>
  <c r="G75" i="2"/>
  <c r="F51" i="2"/>
  <c r="AM14" i="3"/>
  <c r="AG15" i="3"/>
  <c r="H66" i="2"/>
  <c r="D74" i="2"/>
  <c r="D95" i="2"/>
  <c r="R34" i="3"/>
  <c r="AB12" i="3"/>
  <c r="AK30" i="3"/>
  <c r="C21" i="3"/>
  <c r="K37" i="3"/>
  <c r="AL18" i="3"/>
  <c r="AH12" i="3"/>
  <c r="X43" i="2"/>
  <c r="Z31" i="3"/>
  <c r="R16" i="3"/>
  <c r="N55" i="3"/>
  <c r="J86" i="2"/>
  <c r="P53" i="2"/>
  <c r="S97" i="2"/>
  <c r="AC29" i="3"/>
  <c r="AI39" i="3"/>
  <c r="AC17" i="3"/>
  <c r="O34" i="3"/>
  <c r="AA16" i="3"/>
  <c r="AM28" i="3"/>
  <c r="J35" i="3"/>
  <c r="S36" i="3"/>
  <c r="W59" i="2"/>
  <c r="AK91" i="3"/>
  <c r="T87" i="3"/>
  <c r="AP89" i="3"/>
  <c r="G54" i="2"/>
  <c r="P5" i="3"/>
  <c r="D90" i="2"/>
  <c r="C47" i="3"/>
  <c r="AG21" i="3"/>
  <c r="J36" i="3"/>
  <c r="P74" i="2"/>
  <c r="M36" i="3"/>
  <c r="G53" i="2"/>
  <c r="U49" i="2"/>
  <c r="AI6" i="3"/>
  <c r="S73" i="2"/>
  <c r="Z28" i="3"/>
  <c r="N30" i="3"/>
  <c r="S30" i="3"/>
  <c r="I39" i="3"/>
  <c r="AB29" i="3"/>
  <c r="N6" i="3"/>
  <c r="N80" i="3"/>
  <c r="U64" i="2"/>
  <c r="AN32" i="3"/>
  <c r="L45" i="2"/>
  <c r="K42" i="3"/>
  <c r="J27" i="3"/>
  <c r="J38" i="3"/>
  <c r="G33" i="3"/>
  <c r="AA7" i="3"/>
  <c r="AO29" i="3"/>
  <c r="K36" i="3"/>
  <c r="AA31" i="3"/>
  <c r="K74" i="2"/>
  <c r="W7" i="3"/>
  <c r="O88" i="2"/>
  <c r="I60" i="2"/>
  <c r="R62" i="2"/>
  <c r="D66" i="2"/>
  <c r="AC18" i="3"/>
  <c r="Q36" i="3"/>
  <c r="O112" i="2"/>
  <c r="R71" i="2"/>
  <c r="AB14" i="3"/>
  <c r="U57" i="2"/>
  <c r="AB77" i="3"/>
  <c r="C56" i="2"/>
  <c r="L53" i="2"/>
  <c r="F72" i="2"/>
  <c r="F84" i="2"/>
  <c r="O95" i="2"/>
  <c r="L113" i="2"/>
  <c r="H33" i="3"/>
  <c r="Z10" i="3"/>
  <c r="AL41" i="3"/>
  <c r="N64" i="2"/>
  <c r="T55" i="2"/>
  <c r="X67" i="2"/>
  <c r="AQ23" i="3"/>
  <c r="S16" i="3"/>
  <c r="L29" i="3"/>
  <c r="W28" i="3"/>
  <c r="S57" i="2"/>
  <c r="R60" i="2"/>
  <c r="E60" i="2"/>
  <c r="N41" i="2"/>
  <c r="AP57" i="3"/>
  <c r="H5" i="3"/>
  <c r="Z5" i="3"/>
  <c r="D111" i="2"/>
  <c r="T73" i="2"/>
  <c r="P26" i="3"/>
  <c r="T48" i="2"/>
  <c r="T70" i="3"/>
  <c r="P78" i="2"/>
  <c r="V32" i="3"/>
  <c r="N32" i="3"/>
  <c r="AL40" i="3"/>
  <c r="G32" i="3"/>
  <c r="H54" i="3"/>
  <c r="T68" i="3"/>
  <c r="M60" i="3"/>
  <c r="T47" i="3"/>
  <c r="H72" i="2"/>
  <c r="AL25" i="3"/>
  <c r="AH24" i="3"/>
  <c r="K17" i="3"/>
  <c r="AP35" i="3"/>
  <c r="AA15" i="3"/>
  <c r="AN5" i="3"/>
  <c r="L16" i="3"/>
  <c r="AM24" i="3"/>
  <c r="AH28" i="3"/>
  <c r="AE36" i="3"/>
  <c r="AK48" i="3"/>
  <c r="S24" i="3"/>
  <c r="AN57" i="3"/>
  <c r="S59" i="3"/>
  <c r="J25" i="3"/>
  <c r="Y10" i="3"/>
  <c r="AD24" i="3"/>
  <c r="M84" i="2"/>
  <c r="Q40" i="3"/>
  <c r="AH20" i="3"/>
  <c r="S84" i="2"/>
  <c r="M66" i="2"/>
  <c r="T56" i="3"/>
  <c r="O39" i="3"/>
  <c r="Q73" i="2"/>
  <c r="I106" i="2"/>
  <c r="N66" i="2"/>
  <c r="E99" i="2"/>
  <c r="Q51" i="2"/>
  <c r="X27" i="3"/>
  <c r="N78" i="2"/>
  <c r="H89" i="3"/>
  <c r="U38" i="3"/>
  <c r="Y12" i="3"/>
  <c r="AN60" i="3"/>
  <c r="O49" i="2"/>
  <c r="V8" i="3"/>
  <c r="AH14" i="3"/>
  <c r="P33" i="3"/>
  <c r="AB9" i="3"/>
  <c r="K7" i="3"/>
  <c r="AJ5" i="3"/>
  <c r="O11" i="3"/>
  <c r="AO37" i="3"/>
  <c r="AM30" i="3"/>
  <c r="R66" i="2"/>
  <c r="AP69" i="3"/>
  <c r="O41" i="2"/>
  <c r="H19" i="3"/>
  <c r="X53" i="2"/>
  <c r="AI13" i="3"/>
  <c r="L81" i="2"/>
  <c r="E94" i="2"/>
  <c r="C22" i="3"/>
  <c r="AK64" i="3"/>
  <c r="I99" i="2"/>
  <c r="V55" i="2"/>
  <c r="R90" i="2"/>
  <c r="J17" i="3"/>
  <c r="AI33" i="3"/>
  <c r="AN15" i="3"/>
  <c r="AL24" i="3"/>
  <c r="AG7" i="3"/>
  <c r="L41" i="2"/>
  <c r="L62" i="2"/>
  <c r="S99" i="2"/>
  <c r="AN90" i="3"/>
  <c r="AE25" i="3"/>
  <c r="T39" i="3"/>
  <c r="AI70" i="3"/>
  <c r="G60" i="2"/>
  <c r="P104" i="2"/>
  <c r="H45" i="2"/>
  <c r="K6" i="3"/>
  <c r="AG22" i="3"/>
  <c r="T38" i="3"/>
  <c r="Z18" i="3"/>
  <c r="AE35" i="3"/>
  <c r="M33" i="3"/>
  <c r="K113" i="2"/>
  <c r="AE20" i="3"/>
  <c r="G56" i="2"/>
  <c r="Z17" i="3"/>
  <c r="AN68" i="3"/>
  <c r="AN91" i="3"/>
  <c r="R48" i="2"/>
  <c r="G64" i="2"/>
  <c r="H48" i="3"/>
  <c r="Q73" i="3"/>
  <c r="M48" i="3"/>
  <c r="I111" i="2"/>
  <c r="Q64" i="2"/>
  <c r="V9" i="3"/>
  <c r="S15" i="3"/>
  <c r="AN28" i="3"/>
  <c r="AN85" i="3"/>
  <c r="AK40" i="3"/>
  <c r="N72" i="3"/>
  <c r="S81" i="3"/>
  <c r="M81" i="3"/>
  <c r="AH9" i="3"/>
  <c r="K77" i="2"/>
  <c r="AN78" i="3"/>
  <c r="Z91" i="3"/>
  <c r="AH40" i="3"/>
  <c r="Q11" i="3"/>
  <c r="T65" i="3"/>
  <c r="Y20" i="3"/>
  <c r="AB81" i="3"/>
  <c r="K54" i="2"/>
  <c r="AL19" i="3"/>
  <c r="AK23" i="3"/>
  <c r="N12" i="3"/>
  <c r="AK66" i="3"/>
  <c r="T84" i="3"/>
  <c r="J28" i="3"/>
  <c r="AQ41" i="3"/>
  <c r="P71" i="2"/>
  <c r="O98" i="2"/>
  <c r="P97" i="2"/>
  <c r="G66" i="2"/>
  <c r="AM10" i="3"/>
  <c r="AE39" i="3"/>
  <c r="L73" i="2"/>
  <c r="I42" i="2"/>
  <c r="J84" i="2"/>
  <c r="G46" i="2"/>
  <c r="AL15" i="3"/>
  <c r="O29" i="3"/>
  <c r="AE9" i="3"/>
  <c r="S104" i="2"/>
  <c r="H95" i="2"/>
  <c r="Q53" i="2"/>
  <c r="H104" i="2"/>
  <c r="S98" i="2"/>
  <c r="L87" i="2"/>
  <c r="J110" i="2"/>
  <c r="Q83" i="2"/>
  <c r="X52" i="2"/>
  <c r="U42" i="2"/>
  <c r="M62" i="2"/>
  <c r="T113" i="2"/>
  <c r="W92" i="2"/>
  <c r="T107" i="2"/>
  <c r="AP93" i="3"/>
  <c r="I54" i="2"/>
  <c r="D85" i="2"/>
  <c r="F65" i="2"/>
  <c r="M96" i="2"/>
  <c r="C43" i="2"/>
  <c r="G90" i="2"/>
  <c r="W78" i="2"/>
  <c r="Q111" i="2"/>
  <c r="M64" i="2"/>
  <c r="W54" i="2"/>
  <c r="N95" i="3"/>
  <c r="AP40" i="3"/>
  <c r="AJ24" i="3"/>
  <c r="H68" i="3"/>
  <c r="P27" i="3"/>
  <c r="AI96" i="3"/>
  <c r="H72" i="3"/>
  <c r="AB75" i="3"/>
  <c r="X6" i="3"/>
  <c r="N17" i="3"/>
  <c r="J8" i="3"/>
  <c r="W30" i="3"/>
  <c r="AI37" i="3"/>
  <c r="T86" i="3"/>
  <c r="X61" i="2"/>
  <c r="R72" i="2"/>
  <c r="M14" i="3"/>
  <c r="K8" i="3"/>
  <c r="AO38" i="3"/>
  <c r="T63" i="3"/>
  <c r="Y15" i="3"/>
  <c r="AI17" i="3"/>
  <c r="AN27" i="3"/>
  <c r="O24" i="3"/>
  <c r="H65" i="3"/>
  <c r="L40" i="3"/>
  <c r="S76" i="3"/>
  <c r="AI90" i="3"/>
  <c r="V41" i="2"/>
  <c r="AM21" i="3"/>
  <c r="C52" i="2"/>
  <c r="W67" i="2"/>
  <c r="O15" i="3"/>
  <c r="M20" i="3"/>
  <c r="AL17" i="3"/>
  <c r="AJ38" i="3"/>
  <c r="R89" i="2"/>
  <c r="F55" i="2"/>
  <c r="V17" i="3"/>
  <c r="AQ18" i="3"/>
  <c r="I41" i="2"/>
  <c r="AG39" i="3"/>
  <c r="AB42" i="3"/>
  <c r="D86" i="2"/>
  <c r="F112" i="2"/>
  <c r="AP18" i="3"/>
  <c r="L18" i="3"/>
  <c r="T54" i="3"/>
  <c r="H41" i="2"/>
  <c r="M91" i="3"/>
  <c r="P83" i="3"/>
  <c r="P41" i="3"/>
  <c r="M59" i="2"/>
  <c r="N113" i="2"/>
  <c r="AG24" i="3"/>
  <c r="AO17" i="3"/>
  <c r="K18" i="3"/>
  <c r="N33" i="3"/>
  <c r="I32" i="3"/>
  <c r="AD26" i="3"/>
  <c r="AG25" i="3"/>
  <c r="C87" i="2"/>
  <c r="N67" i="3"/>
  <c r="Y32" i="3"/>
  <c r="W15" i="3"/>
  <c r="K5" i="3"/>
  <c r="U8" i="3"/>
  <c r="T94" i="3"/>
  <c r="AK54" i="3"/>
  <c r="X36" i="3"/>
  <c r="R53" i="2"/>
  <c r="W89" i="2"/>
  <c r="S112" i="2"/>
  <c r="F96" i="2"/>
  <c r="V104" i="2"/>
  <c r="D98" i="2"/>
  <c r="C54" i="2"/>
  <c r="K95" i="2"/>
  <c r="S94" i="2"/>
  <c r="C81" i="2"/>
  <c r="AP47" i="3"/>
  <c r="L50" i="2"/>
  <c r="AP70" i="3"/>
  <c r="V90" i="2"/>
  <c r="S51" i="2"/>
  <c r="F110" i="2"/>
  <c r="V72" i="2"/>
  <c r="D87" i="2"/>
  <c r="C90" i="2"/>
  <c r="U58" i="2"/>
  <c r="X79" i="2"/>
  <c r="AI10" i="3"/>
  <c r="O72" i="2"/>
  <c r="H57" i="2"/>
  <c r="D44" i="2"/>
  <c r="AC20" i="3"/>
  <c r="X82" i="2"/>
  <c r="H91" i="2"/>
  <c r="H50" i="2"/>
  <c r="F85" i="2"/>
  <c r="F66" i="2"/>
  <c r="K91" i="2"/>
  <c r="X88" i="2"/>
  <c r="G106" i="2"/>
  <c r="P52" i="2"/>
  <c r="E66" i="2"/>
  <c r="R59" i="2"/>
  <c r="M57" i="2"/>
  <c r="O21" i="3"/>
  <c r="S40" i="3"/>
  <c r="T79" i="2"/>
  <c r="E49" i="3"/>
  <c r="K88" i="2"/>
  <c r="N26" i="3"/>
  <c r="L13" i="3"/>
  <c r="W106" i="2"/>
  <c r="AE34" i="3"/>
  <c r="K93" i="2"/>
  <c r="T68" i="2"/>
  <c r="C69" i="2"/>
  <c r="X60" i="2"/>
  <c r="U18" i="3"/>
  <c r="J30" i="3"/>
  <c r="Y23" i="3"/>
  <c r="AI64" i="3"/>
  <c r="AK72" i="3"/>
  <c r="V95" i="2"/>
  <c r="H20" i="3"/>
  <c r="Q22" i="3"/>
  <c r="AN38" i="3"/>
  <c r="AK79" i="3"/>
  <c r="AK92" i="3"/>
  <c r="AQ5" i="3"/>
  <c r="C45" i="2"/>
  <c r="S84" i="3"/>
  <c r="N60" i="3"/>
  <c r="X21" i="3"/>
  <c r="T78" i="3"/>
  <c r="H79" i="2"/>
  <c r="Y22" i="3"/>
  <c r="X62" i="2"/>
  <c r="H40" i="3"/>
  <c r="V35" i="3"/>
  <c r="K14" i="3"/>
  <c r="I15" i="3"/>
  <c r="AA33" i="3"/>
  <c r="X50" i="2"/>
  <c r="AN8" i="3"/>
  <c r="AC36" i="3"/>
  <c r="K112" i="2"/>
  <c r="W41" i="2"/>
  <c r="O104" i="2"/>
  <c r="T21" i="3"/>
  <c r="AG11" i="3"/>
  <c r="R36" i="3"/>
  <c r="M46" i="2"/>
  <c r="P43" i="2"/>
  <c r="T77" i="3"/>
  <c r="H92" i="3"/>
  <c r="N98" i="2"/>
  <c r="U20" i="3"/>
  <c r="Z57" i="3"/>
  <c r="P49" i="3"/>
  <c r="AQ83" i="3"/>
  <c r="G42" i="2"/>
  <c r="E74" i="2"/>
  <c r="P76" i="2"/>
  <c r="P24" i="3"/>
  <c r="AA24" i="3"/>
  <c r="AQ28" i="3"/>
  <c r="X22" i="3"/>
  <c r="V13" i="3"/>
  <c r="AB21" i="3"/>
  <c r="AG5" i="3"/>
  <c r="Y37" i="3"/>
  <c r="I22" i="3"/>
  <c r="AA6" i="3"/>
  <c r="U35" i="3"/>
  <c r="AJ55" i="3"/>
  <c r="M61" i="3"/>
  <c r="V47" i="2"/>
  <c r="AI22" i="3"/>
  <c r="L107" i="2"/>
  <c r="L32" i="3"/>
  <c r="AG42" i="3"/>
  <c r="E88" i="2"/>
  <c r="AJ16" i="3"/>
  <c r="M111" i="2"/>
  <c r="F47" i="2"/>
  <c r="AB7" i="3"/>
  <c r="U12" i="3"/>
  <c r="V16" i="3"/>
  <c r="M112" i="2"/>
  <c r="Q43" i="2"/>
  <c r="Q72" i="2"/>
  <c r="U111" i="2"/>
  <c r="N40" i="2"/>
  <c r="D89" i="2"/>
  <c r="C48" i="3"/>
  <c r="Y38" i="3"/>
  <c r="T49" i="2"/>
  <c r="E55" i="2"/>
  <c r="P40" i="2"/>
  <c r="S50" i="2"/>
  <c r="AB58" i="3"/>
  <c r="I37" i="3"/>
  <c r="E59" i="2"/>
  <c r="H68" i="2"/>
  <c r="AM22" i="3"/>
  <c r="G79" i="2"/>
  <c r="Y34" i="3"/>
  <c r="C110" i="2"/>
  <c r="G77" i="2"/>
  <c r="R65" i="2"/>
  <c r="V113" i="2"/>
  <c r="J45" i="2"/>
  <c r="AP37" i="3"/>
  <c r="AI9" i="3"/>
  <c r="U95" i="2"/>
  <c r="U51" i="2"/>
  <c r="K98" i="2"/>
  <c r="X10" i="3"/>
  <c r="R99" i="2"/>
  <c r="U61" i="2"/>
  <c r="R111" i="2"/>
  <c r="V88" i="2"/>
  <c r="AC40" i="3"/>
  <c r="AG8" i="3"/>
  <c r="L60" i="2"/>
  <c r="I45" i="2"/>
  <c r="G69" i="2"/>
  <c r="M45" i="2"/>
  <c r="V91" i="2"/>
  <c r="AN10" i="3"/>
  <c r="R47" i="2"/>
  <c r="V21" i="3"/>
  <c r="S44" i="2"/>
  <c r="AM33" i="3"/>
  <c r="L108" i="2"/>
  <c r="AI93" i="3"/>
  <c r="V23" i="3"/>
  <c r="L84" i="2"/>
  <c r="Z49" i="3"/>
  <c r="E77" i="2"/>
  <c r="N34" i="3"/>
  <c r="AJ29" i="3"/>
  <c r="AN7" i="3"/>
  <c r="C85" i="2"/>
  <c r="I98" i="2"/>
  <c r="H94" i="3"/>
  <c r="O7" i="3"/>
  <c r="D43" i="2"/>
  <c r="T67" i="3"/>
  <c r="X31" i="3"/>
  <c r="Z67" i="3"/>
  <c r="AI19" i="3"/>
  <c r="G62" i="2"/>
  <c r="P34" i="3"/>
  <c r="Q17" i="3"/>
  <c r="T12" i="3"/>
  <c r="AB6" i="3"/>
  <c r="AI7" i="3"/>
  <c r="AP14" i="3"/>
  <c r="AC39" i="3"/>
  <c r="O107" i="2"/>
  <c r="AB93" i="3"/>
  <c r="R61" i="2"/>
  <c r="Y13" i="3"/>
  <c r="U65" i="2"/>
  <c r="N110" i="2"/>
  <c r="W49" i="2"/>
  <c r="O84" i="2"/>
  <c r="Q37" i="3"/>
  <c r="H41" i="3"/>
  <c r="G51" i="2"/>
  <c r="L46" i="2"/>
  <c r="E42" i="2"/>
  <c r="Q85" i="2"/>
  <c r="AO7" i="3"/>
  <c r="S12" i="3"/>
  <c r="K29" i="3"/>
  <c r="M76" i="2"/>
  <c r="P22" i="3"/>
  <c r="AB49" i="3"/>
  <c r="AM11" i="3"/>
  <c r="Q81" i="2"/>
  <c r="L5" i="3"/>
  <c r="M63" i="2"/>
  <c r="F80" i="2"/>
  <c r="W97" i="2"/>
  <c r="Q67" i="2"/>
  <c r="AB82" i="3"/>
  <c r="T92" i="2"/>
  <c r="N57" i="2"/>
  <c r="Q96" i="2"/>
  <c r="C32" i="3"/>
  <c r="AB97" i="3"/>
  <c r="V79" i="2"/>
  <c r="S106" i="2"/>
  <c r="H10" i="3"/>
  <c r="W68" i="2"/>
  <c r="J65" i="2"/>
  <c r="F71" i="2"/>
  <c r="H105" i="2"/>
  <c r="W53" i="2"/>
  <c r="W88" i="2"/>
  <c r="H42" i="3"/>
  <c r="H112" i="2"/>
  <c r="R20" i="3"/>
  <c r="W94" i="2"/>
  <c r="W75" i="2"/>
  <c r="I51" i="2"/>
  <c r="T96" i="2"/>
  <c r="L83" i="3"/>
  <c r="V22" i="3"/>
  <c r="M40" i="3"/>
  <c r="AK74" i="3"/>
  <c r="L39" i="3"/>
  <c r="W65" i="2"/>
  <c r="T105" i="2"/>
  <c r="J108" i="2"/>
  <c r="AG20" i="3"/>
  <c r="Q13" i="3"/>
  <c r="Q112" i="2"/>
  <c r="AP75" i="3"/>
  <c r="AQ8" i="3"/>
  <c r="L112" i="2"/>
  <c r="AN74" i="3"/>
  <c r="AQ16" i="3"/>
  <c r="O57" i="2"/>
  <c r="Q68" i="2"/>
  <c r="N88" i="2"/>
  <c r="U6" i="3"/>
  <c r="AN72" i="3"/>
  <c r="AM20" i="3"/>
  <c r="H61" i="2"/>
  <c r="G87" i="2"/>
  <c r="S107" i="2"/>
  <c r="AJ39" i="3"/>
  <c r="M41" i="3"/>
  <c r="AM27" i="3"/>
  <c r="AN19" i="3"/>
  <c r="X39" i="3"/>
  <c r="AB18" i="3"/>
  <c r="J112" i="2"/>
  <c r="AB65" i="3"/>
  <c r="V12" i="3"/>
  <c r="AQ17" i="3"/>
  <c r="Q8" i="3"/>
  <c r="AC32" i="3"/>
  <c r="I25" i="3"/>
  <c r="AO11" i="3"/>
  <c r="AE42" i="3"/>
  <c r="P87" i="2"/>
  <c r="F54" i="2"/>
  <c r="O75" i="2"/>
  <c r="F86" i="2"/>
  <c r="Q108" i="2"/>
  <c r="K69" i="2"/>
  <c r="I76" i="2"/>
  <c r="T76" i="2"/>
  <c r="AB34" i="3"/>
  <c r="R56" i="2"/>
  <c r="L69" i="2"/>
  <c r="O74" i="2"/>
  <c r="M104" i="2"/>
  <c r="U98" i="2"/>
  <c r="I58" i="2"/>
  <c r="W113" i="2"/>
  <c r="Q52" i="2"/>
  <c r="K79" i="2"/>
  <c r="Q84" i="2"/>
  <c r="J83" i="2"/>
  <c r="E98" i="2"/>
  <c r="W84" i="2"/>
  <c r="F50" i="2"/>
  <c r="G98" i="2"/>
  <c r="T30" i="3"/>
  <c r="U71" i="2"/>
  <c r="Q35" i="3"/>
  <c r="X95" i="2"/>
  <c r="M73" i="2"/>
  <c r="D58" i="2"/>
  <c r="F73" i="2"/>
  <c r="M44" i="2"/>
  <c r="M88" i="2"/>
  <c r="N95" i="2"/>
  <c r="AQ31" i="3"/>
  <c r="T77" i="2"/>
  <c r="P84" i="2"/>
  <c r="X99" i="2"/>
  <c r="AH39" i="3"/>
  <c r="L61" i="2"/>
  <c r="E113" i="2"/>
  <c r="K73" i="2"/>
  <c r="O62" i="2"/>
  <c r="J80" i="2"/>
  <c r="AK96" i="3"/>
  <c r="W25" i="3"/>
  <c r="C40" i="2"/>
  <c r="AK28" i="3"/>
  <c r="J64" i="2"/>
  <c r="Y31" i="3"/>
  <c r="T42" i="3"/>
  <c r="G50" i="3"/>
  <c r="AA13" i="3"/>
  <c r="X96" i="2"/>
  <c r="T93" i="3"/>
  <c r="V94" i="2"/>
  <c r="J104" i="2"/>
  <c r="G95" i="2"/>
  <c r="O23" i="3"/>
  <c r="L68" i="3"/>
  <c r="S113" i="2"/>
  <c r="P79" i="2"/>
  <c r="AB57" i="3"/>
  <c r="T75" i="2"/>
  <c r="F61" i="2"/>
  <c r="L63" i="3"/>
  <c r="P56" i="2"/>
  <c r="AC13" i="3"/>
  <c r="AO18" i="3"/>
  <c r="H84" i="3"/>
  <c r="AK49" i="3"/>
  <c r="AN83" i="3"/>
  <c r="S105" i="2"/>
  <c r="O46" i="2"/>
  <c r="AP30" i="3"/>
  <c r="AC14" i="3"/>
  <c r="J5" i="3"/>
  <c r="AJ12" i="3"/>
  <c r="H39" i="3"/>
  <c r="J21" i="3"/>
  <c r="T15" i="3"/>
  <c r="T25" i="3"/>
  <c r="O67" i="2"/>
  <c r="T83" i="2"/>
  <c r="AG12" i="3"/>
  <c r="AH32" i="3"/>
  <c r="AB13" i="3"/>
  <c r="H31" i="3"/>
  <c r="O40" i="3"/>
  <c r="O33" i="3"/>
  <c r="P92" i="2"/>
  <c r="D75" i="2"/>
  <c r="AB78" i="3"/>
  <c r="J81" i="2"/>
  <c r="AB59" i="3"/>
  <c r="E89" i="2"/>
  <c r="T96" i="3"/>
  <c r="R50" i="2"/>
  <c r="R85" i="2"/>
  <c r="H98" i="2"/>
  <c r="AI48" i="3"/>
  <c r="W87" i="2"/>
  <c r="V53" i="2"/>
  <c r="T50" i="3"/>
  <c r="Z76" i="3"/>
  <c r="T6" i="3"/>
  <c r="AL7" i="3"/>
  <c r="AG23" i="3"/>
  <c r="M43" i="2"/>
  <c r="AD22" i="3"/>
  <c r="C38" i="3"/>
  <c r="J106" i="2"/>
  <c r="R42" i="3"/>
  <c r="M67" i="3"/>
  <c r="G35" i="3"/>
  <c r="X51" i="2"/>
  <c r="I79" i="2"/>
  <c r="C67" i="2"/>
  <c r="L62" i="3"/>
  <c r="P55" i="2"/>
  <c r="AC25" i="3"/>
  <c r="T78" i="2"/>
  <c r="P65" i="3"/>
  <c r="AL9" i="3"/>
  <c r="L59" i="2"/>
  <c r="L36" i="3"/>
  <c r="S77" i="3"/>
  <c r="AN11" i="3"/>
  <c r="P94" i="2"/>
  <c r="S46" i="2"/>
  <c r="AQ14" i="3"/>
  <c r="AC26" i="3"/>
  <c r="O113" i="2"/>
  <c r="L24" i="3"/>
  <c r="D47" i="3"/>
  <c r="J87" i="2"/>
  <c r="Q42" i="3"/>
  <c r="L7" i="3"/>
  <c r="S61" i="3"/>
  <c r="W37" i="3"/>
  <c r="AM35" i="3"/>
  <c r="Q84" i="3"/>
  <c r="AQ94" i="3"/>
  <c r="T20" i="3"/>
  <c r="V20" i="3"/>
  <c r="AH23" i="3"/>
  <c r="X40" i="3"/>
  <c r="AE26" i="3"/>
  <c r="Q24" i="3"/>
  <c r="AK59" i="3"/>
  <c r="H82" i="3"/>
  <c r="K68" i="3"/>
  <c r="Q86" i="3"/>
  <c r="AK6" i="3"/>
  <c r="N14" i="3"/>
  <c r="AJ26" i="3"/>
  <c r="S48" i="3"/>
  <c r="N36" i="3"/>
  <c r="O13" i="3"/>
  <c r="L34" i="3"/>
  <c r="J33" i="3"/>
  <c r="AP31" i="3"/>
  <c r="L12" i="3"/>
  <c r="AI50" i="3"/>
  <c r="N57" i="3"/>
  <c r="AE33" i="3"/>
  <c r="T76" i="3"/>
  <c r="G41" i="3"/>
  <c r="G109" i="2"/>
  <c r="AK70" i="3"/>
  <c r="L58" i="3"/>
  <c r="J56" i="3"/>
  <c r="AN93" i="3"/>
  <c r="M84" i="3"/>
  <c r="AK81" i="3"/>
  <c r="C108" i="2"/>
  <c r="L67" i="3"/>
  <c r="AK38" i="3"/>
  <c r="U105" i="2"/>
  <c r="AJ71" i="3"/>
  <c r="AK83" i="3"/>
  <c r="AN41" i="3"/>
  <c r="M65" i="3"/>
  <c r="M68" i="3"/>
  <c r="R19" i="3"/>
  <c r="AH34" i="3"/>
  <c r="M60" i="2"/>
  <c r="AG34" i="3"/>
  <c r="Q49" i="3"/>
  <c r="AK19" i="3"/>
  <c r="N11" i="3"/>
  <c r="X12" i="3"/>
  <c r="Z41" i="3"/>
  <c r="Q6" i="3"/>
  <c r="P39" i="3"/>
  <c r="J74" i="3"/>
  <c r="AG84" i="3"/>
  <c r="M55" i="3"/>
  <c r="W57" i="2"/>
  <c r="G47" i="3"/>
  <c r="J89" i="2"/>
  <c r="AK42" i="3"/>
  <c r="AG83" i="3"/>
  <c r="AD47" i="3"/>
  <c r="X98" i="2"/>
  <c r="O86" i="2"/>
  <c r="W42" i="2"/>
  <c r="N54" i="2"/>
  <c r="R108" i="2"/>
  <c r="L57" i="3"/>
  <c r="AN24" i="3"/>
  <c r="H75" i="3"/>
  <c r="H96" i="3"/>
  <c r="AA27" i="3"/>
  <c r="T106" i="2"/>
  <c r="L22" i="3"/>
  <c r="AI75" i="3"/>
  <c r="Z73" i="3"/>
  <c r="S26" i="3"/>
  <c r="M80" i="3"/>
  <c r="Q83" i="3"/>
  <c r="K55" i="3"/>
  <c r="AN89" i="3"/>
  <c r="AG60" i="3"/>
  <c r="K79" i="3"/>
  <c r="AN95" i="3"/>
  <c r="S79" i="3"/>
  <c r="J88" i="3"/>
  <c r="AJ75" i="3"/>
  <c r="AJ96" i="3"/>
  <c r="K83" i="3"/>
  <c r="T11" i="3"/>
  <c r="AG94" i="3"/>
  <c r="P81" i="3"/>
  <c r="U113" i="2"/>
  <c r="AK22" i="3"/>
  <c r="M56" i="2"/>
  <c r="AO26" i="3"/>
  <c r="R14" i="3"/>
  <c r="AL16" i="3"/>
  <c r="M21" i="3"/>
  <c r="J26" i="3"/>
  <c r="Q7" i="3"/>
  <c r="Y26" i="3"/>
  <c r="AB96" i="3"/>
  <c r="AA18" i="3"/>
  <c r="H89" i="2"/>
  <c r="S53" i="2"/>
  <c r="AC12" i="3"/>
  <c r="U74" i="2"/>
  <c r="AK18" i="3"/>
  <c r="P57" i="3"/>
  <c r="L54" i="3"/>
  <c r="AK39" i="3"/>
  <c r="V46" i="2"/>
  <c r="Q71" i="2"/>
  <c r="AB30" i="3"/>
  <c r="AE12" i="3"/>
  <c r="P90" i="2"/>
  <c r="N111" i="2"/>
  <c r="AM37" i="3"/>
  <c r="O27" i="3"/>
  <c r="Q18" i="3"/>
  <c r="C6" i="3"/>
  <c r="AJ67" i="3"/>
  <c r="AB64" i="3"/>
  <c r="M79" i="3"/>
  <c r="U14" i="3"/>
  <c r="AG77" i="3"/>
  <c r="Q80" i="3"/>
  <c r="Z93" i="3"/>
  <c r="X85" i="2"/>
  <c r="T18" i="3"/>
  <c r="AC24" i="3"/>
  <c r="J61" i="3"/>
  <c r="AK85" i="3"/>
  <c r="AK93" i="3"/>
  <c r="Q87" i="3"/>
  <c r="T83" i="3"/>
  <c r="G71" i="2"/>
  <c r="P89" i="3"/>
  <c r="AQ19" i="3"/>
  <c r="AA28" i="3"/>
  <c r="AN26" i="3"/>
  <c r="S10" i="3"/>
  <c r="O32" i="3"/>
  <c r="L40" i="2"/>
  <c r="AO34" i="3"/>
  <c r="AK24" i="3"/>
  <c r="T31" i="3"/>
  <c r="I29" i="3"/>
  <c r="J34" i="3"/>
  <c r="AB83" i="3"/>
  <c r="AC6" i="3"/>
  <c r="AG27" i="3"/>
  <c r="U16" i="3"/>
  <c r="H76" i="3"/>
  <c r="J63" i="3"/>
  <c r="K67" i="3"/>
  <c r="AH5" i="3"/>
  <c r="K69" i="3"/>
  <c r="L55" i="2"/>
  <c r="T65" i="2"/>
  <c r="S83" i="2"/>
  <c r="Y21" i="3"/>
  <c r="X42" i="2"/>
  <c r="AJ60" i="3"/>
  <c r="R84" i="2"/>
  <c r="S90" i="3"/>
  <c r="S86" i="3"/>
  <c r="M94" i="3"/>
  <c r="AG76" i="3"/>
  <c r="AK32" i="3"/>
  <c r="AH63" i="3"/>
  <c r="Z12" i="3"/>
  <c r="L97" i="3"/>
  <c r="J42" i="2"/>
  <c r="AG56" i="3"/>
  <c r="C49" i="2"/>
  <c r="L23" i="3"/>
  <c r="AM41" i="3"/>
  <c r="AG74" i="3"/>
  <c r="AI91" i="3"/>
  <c r="J63" i="2"/>
  <c r="Z82" i="3"/>
  <c r="Q61" i="3"/>
  <c r="K96" i="2"/>
  <c r="AI92" i="3"/>
  <c r="X9" i="3"/>
  <c r="N89" i="3"/>
  <c r="AI84" i="3"/>
  <c r="AI77" i="3"/>
  <c r="C53" i="2"/>
  <c r="AD49" i="3"/>
  <c r="N61" i="3"/>
  <c r="AH62" i="3"/>
  <c r="AA9" i="3"/>
  <c r="T28" i="3"/>
  <c r="G43" i="2"/>
  <c r="N86" i="2"/>
  <c r="AJ49" i="3"/>
  <c r="S91" i="3"/>
  <c r="K16" i="3"/>
  <c r="AL35" i="3"/>
  <c r="U15" i="3"/>
  <c r="L67" i="2"/>
  <c r="M69" i="2"/>
  <c r="T62" i="2"/>
  <c r="AJ88" i="3"/>
  <c r="G49" i="3"/>
  <c r="AA17" i="3"/>
  <c r="AH56" i="3"/>
  <c r="AG81" i="3"/>
  <c r="K94" i="3"/>
  <c r="AH60" i="3"/>
  <c r="Q60" i="3"/>
  <c r="AQ93" i="3"/>
  <c r="AQ70" i="3"/>
  <c r="Q58" i="3"/>
  <c r="J81" i="3"/>
  <c r="AJ74" i="3"/>
  <c r="AG49" i="3"/>
  <c r="K76" i="3"/>
  <c r="AH86" i="3"/>
  <c r="Q26" i="3"/>
  <c r="J52" i="2"/>
  <c r="W112" i="2"/>
  <c r="AH55" i="3"/>
  <c r="AH87" i="3"/>
  <c r="K72" i="3"/>
  <c r="K87" i="3"/>
  <c r="AQ66" i="3"/>
  <c r="J65" i="3"/>
  <c r="K59" i="3"/>
  <c r="AH93" i="3"/>
  <c r="P67" i="3"/>
  <c r="AJ80" i="3"/>
  <c r="AG92" i="3"/>
  <c r="K12" i="3"/>
  <c r="AP65" i="3"/>
  <c r="AI49" i="3"/>
  <c r="AG36" i="3"/>
  <c r="AL26" i="3"/>
  <c r="H67" i="2"/>
  <c r="H61" i="3"/>
  <c r="N62" i="2"/>
  <c r="AD29" i="3"/>
  <c r="T40" i="2"/>
  <c r="AK67" i="3"/>
  <c r="Q82" i="3"/>
  <c r="M49" i="3"/>
  <c r="P61" i="3"/>
  <c r="AG55" i="3"/>
  <c r="AH90" i="3"/>
  <c r="C84" i="2"/>
  <c r="L50" i="3"/>
  <c r="M31" i="3"/>
  <c r="P59" i="3"/>
  <c r="T9" i="3"/>
  <c r="D48" i="3"/>
  <c r="T7" i="3"/>
  <c r="AM31" i="3"/>
  <c r="H50" i="3"/>
  <c r="AK76" i="3"/>
  <c r="V62" i="2"/>
  <c r="S17" i="3"/>
  <c r="M51" i="2"/>
  <c r="P77" i="2"/>
  <c r="L96" i="2"/>
  <c r="I27" i="3"/>
  <c r="AK69" i="3"/>
  <c r="I78" i="2"/>
  <c r="T82" i="3"/>
  <c r="E48" i="3"/>
  <c r="C94" i="2"/>
  <c r="AN25" i="3"/>
  <c r="AJ10" i="3"/>
  <c r="X69" i="2"/>
  <c r="O36" i="3"/>
  <c r="X16" i="3"/>
  <c r="T13" i="3"/>
  <c r="U10" i="3"/>
  <c r="AJ93" i="3"/>
  <c r="AJ95" i="3"/>
  <c r="H18" i="3"/>
  <c r="J85" i="3"/>
  <c r="T95" i="3"/>
  <c r="AL6" i="3"/>
  <c r="Q96" i="3"/>
  <c r="AG57" i="3"/>
  <c r="J55" i="2"/>
  <c r="L9" i="3"/>
  <c r="AH11" i="3"/>
  <c r="AI65" i="3"/>
  <c r="P73" i="3"/>
  <c r="Q91" i="3"/>
  <c r="L42" i="3"/>
  <c r="G70" i="2"/>
  <c r="L44" i="2"/>
  <c r="R27" i="3"/>
  <c r="K26" i="3"/>
  <c r="T49" i="3"/>
  <c r="AP32" i="3"/>
  <c r="M95" i="3"/>
  <c r="AA30" i="3"/>
  <c r="N49" i="3"/>
  <c r="H47" i="3"/>
  <c r="AE23" i="3"/>
  <c r="U26" i="3"/>
  <c r="N82" i="3"/>
  <c r="D91" i="2"/>
  <c r="AO12" i="3"/>
  <c r="AB33" i="3"/>
  <c r="N77" i="3"/>
  <c r="K30" i="3"/>
  <c r="S64" i="3"/>
  <c r="H91" i="3"/>
  <c r="K50" i="3"/>
  <c r="V40" i="3"/>
  <c r="P110" i="2"/>
  <c r="Q10" i="3"/>
  <c r="D82" i="2"/>
  <c r="AG87" i="3"/>
  <c r="R39" i="3"/>
  <c r="AK50" i="3"/>
  <c r="AN59" i="3"/>
  <c r="M69" i="3"/>
  <c r="D61" i="2"/>
  <c r="G49" i="2"/>
  <c r="H73" i="2"/>
  <c r="H24" i="3"/>
  <c r="D97" i="2"/>
  <c r="U78" i="2"/>
  <c r="P92" i="3"/>
  <c r="J82" i="3"/>
  <c r="X105" i="2"/>
  <c r="C70" i="2"/>
  <c r="C99" i="2"/>
  <c r="C74" i="2"/>
  <c r="AJ32" i="3"/>
  <c r="AQ95" i="3"/>
  <c r="AJ7" i="3"/>
  <c r="AN40" i="3"/>
  <c r="AJ57" i="3"/>
  <c r="AH67" i="3"/>
  <c r="O44" i="2"/>
  <c r="L86" i="2"/>
  <c r="AJ27" i="3"/>
  <c r="P56" i="3"/>
  <c r="AC19" i="3"/>
  <c r="E62" i="2"/>
  <c r="T71" i="3"/>
  <c r="AK47" i="3"/>
  <c r="J31" i="3"/>
  <c r="AH58" i="3"/>
  <c r="J29" i="3"/>
  <c r="K41" i="3"/>
  <c r="AN12" i="3"/>
  <c r="S22" i="3"/>
  <c r="P41" i="2"/>
  <c r="AD33" i="3"/>
  <c r="H90" i="3"/>
  <c r="H46" i="2"/>
  <c r="I12" i="3"/>
  <c r="H85" i="3"/>
  <c r="AH7" i="3"/>
  <c r="N94" i="3"/>
  <c r="K73" i="3"/>
  <c r="R8" i="3"/>
  <c r="Q72" i="3"/>
  <c r="AJ76" i="3"/>
  <c r="AG50" i="3"/>
  <c r="AH49" i="3"/>
  <c r="AQ69" i="3"/>
  <c r="AH78" i="3"/>
  <c r="U70" i="2"/>
  <c r="H7" i="3"/>
  <c r="T19" i="3"/>
  <c r="N74" i="3"/>
  <c r="L56" i="3"/>
  <c r="Z87" i="3"/>
  <c r="Q38" i="3"/>
  <c r="AA38" i="3"/>
  <c r="L70" i="2"/>
  <c r="J20" i="3"/>
  <c r="AG38" i="3"/>
  <c r="AN69" i="3"/>
  <c r="AC28" i="3"/>
  <c r="AO42" i="3"/>
  <c r="L85" i="3"/>
  <c r="N56" i="3"/>
  <c r="P82" i="3"/>
  <c r="J107" i="2"/>
  <c r="N16" i="3"/>
  <c r="AG61" i="3"/>
  <c r="AQ63" i="3"/>
  <c r="J86" i="3"/>
  <c r="AG48" i="3"/>
  <c r="AH91" i="3"/>
  <c r="J95" i="3"/>
  <c r="AH48" i="3"/>
  <c r="AH97" i="3"/>
  <c r="I104" i="2"/>
  <c r="AC37" i="3"/>
  <c r="AK78" i="3"/>
  <c r="AN36" i="3"/>
  <c r="M92" i="2"/>
  <c r="S43" i="2"/>
  <c r="AJ50" i="3"/>
  <c r="AJ59" i="3"/>
  <c r="L35" i="3"/>
  <c r="H94" i="2"/>
  <c r="C86" i="2"/>
  <c r="Q89" i="2"/>
  <c r="E72" i="2"/>
  <c r="AK34" i="3"/>
  <c r="L82" i="2"/>
  <c r="C13" i="3"/>
  <c r="P21" i="3"/>
  <c r="W18" i="3"/>
  <c r="J76" i="2"/>
  <c r="N86" i="3"/>
  <c r="S96" i="3"/>
  <c r="AG91" i="3"/>
  <c r="D57" i="2"/>
  <c r="R79" i="2"/>
  <c r="AK62" i="3"/>
  <c r="I85" i="2"/>
  <c r="P14" i="3"/>
  <c r="AG6" i="3"/>
  <c r="W42" i="3"/>
  <c r="R41" i="3"/>
  <c r="AB54" i="3"/>
  <c r="AN66" i="3"/>
  <c r="AQ84" i="3"/>
  <c r="K61" i="3"/>
  <c r="AN67" i="3"/>
  <c r="P28" i="3"/>
  <c r="AB55" i="3"/>
  <c r="AO27" i="3"/>
  <c r="N62" i="3"/>
  <c r="T56" i="2"/>
  <c r="Q97" i="3"/>
  <c r="N70" i="3"/>
  <c r="AG70" i="3"/>
  <c r="AL14" i="3"/>
  <c r="Z61" i="3"/>
  <c r="J70" i="3"/>
  <c r="T64" i="3"/>
  <c r="AA26" i="3"/>
  <c r="Q81" i="3"/>
  <c r="K19" i="3"/>
  <c r="AP23" i="3"/>
  <c r="AN62" i="3"/>
  <c r="S74" i="3"/>
  <c r="Q54" i="3"/>
  <c r="Q65" i="3"/>
  <c r="P63" i="2"/>
  <c r="P55" i="3"/>
  <c r="I33" i="3"/>
  <c r="J90" i="2"/>
  <c r="AN97" i="3"/>
  <c r="AG19" i="3"/>
  <c r="AN79" i="3"/>
  <c r="K95" i="3"/>
  <c r="P42" i="2"/>
  <c r="M19" i="3"/>
  <c r="AG85" i="3"/>
  <c r="R57" i="2"/>
  <c r="T110" i="2"/>
  <c r="M86" i="3"/>
  <c r="M89" i="3"/>
  <c r="J71" i="3"/>
  <c r="K90" i="3"/>
  <c r="AP78" i="3"/>
  <c r="AJ85" i="3"/>
  <c r="Y17" i="3"/>
  <c r="V73" i="2"/>
  <c r="AH38" i="3"/>
  <c r="AQ40" i="3"/>
  <c r="R26" i="3"/>
  <c r="L66" i="3"/>
  <c r="H85" i="2"/>
  <c r="V42" i="3"/>
  <c r="M94" i="2"/>
  <c r="V6" i="3"/>
  <c r="S62" i="3"/>
  <c r="Z65" i="3"/>
  <c r="AK60" i="3"/>
  <c r="J72" i="3"/>
  <c r="X75" i="2"/>
  <c r="T60" i="2"/>
  <c r="V18" i="3"/>
  <c r="AI14" i="3"/>
  <c r="T66" i="3"/>
  <c r="N67" i="2"/>
  <c r="N22" i="3"/>
  <c r="AN58" i="3"/>
  <c r="AI58" i="3"/>
  <c r="AP42" i="3"/>
  <c r="P85" i="2"/>
  <c r="P70" i="3"/>
  <c r="AI32" i="3"/>
  <c r="U5" i="3"/>
  <c r="AH30" i="3"/>
  <c r="U75" i="3"/>
  <c r="AI35" i="3"/>
  <c r="N29" i="3"/>
  <c r="AE8" i="3"/>
  <c r="C11" i="3"/>
  <c r="C10" i="3"/>
  <c r="AN18" i="3"/>
  <c r="Q94" i="3"/>
  <c r="Q89" i="3"/>
  <c r="AQ76" i="3"/>
  <c r="Q63" i="3"/>
  <c r="AG78" i="3"/>
  <c r="Q75" i="3"/>
  <c r="K86" i="3"/>
  <c r="J90" i="3"/>
  <c r="K74" i="3"/>
  <c r="AH88" i="3"/>
  <c r="U69" i="3"/>
  <c r="AH41" i="3"/>
  <c r="P71" i="3"/>
  <c r="AB50" i="3"/>
  <c r="E95" i="2"/>
  <c r="U77" i="3"/>
  <c r="J69" i="3"/>
  <c r="J77" i="3"/>
  <c r="J66" i="3"/>
  <c r="P64" i="2"/>
  <c r="AQ96" i="3"/>
  <c r="H93" i="3"/>
  <c r="W98" i="2"/>
  <c r="H22" i="3"/>
  <c r="J50" i="3"/>
  <c r="W40" i="3"/>
  <c r="Y35" i="3"/>
  <c r="R28" i="3"/>
  <c r="AM32" i="3"/>
  <c r="AI40" i="3"/>
  <c r="AN35" i="3"/>
  <c r="H92" i="2"/>
  <c r="S33" i="3"/>
  <c r="Q45" i="2"/>
  <c r="AI25" i="3"/>
  <c r="T8" i="3"/>
  <c r="AA41" i="3"/>
  <c r="N112" i="2"/>
  <c r="X30" i="3"/>
  <c r="X41" i="3"/>
  <c r="Q23" i="3"/>
  <c r="H70" i="3"/>
  <c r="AG69" i="3"/>
  <c r="V54" i="2"/>
  <c r="T63" i="2"/>
  <c r="N79" i="2"/>
  <c r="AL12" i="3"/>
  <c r="AE13" i="3"/>
  <c r="P12" i="3"/>
  <c r="M9" i="3"/>
  <c r="U31" i="3"/>
  <c r="AQ71" i="3"/>
  <c r="S80" i="3"/>
  <c r="S94" i="3"/>
  <c r="AQ55" i="3"/>
  <c r="S83" i="3"/>
  <c r="AP26" i="3"/>
  <c r="AE31" i="3"/>
  <c r="AN64" i="3"/>
  <c r="AK16" i="3"/>
  <c r="AG63" i="3"/>
  <c r="J57" i="3"/>
  <c r="H59" i="3"/>
  <c r="J67" i="2"/>
  <c r="S54" i="3"/>
  <c r="Z24" i="3"/>
  <c r="E47" i="3"/>
  <c r="H97" i="3"/>
  <c r="AH6" i="3"/>
  <c r="P76" i="3"/>
  <c r="K71" i="3"/>
  <c r="J6" i="3"/>
  <c r="AI15" i="3"/>
  <c r="AJ94" i="3"/>
  <c r="N78" i="3"/>
  <c r="K85" i="2"/>
  <c r="F79" i="2"/>
  <c r="N31" i="3"/>
  <c r="K24" i="3"/>
  <c r="AI68" i="3"/>
  <c r="AE97" i="3"/>
  <c r="Z60" i="3"/>
  <c r="Q56" i="3"/>
  <c r="AQ67" i="3"/>
  <c r="AN76" i="3"/>
  <c r="AP17" i="3"/>
  <c r="C23" i="3"/>
  <c r="K55" i="2"/>
  <c r="T14" i="3"/>
  <c r="AM15" i="3"/>
  <c r="AE48" i="3"/>
  <c r="AL23" i="3"/>
  <c r="N65" i="3"/>
  <c r="K85" i="3"/>
  <c r="P20" i="3"/>
  <c r="AQ73" i="3"/>
  <c r="AN86" i="3"/>
  <c r="AQ90" i="3"/>
  <c r="P23" i="3"/>
  <c r="AJ86" i="3"/>
  <c r="K105" i="2"/>
  <c r="E96" i="2"/>
  <c r="AO81" i="3"/>
  <c r="S78" i="3"/>
  <c r="AQ78" i="3"/>
  <c r="AJ84" i="3"/>
  <c r="AH89" i="3"/>
  <c r="U76" i="3"/>
  <c r="O69" i="2"/>
  <c r="Q64" i="3"/>
  <c r="AJ69" i="3"/>
  <c r="E80" i="2"/>
  <c r="AJ15" i="3"/>
  <c r="N91" i="3"/>
  <c r="AQ75" i="3"/>
  <c r="S65" i="2"/>
  <c r="AO25" i="3"/>
  <c r="I11" i="3"/>
  <c r="P111" i="2"/>
  <c r="AP9" i="3"/>
  <c r="AO28" i="3"/>
  <c r="T69" i="2"/>
  <c r="X71" i="2"/>
  <c r="AN20" i="3"/>
  <c r="M107" i="2"/>
  <c r="AJ19" i="3"/>
  <c r="AQ30" i="3"/>
  <c r="AQ7" i="3"/>
  <c r="AA12" i="3"/>
  <c r="D84" i="2"/>
  <c r="F48" i="2"/>
  <c r="AG73" i="3"/>
  <c r="AI82" i="3"/>
  <c r="G50" i="2"/>
  <c r="C48" i="2"/>
  <c r="G58" i="2"/>
  <c r="AM6" i="3"/>
  <c r="AH37" i="3"/>
  <c r="AI88" i="3"/>
  <c r="N88" i="3"/>
  <c r="AP56" i="3"/>
  <c r="K15" i="3"/>
  <c r="J71" i="2"/>
  <c r="AB27" i="3"/>
  <c r="AN14" i="3"/>
  <c r="AQ88" i="3"/>
  <c r="M85" i="3"/>
  <c r="T70" i="2"/>
  <c r="AQ56" i="3"/>
  <c r="AL36" i="3"/>
  <c r="C30" i="3"/>
  <c r="P107" i="2"/>
  <c r="AE64" i="3"/>
  <c r="M78" i="3"/>
  <c r="AJ87" i="3"/>
  <c r="Y14" i="3"/>
  <c r="AE37" i="3"/>
  <c r="S93" i="3"/>
  <c r="AQ50" i="3"/>
  <c r="M50" i="3"/>
  <c r="F70" i="2"/>
  <c r="Y6" i="3"/>
  <c r="R51" i="2"/>
  <c r="N58" i="3"/>
  <c r="K84" i="3"/>
  <c r="Q74" i="3"/>
  <c r="AP8" i="3"/>
  <c r="G48" i="3"/>
  <c r="E107" i="2"/>
  <c r="Z64" i="3"/>
  <c r="D50" i="3"/>
  <c r="T95" i="2"/>
  <c r="AG35" i="3"/>
  <c r="H64" i="3"/>
  <c r="C19" i="3"/>
  <c r="N68" i="3"/>
  <c r="AJ21" i="3"/>
  <c r="AI55" i="3"/>
  <c r="H69" i="2"/>
  <c r="AE94" i="3"/>
  <c r="Q59" i="3"/>
  <c r="M57" i="3"/>
  <c r="Z84" i="3"/>
  <c r="T27" i="3"/>
  <c r="M37" i="3"/>
  <c r="C61" i="2"/>
  <c r="I93" i="2"/>
  <c r="X56" i="2"/>
  <c r="AK94" i="3"/>
  <c r="Q47" i="3"/>
  <c r="AO10" i="3"/>
  <c r="AO48" i="3"/>
  <c r="AJ22" i="3"/>
  <c r="I81" i="2"/>
  <c r="T80" i="3"/>
  <c r="AQ68" i="3"/>
  <c r="AA8" i="3"/>
  <c r="X24" i="3"/>
  <c r="AJ37" i="3"/>
  <c r="L84" i="3"/>
  <c r="J54" i="3"/>
  <c r="X18" i="3"/>
  <c r="AE49" i="3"/>
  <c r="AG82" i="3"/>
  <c r="M39" i="3"/>
  <c r="AJ56" i="3"/>
  <c r="H56" i="2"/>
  <c r="AK73" i="3"/>
  <c r="P88" i="3"/>
  <c r="N79" i="3"/>
  <c r="T58" i="2"/>
  <c r="AQ54" i="3"/>
  <c r="AI83" i="3"/>
  <c r="M7" i="3"/>
  <c r="AJ68" i="3"/>
  <c r="J75" i="2"/>
  <c r="T10" i="3"/>
  <c r="T41" i="2"/>
  <c r="C29" i="3"/>
  <c r="AH35" i="3"/>
  <c r="E108" i="2"/>
  <c r="P83" i="2"/>
  <c r="AO39" i="3"/>
  <c r="D93" i="2"/>
  <c r="AH21" i="3"/>
  <c r="O30" i="3"/>
  <c r="X73" i="2"/>
  <c r="H15" i="3"/>
  <c r="P97" i="3"/>
  <c r="S42" i="3"/>
  <c r="M68" i="2"/>
  <c r="W93" i="2"/>
  <c r="C41" i="2"/>
  <c r="AK7" i="3"/>
  <c r="H9" i="3"/>
  <c r="AL29" i="3"/>
  <c r="M17" i="3"/>
  <c r="R18" i="3"/>
  <c r="N51" i="2"/>
  <c r="Y5" i="3"/>
  <c r="P40" i="3"/>
  <c r="M90" i="3"/>
  <c r="T66" i="2"/>
  <c r="I65" i="2"/>
  <c r="AO15" i="3"/>
  <c r="AQ11" i="3"/>
  <c r="AI66" i="3"/>
  <c r="AJ61" i="3"/>
  <c r="T42" i="2"/>
  <c r="H29" i="3"/>
  <c r="K10" i="3"/>
  <c r="V34" i="3"/>
  <c r="M88" i="3"/>
  <c r="S47" i="3"/>
  <c r="K89" i="3"/>
  <c r="K34" i="3"/>
  <c r="K66" i="3"/>
  <c r="L41" i="3"/>
  <c r="S23" i="3"/>
  <c r="S86" i="2"/>
  <c r="Q28" i="3"/>
  <c r="AB40" i="3"/>
  <c r="AQ89" i="3"/>
  <c r="Y63" i="3"/>
  <c r="F83" i="2"/>
  <c r="Q67" i="3"/>
  <c r="C14" i="3"/>
  <c r="O26" i="3"/>
  <c r="U53" i="2"/>
  <c r="I69" i="2"/>
  <c r="AQ20" i="3"/>
  <c r="G47" i="2"/>
  <c r="AD40" i="3"/>
  <c r="Z40" i="3"/>
  <c r="H70" i="2"/>
  <c r="AG80" i="3"/>
  <c r="Z58" i="3"/>
  <c r="N48" i="3"/>
  <c r="AO73" i="3"/>
  <c r="H108" i="2"/>
  <c r="AN48" i="3"/>
  <c r="N50" i="3"/>
  <c r="T97" i="2"/>
  <c r="AB24" i="3"/>
  <c r="M12" i="3"/>
  <c r="Q62" i="3"/>
  <c r="K92" i="3"/>
  <c r="K65" i="3"/>
  <c r="S95" i="3"/>
  <c r="V107" i="2"/>
  <c r="AC16" i="3"/>
  <c r="AO22" i="3"/>
  <c r="AM7" i="3"/>
  <c r="AI59" i="3"/>
  <c r="V71" i="2"/>
  <c r="AN56" i="3"/>
  <c r="Q77" i="3"/>
  <c r="AE90" i="3"/>
  <c r="Q76" i="3"/>
  <c r="I94" i="2"/>
  <c r="Z11" i="3"/>
  <c r="AK57" i="3"/>
  <c r="J48" i="3"/>
  <c r="AE69" i="3"/>
  <c r="AJ20" i="3"/>
  <c r="N56" i="2"/>
  <c r="R40" i="3"/>
  <c r="AM42" i="3"/>
  <c r="AE91" i="3"/>
  <c r="AK15" i="3"/>
  <c r="Y85" i="3"/>
  <c r="AB16" i="3"/>
  <c r="AJ64" i="3"/>
  <c r="P38" i="3"/>
  <c r="AN73" i="3"/>
  <c r="G105" i="2"/>
  <c r="Y24" i="3"/>
  <c r="G40" i="2"/>
  <c r="V19" i="3"/>
  <c r="AI71" i="3"/>
  <c r="K63" i="3"/>
  <c r="Z47" i="3"/>
  <c r="V108" i="2"/>
  <c r="H57" i="3"/>
  <c r="W17" i="3"/>
  <c r="J97" i="3"/>
  <c r="Z79" i="3"/>
  <c r="AL37" i="3"/>
  <c r="J18" i="3"/>
  <c r="W20" i="3"/>
  <c r="J93" i="2"/>
  <c r="L27" i="3"/>
  <c r="P48" i="2"/>
  <c r="W8" i="3"/>
  <c r="J39" i="3"/>
  <c r="P30" i="3"/>
  <c r="S40" i="2"/>
  <c r="U87" i="3"/>
  <c r="AH50" i="3"/>
  <c r="H83" i="3"/>
  <c r="K70" i="3"/>
  <c r="AJ18" i="3"/>
  <c r="Z35" i="3"/>
  <c r="M56" i="3"/>
  <c r="AQ57" i="3"/>
  <c r="P85" i="3"/>
  <c r="J94" i="3"/>
  <c r="AJ81" i="3"/>
  <c r="AG58" i="3"/>
  <c r="Y90" i="3"/>
  <c r="AH81" i="3"/>
  <c r="AH54" i="3"/>
  <c r="U55" i="3"/>
  <c r="U63" i="3"/>
  <c r="U54" i="3"/>
  <c r="AN42" i="3"/>
  <c r="AK41" i="3"/>
  <c r="G96" i="2"/>
  <c r="Q85" i="3"/>
  <c r="Y66" i="3"/>
  <c r="AJ97" i="3"/>
  <c r="AN34" i="3"/>
  <c r="S71" i="3"/>
  <c r="N63" i="2"/>
  <c r="S64" i="2"/>
  <c r="T59" i="3"/>
  <c r="E50" i="2"/>
  <c r="N73" i="3"/>
  <c r="AO68" i="3"/>
  <c r="V26" i="3"/>
  <c r="AM9" i="3"/>
  <c r="C47" i="2"/>
  <c r="P18" i="3"/>
  <c r="R73" i="2"/>
  <c r="AQ37" i="3"/>
  <c r="E87" i="2"/>
  <c r="U34" i="3"/>
  <c r="F97" i="2"/>
  <c r="AG40" i="3"/>
  <c r="N94" i="2"/>
  <c r="AK35" i="3"/>
  <c r="X109" i="2"/>
  <c r="AH31" i="3"/>
  <c r="AP49" i="3"/>
  <c r="P54" i="3"/>
  <c r="X83" i="2"/>
  <c r="X5" i="3"/>
  <c r="J56" i="2"/>
  <c r="X104" i="2"/>
  <c r="J48" i="2"/>
  <c r="AG18" i="3"/>
  <c r="AG26" i="3"/>
  <c r="AQ13" i="3"/>
  <c r="J32" i="3"/>
  <c r="U73" i="2"/>
  <c r="U42" i="3"/>
  <c r="AI69" i="3"/>
  <c r="AI97" i="3"/>
  <c r="Q65" i="2"/>
  <c r="C80" i="2"/>
  <c r="T23" i="3"/>
  <c r="N13" i="3"/>
  <c r="X86" i="3"/>
  <c r="P88" i="2"/>
  <c r="T62" i="3"/>
  <c r="L71" i="3"/>
  <c r="S78" i="2"/>
  <c r="AH25" i="3"/>
  <c r="AI23" i="3"/>
  <c r="AO91" i="3"/>
  <c r="Y77" i="3"/>
  <c r="Q79" i="3"/>
  <c r="P48" i="3"/>
  <c r="H65" i="2"/>
  <c r="L75" i="3"/>
  <c r="Q30" i="3"/>
  <c r="X38" i="3"/>
  <c r="AQ85" i="3"/>
  <c r="P96" i="3"/>
  <c r="K75" i="3"/>
  <c r="T79" i="3"/>
  <c r="S66" i="3"/>
  <c r="AG65" i="3"/>
  <c r="Q70" i="3"/>
  <c r="AL21" i="3"/>
  <c r="AN13" i="3"/>
  <c r="P37" i="3"/>
  <c r="H93" i="2"/>
  <c r="AN94" i="3"/>
  <c r="AC38" i="3"/>
  <c r="J9" i="3"/>
  <c r="R98" i="2"/>
  <c r="Q48" i="2"/>
  <c r="P77" i="3"/>
  <c r="I21" i="3"/>
  <c r="Q29" i="3"/>
  <c r="H63" i="3"/>
  <c r="AP66" i="3"/>
  <c r="V58" i="2"/>
  <c r="AL22" i="3"/>
  <c r="X63" i="3"/>
  <c r="AE57" i="3"/>
  <c r="K47" i="3"/>
  <c r="K21" i="3"/>
  <c r="M6" i="3"/>
  <c r="N8" i="3"/>
  <c r="AO47" i="3"/>
  <c r="T74" i="3"/>
  <c r="AI47" i="3"/>
  <c r="AE62" i="3"/>
  <c r="X17" i="3"/>
  <c r="AG66" i="3"/>
  <c r="AH73" i="3"/>
  <c r="M27" i="3"/>
  <c r="J97" i="2"/>
  <c r="AJ14" i="3"/>
  <c r="AP54" i="3"/>
  <c r="AQ72" i="3"/>
  <c r="Y62" i="3"/>
  <c r="AA14" i="3"/>
  <c r="M58" i="3"/>
  <c r="M58" i="2"/>
  <c r="AG62" i="3"/>
  <c r="U23" i="3"/>
  <c r="O99" i="2"/>
  <c r="T99" i="2"/>
  <c r="S68" i="2"/>
  <c r="AH71" i="3"/>
  <c r="Q107" i="2"/>
  <c r="G113" i="2"/>
  <c r="K22" i="3"/>
  <c r="AJ82" i="3"/>
  <c r="AE28" i="3"/>
  <c r="AN37" i="3"/>
  <c r="AI78" i="3"/>
  <c r="AI89" i="3"/>
  <c r="P61" i="2"/>
  <c r="Z71" i="3"/>
  <c r="C35" i="3"/>
  <c r="P72" i="3"/>
  <c r="J83" i="3"/>
  <c r="Z23" i="3"/>
  <c r="AK14" i="3"/>
  <c r="AN29" i="3"/>
  <c r="T91" i="3"/>
  <c r="N84" i="3"/>
  <c r="S58" i="3"/>
  <c r="AH64" i="3"/>
  <c r="U82" i="3"/>
  <c r="K97" i="3"/>
  <c r="Y68" i="3"/>
  <c r="M72" i="3"/>
  <c r="U97" i="3"/>
  <c r="L42" i="2"/>
  <c r="N82" i="2"/>
  <c r="AN88" i="3"/>
  <c r="C82" i="2"/>
  <c r="H71" i="3"/>
  <c r="N47" i="2"/>
  <c r="G57" i="2"/>
  <c r="AO30" i="3"/>
  <c r="Z90" i="3"/>
  <c r="F57" i="2"/>
  <c r="AI31" i="3"/>
  <c r="I36" i="3"/>
  <c r="E50" i="3"/>
  <c r="O5" i="3"/>
  <c r="S28" i="3"/>
  <c r="AI20" i="3"/>
  <c r="Z27" i="3"/>
  <c r="AI16" i="3"/>
  <c r="AO50" i="3"/>
  <c r="Z88" i="3"/>
  <c r="L80" i="2"/>
  <c r="AQ36" i="3"/>
  <c r="K52" i="2"/>
  <c r="P32" i="3"/>
  <c r="AP15" i="3"/>
  <c r="L77" i="3"/>
  <c r="C41" i="3"/>
  <c r="F90" i="2"/>
  <c r="T45" i="2"/>
  <c r="AE60" i="3"/>
  <c r="T24" i="3"/>
  <c r="L79" i="3"/>
  <c r="AJ72" i="3"/>
  <c r="M73" i="3"/>
  <c r="U27" i="3"/>
  <c r="T88" i="2"/>
  <c r="K56" i="2"/>
  <c r="V49" i="2"/>
  <c r="AN55" i="3"/>
  <c r="AE7" i="3"/>
  <c r="AB32" i="3"/>
  <c r="Z39" i="3"/>
  <c r="AI73" i="3"/>
  <c r="AN70" i="3"/>
  <c r="Y81" i="3"/>
  <c r="AQ86" i="3"/>
  <c r="Q88" i="3"/>
  <c r="C16" i="3"/>
  <c r="T51" i="2"/>
  <c r="R95" i="2"/>
  <c r="AJ62" i="3"/>
  <c r="E46" i="2"/>
  <c r="T57" i="3"/>
  <c r="O57" i="3"/>
  <c r="J91" i="3"/>
  <c r="AG90" i="3"/>
  <c r="H28" i="3"/>
  <c r="O110" i="2"/>
  <c r="AJ90" i="3"/>
  <c r="R46" i="2"/>
  <c r="P58" i="3"/>
  <c r="AH16" i="3"/>
  <c r="AQ25" i="3"/>
  <c r="O106" i="2"/>
  <c r="AQ42" i="3"/>
  <c r="V66" i="2"/>
  <c r="P29" i="3"/>
  <c r="AI61" i="3"/>
  <c r="T69" i="3"/>
  <c r="Y95" i="3"/>
  <c r="Y64" i="3"/>
  <c r="AQ64" i="3"/>
  <c r="AQ59" i="3"/>
  <c r="S65" i="3"/>
  <c r="AA35" i="3"/>
  <c r="Q55" i="3"/>
  <c r="V5" i="3"/>
  <c r="J40" i="2"/>
  <c r="I14" i="3"/>
  <c r="P64" i="3"/>
  <c r="AN6" i="3"/>
  <c r="AG72" i="3"/>
  <c r="K88" i="3"/>
  <c r="W41" i="3"/>
  <c r="AH83" i="3"/>
  <c r="U59" i="2"/>
  <c r="M16" i="3"/>
  <c r="M59" i="3"/>
  <c r="N83" i="3"/>
  <c r="P36" i="3"/>
  <c r="J73" i="3"/>
  <c r="P80" i="3"/>
  <c r="S85" i="3"/>
  <c r="AE77" i="3"/>
  <c r="X57" i="3"/>
  <c r="E97" i="2"/>
  <c r="Z86" i="3"/>
  <c r="X97" i="3"/>
  <c r="Y41" i="3"/>
  <c r="W10" i="3"/>
  <c r="J69" i="2"/>
  <c r="M25" i="3"/>
  <c r="M23" i="3"/>
  <c r="R70" i="2"/>
  <c r="AG86" i="3"/>
  <c r="AI67" i="3"/>
  <c r="M30" i="3"/>
  <c r="AQ92" i="3"/>
  <c r="Q80" i="2"/>
  <c r="AA20" i="3"/>
  <c r="AO14" i="3"/>
  <c r="K40" i="2"/>
  <c r="C33" i="3"/>
  <c r="AI81" i="3"/>
  <c r="AE82" i="3"/>
  <c r="G73" i="2"/>
  <c r="H111" i="2"/>
  <c r="AK11" i="3"/>
  <c r="AG71" i="3"/>
  <c r="H60" i="3"/>
  <c r="D76" i="2"/>
  <c r="N59" i="3"/>
  <c r="Q48" i="3"/>
  <c r="J76" i="3"/>
  <c r="H58" i="3"/>
  <c r="S72" i="3"/>
  <c r="AH70" i="3"/>
  <c r="S73" i="3"/>
  <c r="AE81" i="3"/>
  <c r="AH61" i="3"/>
  <c r="Q68" i="3"/>
  <c r="M70" i="3"/>
  <c r="AQ58" i="3"/>
  <c r="P62" i="3"/>
  <c r="J92" i="3"/>
  <c r="AJ65" i="3"/>
  <c r="AG97" i="3"/>
  <c r="X65" i="3"/>
  <c r="I61" i="2"/>
  <c r="I110" i="2"/>
  <c r="AK27" i="3"/>
  <c r="W23" i="3"/>
  <c r="C12" i="3"/>
  <c r="T81" i="3"/>
  <c r="AK97" i="3"/>
  <c r="AJ77" i="3"/>
  <c r="P91" i="3"/>
  <c r="V50" i="2"/>
  <c r="G94" i="2"/>
  <c r="O59" i="2"/>
  <c r="T36" i="3"/>
  <c r="Y33" i="3"/>
  <c r="N63" i="3"/>
  <c r="F93" i="2"/>
  <c r="Q9" i="3"/>
  <c r="P66" i="3"/>
  <c r="P45" i="2"/>
  <c r="W40" i="2"/>
  <c r="AI74" i="3"/>
  <c r="AI26" i="3"/>
  <c r="W64" i="2"/>
  <c r="AB95" i="3"/>
  <c r="AQ33" i="3"/>
  <c r="D108" i="2"/>
  <c r="K46" i="2"/>
  <c r="R21" i="3"/>
  <c r="T109" i="2"/>
  <c r="AP62" i="3"/>
  <c r="N42" i="3"/>
  <c r="AK80" i="3"/>
  <c r="AN23" i="3"/>
  <c r="M92" i="3"/>
  <c r="K57" i="3"/>
  <c r="AN50" i="3"/>
  <c r="J16" i="3"/>
  <c r="C93" i="2"/>
  <c r="F60" i="2"/>
  <c r="P93" i="3"/>
  <c r="I86" i="2"/>
  <c r="N81" i="3"/>
  <c r="K64" i="3"/>
  <c r="K93" i="3"/>
  <c r="AG54" i="3"/>
  <c r="X95" i="3"/>
  <c r="I49" i="2"/>
  <c r="T64" i="2"/>
  <c r="Q90" i="2"/>
  <c r="P7" i="3"/>
  <c r="AN75" i="3"/>
  <c r="Y60" i="3"/>
  <c r="AE87" i="3"/>
  <c r="K82" i="2"/>
  <c r="M53" i="2"/>
  <c r="N97" i="3"/>
  <c r="O51" i="2"/>
  <c r="AJ83" i="3"/>
  <c r="AA10" i="3"/>
  <c r="P79" i="3"/>
  <c r="Y49" i="3"/>
  <c r="Q92" i="3"/>
  <c r="AA29" i="3"/>
  <c r="U62" i="2"/>
  <c r="AB10" i="3"/>
  <c r="T97" i="3"/>
  <c r="Q15" i="3"/>
  <c r="AC7" i="3"/>
  <c r="AJ54" i="3"/>
  <c r="Z69" i="3"/>
  <c r="M75" i="3"/>
  <c r="N66" i="3"/>
  <c r="K80" i="3"/>
  <c r="O47" i="2"/>
  <c r="H44" i="2"/>
  <c r="AQ26" i="3"/>
  <c r="P31" i="3"/>
  <c r="H35" i="3"/>
  <c r="AN82" i="3"/>
  <c r="O49" i="3"/>
  <c r="AI95" i="3"/>
  <c r="AE80" i="3"/>
  <c r="Y79" i="3"/>
  <c r="AP87" i="3"/>
  <c r="AQ74" i="3"/>
  <c r="T55" i="3"/>
  <c r="Q94" i="2"/>
  <c r="Z32" i="3"/>
  <c r="H6" i="3"/>
  <c r="AH74" i="3"/>
  <c r="T60" i="3"/>
  <c r="I43" i="2"/>
  <c r="S13" i="3"/>
  <c r="AD28" i="3"/>
  <c r="R93" i="2"/>
  <c r="O61" i="2"/>
  <c r="AP10" i="3"/>
  <c r="AQ77" i="3"/>
  <c r="K60" i="3"/>
  <c r="AN87" i="3"/>
  <c r="V57" i="2"/>
  <c r="G93" i="2"/>
  <c r="AP94" i="3"/>
  <c r="Q41" i="3"/>
  <c r="AQ80" i="3"/>
  <c r="P75" i="3"/>
  <c r="O80" i="3"/>
  <c r="AB87" i="3"/>
  <c r="V30" i="3"/>
  <c r="R38" i="3"/>
  <c r="E61" i="2"/>
  <c r="Z78" i="3"/>
  <c r="Z33" i="3"/>
  <c r="AI72" i="3"/>
  <c r="M74" i="3"/>
  <c r="O70" i="3"/>
  <c r="K20" i="3"/>
  <c r="O56" i="2"/>
  <c r="AO92" i="3"/>
  <c r="J37" i="3"/>
  <c r="Y50" i="3"/>
  <c r="AQ48" i="3"/>
  <c r="AN16" i="3"/>
  <c r="Z85" i="3"/>
  <c r="X34" i="3"/>
  <c r="M71" i="3"/>
  <c r="AH76" i="3"/>
  <c r="AH65" i="3"/>
  <c r="M97" i="3"/>
  <c r="P9" i="3"/>
  <c r="AQ91" i="3"/>
  <c r="Z81" i="3"/>
  <c r="M49" i="2"/>
  <c r="AN54" i="3"/>
  <c r="S70" i="3"/>
  <c r="P94" i="3"/>
  <c r="AJ91" i="3"/>
  <c r="AJ92" i="3"/>
  <c r="K48" i="3"/>
  <c r="O93" i="3"/>
  <c r="Y94" i="3"/>
  <c r="AH79" i="3"/>
  <c r="V77" i="3"/>
  <c r="V89" i="3"/>
  <c r="U72" i="3"/>
  <c r="U86" i="3"/>
  <c r="U67" i="3"/>
  <c r="U91" i="3"/>
  <c r="Q93" i="3"/>
  <c r="Q90" i="3"/>
  <c r="AM57" i="3"/>
  <c r="AH66" i="3"/>
  <c r="AQ61" i="3"/>
  <c r="J96" i="3"/>
  <c r="V58" i="3"/>
  <c r="U50" i="3"/>
  <c r="U64" i="3"/>
  <c r="AI8" i="3"/>
  <c r="I9" i="3"/>
  <c r="AM56" i="3"/>
  <c r="X69" i="3"/>
  <c r="J62" i="3"/>
  <c r="AJ70" i="3"/>
  <c r="V93" i="3"/>
  <c r="U84" i="2"/>
  <c r="AH92" i="3"/>
  <c r="U56" i="3"/>
  <c r="O94" i="3"/>
  <c r="H38" i="3"/>
  <c r="S25" i="3"/>
  <c r="T112" i="2"/>
  <c r="AJ48" i="3"/>
  <c r="T90" i="2"/>
  <c r="AE18" i="3"/>
  <c r="K54" i="3"/>
  <c r="P16" i="3"/>
  <c r="M76" i="3"/>
  <c r="AC23" i="3"/>
  <c r="AD27" i="3"/>
  <c r="Y97" i="3"/>
  <c r="AI94" i="3"/>
  <c r="AM59" i="3"/>
  <c r="AI63" i="3"/>
  <c r="AM67" i="3"/>
  <c r="O12" i="3"/>
  <c r="L111" i="2"/>
  <c r="V79" i="3"/>
  <c r="AB26" i="3"/>
  <c r="Y67" i="3"/>
  <c r="H74" i="3"/>
  <c r="O82" i="3"/>
  <c r="Y73" i="3"/>
  <c r="AA66" i="3"/>
  <c r="P50" i="3"/>
  <c r="O83" i="3"/>
  <c r="AH94" i="3"/>
  <c r="U47" i="3"/>
  <c r="AE76" i="3"/>
  <c r="R5" i="3"/>
  <c r="I30" i="3"/>
  <c r="AH77" i="3"/>
  <c r="AO16" i="3"/>
  <c r="L48" i="3"/>
  <c r="J87" i="3"/>
  <c r="X19" i="3"/>
  <c r="AG96" i="3"/>
  <c r="N45" i="2"/>
  <c r="AE17" i="3"/>
  <c r="Q49" i="2"/>
  <c r="P70" i="2"/>
  <c r="AK25" i="3"/>
  <c r="Y8" i="3"/>
  <c r="T41" i="3"/>
  <c r="Z50" i="3"/>
  <c r="T88" i="3"/>
  <c r="X94" i="3"/>
  <c r="AJ79" i="3"/>
  <c r="V33" i="3"/>
  <c r="AD25" i="3"/>
  <c r="AP16" i="3"/>
  <c r="C24" i="3"/>
  <c r="W16" i="3"/>
  <c r="R22" i="3"/>
  <c r="X47" i="2"/>
  <c r="AO36" i="3"/>
  <c r="S97" i="3"/>
  <c r="AA81" i="3"/>
  <c r="K82" i="3"/>
  <c r="C73" i="2"/>
  <c r="R109" i="2"/>
  <c r="AE85" i="3"/>
  <c r="P82" i="2"/>
  <c r="AK89" i="3"/>
  <c r="S63" i="3"/>
  <c r="Q95" i="3"/>
  <c r="D70" i="2"/>
  <c r="Q79" i="2"/>
  <c r="U7" i="3"/>
  <c r="AO57" i="3"/>
  <c r="AP22" i="3"/>
  <c r="AH22" i="3"/>
  <c r="Z74" i="3"/>
  <c r="AG93" i="3"/>
  <c r="J55" i="3"/>
  <c r="Y78" i="3"/>
  <c r="V57" i="3"/>
  <c r="U94" i="3"/>
  <c r="AI85" i="3"/>
  <c r="AJ66" i="3"/>
  <c r="V80" i="3"/>
  <c r="H23" i="3"/>
  <c r="AL48" i="3"/>
  <c r="Z20" i="3"/>
  <c r="P84" i="3"/>
  <c r="X87" i="3"/>
  <c r="AM47" i="3"/>
  <c r="N93" i="3"/>
  <c r="G39" i="3"/>
  <c r="M18" i="3"/>
  <c r="R56" i="3"/>
  <c r="O17" i="3"/>
  <c r="T53" i="2"/>
  <c r="AA87" i="3"/>
  <c r="AK95" i="3"/>
  <c r="AJ35" i="3"/>
  <c r="S89" i="3"/>
  <c r="N90" i="3"/>
  <c r="L14" i="3"/>
  <c r="AA48" i="3"/>
  <c r="X77" i="3"/>
  <c r="M10" i="3"/>
  <c r="L88" i="3"/>
  <c r="O41" i="3"/>
  <c r="W36" i="3"/>
  <c r="P78" i="3"/>
  <c r="AG37" i="3"/>
  <c r="AJ58" i="3"/>
  <c r="AH82" i="3"/>
  <c r="AJ89" i="3"/>
  <c r="Z54" i="3"/>
  <c r="N20" i="3"/>
  <c r="AN21" i="3"/>
  <c r="O69" i="3"/>
  <c r="J70" i="2"/>
  <c r="Y47" i="3"/>
  <c r="S49" i="3"/>
  <c r="AJ63" i="3"/>
  <c r="AK75" i="3"/>
  <c r="Y9" i="3"/>
  <c r="L93" i="3"/>
  <c r="K33" i="3"/>
  <c r="AH75" i="3"/>
  <c r="P8" i="3"/>
  <c r="K96" i="3"/>
  <c r="AG10" i="3"/>
  <c r="Y86" i="3"/>
  <c r="Z96" i="3"/>
  <c r="AA32" i="3"/>
  <c r="S92" i="3"/>
  <c r="C63" i="2"/>
  <c r="C25" i="3"/>
  <c r="U81" i="3"/>
  <c r="V94" i="3"/>
  <c r="L10" i="3"/>
  <c r="K49" i="3"/>
  <c r="AL42" i="3"/>
  <c r="AN81" i="3"/>
  <c r="P58" i="2"/>
  <c r="V38" i="3"/>
  <c r="H88" i="3"/>
  <c r="AL13" i="3"/>
  <c r="AO41" i="3"/>
  <c r="X47" i="3"/>
  <c r="AG47" i="3"/>
  <c r="AQ12" i="3"/>
  <c r="AG88" i="3"/>
  <c r="N53" i="2"/>
  <c r="Y84" i="3"/>
  <c r="M77" i="3"/>
  <c r="AJ73" i="3"/>
  <c r="V82" i="3"/>
  <c r="T29" i="3"/>
  <c r="C72" i="2"/>
  <c r="S7" i="3"/>
  <c r="V60" i="3"/>
  <c r="P74" i="3"/>
  <c r="M47" i="3"/>
  <c r="AN71" i="3"/>
  <c r="L31" i="3"/>
  <c r="AE21" i="3"/>
  <c r="AQ97" i="3"/>
  <c r="H43" i="2"/>
  <c r="F78" i="2"/>
  <c r="AH85" i="3"/>
  <c r="Y30" i="3"/>
  <c r="R88" i="3"/>
  <c r="Y80" i="3"/>
  <c r="Z95" i="3"/>
  <c r="AE16" i="3"/>
  <c r="U25" i="3"/>
  <c r="G99" i="2"/>
  <c r="U33" i="3"/>
  <c r="E43" i="2"/>
  <c r="AL30" i="3"/>
  <c r="AB79" i="3"/>
  <c r="L60" i="3"/>
  <c r="J78" i="3"/>
  <c r="AN61" i="3"/>
  <c r="Q71" i="3"/>
  <c r="AL71" i="3"/>
  <c r="Y88" i="3"/>
  <c r="T82" i="2"/>
  <c r="G34" i="3"/>
  <c r="M67" i="2"/>
  <c r="AI27" i="3"/>
  <c r="N96" i="2"/>
  <c r="S18" i="3"/>
  <c r="Y58" i="3"/>
  <c r="AL39" i="3"/>
  <c r="Z89" i="3"/>
  <c r="H73" i="3"/>
  <c r="L91" i="3"/>
  <c r="AN84" i="3"/>
  <c r="T92" i="3"/>
  <c r="AM82" i="3"/>
  <c r="J89" i="3"/>
  <c r="I5" i="3"/>
  <c r="AA73" i="3"/>
  <c r="K31" i="3"/>
  <c r="K56" i="3"/>
  <c r="V48" i="3"/>
  <c r="I61" i="3"/>
  <c r="V78" i="3"/>
  <c r="I71" i="3"/>
  <c r="AG75" i="3"/>
  <c r="W11" i="3"/>
  <c r="AA23" i="3"/>
  <c r="K81" i="3"/>
  <c r="S75" i="3"/>
  <c r="E78" i="2"/>
  <c r="I7" i="3"/>
  <c r="AN47" i="3"/>
  <c r="X76" i="3"/>
  <c r="U62" i="3"/>
  <c r="S88" i="3"/>
  <c r="AL64" i="3"/>
  <c r="Z48" i="3"/>
  <c r="AM76" i="3"/>
  <c r="R94" i="3"/>
  <c r="L80" i="3"/>
  <c r="X81" i="3"/>
  <c r="O68" i="3"/>
  <c r="U24" i="3"/>
  <c r="J64" i="3"/>
  <c r="K58" i="3"/>
  <c r="J75" i="3"/>
  <c r="Z55" i="3"/>
  <c r="H64" i="2"/>
  <c r="R94" i="2"/>
  <c r="O35" i="3"/>
  <c r="W111" i="2"/>
  <c r="H77" i="3"/>
  <c r="AC5" i="3"/>
  <c r="AM29" i="3"/>
  <c r="Y93" i="3"/>
  <c r="AE15" i="3"/>
  <c r="AA37" i="3"/>
  <c r="Z63" i="3"/>
  <c r="J60" i="3"/>
  <c r="AQ82" i="3"/>
  <c r="K111" i="2"/>
  <c r="AP55" i="3"/>
  <c r="X68" i="3"/>
  <c r="S20" i="3"/>
  <c r="Y65" i="3"/>
  <c r="H90" i="2"/>
  <c r="L93" i="2"/>
  <c r="AK90" i="3"/>
  <c r="AH80" i="3"/>
  <c r="AN63" i="3"/>
  <c r="X48" i="3"/>
  <c r="R81" i="3"/>
  <c r="M82" i="3"/>
  <c r="AM96" i="3"/>
  <c r="S60" i="3"/>
  <c r="AI79" i="3"/>
  <c r="V31" i="3"/>
  <c r="AH69" i="3"/>
  <c r="R75" i="3"/>
  <c r="I93" i="3"/>
  <c r="K66" i="2"/>
  <c r="AO21" i="3"/>
  <c r="AL79" i="3"/>
  <c r="AI54" i="3"/>
  <c r="X11" i="3"/>
  <c r="O54" i="3"/>
  <c r="D49" i="3"/>
  <c r="I68" i="2"/>
  <c r="AA56" i="3"/>
  <c r="S69" i="3"/>
  <c r="O60" i="2"/>
  <c r="U71" i="3"/>
  <c r="C18" i="3"/>
  <c r="E44" i="2"/>
  <c r="W52" i="2"/>
  <c r="S95" i="2"/>
  <c r="I28" i="3"/>
  <c r="AK86" i="3"/>
  <c r="T16" i="3"/>
  <c r="J7" i="3"/>
  <c r="AH29" i="3"/>
  <c r="K91" i="3"/>
  <c r="Z72" i="3"/>
  <c r="AK88" i="3"/>
  <c r="AE72" i="3"/>
  <c r="AH72" i="3"/>
  <c r="AC89" i="3"/>
  <c r="U57" i="3"/>
  <c r="Q91" i="2"/>
  <c r="M87" i="3"/>
  <c r="AA59" i="3"/>
  <c r="M63" i="3"/>
  <c r="F42" i="2"/>
  <c r="P35" i="3"/>
  <c r="AE93" i="3"/>
  <c r="O50" i="3"/>
  <c r="R79" i="3"/>
  <c r="AH59" i="3"/>
  <c r="L26" i="3"/>
  <c r="C75" i="2"/>
  <c r="AB35" i="3"/>
  <c r="E86" i="2"/>
  <c r="AJ34" i="3"/>
  <c r="M62" i="3"/>
  <c r="H13" i="3"/>
  <c r="S57" i="3"/>
  <c r="AG28" i="3"/>
  <c r="AC41" i="3"/>
  <c r="AE70" i="3"/>
  <c r="P60" i="3"/>
  <c r="O95" i="3"/>
  <c r="R97" i="3"/>
  <c r="J23" i="3"/>
  <c r="E92" i="2"/>
  <c r="AA50" i="3"/>
  <c r="S56" i="3"/>
  <c r="R31" i="3"/>
  <c r="N85" i="3"/>
  <c r="AG64" i="3"/>
  <c r="AQ22" i="3"/>
  <c r="Z59" i="3"/>
  <c r="R87" i="3"/>
  <c r="P95" i="3"/>
  <c r="O91" i="3"/>
  <c r="AH57" i="3"/>
  <c r="U96" i="3"/>
  <c r="AM93" i="3"/>
  <c r="AM64" i="3"/>
  <c r="AM75" i="3"/>
  <c r="T90" i="3"/>
  <c r="T75" i="3"/>
  <c r="T61" i="3"/>
  <c r="T89" i="3"/>
  <c r="T72" i="3"/>
  <c r="T85" i="3"/>
  <c r="S50" i="3"/>
  <c r="S55" i="3"/>
  <c r="S87" i="3"/>
  <c r="S67" i="3"/>
  <c r="S82" i="3"/>
  <c r="S68" i="3"/>
  <c r="P47" i="3"/>
  <c r="P68" i="3"/>
  <c r="P69" i="3"/>
  <c r="P63" i="3"/>
  <c r="P86" i="3"/>
  <c r="P87" i="3"/>
  <c r="P90" i="3"/>
  <c r="H55" i="3"/>
  <c r="H67" i="3"/>
  <c r="H56" i="3"/>
  <c r="H79" i="3"/>
  <c r="H78" i="3"/>
  <c r="H86" i="3"/>
  <c r="H49" i="3"/>
  <c r="H62" i="3"/>
  <c r="H95" i="3"/>
  <c r="H87" i="3"/>
  <c r="H80" i="3"/>
  <c r="H81" i="3"/>
  <c r="H66" i="3"/>
  <c r="H69" i="3"/>
  <c r="Z56" i="3"/>
  <c r="Z80" i="3"/>
  <c r="Z83" i="3"/>
  <c r="Z68" i="3"/>
  <c r="Z70" i="3"/>
  <c r="Z97" i="3"/>
  <c r="Z77" i="3"/>
  <c r="Z66" i="3"/>
  <c r="Z62" i="3"/>
  <c r="Z92" i="3"/>
  <c r="Z75" i="3"/>
  <c r="Z94" i="3"/>
  <c r="AN96" i="3"/>
  <c r="AN92" i="3"/>
  <c r="AN65" i="3"/>
  <c r="AN77" i="3"/>
  <c r="AN80" i="3"/>
  <c r="AN49" i="3"/>
  <c r="AJ47" i="3"/>
  <c r="AJ78" i="3"/>
  <c r="K77" i="3"/>
  <c r="K62" i="3"/>
  <c r="K78" i="3"/>
  <c r="AQ47" i="3"/>
  <c r="AQ87" i="3"/>
  <c r="AQ81" i="3"/>
  <c r="AQ79" i="3"/>
  <c r="AQ49" i="3"/>
  <c r="AQ62" i="3"/>
  <c r="AQ65" i="3"/>
  <c r="AQ60" i="3"/>
  <c r="AG67" i="3"/>
  <c r="AG95" i="3"/>
  <c r="AG59" i="3"/>
  <c r="AG68" i="3"/>
  <c r="AG89" i="3"/>
  <c r="AG79" i="3"/>
  <c r="L55" i="3"/>
  <c r="L47" i="3"/>
  <c r="L74" i="3"/>
  <c r="L90" i="3"/>
  <c r="L92" i="3"/>
  <c r="L82" i="3"/>
  <c r="L81" i="3"/>
  <c r="L70" i="3"/>
  <c r="L76" i="3"/>
  <c r="L65" i="3"/>
  <c r="L64" i="3"/>
  <c r="L96" i="3"/>
  <c r="L69" i="3"/>
  <c r="L78" i="3"/>
  <c r="L61" i="3"/>
  <c r="L86" i="3"/>
  <c r="L95" i="3"/>
  <c r="L87" i="3"/>
  <c r="L73" i="3"/>
  <c r="L59" i="3"/>
  <c r="L72" i="3"/>
  <c r="L49" i="3"/>
  <c r="L94" i="3"/>
  <c r="L89" i="3"/>
  <c r="J68" i="3"/>
  <c r="J58" i="3"/>
  <c r="J59" i="3"/>
  <c r="J47" i="3"/>
  <c r="J80" i="3"/>
  <c r="J79" i="3"/>
  <c r="J93" i="3"/>
  <c r="J84" i="3"/>
  <c r="J67" i="3"/>
  <c r="J49" i="3"/>
  <c r="AH47" i="3"/>
  <c r="AH96" i="3"/>
  <c r="AH95" i="3"/>
  <c r="AH68" i="3"/>
  <c r="AH84" i="3"/>
  <c r="U88" i="3"/>
  <c r="U93" i="3"/>
  <c r="U79" i="3"/>
  <c r="U70" i="3"/>
  <c r="U58" i="3"/>
  <c r="U49" i="3"/>
  <c r="U78" i="3"/>
  <c r="U83" i="3"/>
  <c r="U59" i="3"/>
  <c r="U66" i="3"/>
  <c r="U92" i="3"/>
  <c r="U80" i="3"/>
  <c r="U90" i="3"/>
  <c r="U74" i="3"/>
  <c r="U60" i="3"/>
  <c r="U85" i="3"/>
  <c r="U73" i="3"/>
  <c r="U61" i="3"/>
  <c r="U89" i="3"/>
  <c r="U95" i="3"/>
  <c r="U84" i="3"/>
  <c r="U48" i="3"/>
  <c r="U65" i="3"/>
  <c r="U68" i="3"/>
  <c r="Y70" i="3"/>
  <c r="Y48" i="3"/>
  <c r="Y54" i="3"/>
  <c r="Y83" i="3"/>
  <c r="Y69" i="3"/>
  <c r="Y57" i="3"/>
  <c r="Y71" i="3"/>
  <c r="Y89" i="3"/>
  <c r="Y91" i="3"/>
  <c r="Y72" i="3"/>
  <c r="Y59" i="3"/>
  <c r="Y96" i="3"/>
  <c r="Y55" i="3"/>
  <c r="Y56" i="3"/>
  <c r="Y92" i="3"/>
  <c r="Y87" i="3"/>
  <c r="Y82" i="3"/>
  <c r="Y76" i="3"/>
  <c r="Y75" i="3"/>
  <c r="Y61" i="3"/>
  <c r="Y74" i="3"/>
  <c r="X92" i="3"/>
  <c r="X66" i="3"/>
  <c r="X91" i="3"/>
  <c r="X62" i="3"/>
  <c r="X96" i="3"/>
  <c r="X56" i="3"/>
  <c r="X80" i="3"/>
  <c r="X83" i="3"/>
  <c r="X89" i="3"/>
  <c r="X64" i="3"/>
  <c r="X67" i="3"/>
  <c r="X71" i="3"/>
  <c r="X74" i="3"/>
  <c r="X55" i="3"/>
  <c r="X54" i="3"/>
  <c r="X93" i="3"/>
  <c r="X61" i="3"/>
  <c r="X84" i="3"/>
  <c r="X70" i="3"/>
  <c r="X75" i="3"/>
  <c r="X58" i="3"/>
  <c r="X79" i="3"/>
  <c r="X73" i="3"/>
  <c r="X59" i="3"/>
  <c r="X50" i="3"/>
  <c r="X85" i="3"/>
  <c r="X78" i="3"/>
  <c r="X88" i="3"/>
  <c r="X90" i="3"/>
  <c r="X49" i="3"/>
  <c r="X82" i="3"/>
  <c r="O60" i="3"/>
  <c r="O97" i="3"/>
  <c r="O67" i="3"/>
  <c r="O76" i="3"/>
  <c r="O62" i="3"/>
  <c r="O96" i="3"/>
  <c r="O77" i="3"/>
  <c r="O55" i="3"/>
  <c r="O64" i="3"/>
  <c r="O59" i="3"/>
  <c r="O84" i="3"/>
  <c r="O61" i="3"/>
  <c r="O87" i="3"/>
  <c r="O65" i="3"/>
  <c r="O74" i="3"/>
  <c r="O56" i="3"/>
  <c r="O78" i="3"/>
  <c r="O90" i="3"/>
  <c r="O75" i="3"/>
  <c r="O86" i="3"/>
  <c r="O81" i="3"/>
  <c r="O88" i="3"/>
  <c r="O47" i="3"/>
  <c r="O92" i="3"/>
  <c r="O48" i="3"/>
  <c r="O85" i="3"/>
  <c r="O58" i="3"/>
  <c r="O89" i="3"/>
  <c r="O73" i="3"/>
  <c r="O79" i="3"/>
  <c r="O71" i="3"/>
  <c r="O66" i="3"/>
  <c r="O63" i="3"/>
  <c r="V69" i="3"/>
  <c r="V90" i="3"/>
  <c r="V50" i="3"/>
  <c r="V84" i="3"/>
  <c r="V64" i="3"/>
  <c r="V73" i="3"/>
  <c r="V86" i="3"/>
  <c r="V76" i="3"/>
  <c r="V62" i="3"/>
  <c r="V81" i="3"/>
  <c r="V95" i="3"/>
  <c r="V88" i="3"/>
  <c r="V61" i="3"/>
  <c r="V54" i="3"/>
  <c r="V63" i="3"/>
  <c r="V65" i="3"/>
  <c r="V74" i="3"/>
  <c r="V67" i="3"/>
  <c r="V56" i="3"/>
  <c r="V70" i="3"/>
  <c r="V59" i="3"/>
  <c r="V97" i="3"/>
  <c r="V66" i="3"/>
  <c r="V85" i="3"/>
  <c r="V91" i="3"/>
  <c r="V72" i="3"/>
  <c r="V92" i="3"/>
  <c r="V75" i="3"/>
  <c r="V49" i="3"/>
  <c r="V96" i="3"/>
  <c r="V55" i="3"/>
  <c r="V83" i="3"/>
  <c r="V47" i="3"/>
  <c r="R66" i="3"/>
  <c r="R61" i="3"/>
  <c r="R69" i="3"/>
  <c r="R82" i="3"/>
  <c r="R77" i="3"/>
  <c r="R49" i="3"/>
  <c r="R91" i="3"/>
  <c r="R58" i="3"/>
  <c r="R95" i="3"/>
  <c r="R64" i="3"/>
  <c r="R92" i="3"/>
  <c r="R90" i="3"/>
  <c r="R60" i="3"/>
  <c r="I49" i="3"/>
  <c r="I68" i="3"/>
  <c r="I82" i="3"/>
  <c r="I87" i="3"/>
  <c r="I58" i="3"/>
  <c r="I88" i="3"/>
  <c r="I56" i="3"/>
  <c r="I78" i="3"/>
  <c r="I76" i="3"/>
  <c r="I59" i="3"/>
  <c r="I69" i="3"/>
  <c r="I73" i="3"/>
  <c r="I85" i="3"/>
  <c r="I48" i="3"/>
  <c r="I94" i="3"/>
  <c r="I57" i="3"/>
  <c r="AC84" i="3"/>
  <c r="AC80" i="3"/>
  <c r="AC82" i="3"/>
  <c r="AC62" i="3"/>
  <c r="AC72" i="3"/>
  <c r="AC60" i="3"/>
  <c r="AC92" i="3"/>
  <c r="AC91" i="3"/>
  <c r="AC48" i="3"/>
  <c r="AC79" i="3"/>
  <c r="AC55" i="3"/>
  <c r="AC97" i="3"/>
  <c r="AC93" i="3"/>
  <c r="AC68" i="3"/>
  <c r="AC69" i="3"/>
  <c r="AC87" i="3"/>
  <c r="AC66" i="3"/>
  <c r="AO96" i="3" l="1"/>
  <c r="AO94" i="3"/>
  <c r="AO78" i="3"/>
  <c r="AL96" i="3"/>
  <c r="AO65" i="3"/>
  <c r="AO79" i="3"/>
  <c r="AO97" i="3"/>
  <c r="AO86" i="3"/>
  <c r="AL69" i="3"/>
  <c r="AO89" i="3"/>
  <c r="AO90" i="3"/>
  <c r="AO69" i="3"/>
  <c r="AL85" i="3"/>
  <c r="AL82" i="3"/>
  <c r="AO64" i="3"/>
  <c r="AL80" i="3"/>
  <c r="AO58" i="3"/>
  <c r="AO87" i="3"/>
  <c r="AO61" i="3"/>
  <c r="AO77" i="3"/>
  <c r="AL77" i="3"/>
  <c r="AL70" i="3"/>
  <c r="AL49" i="3"/>
  <c r="AL97" i="3"/>
  <c r="AL86" i="3"/>
  <c r="AO75" i="3"/>
  <c r="AL59" i="3"/>
  <c r="AO71" i="3"/>
  <c r="AO55" i="3"/>
  <c r="AL75" i="3"/>
  <c r="AO84" i="3"/>
  <c r="AO82" i="3"/>
  <c r="AO67" i="3"/>
  <c r="AL66" i="3"/>
  <c r="AO70" i="3"/>
  <c r="AO56" i="3"/>
  <c r="AO49" i="3"/>
  <c r="AL55" i="3"/>
  <c r="AO59" i="3"/>
  <c r="AL88" i="3"/>
  <c r="AL95" i="3"/>
  <c r="AL78" i="3"/>
  <c r="AO74" i="3"/>
  <c r="AO54" i="3"/>
  <c r="AL68" i="3"/>
  <c r="AO63" i="3"/>
  <c r="AO93" i="3"/>
  <c r="AO95" i="3"/>
  <c r="AL92" i="3"/>
  <c r="AO72" i="3"/>
  <c r="AO80" i="3"/>
  <c r="AL89" i="3"/>
  <c r="AO66" i="3"/>
  <c r="AO60" i="3"/>
  <c r="AO62" i="3"/>
  <c r="AL50" i="3"/>
  <c r="AO76" i="3"/>
  <c r="AL93" i="3"/>
  <c r="AL74" i="3"/>
  <c r="AL54" i="3"/>
  <c r="AL61" i="3"/>
  <c r="AO88" i="3"/>
  <c r="AL56" i="3"/>
  <c r="AL72" i="3"/>
  <c r="AL63" i="3"/>
  <c r="AL58" i="3"/>
  <c r="AL94" i="3"/>
  <c r="AO85" i="3"/>
  <c r="AO83" i="3"/>
  <c r="R62" i="3"/>
  <c r="R67" i="3"/>
  <c r="R72" i="3"/>
  <c r="R83" i="3"/>
  <c r="R74" i="3"/>
  <c r="R96" i="3"/>
  <c r="R65" i="3"/>
  <c r="R63" i="3"/>
  <c r="R48" i="3"/>
  <c r="R70" i="3"/>
  <c r="R55" i="3"/>
  <c r="R57" i="3"/>
  <c r="R78" i="3"/>
  <c r="R85" i="3"/>
  <c r="I83" i="3"/>
  <c r="I97" i="3"/>
  <c r="I63" i="3"/>
  <c r="I84" i="3"/>
  <c r="I66" i="3"/>
  <c r="I91" i="3"/>
  <c r="I60" i="3"/>
  <c r="I86" i="3"/>
  <c r="I55" i="3"/>
  <c r="I79" i="3"/>
  <c r="I70" i="3"/>
  <c r="I54" i="3"/>
  <c r="I65" i="3"/>
  <c r="AC50" i="3"/>
  <c r="AC73" i="3"/>
  <c r="AC71" i="3"/>
  <c r="AC63" i="3"/>
  <c r="AC64" i="3"/>
  <c r="AC70" i="3"/>
  <c r="AC49" i="3"/>
  <c r="AC96" i="3"/>
  <c r="AC57" i="3"/>
  <c r="AC77" i="3"/>
  <c r="AC81" i="3"/>
  <c r="AC83" i="3"/>
  <c r="AC75" i="3"/>
  <c r="AC90" i="3"/>
  <c r="AC54" i="3"/>
  <c r="AC59" i="3"/>
  <c r="W54" i="3"/>
  <c r="AL73" i="3"/>
  <c r="AL87" i="3"/>
  <c r="AL57" i="3"/>
  <c r="AL67" i="3"/>
  <c r="AL76" i="3"/>
  <c r="AL90" i="3"/>
  <c r="AL65" i="3"/>
  <c r="AL47" i="3"/>
  <c r="AL83" i="3"/>
  <c r="AL60" i="3"/>
  <c r="AL91" i="3"/>
  <c r="AL84" i="3"/>
  <c r="R68" i="3"/>
  <c r="R47" i="3"/>
  <c r="R59" i="3"/>
  <c r="R54" i="3"/>
  <c r="R89" i="3"/>
  <c r="R73" i="3"/>
  <c r="R76" i="3"/>
  <c r="R86" i="3"/>
  <c r="R50" i="3"/>
  <c r="R80" i="3"/>
  <c r="R84" i="3"/>
  <c r="R93" i="3"/>
  <c r="R71" i="3"/>
  <c r="I50" i="3"/>
  <c r="I62" i="3"/>
  <c r="I47" i="3"/>
  <c r="I75" i="3"/>
  <c r="I67" i="3"/>
  <c r="I72" i="3"/>
  <c r="I80" i="3"/>
  <c r="I74" i="3"/>
  <c r="I64" i="3"/>
  <c r="I77" i="3"/>
  <c r="I92" i="3"/>
  <c r="I89" i="3"/>
  <c r="I95" i="3"/>
  <c r="I90" i="3"/>
  <c r="I96" i="3"/>
  <c r="I81" i="3"/>
  <c r="AC86" i="3"/>
  <c r="AC61" i="3"/>
  <c r="AC94" i="3"/>
  <c r="AC85" i="3"/>
  <c r="AC74" i="3"/>
  <c r="AC76" i="3"/>
  <c r="AC58" i="3"/>
  <c r="AC65" i="3"/>
  <c r="AC88" i="3"/>
  <c r="AC95" i="3"/>
  <c r="AC78" i="3"/>
  <c r="AC67" i="3"/>
  <c r="AC56" i="3"/>
  <c r="AC47" i="3"/>
  <c r="O72" i="3"/>
  <c r="V87" i="3"/>
  <c r="X72" i="3"/>
  <c r="W71" i="3"/>
  <c r="AM48" i="3"/>
  <c r="AA79" i="3"/>
  <c r="W87" i="3"/>
  <c r="AE66" i="3"/>
  <c r="AA94" i="3"/>
  <c r="AE55" i="3"/>
  <c r="AE59" i="3"/>
  <c r="W55" i="3"/>
  <c r="AA84" i="3"/>
  <c r="W66" i="3"/>
  <c r="AA95" i="3"/>
  <c r="AM92" i="3"/>
  <c r="AA62" i="3"/>
  <c r="AA58" i="3"/>
  <c r="AA78" i="3"/>
  <c r="AE86" i="3"/>
  <c r="W86" i="3"/>
  <c r="AE47" i="3"/>
  <c r="AM54" i="3"/>
  <c r="AA86" i="3"/>
  <c r="W88" i="3"/>
  <c r="W85" i="3"/>
  <c r="AA83" i="3"/>
  <c r="W80" i="3"/>
  <c r="AE96" i="3"/>
  <c r="AM81" i="3"/>
  <c r="AE58" i="3"/>
  <c r="AM62" i="3"/>
  <c r="AM70" i="3"/>
  <c r="AM72" i="3"/>
  <c r="AM69" i="3"/>
  <c r="AA63" i="3"/>
  <c r="AE68" i="3"/>
  <c r="W49" i="3"/>
  <c r="AE50" i="3"/>
  <c r="W65" i="3"/>
  <c r="W93" i="3"/>
  <c r="AA96" i="3"/>
  <c r="AA70" i="3"/>
  <c r="AA76" i="3"/>
  <c r="W90" i="3"/>
  <c r="W79" i="3"/>
  <c r="AM80" i="3"/>
  <c r="AE79" i="3"/>
  <c r="AM63" i="3"/>
  <c r="AE74" i="3"/>
  <c r="AA91" i="3"/>
  <c r="W94" i="3"/>
  <c r="AE92" i="3"/>
  <c r="AE61" i="3"/>
  <c r="W72" i="3"/>
  <c r="W95" i="3"/>
  <c r="AM83" i="3"/>
  <c r="W64" i="3"/>
  <c r="AE89" i="3"/>
  <c r="AA88" i="3"/>
  <c r="AA65" i="3"/>
  <c r="W77" i="3"/>
  <c r="AA68" i="3"/>
  <c r="W56" i="3"/>
  <c r="AE84" i="3"/>
  <c r="AE83" i="3"/>
  <c r="AE54" i="3"/>
  <c r="AA49" i="3"/>
  <c r="W73" i="3"/>
  <c r="AA61" i="3"/>
  <c r="W69" i="3"/>
  <c r="W78" i="3"/>
  <c r="AE67" i="3"/>
  <c r="AA89" i="3"/>
  <c r="AM55" i="3"/>
  <c r="AA60" i="3"/>
  <c r="W68" i="3"/>
  <c r="AE63" i="3"/>
  <c r="AM74" i="3"/>
  <c r="W91" i="3"/>
  <c r="AE65" i="3"/>
  <c r="AA97" i="3"/>
  <c r="AM65" i="3"/>
  <c r="AE71" i="3"/>
  <c r="W74" i="3"/>
  <c r="AE88" i="3"/>
  <c r="AM84" i="3"/>
  <c r="AA85" i="3"/>
  <c r="AA82" i="3"/>
  <c r="W96" i="3"/>
  <c r="AE95" i="3"/>
  <c r="AA90" i="3"/>
  <c r="AM50" i="3"/>
  <c r="AM97" i="3"/>
  <c r="W89" i="3"/>
  <c r="AM49" i="3"/>
  <c r="AE78" i="3"/>
  <c r="AE75" i="3"/>
  <c r="AE56" i="3"/>
  <c r="AM91" i="3"/>
  <c r="W83" i="3"/>
  <c r="X60" i="3"/>
  <c r="AM61" i="3"/>
  <c r="AM85" i="3"/>
  <c r="AA77" i="3"/>
  <c r="AA55" i="3"/>
  <c r="AM86" i="3"/>
  <c r="W75" i="3"/>
  <c r="W67" i="3"/>
  <c r="AM90" i="3"/>
  <c r="AM95" i="3"/>
  <c r="AM88" i="3"/>
  <c r="AM71" i="3"/>
  <c r="W76" i="3"/>
  <c r="W97" i="3"/>
  <c r="AM58" i="3"/>
  <c r="AA80" i="3"/>
  <c r="AM89" i="3"/>
  <c r="W70" i="3"/>
  <c r="W57" i="3"/>
  <c r="AA54" i="3"/>
  <c r="AA74" i="3"/>
  <c r="W58" i="3"/>
  <c r="W84" i="3"/>
  <c r="AA64" i="3"/>
  <c r="AM94" i="3"/>
  <c r="AA47" i="3"/>
  <c r="AM79" i="3"/>
  <c r="AM66" i="3"/>
  <c r="AA92" i="3"/>
  <c r="AA69" i="3"/>
  <c r="AA57" i="3"/>
  <c r="AM78" i="3"/>
  <c r="AM68" i="3"/>
  <c r="AA75" i="3"/>
  <c r="W82" i="3"/>
  <c r="AA71" i="3"/>
  <c r="AA72" i="3"/>
  <c r="AM60" i="3"/>
  <c r="W92" i="3"/>
  <c r="AA93" i="3"/>
  <c r="AM77" i="3"/>
  <c r="AM73" i="3"/>
  <c r="AM87" i="3"/>
  <c r="W59" i="3"/>
  <c r="W62" i="3"/>
  <c r="W61" i="3"/>
  <c r="W60" i="3"/>
  <c r="W47" i="3"/>
  <c r="W48" i="3"/>
  <c r="W81" i="3"/>
  <c r="V71" i="3"/>
  <c r="V68" i="3"/>
  <c r="AO91" i="1"/>
  <c r="AX140" i="1"/>
  <c r="AY140" i="1" s="1"/>
  <c r="AX144" i="1"/>
  <c r="AY144" i="1" s="1"/>
  <c r="AX173" i="1"/>
  <c r="AY173" i="1" s="1"/>
  <c r="AX167" i="1"/>
  <c r="AX182" i="1"/>
  <c r="AY182" i="1" s="1"/>
  <c r="AX137" i="1"/>
  <c r="AX172" i="1"/>
  <c r="AY172" i="1" s="1"/>
  <c r="AX91" i="1"/>
  <c r="AX158" i="1"/>
  <c r="AY158" i="1" s="1"/>
  <c r="AX163" i="1"/>
  <c r="AX150" i="1"/>
  <c r="AX169" i="1"/>
  <c r="AY169" i="1" s="1"/>
  <c r="BB178" i="1"/>
  <c r="BB181" i="1"/>
  <c r="BC181" i="1" s="1"/>
  <c r="BB91" i="1"/>
  <c r="BB173" i="1"/>
  <c r="BC173" i="1" s="1"/>
  <c r="BB153" i="1"/>
  <c r="BC153" i="1" s="1"/>
  <c r="BB172" i="1"/>
  <c r="BC172" i="1" s="1"/>
  <c r="BB165" i="1"/>
  <c r="BC165" i="1" s="1"/>
  <c r="BB169" i="1"/>
  <c r="BC169" i="1" s="1"/>
  <c r="BB151" i="1"/>
  <c r="BB135" i="1"/>
  <c r="BB155" i="1"/>
  <c r="BC155" i="1" s="1"/>
  <c r="BB168" i="1"/>
  <c r="BB143" i="1"/>
  <c r="BC143" i="1" s="1"/>
  <c r="BB145" i="1"/>
  <c r="BC145" i="1" s="1"/>
  <c r="BB182" i="1"/>
  <c r="BC182" i="1" s="1"/>
  <c r="BB162" i="1"/>
  <c r="BB142" i="1"/>
  <c r="BB167" i="1"/>
  <c r="BC167" i="1" s="1"/>
  <c r="BB164" i="1"/>
  <c r="BC164" i="1" s="1"/>
  <c r="BB92" i="1"/>
  <c r="BB144" i="1"/>
  <c r="BC144" i="1" s="1"/>
  <c r="BB150" i="1"/>
  <c r="BD163" i="1"/>
  <c r="BD91" i="1"/>
  <c r="BD144" i="1"/>
  <c r="BE144" i="1" s="1"/>
  <c r="BD145" i="1"/>
  <c r="BE145" i="1" s="1"/>
  <c r="BD160" i="1"/>
  <c r="BE160" i="1" s="1"/>
  <c r="BD165" i="1"/>
  <c r="BE165" i="1" s="1"/>
  <c r="BD92" i="1"/>
  <c r="BD161" i="1"/>
  <c r="BD137" i="1"/>
  <c r="BD151" i="1"/>
  <c r="BD164" i="1"/>
  <c r="BE164" i="1" s="1"/>
  <c r="BD155" i="1"/>
  <c r="BE155" i="1" s="1"/>
  <c r="BD167" i="1"/>
  <c r="BE167" i="1" s="1"/>
  <c r="BD171" i="1"/>
  <c r="BD178" i="1"/>
  <c r="BD177" i="1"/>
  <c r="BD179" i="1" s="1"/>
  <c r="BE227" i="1" s="1"/>
  <c r="BD135" i="1"/>
  <c r="BE135" i="1" s="1"/>
  <c r="BD181" i="1"/>
  <c r="BE181" i="1" s="1"/>
  <c r="BD142" i="1"/>
  <c r="BE142" i="1" s="1"/>
  <c r="BD172" i="1"/>
  <c r="BE172" i="1" s="1"/>
  <c r="BD169" i="1"/>
  <c r="BE169" i="1" s="1"/>
  <c r="BD173" i="1"/>
  <c r="BE173" i="1" s="1"/>
  <c r="BA91" i="1"/>
  <c r="BN164" i="1"/>
  <c r="BO164" i="1" s="1"/>
  <c r="BN149" i="1"/>
  <c r="BN182" i="1"/>
  <c r="BO182" i="1" s="1"/>
  <c r="BN181" i="1"/>
  <c r="BO181" i="1" s="1"/>
  <c r="AP91" i="1"/>
  <c r="AP164" i="1"/>
  <c r="AQ164" i="1" s="1"/>
  <c r="AP161" i="1"/>
  <c r="AQ161" i="1" s="1"/>
  <c r="AP177" i="1"/>
  <c r="AP137" i="1"/>
  <c r="AP149" i="1"/>
  <c r="AR171" i="1"/>
  <c r="AR91" i="1"/>
  <c r="AR153" i="1"/>
  <c r="AS153" i="1" s="1"/>
  <c r="AR170" i="1"/>
  <c r="AS170" i="1" s="1"/>
  <c r="AR182" i="1"/>
  <c r="AS182" i="1" s="1"/>
  <c r="AR160" i="1"/>
  <c r="AS160" i="1" s="1"/>
  <c r="AR150" i="1"/>
  <c r="AR181" i="1"/>
  <c r="AS181" i="1" s="1"/>
  <c r="AR167" i="1"/>
  <c r="AS167" i="1" s="1"/>
  <c r="AR168" i="1"/>
  <c r="AS168" i="1" s="1"/>
  <c r="AR151" i="1"/>
  <c r="AR162" i="1"/>
  <c r="AR163" i="1"/>
  <c r="AR173" i="1"/>
  <c r="AS173" i="1" s="1"/>
  <c r="AR144" i="1"/>
  <c r="AS144" i="1" s="1"/>
  <c r="AR155" i="1"/>
  <c r="AS155" i="1" s="1"/>
  <c r="BW91" i="1"/>
  <c r="BP160" i="1"/>
  <c r="BQ160" i="1" s="1"/>
  <c r="BT91" i="1"/>
  <c r="BT177" i="1"/>
  <c r="BT158" i="1"/>
  <c r="BU158" i="1" s="1"/>
  <c r="BT168" i="1"/>
  <c r="BU168" i="1" s="1"/>
  <c r="BT173" i="1"/>
  <c r="BU173" i="1" s="1"/>
  <c r="BT181" i="1"/>
  <c r="BU181" i="1" s="1"/>
  <c r="BF173" i="1"/>
  <c r="BG173" i="1" s="1"/>
  <c r="BF142" i="1"/>
  <c r="BF169" i="1"/>
  <c r="BG169" i="1" s="1"/>
  <c r="BF158" i="1"/>
  <c r="BG158" i="1" s="1"/>
  <c r="BF151" i="1"/>
  <c r="BF149" i="1"/>
  <c r="BF178" i="1"/>
  <c r="BF177" i="1"/>
  <c r="BF179" i="1" s="1"/>
  <c r="BG227" i="1" s="1"/>
  <c r="BF135" i="1"/>
  <c r="BG135" i="1" s="1"/>
  <c r="AN150" i="1"/>
  <c r="AN169" i="1"/>
  <c r="AO169" i="1" s="1"/>
  <c r="AN162" i="1"/>
  <c r="AN177" i="1"/>
  <c r="AN170" i="1"/>
  <c r="AO170" i="1" s="1"/>
  <c r="AN182" i="1"/>
  <c r="AO182" i="1" s="1"/>
  <c r="AN142" i="1"/>
  <c r="AO142" i="1" s="1"/>
  <c r="AN91" i="1"/>
  <c r="AN160" i="1"/>
  <c r="AN161" i="1"/>
  <c r="AO161" i="1" s="1"/>
  <c r="AN135" i="1"/>
  <c r="AO135" i="1" s="1"/>
  <c r="AV144" i="1"/>
  <c r="AW144" i="1" s="1"/>
  <c r="AV170" i="1"/>
  <c r="AW170" i="1" s="1"/>
  <c r="AV143" i="1"/>
  <c r="AW143" i="1" s="1"/>
  <c r="AV150" i="1"/>
  <c r="AV149" i="1"/>
  <c r="AY92" i="1"/>
  <c r="AZ165" i="1"/>
  <c r="BA165" i="1" s="1"/>
  <c r="AZ153" i="1"/>
  <c r="BA153" i="1" s="1"/>
  <c r="AZ171" i="1"/>
  <c r="AZ144" i="1"/>
  <c r="BA144" i="1" s="1"/>
  <c r="BN136" i="1"/>
  <c r="BO136" i="1" s="1"/>
  <c r="AV182" i="1"/>
  <c r="AW182" i="1" s="1"/>
  <c r="AX170" i="1"/>
  <c r="AY170" i="1" s="1"/>
  <c r="AT165" i="1"/>
  <c r="AU165" i="1" s="1"/>
  <c r="BG92" i="1"/>
  <c r="AP53" i="1"/>
  <c r="AV140" i="1"/>
  <c r="AW140" i="1" s="1"/>
  <c r="BM50" i="1"/>
  <c r="BP63" i="1"/>
  <c r="D153" i="1"/>
  <c r="BH64" i="1"/>
  <c r="B177" i="1"/>
  <c r="AR65" i="1"/>
  <c r="AU92" i="1"/>
  <c r="AV64" i="1"/>
  <c r="E136" i="1"/>
  <c r="BN153" i="1"/>
  <c r="BO153" i="1" s="1"/>
  <c r="BF153" i="1"/>
  <c r="BG153" i="1" s="1"/>
  <c r="BN57" i="1"/>
  <c r="AZ38" i="1"/>
  <c r="AO50" i="1"/>
  <c r="R189" i="1"/>
  <c r="V169" i="1"/>
  <c r="AI43" i="1"/>
  <c r="H154" i="1"/>
  <c r="AJ91" i="1"/>
  <c r="BD33" i="1"/>
  <c r="BU40" i="1"/>
  <c r="BN150" i="1"/>
  <c r="AX162" i="1"/>
  <c r="BT143" i="1"/>
  <c r="BU143" i="1" s="1"/>
  <c r="BN177" i="1"/>
  <c r="K190" i="1"/>
  <c r="AY27" i="1"/>
  <c r="BD149" i="1"/>
  <c r="AP140" i="1"/>
  <c r="AQ140" i="1" s="1"/>
  <c r="BF143" i="1"/>
  <c r="BG143" i="1" s="1"/>
  <c r="BK42" i="1"/>
  <c r="BS57" i="1"/>
  <c r="AN158" i="1"/>
  <c r="AN220" i="1" s="1"/>
  <c r="AU64" i="1"/>
  <c r="G151" i="1"/>
  <c r="AP167" i="1"/>
  <c r="AQ167" i="1" s="1"/>
  <c r="BD162" i="1"/>
  <c r="AR177" i="1"/>
  <c r="BR167" i="1"/>
  <c r="BS167" i="1" s="1"/>
  <c r="D178" i="1"/>
  <c r="BG53" i="1"/>
  <c r="BC33" i="1"/>
  <c r="BB160" i="1"/>
  <c r="BC160" i="1" s="1"/>
  <c r="AP171" i="1"/>
  <c r="AZ173" i="1"/>
  <c r="BA173" i="1" s="1"/>
  <c r="BT164" i="1"/>
  <c r="BU164" i="1" s="1"/>
  <c r="AR172" i="1"/>
  <c r="AS172" i="1" s="1"/>
  <c r="BF171" i="1"/>
  <c r="AY43" i="1"/>
  <c r="L155" i="1"/>
  <c r="AM63" i="1"/>
  <c r="AP160" i="1"/>
  <c r="AQ160" i="1" s="1"/>
  <c r="AR140" i="1"/>
  <c r="AS140" i="1" s="1"/>
  <c r="BH161" i="1"/>
  <c r="BI161" i="1" s="1"/>
  <c r="D137" i="1"/>
  <c r="BA54" i="1"/>
  <c r="BK38" i="1"/>
  <c r="BF182" i="1"/>
  <c r="BG182" i="1" s="1"/>
  <c r="AX145" i="1"/>
  <c r="AY145" i="1" s="1"/>
  <c r="BN165" i="1"/>
  <c r="BO165" i="1" s="1"/>
  <c r="E178" i="1"/>
  <c r="E179" i="1" s="1"/>
  <c r="F227" i="1" s="1"/>
  <c r="G137" i="1"/>
  <c r="BK40" i="1"/>
  <c r="AV155" i="1"/>
  <c r="AW155" i="1" s="1"/>
  <c r="BB140" i="1"/>
  <c r="BC140" i="1" s="1"/>
  <c r="B160" i="1"/>
  <c r="AZ57" i="1"/>
  <c r="BB163" i="1"/>
  <c r="BW32" i="1"/>
  <c r="AN145" i="1"/>
  <c r="AO145" i="1" s="1"/>
  <c r="BT162" i="1"/>
  <c r="BR69" i="1"/>
  <c r="AQ91" i="1"/>
  <c r="AR31" i="1"/>
  <c r="AI54" i="1"/>
  <c r="B150" i="1"/>
  <c r="BF181" i="1"/>
  <c r="BG181" i="1" s="1"/>
  <c r="BM31" i="1"/>
  <c r="BP143" i="1"/>
  <c r="BQ143" i="1" s="1"/>
  <c r="AY91" i="1"/>
  <c r="BT40" i="1"/>
  <c r="AT27" i="1"/>
  <c r="BP171" i="1"/>
  <c r="BN163" i="1"/>
  <c r="BP137" i="1"/>
  <c r="AV160" i="1"/>
  <c r="AR145" i="1"/>
  <c r="AS145" i="1" s="1"/>
  <c r="AS31" i="1"/>
  <c r="BD158" i="1"/>
  <c r="BE158" i="1" s="1"/>
  <c r="AR41" i="1"/>
  <c r="AT144" i="1"/>
  <c r="AU144" i="1" s="1"/>
  <c r="BP64" i="1"/>
  <c r="AU39" i="1"/>
  <c r="AX135" i="1"/>
  <c r="AS43" i="1"/>
  <c r="BD170" i="1"/>
  <c r="BE170" i="1" s="1"/>
  <c r="AV164" i="1"/>
  <c r="AW164" i="1" s="1"/>
  <c r="BF27" i="1"/>
  <c r="AN53" i="1"/>
  <c r="BB177" i="1"/>
  <c r="BP169" i="1"/>
  <c r="BQ169" i="1" s="1"/>
  <c r="BB136" i="1"/>
  <c r="BC136" i="1" s="1"/>
  <c r="BF155" i="1"/>
  <c r="BG155" i="1" s="1"/>
  <c r="P164" i="1"/>
  <c r="B161" i="1"/>
  <c r="W142" i="1"/>
  <c r="BC38" i="1"/>
  <c r="BV38" i="1"/>
  <c r="BJ54" i="1"/>
  <c r="BJ270" i="1" s="1"/>
  <c r="BP161" i="1"/>
  <c r="AZ145" i="1"/>
  <c r="BA145" i="1" s="1"/>
  <c r="BF92" i="1"/>
  <c r="BQ54" i="1"/>
  <c r="P181" i="1"/>
  <c r="BK39" i="1"/>
  <c r="M140" i="1"/>
  <c r="AP170" i="1"/>
  <c r="AQ170" i="1" s="1"/>
  <c r="BU38" i="1"/>
  <c r="BN158" i="1"/>
  <c r="BN220" i="1" s="1"/>
  <c r="AV92" i="1"/>
  <c r="AN155" i="1"/>
  <c r="AO155" i="1" s="1"/>
  <c r="BH65" i="1"/>
  <c r="BB161" i="1"/>
  <c r="BC161" i="1" s="1"/>
  <c r="AU32" i="1"/>
  <c r="BI53" i="1"/>
  <c r="AV38" i="1"/>
  <c r="BK43" i="1"/>
  <c r="S91" i="1"/>
  <c r="AY54" i="1"/>
  <c r="BN173" i="1"/>
  <c r="BO173" i="1" s="1"/>
  <c r="BP151" i="1"/>
  <c r="AP142" i="1"/>
  <c r="AQ142" i="1" s="1"/>
  <c r="BD150" i="1"/>
  <c r="BA92" i="1"/>
  <c r="BB137" i="1"/>
  <c r="AP181" i="1"/>
  <c r="AQ181" i="1" s="1"/>
  <c r="BN169" i="1"/>
  <c r="BO169" i="1" s="1"/>
  <c r="BB171" i="1"/>
  <c r="BB158" i="1"/>
  <c r="BC158" i="1" s="1"/>
  <c r="BN161" i="1"/>
  <c r="BO161" i="1" s="1"/>
  <c r="BP173" i="1"/>
  <c r="BQ173" i="1" s="1"/>
  <c r="BP172" i="1"/>
  <c r="BQ172" i="1" s="1"/>
  <c r="L181" i="1"/>
  <c r="BF162" i="1"/>
  <c r="BN168" i="1"/>
  <c r="BO168" i="1" s="1"/>
  <c r="BD63" i="1"/>
  <c r="BF165" i="1"/>
  <c r="BG165" i="1" s="1"/>
  <c r="BT38" i="1"/>
  <c r="BE92" i="1"/>
  <c r="N145" i="1"/>
  <c r="AQ27" i="1"/>
  <c r="BF160" i="1"/>
  <c r="BG160" i="1" s="1"/>
  <c r="BH170" i="1"/>
  <c r="BI170" i="1" s="1"/>
  <c r="F190" i="1"/>
  <c r="U173" i="1"/>
  <c r="BT170" i="1"/>
  <c r="BU170" i="1" s="1"/>
  <c r="BV31" i="1"/>
  <c r="Q190" i="1"/>
  <c r="BJ50" i="1"/>
  <c r="H137" i="1"/>
  <c r="AZ140" i="1"/>
  <c r="BA140" i="1" s="1"/>
  <c r="BN155" i="1"/>
  <c r="BO155" i="1" s="1"/>
  <c r="AN26" i="1"/>
  <c r="BV170" i="1"/>
  <c r="BW170" i="1" s="1"/>
  <c r="AU91" i="1"/>
  <c r="BT163" i="1"/>
  <c r="AN64" i="1"/>
  <c r="BW65" i="1"/>
  <c r="N142" i="1"/>
  <c r="AT169" i="1"/>
  <c r="AU169" i="1" s="1"/>
  <c r="BF150" i="1"/>
  <c r="AW42" i="1"/>
  <c r="BH31" i="1"/>
  <c r="BG57" i="1"/>
  <c r="BE91" i="1"/>
  <c r="AV161" i="1"/>
  <c r="AW161" i="1" s="1"/>
  <c r="BG31" i="1"/>
  <c r="BP178" i="1"/>
  <c r="N168" i="1"/>
  <c r="S151" i="1"/>
  <c r="H181" i="1"/>
  <c r="BD182" i="1"/>
  <c r="BE182" i="1" s="1"/>
  <c r="AT162" i="1"/>
  <c r="H153" i="1"/>
  <c r="H149" i="1" s="1"/>
  <c r="B190" i="1"/>
  <c r="AP38" i="1"/>
  <c r="BT92" i="1"/>
  <c r="BT53" i="1"/>
  <c r="AT69" i="1"/>
  <c r="BV142" i="1"/>
  <c r="AX40" i="1"/>
  <c r="C97" i="1"/>
  <c r="BH182" i="1"/>
  <c r="BI182" i="1" s="1"/>
  <c r="V151" i="1"/>
  <c r="BO65" i="1"/>
  <c r="O140" i="1"/>
  <c r="AV169" i="1"/>
  <c r="AW169" i="1" s="1"/>
  <c r="E190" i="1"/>
  <c r="AT143" i="1"/>
  <c r="AU143" i="1" s="1"/>
  <c r="U167" i="1"/>
  <c r="AV172" i="1"/>
  <c r="AW172" i="1" s="1"/>
  <c r="BP158" i="1"/>
  <c r="AZ162" i="1"/>
  <c r="AI32" i="1"/>
  <c r="BC53" i="1"/>
  <c r="H85" i="1"/>
  <c r="BD168" i="1"/>
  <c r="BE168" i="1" s="1"/>
  <c r="BP168" i="1"/>
  <c r="BQ168" i="1" s="1"/>
  <c r="AP173" i="1"/>
  <c r="AQ173" i="1" s="1"/>
  <c r="AV142" i="1"/>
  <c r="BN151" i="1"/>
  <c r="AN137" i="1"/>
  <c r="C162" i="1"/>
  <c r="C197" i="1" s="1"/>
  <c r="AN140" i="1"/>
  <c r="AO140" i="1" s="1"/>
  <c r="BQ33" i="1"/>
  <c r="F161" i="1"/>
  <c r="BU41" i="1"/>
  <c r="BG27" i="1"/>
  <c r="P165" i="1"/>
  <c r="AS53" i="1"/>
  <c r="AS54" i="1"/>
  <c r="BC31" i="1"/>
  <c r="BD136" i="1"/>
  <c r="BE136" i="1" s="1"/>
  <c r="AV177" i="1"/>
  <c r="AT178" i="1"/>
  <c r="AS38" i="1"/>
  <c r="BN178" i="1"/>
  <c r="BT26" i="1"/>
  <c r="BT9" i="1" s="1"/>
  <c r="AV167" i="1"/>
  <c r="AW167" i="1" s="1"/>
  <c r="AO41" i="1"/>
  <c r="BG64" i="1"/>
  <c r="AZ150" i="1"/>
  <c r="AV57" i="1"/>
  <c r="BW69" i="1"/>
  <c r="N95" i="1"/>
  <c r="BW54" i="1"/>
  <c r="BN38" i="1"/>
  <c r="AV137" i="1"/>
  <c r="BP144" i="1"/>
  <c r="BQ144" i="1" s="1"/>
  <c r="N85" i="1"/>
  <c r="AN50" i="1"/>
  <c r="AN212" i="1" s="1"/>
  <c r="AP172" i="1"/>
  <c r="AQ172" i="1" s="1"/>
  <c r="AZ136" i="1"/>
  <c r="BA136" i="1" s="1"/>
  <c r="BP142" i="1"/>
  <c r="BQ142" i="1" s="1"/>
  <c r="Q189" i="1"/>
  <c r="S168" i="1"/>
  <c r="AI38" i="1"/>
  <c r="BT151" i="1"/>
  <c r="U181" i="1"/>
  <c r="J145" i="1"/>
  <c r="BP153" i="1"/>
  <c r="BQ153" i="1" s="1"/>
  <c r="AR161" i="1"/>
  <c r="AS161" i="1" s="1"/>
  <c r="S140" i="1"/>
  <c r="AR158" i="1"/>
  <c r="AS158" i="1" s="1"/>
  <c r="BV42" i="1"/>
  <c r="J169" i="1"/>
  <c r="K165" i="1"/>
  <c r="BF145" i="1"/>
  <c r="BG145" i="1" s="1"/>
  <c r="BU92" i="1"/>
  <c r="BO38" i="1"/>
  <c r="BO27" i="1"/>
  <c r="AY50" i="1"/>
  <c r="AK92" i="1"/>
  <c r="E173" i="1"/>
  <c r="BF144" i="1"/>
  <c r="BG144" i="1" s="1"/>
  <c r="F173" i="1"/>
  <c r="M142" i="1"/>
  <c r="BT145" i="1"/>
  <c r="BU145" i="1" s="1"/>
  <c r="K136" i="1"/>
  <c r="BN167" i="1"/>
  <c r="BO167" i="1" s="1"/>
  <c r="AT164" i="1"/>
  <c r="AU164" i="1" s="1"/>
  <c r="AZ172" i="1"/>
  <c r="BA172" i="1" s="1"/>
  <c r="BT57" i="1"/>
  <c r="BQ41" i="1"/>
  <c r="BF53" i="1"/>
  <c r="AP178" i="1"/>
  <c r="AV153" i="1"/>
  <c r="AW153" i="1" s="1"/>
  <c r="AI64" i="1"/>
  <c r="BK50" i="1"/>
  <c r="BP163" i="1"/>
  <c r="F92" i="1"/>
  <c r="P96" i="1"/>
  <c r="R154" i="1"/>
  <c r="BA53" i="1"/>
  <c r="BG41" i="1"/>
  <c r="BP41" i="1"/>
  <c r="BD39" i="1"/>
  <c r="AZ155" i="1"/>
  <c r="BA155" i="1" s="1"/>
  <c r="AS26" i="1"/>
  <c r="AS249" i="1" s="1"/>
  <c r="AQ40" i="1"/>
  <c r="BD143" i="1"/>
  <c r="BV169" i="1"/>
  <c r="BW169" i="1" s="1"/>
  <c r="AN143" i="1"/>
  <c r="AW57" i="1"/>
  <c r="AO40" i="1"/>
  <c r="AV158" i="1"/>
  <c r="AW158" i="1" s="1"/>
  <c r="AX220" i="1" s="1"/>
  <c r="P143" i="1"/>
  <c r="G190" i="1"/>
  <c r="BR40" i="1"/>
  <c r="AZ161" i="1"/>
  <c r="AV181" i="1"/>
  <c r="AW181" i="1" s="1"/>
  <c r="BO53" i="1"/>
  <c r="BN54" i="1"/>
  <c r="R178" i="1"/>
  <c r="AZ142" i="1"/>
  <c r="AZ53" i="1"/>
  <c r="B165" i="1"/>
  <c r="BA69" i="1"/>
  <c r="T161" i="1"/>
  <c r="BM65" i="1"/>
  <c r="BM43" i="1"/>
  <c r="I143" i="1"/>
  <c r="I145" i="1"/>
  <c r="W182" i="1"/>
  <c r="BV91" i="1"/>
  <c r="BQ64" i="1"/>
  <c r="BA63" i="1"/>
  <c r="D144" i="1"/>
  <c r="D172" i="1" s="1"/>
  <c r="Q161" i="1"/>
  <c r="AV43" i="1"/>
  <c r="B142" i="1"/>
  <c r="BB65" i="1"/>
  <c r="D167" i="1"/>
  <c r="R151" i="1"/>
  <c r="M150" i="1"/>
  <c r="BT63" i="1"/>
  <c r="BT69" i="1"/>
  <c r="BN162" i="1"/>
  <c r="BP162" i="1"/>
  <c r="AV165" i="1"/>
  <c r="AW165" i="1" s="1"/>
  <c r="BF64" i="1"/>
  <c r="BP43" i="1"/>
  <c r="AN178" i="1"/>
  <c r="AN179" i="1" s="1"/>
  <c r="AO227" i="1" s="1"/>
  <c r="BN92" i="1"/>
  <c r="O143" i="1"/>
  <c r="I190" i="1"/>
  <c r="BC27" i="1"/>
  <c r="AP43" i="1"/>
  <c r="BF161" i="1"/>
  <c r="BG161" i="1" s="1"/>
  <c r="BC39" i="1"/>
  <c r="AN136" i="1"/>
  <c r="AO136" i="1" s="1"/>
  <c r="U97" i="1"/>
  <c r="BP167" i="1"/>
  <c r="BH38" i="1"/>
  <c r="BQ42" i="1"/>
  <c r="BS69" i="1"/>
  <c r="M145" i="1"/>
  <c r="BP27" i="1"/>
  <c r="BF33" i="1"/>
  <c r="BT135" i="1"/>
  <c r="U158" i="1"/>
  <c r="BI38" i="1"/>
  <c r="U96" i="1"/>
  <c r="AS32" i="1"/>
  <c r="AT92" i="1"/>
  <c r="G97" i="1"/>
  <c r="BF137" i="1"/>
  <c r="F142" i="1"/>
  <c r="BW27" i="1"/>
  <c r="AU65" i="1"/>
  <c r="AI41" i="1"/>
  <c r="E182" i="1"/>
  <c r="AW50" i="1"/>
  <c r="R153" i="1"/>
  <c r="R149" i="1" s="1"/>
  <c r="AY53" i="1"/>
  <c r="AQ63" i="1"/>
  <c r="BB63" i="1"/>
  <c r="AQ31" i="1"/>
  <c r="AN57" i="1"/>
  <c r="S136" i="1"/>
  <c r="BW33" i="1"/>
  <c r="BU42" i="1"/>
  <c r="M168" i="1"/>
  <c r="AX43" i="1"/>
  <c r="AS39" i="1"/>
  <c r="BR57" i="1"/>
  <c r="B135" i="1"/>
  <c r="V190" i="1"/>
  <c r="L154" i="1"/>
  <c r="AY69" i="1"/>
  <c r="AN42" i="1"/>
  <c r="W161" i="1"/>
  <c r="BN40" i="1"/>
  <c r="C190" i="1"/>
  <c r="O182" i="1"/>
  <c r="D97" i="1"/>
  <c r="BN64" i="1"/>
  <c r="AI57" i="1"/>
  <c r="S135" i="1"/>
  <c r="AZ31" i="1"/>
  <c r="I177" i="1"/>
  <c r="BP149" i="1"/>
  <c r="AT161" i="1"/>
  <c r="AU161" i="1" s="1"/>
  <c r="AV145" i="1"/>
  <c r="AW145" i="1" s="1"/>
  <c r="G145" i="1"/>
  <c r="BP135" i="1"/>
  <c r="BQ135" i="1" s="1"/>
  <c r="BK91" i="1"/>
  <c r="BD43" i="1"/>
  <c r="AR164" i="1"/>
  <c r="AS164" i="1" s="1"/>
  <c r="AZ177" i="1"/>
  <c r="BU31" i="1"/>
  <c r="W145" i="1"/>
  <c r="H190" i="1"/>
  <c r="BF164" i="1"/>
  <c r="BG164" i="1" s="1"/>
  <c r="BP40" i="1"/>
  <c r="AT149" i="1"/>
  <c r="AN167" i="1"/>
  <c r="AO167" i="1" s="1"/>
  <c r="BM64" i="1"/>
  <c r="S189" i="1"/>
  <c r="AJ92" i="1"/>
  <c r="BF167" i="1"/>
  <c r="BG167" i="1" s="1"/>
  <c r="D96" i="1"/>
  <c r="BV26" i="1"/>
  <c r="BV9" i="1" s="1"/>
  <c r="AT137" i="1"/>
  <c r="Q168" i="1"/>
  <c r="BE26" i="1"/>
  <c r="AS92" i="1"/>
  <c r="BW92" i="1"/>
  <c r="BE41" i="1"/>
  <c r="BP170" i="1"/>
  <c r="BQ170" i="1" s="1"/>
  <c r="O96" i="1"/>
  <c r="BT41" i="1"/>
  <c r="I158" i="1"/>
  <c r="AQ42" i="1"/>
  <c r="BV135" i="1"/>
  <c r="BW135" i="1" s="1"/>
  <c r="AT145" i="1"/>
  <c r="AU145" i="1" s="1"/>
  <c r="BS26" i="1"/>
  <c r="B143" i="1"/>
  <c r="F167" i="1"/>
  <c r="E143" i="1"/>
  <c r="BG32" i="1"/>
  <c r="L96" i="1"/>
  <c r="BT27" i="1"/>
  <c r="W158" i="1"/>
  <c r="X220" i="1" s="1"/>
  <c r="BU50" i="1"/>
  <c r="AO33" i="1"/>
  <c r="BU54" i="1"/>
  <c r="AT172" i="1"/>
  <c r="AU172" i="1" s="1"/>
  <c r="BP42" i="1"/>
  <c r="D165" i="1"/>
  <c r="BP150" i="1"/>
  <c r="BN171" i="1"/>
  <c r="BP164" i="1"/>
  <c r="BQ164" i="1" s="1"/>
  <c r="AV53" i="1"/>
  <c r="AV27" i="1"/>
  <c r="AT168" i="1"/>
  <c r="AU168" i="1" s="1"/>
  <c r="BR53" i="1"/>
  <c r="BS42" i="1"/>
  <c r="AZ41" i="1"/>
  <c r="AI53" i="1"/>
  <c r="BV39" i="1"/>
  <c r="BF140" i="1"/>
  <c r="BG140" i="1" s="1"/>
  <c r="E164" i="1"/>
  <c r="J188" i="1"/>
  <c r="AT160" i="1"/>
  <c r="AU160" i="1" s="1"/>
  <c r="BO42" i="1"/>
  <c r="AP26" i="1"/>
  <c r="AP249" i="1" s="1"/>
  <c r="BN26" i="1"/>
  <c r="I155" i="1"/>
  <c r="AP136" i="1"/>
  <c r="AQ136" i="1" s="1"/>
  <c r="BQ38" i="1"/>
  <c r="BT167" i="1"/>
  <c r="BU167" i="1" s="1"/>
  <c r="BV65" i="1"/>
  <c r="AV32" i="1"/>
  <c r="BR32" i="1"/>
  <c r="M164" i="1"/>
  <c r="S150" i="1"/>
  <c r="U171" i="1"/>
  <c r="U201" i="1" s="1"/>
  <c r="AN151" i="1"/>
  <c r="AW53" i="1"/>
  <c r="M91" i="1"/>
  <c r="BO54" i="1"/>
  <c r="P140" i="1"/>
  <c r="BT64" i="1"/>
  <c r="AX50" i="1"/>
  <c r="AX212" i="1" s="1"/>
  <c r="BE64" i="1"/>
  <c r="AP92" i="1"/>
  <c r="O151" i="1"/>
  <c r="AP169" i="1"/>
  <c r="AQ169" i="1" s="1"/>
  <c r="AP158" i="1"/>
  <c r="AP150" i="1"/>
  <c r="D189" i="1"/>
  <c r="BH92" i="1"/>
  <c r="BN145" i="1"/>
  <c r="BO145" i="1" s="1"/>
  <c r="AP144" i="1"/>
  <c r="AQ144" i="1" s="1"/>
  <c r="BT43" i="1"/>
  <c r="AI31" i="1"/>
  <c r="AI33" i="1"/>
  <c r="AT57" i="1"/>
  <c r="BO64" i="1"/>
  <c r="AV151" i="1"/>
  <c r="O188" i="1"/>
  <c r="BV69" i="1"/>
  <c r="BT137" i="1"/>
  <c r="M155" i="1"/>
  <c r="AZ169" i="1"/>
  <c r="BA169" i="1" s="1"/>
  <c r="BO41" i="1"/>
  <c r="BB43" i="1"/>
  <c r="W177" i="1"/>
  <c r="AP153" i="1"/>
  <c r="AQ153" i="1" s="1"/>
  <c r="BF168" i="1"/>
  <c r="BG168" i="1" s="1"/>
  <c r="BB26" i="1"/>
  <c r="BB69" i="1"/>
  <c r="G188" i="1"/>
  <c r="AR169" i="1"/>
  <c r="AS169" i="1" s="1"/>
  <c r="AX65" i="1"/>
  <c r="U161" i="1"/>
  <c r="BE39" i="1"/>
  <c r="BP165" i="1"/>
  <c r="BQ165" i="1" s="1"/>
  <c r="BV160" i="1"/>
  <c r="BW160" i="1" s="1"/>
  <c r="S85" i="1"/>
  <c r="Q173" i="1"/>
  <c r="O136" i="1"/>
  <c r="BT161" i="1"/>
  <c r="O150" i="1"/>
  <c r="BT142" i="1"/>
  <c r="BV53" i="1"/>
  <c r="BG65" i="1"/>
  <c r="AZ167" i="1"/>
  <c r="BA167" i="1" s="1"/>
  <c r="AP151" i="1"/>
  <c r="BR41" i="1"/>
  <c r="AT151" i="1"/>
  <c r="S145" i="1"/>
  <c r="AT142" i="1"/>
  <c r="AV50" i="1"/>
  <c r="AV212" i="1" s="1"/>
  <c r="BT169" i="1"/>
  <c r="BU169" i="1" s="1"/>
  <c r="BC69" i="1"/>
  <c r="BM26" i="1"/>
  <c r="AV41" i="1"/>
  <c r="H188" i="1"/>
  <c r="Q164" i="1"/>
  <c r="C173" i="1"/>
  <c r="I162" i="1"/>
  <c r="I197" i="1" s="1"/>
  <c r="BC43" i="1"/>
  <c r="AV40" i="1"/>
  <c r="BQ63" i="1"/>
  <c r="D160" i="1"/>
  <c r="B153" i="1"/>
  <c r="AR64" i="1"/>
  <c r="BP92" i="1"/>
  <c r="R137" i="1"/>
  <c r="AP182" i="1"/>
  <c r="AQ182" i="1" s="1"/>
  <c r="BN172" i="1"/>
  <c r="BO172" i="1" s="1"/>
  <c r="AT38" i="1"/>
  <c r="I96" i="1"/>
  <c r="AV163" i="1"/>
  <c r="AT135" i="1"/>
  <c r="AU135" i="1" s="1"/>
  <c r="AR165" i="1"/>
  <c r="AS165" i="1" s="1"/>
  <c r="BU69" i="1"/>
  <c r="BI50" i="1"/>
  <c r="BT150" i="1"/>
  <c r="AP27" i="1"/>
  <c r="BF170" i="1"/>
  <c r="BG170" i="1" s="1"/>
  <c r="AR135" i="1"/>
  <c r="AT155" i="1"/>
  <c r="AU155" i="1" s="1"/>
  <c r="BN160" i="1"/>
  <c r="BO160" i="1" s="1"/>
  <c r="BN91" i="1"/>
  <c r="BM92" i="1"/>
  <c r="AN165" i="1"/>
  <c r="AO165" i="1" s="1"/>
  <c r="AO32" i="1"/>
  <c r="AN144" i="1"/>
  <c r="AO144" i="1" s="1"/>
  <c r="O135" i="1"/>
  <c r="O138" i="1" s="1"/>
  <c r="BT32" i="1"/>
  <c r="AP57" i="1"/>
  <c r="BN137" i="1"/>
  <c r="D149" i="1"/>
  <c r="AV135" i="1"/>
  <c r="AW135" i="1" s="1"/>
  <c r="K153" i="1"/>
  <c r="K149" i="1" s="1"/>
  <c r="BP136" i="1"/>
  <c r="BQ136" i="1" s="1"/>
  <c r="AP163" i="1"/>
  <c r="AV173" i="1"/>
  <c r="AW173" i="1" s="1"/>
  <c r="T178" i="1"/>
  <c r="G161" i="1"/>
  <c r="F181" i="1"/>
  <c r="BQ92" i="1"/>
  <c r="AW31" i="1"/>
  <c r="O85" i="1"/>
  <c r="AQ92" i="1"/>
  <c r="AN172" i="1"/>
  <c r="AO172" i="1" s="1"/>
  <c r="AT158" i="1"/>
  <c r="BU32" i="1"/>
  <c r="AT163" i="1"/>
  <c r="BA65" i="1"/>
  <c r="BK53" i="1"/>
  <c r="AT91" i="1"/>
  <c r="AZ91" i="1"/>
  <c r="AQ65" i="1"/>
  <c r="AR69" i="1"/>
  <c r="BN33" i="1"/>
  <c r="BR26" i="1"/>
  <c r="AZ182" i="1"/>
  <c r="BA182" i="1" s="1"/>
  <c r="AP165" i="1"/>
  <c r="AQ165" i="1" s="1"/>
  <c r="AN43" i="1"/>
  <c r="BP182" i="1"/>
  <c r="BQ182" i="1" s="1"/>
  <c r="BA31" i="1"/>
  <c r="BD38" i="1"/>
  <c r="BP31" i="1"/>
  <c r="BT54" i="1"/>
  <c r="AZ163" i="1"/>
  <c r="H178" i="1"/>
  <c r="O163" i="1"/>
  <c r="O198" i="1" s="1"/>
  <c r="L168" i="1"/>
  <c r="AY39" i="1"/>
  <c r="AN92" i="1"/>
  <c r="AR92" i="1"/>
  <c r="BN144" i="1"/>
  <c r="BO144" i="1" s="1"/>
  <c r="AS91" i="1"/>
  <c r="BJ57" i="1"/>
  <c r="G155" i="1"/>
  <c r="BR65" i="1"/>
  <c r="BO91" i="1"/>
  <c r="BV168" i="1"/>
  <c r="BW168" i="1" s="1"/>
  <c r="AQ32" i="1"/>
  <c r="BP177" i="1"/>
  <c r="AP168" i="1"/>
  <c r="AQ168" i="1" s="1"/>
  <c r="BN170" i="1"/>
  <c r="BO170" i="1" s="1"/>
  <c r="V91" i="1"/>
  <c r="I169" i="1"/>
  <c r="AW65" i="1"/>
  <c r="BM91" i="1"/>
  <c r="BP155" i="1"/>
  <c r="BQ155" i="1" s="1"/>
  <c r="AP162" i="1"/>
  <c r="BN140" i="1"/>
  <c r="BO140" i="1" s="1"/>
  <c r="BN135" i="1"/>
  <c r="BG39" i="1"/>
  <c r="AM91" i="1"/>
  <c r="BP145" i="1"/>
  <c r="BQ145" i="1" s="1"/>
  <c r="K155" i="1"/>
  <c r="BA42" i="1"/>
  <c r="BR64" i="1"/>
  <c r="AQ38" i="1"/>
  <c r="BP91" i="1"/>
  <c r="M153" i="1"/>
  <c r="M149" i="1" s="1"/>
  <c r="F137" i="1"/>
  <c r="AZ50" i="1"/>
  <c r="BN142" i="1"/>
  <c r="BJ91" i="1"/>
  <c r="AT171" i="1"/>
  <c r="BF163" i="1"/>
  <c r="I150" i="1"/>
  <c r="AR53" i="1"/>
  <c r="B181" i="1"/>
  <c r="I136" i="1"/>
  <c r="BF32" i="1"/>
  <c r="BN143" i="1"/>
  <c r="BO143" i="1" s="1"/>
  <c r="BP140" i="1"/>
  <c r="BQ140" i="1" s="1"/>
  <c r="W136" i="1"/>
  <c r="BE40" i="1"/>
  <c r="R182" i="1"/>
  <c r="AP143" i="1"/>
  <c r="AQ143" i="1" s="1"/>
  <c r="BA38" i="1"/>
  <c r="BI26" i="1"/>
  <c r="BH178" i="1"/>
  <c r="AP63" i="1"/>
  <c r="AO57" i="1"/>
  <c r="BU63" i="1"/>
  <c r="AY31" i="1"/>
  <c r="BT65" i="1"/>
  <c r="BG50" i="1"/>
  <c r="BG212" i="1" s="1"/>
  <c r="AV171" i="1"/>
  <c r="F158" i="1"/>
  <c r="AZ178" i="1"/>
  <c r="AZ43" i="1"/>
  <c r="W188" i="1"/>
  <c r="BA41" i="1"/>
  <c r="BH167" i="1"/>
  <c r="BI167" i="1" s="1"/>
  <c r="AI26" i="1"/>
  <c r="AW43" i="1"/>
  <c r="BK32" i="1"/>
  <c r="P158" i="1"/>
  <c r="AV136" i="1"/>
  <c r="AW136" i="1" s="1"/>
  <c r="BQ43" i="1"/>
  <c r="BI32" i="1"/>
  <c r="BG43" i="1"/>
  <c r="BH181" i="1"/>
  <c r="BI181" i="1" s="1"/>
  <c r="BE65" i="1"/>
  <c r="AP65" i="1"/>
  <c r="AS40" i="1"/>
  <c r="BR38" i="1"/>
  <c r="AX41" i="1"/>
  <c r="BU65" i="1"/>
  <c r="L145" i="1"/>
  <c r="T92" i="1"/>
  <c r="AV162" i="1"/>
  <c r="AZ33" i="1"/>
  <c r="BP181" i="1"/>
  <c r="BQ181" i="1" s="1"/>
  <c r="AP145" i="1"/>
  <c r="AQ145" i="1" s="1"/>
  <c r="BT182" i="1"/>
  <c r="BU182" i="1" s="1"/>
  <c r="BT171" i="1"/>
  <c r="AY65" i="1"/>
  <c r="S95" i="1"/>
  <c r="AN181" i="1"/>
  <c r="AO181" i="1" s="1"/>
  <c r="AR136" i="1"/>
  <c r="AS136" i="1" s="1"/>
  <c r="Q97" i="1"/>
  <c r="M171" i="1"/>
  <c r="M201" i="1" s="1"/>
  <c r="V136" i="1"/>
  <c r="N153" i="1"/>
  <c r="N149" i="1" s="1"/>
  <c r="BQ69" i="1"/>
  <c r="V173" i="1"/>
  <c r="AP155" i="1"/>
  <c r="AQ155" i="1" s="1"/>
  <c r="AW26" i="1"/>
  <c r="AW249" i="1" s="1"/>
  <c r="BD32" i="1"/>
  <c r="AT33" i="1"/>
  <c r="AW91" i="1"/>
  <c r="BM63" i="1"/>
  <c r="BN63" i="1"/>
  <c r="B97" i="1"/>
  <c r="AP135" i="1"/>
  <c r="AQ135" i="1" s="1"/>
  <c r="AR137" i="1"/>
  <c r="AT136" i="1"/>
  <c r="AU136" i="1" s="1"/>
  <c r="BO92" i="1"/>
  <c r="AR32" i="1"/>
  <c r="AR63" i="1"/>
  <c r="BP65" i="1"/>
  <c r="AT41" i="1"/>
  <c r="BQ26" i="1"/>
  <c r="AN163" i="1"/>
  <c r="BK65" i="1"/>
  <c r="BN53" i="1"/>
  <c r="BB27" i="1"/>
  <c r="AZ27" i="1"/>
  <c r="BS64" i="1"/>
  <c r="AW69" i="1"/>
  <c r="I144" i="1"/>
  <c r="I172" i="1" s="1"/>
  <c r="N92" i="1"/>
  <c r="BI65" i="1"/>
  <c r="BW41" i="1"/>
  <c r="BT33" i="1"/>
  <c r="AV168" i="1"/>
  <c r="AW168" i="1" s="1"/>
  <c r="S178" i="1"/>
  <c r="BI54" i="1"/>
  <c r="AR142" i="1"/>
  <c r="AS142" i="1" s="1"/>
  <c r="B155" i="1"/>
  <c r="H164" i="1"/>
  <c r="W168" i="1"/>
  <c r="AM64" i="1"/>
  <c r="AX69" i="1"/>
  <c r="I95" i="1"/>
  <c r="L137" i="1"/>
  <c r="BM53" i="1"/>
  <c r="AZ26" i="1"/>
  <c r="AZ92" i="1"/>
  <c r="V144" i="1"/>
  <c r="V172" i="1" s="1"/>
  <c r="Q188" i="1"/>
  <c r="Q167" i="1"/>
  <c r="AZ181" i="1"/>
  <c r="BA181" i="1" s="1"/>
  <c r="BH160" i="1"/>
  <c r="BI160" i="1" s="1"/>
  <c r="C177" i="1"/>
  <c r="BM32" i="1"/>
  <c r="S182" i="1"/>
  <c r="N155" i="1"/>
  <c r="AZ54" i="1"/>
  <c r="AZ42" i="1"/>
  <c r="AP40" i="1"/>
  <c r="BP32" i="1"/>
  <c r="BI41" i="1"/>
  <c r="BT178" i="1"/>
  <c r="BQ91" i="1"/>
  <c r="AN164" i="1"/>
  <c r="AO164" i="1" s="1"/>
  <c r="BU43" i="1"/>
  <c r="O145" i="1"/>
  <c r="AR143" i="1"/>
  <c r="S177" i="1"/>
  <c r="BH136" i="1"/>
  <c r="BI136" i="1" s="1"/>
  <c r="O164" i="1"/>
  <c r="R92" i="1"/>
  <c r="AR149" i="1"/>
  <c r="AU53" i="1"/>
  <c r="F189" i="1"/>
  <c r="AM92" i="1"/>
  <c r="AZ69" i="1"/>
  <c r="I151" i="1"/>
  <c r="BQ50" i="1"/>
  <c r="BQ212" i="1" s="1"/>
  <c r="BC54" i="1"/>
  <c r="I165" i="1"/>
  <c r="J161" i="1"/>
  <c r="D92" i="1"/>
  <c r="S163" i="1"/>
  <c r="S198" i="1" s="1"/>
  <c r="M189" i="1"/>
  <c r="E161" i="1"/>
  <c r="L161" i="1"/>
  <c r="W189" i="1"/>
  <c r="AW64" i="1"/>
  <c r="T158" i="1"/>
  <c r="E167" i="1"/>
  <c r="I182" i="1"/>
  <c r="J164" i="1"/>
  <c r="P169" i="1"/>
  <c r="V92" i="1"/>
  <c r="Q145" i="1"/>
  <c r="BH63" i="1"/>
  <c r="S162" i="1"/>
  <c r="S197" i="1" s="1"/>
  <c r="H162" i="1"/>
  <c r="H197" i="1" s="1"/>
  <c r="P97" i="1"/>
  <c r="E153" i="1"/>
  <c r="E149" i="1" s="1"/>
  <c r="N177" i="1"/>
  <c r="E171" i="1"/>
  <c r="E201" i="1" s="1"/>
  <c r="O144" i="1"/>
  <c r="BK69" i="1"/>
  <c r="BU33" i="1"/>
  <c r="AO54" i="1"/>
  <c r="BW39" i="1"/>
  <c r="BB32" i="1"/>
  <c r="BH168" i="1"/>
  <c r="BI168" i="1" s="1"/>
  <c r="I91" i="1"/>
  <c r="BH43" i="1"/>
  <c r="R96" i="1"/>
  <c r="F144" i="1"/>
  <c r="F172" i="1" s="1"/>
  <c r="BS27" i="1"/>
  <c r="BT153" i="1"/>
  <c r="BU153" i="1" s="1"/>
  <c r="BA26" i="1"/>
  <c r="P154" i="1"/>
  <c r="N173" i="1"/>
  <c r="BW38" i="1"/>
  <c r="BT155" i="1"/>
  <c r="BU155" i="1" s="1"/>
  <c r="K91" i="1"/>
  <c r="BW26" i="1"/>
  <c r="P91" i="1"/>
  <c r="BM27" i="1"/>
  <c r="I97" i="1"/>
  <c r="AR178" i="1"/>
  <c r="H168" i="1"/>
  <c r="V177" i="1"/>
  <c r="AX27" i="1"/>
  <c r="G91" i="1"/>
  <c r="AN69" i="1"/>
  <c r="E158" i="1"/>
  <c r="V154" i="1"/>
  <c r="AN31" i="1"/>
  <c r="R95" i="1"/>
  <c r="U164" i="1"/>
  <c r="M173" i="1"/>
  <c r="BH163" i="1"/>
  <c r="P155" i="1"/>
  <c r="E165" i="1"/>
  <c r="L150" i="1"/>
  <c r="BS33" i="1"/>
  <c r="BH91" i="1"/>
  <c r="L162" i="1"/>
  <c r="L197" i="1" s="1"/>
  <c r="AQ57" i="1"/>
  <c r="AY32" i="1"/>
  <c r="P188" i="1"/>
  <c r="D136" i="1"/>
  <c r="F168" i="1"/>
  <c r="V181" i="1"/>
  <c r="M85" i="1"/>
  <c r="N96" i="1"/>
  <c r="BV41" i="1"/>
  <c r="BH26" i="1"/>
  <c r="BH249" i="1" s="1"/>
  <c r="AZ32" i="1"/>
  <c r="AW39" i="1"/>
  <c r="AV63" i="1"/>
  <c r="C137" i="1"/>
  <c r="B188" i="1"/>
  <c r="BP57" i="1"/>
  <c r="AT63" i="1"/>
  <c r="D163" i="1"/>
  <c r="D198" i="1" s="1"/>
  <c r="BF91" i="1"/>
  <c r="BB53" i="1"/>
  <c r="K97" i="1"/>
  <c r="BB40" i="1"/>
  <c r="Q142" i="1"/>
  <c r="BT31" i="1"/>
  <c r="L140" i="1"/>
  <c r="H140" i="1"/>
  <c r="BD31" i="1"/>
  <c r="T168" i="1"/>
  <c r="T189" i="1"/>
  <c r="I140" i="1"/>
  <c r="U92" i="1"/>
  <c r="F163" i="1"/>
  <c r="F198" i="1" s="1"/>
  <c r="B85" i="1"/>
  <c r="BE63" i="1"/>
  <c r="F164" i="1"/>
  <c r="G154" i="1"/>
  <c r="BH137" i="1"/>
  <c r="R167" i="1"/>
  <c r="S181" i="1"/>
  <c r="P160" i="1"/>
  <c r="P137" i="1"/>
  <c r="L91" i="1"/>
  <c r="BB38" i="1"/>
  <c r="BA32" i="1"/>
  <c r="E142" i="1"/>
  <c r="BP38" i="1"/>
  <c r="BM69" i="1"/>
  <c r="K96" i="1"/>
  <c r="U142" i="1"/>
  <c r="BA64" i="1"/>
  <c r="BG26" i="1"/>
  <c r="BH40" i="1"/>
  <c r="BW50" i="1"/>
  <c r="BW212" i="1" s="1"/>
  <c r="O162" i="1"/>
  <c r="F136" i="1"/>
  <c r="AV91" i="1"/>
  <c r="BF136" i="1"/>
  <c r="BG136" i="1" s="1"/>
  <c r="BA27" i="1"/>
  <c r="AN173" i="1"/>
  <c r="AO173" i="1" s="1"/>
  <c r="AZ158" i="1"/>
  <c r="O137" i="1"/>
  <c r="BM33" i="1"/>
  <c r="AZ40" i="1"/>
  <c r="V135" i="1"/>
  <c r="J91" i="1"/>
  <c r="W167" i="1"/>
  <c r="AO42" i="1"/>
  <c r="AQ41" i="1"/>
  <c r="BB64" i="1"/>
  <c r="G164" i="1"/>
  <c r="AZ160" i="1"/>
  <c r="BD40" i="1"/>
  <c r="AT140" i="1"/>
  <c r="AU140" i="1" s="1"/>
  <c r="B140" i="1"/>
  <c r="AN27" i="1"/>
  <c r="U189" i="1"/>
  <c r="BE53" i="1"/>
  <c r="BA43" i="1"/>
  <c r="S154" i="1"/>
  <c r="J190" i="1"/>
  <c r="BK63" i="1"/>
  <c r="V95" i="1"/>
  <c r="AT65" i="1"/>
  <c r="J144" i="1"/>
  <c r="J172" i="1" s="1"/>
  <c r="AK91" i="1"/>
  <c r="S164" i="1"/>
  <c r="AU40" i="1"/>
  <c r="L173" i="1"/>
  <c r="O169" i="1"/>
  <c r="F95" i="1"/>
  <c r="E188" i="1"/>
  <c r="G167" i="1"/>
  <c r="BI27" i="1"/>
  <c r="G173" i="1"/>
  <c r="N160" i="1"/>
  <c r="BO31" i="1"/>
  <c r="W164" i="1"/>
  <c r="C144" i="1"/>
  <c r="C172" i="1" s="1"/>
  <c r="U160" i="1"/>
  <c r="E85" i="1"/>
  <c r="R168" i="1"/>
  <c r="BV151" i="1"/>
  <c r="K167" i="1"/>
  <c r="J189" i="1"/>
  <c r="B171" i="1"/>
  <c r="B201" i="1" s="1"/>
  <c r="R91" i="1"/>
  <c r="BC42" i="1"/>
  <c r="B144" i="1"/>
  <c r="B172" i="1" s="1"/>
  <c r="BM54" i="1"/>
  <c r="BM270" i="1" s="1"/>
  <c r="BJ65" i="1"/>
  <c r="AQ43" i="1"/>
  <c r="BU39" i="1"/>
  <c r="M92" i="1"/>
  <c r="AV178" i="1"/>
  <c r="G135" i="1"/>
  <c r="AR43" i="1"/>
  <c r="BV43" i="1"/>
  <c r="E91" i="1"/>
  <c r="C153" i="1"/>
  <c r="BH69" i="1"/>
  <c r="H135" i="1"/>
  <c r="BW43" i="1"/>
  <c r="BB39" i="1"/>
  <c r="BR39" i="1"/>
  <c r="AS27" i="1"/>
  <c r="AU42" i="1"/>
  <c r="V155" i="1"/>
  <c r="B169" i="1"/>
  <c r="BS40" i="1"/>
  <c r="U135" i="1"/>
  <c r="AN168" i="1"/>
  <c r="AO168" i="1" s="1"/>
  <c r="BO39" i="1"/>
  <c r="BE42" i="1"/>
  <c r="AZ143" i="1"/>
  <c r="BA143" i="1" s="1"/>
  <c r="AS41" i="1"/>
  <c r="Q160" i="1"/>
  <c r="AT39" i="1"/>
  <c r="BD26" i="1"/>
  <c r="AN153" i="1"/>
  <c r="AO153" i="1" s="1"/>
  <c r="AN149" i="1"/>
  <c r="AT182" i="1"/>
  <c r="AU182" i="1" s="1"/>
  <c r="V171" i="1"/>
  <c r="V201" i="1" s="1"/>
  <c r="L151" i="1"/>
  <c r="V178" i="1"/>
  <c r="B137" i="1"/>
  <c r="C188" i="1"/>
  <c r="H171" i="1"/>
  <c r="H201" i="1" s="1"/>
  <c r="S96" i="1"/>
  <c r="S92" i="1"/>
  <c r="T136" i="1"/>
  <c r="W169" i="1"/>
  <c r="P182" i="1"/>
  <c r="I85" i="1"/>
  <c r="K144" i="1"/>
  <c r="K172" i="1" s="1"/>
  <c r="G189" i="1"/>
  <c r="AU57" i="1"/>
  <c r="BR42" i="1"/>
  <c r="H136" i="1"/>
  <c r="K161" i="1"/>
  <c r="BS31" i="1"/>
  <c r="O158" i="1"/>
  <c r="AP50" i="1"/>
  <c r="AP212" i="1" s="1"/>
  <c r="AZ164" i="1"/>
  <c r="BA164" i="1" s="1"/>
  <c r="AT32" i="1"/>
  <c r="BQ53" i="1"/>
  <c r="J171" i="1"/>
  <c r="J201" i="1" s="1"/>
  <c r="BH162" i="1"/>
  <c r="BE27" i="1"/>
  <c r="AZ168" i="1"/>
  <c r="BA168" i="1" s="1"/>
  <c r="AW33" i="1"/>
  <c r="BF172" i="1"/>
  <c r="BG172" i="1" s="1"/>
  <c r="BT160" i="1"/>
  <c r="J163" i="1"/>
  <c r="J198" i="1" s="1"/>
  <c r="AT153" i="1"/>
  <c r="AU153" i="1" s="1"/>
  <c r="BT165" i="1"/>
  <c r="BU165" i="1" s="1"/>
  <c r="BT50" i="1"/>
  <c r="BT212" i="1" s="1"/>
  <c r="AY42" i="1"/>
  <c r="P151" i="1"/>
  <c r="F151" i="1"/>
  <c r="Q143" i="1"/>
  <c r="BT172" i="1"/>
  <c r="BU172" i="1" s="1"/>
  <c r="BT149" i="1"/>
  <c r="BF39" i="1"/>
  <c r="F145" i="1"/>
  <c r="BK27" i="1"/>
  <c r="J92" i="1"/>
  <c r="BK64" i="1"/>
  <c r="BF43" i="1"/>
  <c r="AQ26" i="1"/>
  <c r="G140" i="1"/>
  <c r="BK54" i="1"/>
  <c r="BT144" i="1"/>
  <c r="BU144" i="1" s="1"/>
  <c r="K135" i="1"/>
  <c r="BT42" i="1"/>
  <c r="AP39" i="1"/>
  <c r="N135" i="1"/>
  <c r="BV150" i="1"/>
  <c r="AU33" i="1"/>
  <c r="BN41" i="1"/>
  <c r="N181" i="1"/>
  <c r="BT140" i="1"/>
  <c r="BU140" i="1" s="1"/>
  <c r="BE32" i="1"/>
  <c r="AN171" i="1"/>
  <c r="AN201" i="1" s="1"/>
  <c r="AO201" i="1" s="1"/>
  <c r="M178" i="1"/>
  <c r="P168" i="1"/>
  <c r="H95" i="1"/>
  <c r="P161" i="1"/>
  <c r="AZ135" i="1"/>
  <c r="BN27" i="1"/>
  <c r="BE31" i="1"/>
  <c r="AP54" i="1"/>
  <c r="BT136" i="1"/>
  <c r="BU136" i="1" s="1"/>
  <c r="BN50" i="1"/>
  <c r="BN51" i="1" s="1"/>
  <c r="AR38" i="1"/>
  <c r="BG42" i="1"/>
  <c r="BV64" i="1"/>
  <c r="AQ39" i="1"/>
  <c r="BR54" i="1"/>
  <c r="G160" i="1"/>
  <c r="AZ149" i="1"/>
  <c r="AM65" i="1"/>
  <c r="O178" i="1"/>
  <c r="AZ151" i="1"/>
  <c r="S143" i="1"/>
  <c r="AV65" i="1"/>
  <c r="S161" i="1"/>
  <c r="BV136" i="1"/>
  <c r="BW136" i="1" s="1"/>
  <c r="M135" i="1"/>
  <c r="R173" i="1"/>
  <c r="BC50" i="1"/>
  <c r="AR57" i="1"/>
  <c r="AY38" i="1"/>
  <c r="BW53" i="1"/>
  <c r="W155" i="1"/>
  <c r="M151" i="1"/>
  <c r="M152" i="1" s="1"/>
  <c r="M51" i="1" s="1"/>
  <c r="BF31" i="1"/>
  <c r="K92" i="1"/>
  <c r="N189" i="1"/>
  <c r="E160" i="1"/>
  <c r="B145" i="1"/>
  <c r="BH158" i="1"/>
  <c r="BI158" i="1" s="1"/>
  <c r="BJ220" i="1" s="1"/>
  <c r="T173" i="1"/>
  <c r="BH41" i="1"/>
  <c r="Q158" i="1"/>
  <c r="N91" i="1"/>
  <c r="BI43" i="1"/>
  <c r="BU57" i="1"/>
  <c r="AQ69" i="1"/>
  <c r="K140" i="1"/>
  <c r="T151" i="1"/>
  <c r="AT177" i="1"/>
  <c r="AT26" i="1"/>
  <c r="BH57" i="1"/>
  <c r="BF50" i="1"/>
  <c r="R161" i="1"/>
  <c r="BO26" i="1"/>
  <c r="T181" i="1"/>
  <c r="BM40" i="1"/>
  <c r="F171" i="1"/>
  <c r="F201" i="1" s="1"/>
  <c r="BV171" i="1"/>
  <c r="AZ170" i="1"/>
  <c r="BA170" i="1" s="1"/>
  <c r="AP64" i="1"/>
  <c r="BS50" i="1"/>
  <c r="BS212" i="1" s="1"/>
  <c r="BG38" i="1"/>
  <c r="AU63" i="1"/>
  <c r="BI39" i="1"/>
  <c r="BI57" i="1"/>
  <c r="I153" i="1"/>
  <c r="I149" i="1" s="1"/>
  <c r="AX38" i="1"/>
  <c r="W137" i="1"/>
  <c r="BN32" i="1"/>
  <c r="BR43" i="1"/>
  <c r="AI40" i="1"/>
  <c r="BH32" i="1"/>
  <c r="AX63" i="1"/>
  <c r="C189" i="1"/>
  <c r="BM42" i="1"/>
  <c r="BS41" i="1"/>
  <c r="E168" i="1"/>
  <c r="F177" i="1"/>
  <c r="L135" i="1"/>
  <c r="BV153" i="1"/>
  <c r="BW153" i="1" s="1"/>
  <c r="BG54" i="1"/>
  <c r="C163" i="1"/>
  <c r="C198" i="1" s="1"/>
  <c r="G178" i="1"/>
  <c r="K189" i="1"/>
  <c r="BH155" i="1"/>
  <c r="BI155" i="1" s="1"/>
  <c r="L189" i="1"/>
  <c r="Q182" i="1"/>
  <c r="T188" i="1"/>
  <c r="AI39" i="1"/>
  <c r="D145" i="1"/>
  <c r="E96" i="1"/>
  <c r="B164" i="1"/>
  <c r="K85" i="1"/>
  <c r="BE33" i="1"/>
  <c r="D143" i="1"/>
  <c r="W190" i="1"/>
  <c r="W165" i="1"/>
  <c r="AY33" i="1"/>
  <c r="BH27" i="1"/>
  <c r="BK26" i="1"/>
  <c r="AT173" i="1"/>
  <c r="AU173" i="1" s="1"/>
  <c r="BH135" i="1"/>
  <c r="BI135" i="1" s="1"/>
  <c r="J135" i="1"/>
  <c r="H96" i="1"/>
  <c r="F153" i="1"/>
  <c r="F149" i="1" s="1"/>
  <c r="P153" i="1"/>
  <c r="P149" i="1" s="1"/>
  <c r="W96" i="1"/>
  <c r="BI63" i="1"/>
  <c r="C81" i="1"/>
  <c r="T163" i="1"/>
  <c r="T198" i="1" s="1"/>
  <c r="BO57" i="1"/>
  <c r="M160" i="1"/>
  <c r="U154" i="1"/>
  <c r="H143" i="1"/>
  <c r="D155" i="1"/>
  <c r="BN42" i="1"/>
  <c r="T85" i="1"/>
  <c r="BR142" i="1"/>
  <c r="T182" i="1"/>
  <c r="BG69" i="1"/>
  <c r="BH42" i="1"/>
  <c r="U145" i="1"/>
  <c r="BH169" i="1"/>
  <c r="BI169" i="1" s="1"/>
  <c r="AR50" i="1"/>
  <c r="AR212" i="1" s="1"/>
  <c r="AZ137" i="1"/>
  <c r="C151" i="1"/>
  <c r="BV162" i="1"/>
  <c r="T167" i="1"/>
  <c r="O153" i="1"/>
  <c r="O149" i="1" s="1"/>
  <c r="BW31" i="1"/>
  <c r="AI27" i="1"/>
  <c r="AV42" i="1"/>
  <c r="Q163" i="1"/>
  <c r="Q198" i="1" s="1"/>
  <c r="I92" i="1"/>
  <c r="BH140" i="1"/>
  <c r="BI140" i="1" s="1"/>
  <c r="P136" i="1"/>
  <c r="Q144" i="1"/>
  <c r="Q172" i="1" s="1"/>
  <c r="D135" i="1"/>
  <c r="W143" i="1"/>
  <c r="BH153" i="1"/>
  <c r="BI153" i="1" s="1"/>
  <c r="D151" i="1"/>
  <c r="R171" i="1"/>
  <c r="R201" i="1" s="1"/>
  <c r="S188" i="1"/>
  <c r="S137" i="1"/>
  <c r="N163" i="1"/>
  <c r="N198" i="1" s="1"/>
  <c r="I173" i="1"/>
  <c r="U91" i="1"/>
  <c r="F150" i="1"/>
  <c r="H167" i="1"/>
  <c r="R155" i="1"/>
  <c r="F91" i="1"/>
  <c r="F155" i="1"/>
  <c r="T155" i="1"/>
  <c r="BO50" i="1"/>
  <c r="AV31" i="1"/>
  <c r="BM38" i="1"/>
  <c r="BN39" i="1"/>
  <c r="P167" i="1"/>
  <c r="BF65" i="1"/>
  <c r="BK33" i="1"/>
  <c r="BH54" i="1"/>
  <c r="H151" i="1"/>
  <c r="V163" i="1"/>
  <c r="V198" i="1" s="1"/>
  <c r="S155" i="1"/>
  <c r="C181" i="1"/>
  <c r="R164" i="1"/>
  <c r="P163" i="1"/>
  <c r="P198" i="1" s="1"/>
  <c r="B96" i="1"/>
  <c r="C182" i="1"/>
  <c r="BS63" i="1"/>
  <c r="Q165" i="1"/>
  <c r="AZ64" i="1"/>
  <c r="K143" i="1"/>
  <c r="E150" i="1"/>
  <c r="I181" i="1"/>
  <c r="L182" i="1"/>
  <c r="B173" i="1"/>
  <c r="F182" i="1"/>
  <c r="K160" i="1"/>
  <c r="R181" i="1"/>
  <c r="U151" i="1"/>
  <c r="BV158" i="1"/>
  <c r="C165" i="1"/>
  <c r="F96" i="1"/>
  <c r="F178" i="1"/>
  <c r="AV33" i="1"/>
  <c r="AY26" i="1"/>
  <c r="BI64" i="1"/>
  <c r="I168" i="1"/>
  <c r="BN31" i="1"/>
  <c r="E92" i="1"/>
  <c r="AW92" i="1"/>
  <c r="AZ65" i="1"/>
  <c r="AT43" i="1"/>
  <c r="AQ33" i="1"/>
  <c r="BV163" i="1"/>
  <c r="G150" i="1"/>
  <c r="AM69" i="1"/>
  <c r="AX39" i="1"/>
  <c r="BS39" i="1"/>
  <c r="BP53" i="1"/>
  <c r="BV181" i="1"/>
  <c r="BW181" i="1" s="1"/>
  <c r="S153" i="1"/>
  <c r="S149" i="1" s="1"/>
  <c r="BK31" i="1"/>
  <c r="L144" i="1"/>
  <c r="W163" i="1"/>
  <c r="BM39" i="1"/>
  <c r="Q140" i="1"/>
  <c r="AZ63" i="1"/>
  <c r="L136" i="1"/>
  <c r="K145" i="1"/>
  <c r="T144" i="1"/>
  <c r="T172" i="1" s="1"/>
  <c r="BV178" i="1"/>
  <c r="AU50" i="1"/>
  <c r="H97" i="1"/>
  <c r="Q95" i="1"/>
  <c r="BH50" i="1"/>
  <c r="BH212" i="1" s="1"/>
  <c r="AN65" i="1"/>
  <c r="BI40" i="1"/>
  <c r="N97" i="1"/>
  <c r="K142" i="1"/>
  <c r="K169" i="1"/>
  <c r="K95" i="1"/>
  <c r="BB57" i="1"/>
  <c r="BR63" i="1"/>
  <c r="AT54" i="1"/>
  <c r="E189" i="1"/>
  <c r="U95" i="1"/>
  <c r="AN40" i="1"/>
  <c r="D142" i="1"/>
  <c r="N144" i="1"/>
  <c r="K151" i="1"/>
  <c r="AV26" i="1"/>
  <c r="O155" i="1"/>
  <c r="BJ69" i="1"/>
  <c r="AY40" i="1"/>
  <c r="BC40" i="1"/>
  <c r="W97" i="1"/>
  <c r="B151" i="1"/>
  <c r="N162" i="1"/>
  <c r="N197" i="1" s="1"/>
  <c r="BO33" i="1"/>
  <c r="AO64" i="1"/>
  <c r="U155" i="1"/>
  <c r="V160" i="1"/>
  <c r="C155" i="1"/>
  <c r="AO53" i="1"/>
  <c r="BN69" i="1"/>
  <c r="BB33" i="1"/>
  <c r="J165" i="1"/>
  <c r="S173" i="1"/>
  <c r="T153" i="1"/>
  <c r="T149" i="1" s="1"/>
  <c r="T165" i="1"/>
  <c r="V150" i="1"/>
  <c r="BV92" i="1"/>
  <c r="D95" i="1"/>
  <c r="BN65" i="1"/>
  <c r="I163" i="1"/>
  <c r="I198" i="1" s="1"/>
  <c r="AT50" i="1"/>
  <c r="AT212" i="1" s="1"/>
  <c r="BV32" i="1"/>
  <c r="I171" i="1"/>
  <c r="I201" i="1" s="1"/>
  <c r="N150" i="1"/>
  <c r="BD42" i="1"/>
  <c r="BW42" i="1"/>
  <c r="E145" i="1"/>
  <c r="BJ64" i="1"/>
  <c r="L165" i="1"/>
  <c r="BW64" i="1"/>
  <c r="AT170" i="1"/>
  <c r="AU170" i="1" s="1"/>
  <c r="V145" i="1"/>
  <c r="M154" i="1"/>
  <c r="BQ40" i="1"/>
  <c r="J160" i="1"/>
  <c r="K171" i="1"/>
  <c r="K201" i="1" s="1"/>
  <c r="BA57" i="1"/>
  <c r="AW32" i="1"/>
  <c r="AI65" i="1"/>
  <c r="BB42" i="1"/>
  <c r="AW54" i="1"/>
  <c r="BS53" i="1"/>
  <c r="AT40" i="1"/>
  <c r="E162" i="1"/>
  <c r="E197" i="1" s="1"/>
  <c r="P189" i="1"/>
  <c r="L158" i="1"/>
  <c r="AS69" i="1"/>
  <c r="M162" i="1"/>
  <c r="M197" i="1" s="1"/>
  <c r="AO63" i="1"/>
  <c r="J162" i="1"/>
  <c r="J197" i="1" s="1"/>
  <c r="BP26" i="1"/>
  <c r="N165" i="1"/>
  <c r="Q96" i="1"/>
  <c r="H144" i="1"/>
  <c r="H172" i="1" s="1"/>
  <c r="BV143" i="1"/>
  <c r="BW143" i="1" s="1"/>
  <c r="BD69" i="1"/>
  <c r="D150" i="1"/>
  <c r="BS65" i="1"/>
  <c r="AO31" i="1"/>
  <c r="BF40" i="1"/>
  <c r="T162" i="1"/>
  <c r="AT181" i="1"/>
  <c r="AU181" i="1" s="1"/>
  <c r="AT167" i="1"/>
  <c r="AU167" i="1" s="1"/>
  <c r="BH171" i="1"/>
  <c r="BH201" i="1" s="1"/>
  <c r="BI201" i="1" s="1"/>
  <c r="Q155" i="1"/>
  <c r="BJ53" i="1"/>
  <c r="BD64" i="1"/>
  <c r="D91" i="1"/>
  <c r="BI33" i="1"/>
  <c r="J168" i="1"/>
  <c r="F188" i="1"/>
  <c r="BD65" i="1"/>
  <c r="AN41" i="1"/>
  <c r="H173" i="1"/>
  <c r="S165" i="1"/>
  <c r="R177" i="1"/>
  <c r="U163" i="1"/>
  <c r="U198" i="1" s="1"/>
  <c r="S169" i="1"/>
  <c r="AS33" i="1"/>
  <c r="F135" i="1"/>
  <c r="C149" i="1"/>
  <c r="W140" i="1"/>
  <c r="M136" i="1"/>
  <c r="C143" i="1"/>
  <c r="I161" i="1"/>
  <c r="W171" i="1"/>
  <c r="G142" i="1"/>
  <c r="C169" i="1"/>
  <c r="J97" i="1"/>
  <c r="BO40" i="1"/>
  <c r="AT31" i="1"/>
  <c r="BD27" i="1"/>
  <c r="BS43" i="1"/>
  <c r="AU41" i="1"/>
  <c r="I178" i="1"/>
  <c r="L188" i="1"/>
  <c r="N154" i="1"/>
  <c r="BA39" i="1"/>
  <c r="BE50" i="1"/>
  <c r="BE212" i="1" s="1"/>
  <c r="AY63" i="1"/>
  <c r="BP69" i="1"/>
  <c r="BQ57" i="1"/>
  <c r="Q92" i="1"/>
  <c r="F162" i="1"/>
  <c r="F197" i="1" s="1"/>
  <c r="BE43" i="1"/>
  <c r="D181" i="1"/>
  <c r="BB54" i="1"/>
  <c r="AQ50" i="1"/>
  <c r="BD57" i="1"/>
  <c r="BW40" i="1"/>
  <c r="BO43" i="1"/>
  <c r="AO43" i="1"/>
  <c r="BR33" i="1"/>
  <c r="V85" i="1"/>
  <c r="AY41" i="1"/>
  <c r="M165" i="1"/>
  <c r="V140" i="1"/>
  <c r="BD50" i="1"/>
  <c r="BV33" i="1"/>
  <c r="U137" i="1"/>
  <c r="V161" i="1"/>
  <c r="L85" i="1"/>
  <c r="E181" i="1"/>
  <c r="O171" i="1"/>
  <c r="O201" i="1" s="1"/>
  <c r="AI69" i="1"/>
  <c r="B168" i="1"/>
  <c r="BI42" i="1"/>
  <c r="BF41" i="1"/>
  <c r="BU26" i="1"/>
  <c r="H177" i="1"/>
  <c r="H179" i="1" s="1"/>
  <c r="T143" i="1"/>
  <c r="P162" i="1"/>
  <c r="P197" i="1" s="1"/>
  <c r="T177" i="1"/>
  <c r="B178" i="1"/>
  <c r="J136" i="1"/>
  <c r="BH165" i="1"/>
  <c r="BI165" i="1" s="1"/>
  <c r="K158" i="1"/>
  <c r="BH143" i="1"/>
  <c r="BI143" i="1" s="1"/>
  <c r="L97" i="1"/>
  <c r="E151" i="1"/>
  <c r="R150" i="1"/>
  <c r="O142" i="1"/>
  <c r="BH142" i="1"/>
  <c r="BI142" i="1" s="1"/>
  <c r="H91" i="1"/>
  <c r="J85" i="1"/>
  <c r="G136" i="1"/>
  <c r="P177" i="1"/>
  <c r="P179" i="1" s="1"/>
  <c r="Q227" i="1" s="1"/>
  <c r="T169" i="1"/>
  <c r="J142" i="1"/>
  <c r="K150" i="1"/>
  <c r="K152" i="1" s="1"/>
  <c r="K51" i="1" s="1"/>
  <c r="Q85" i="1"/>
  <c r="V158" i="1"/>
  <c r="AS57" i="1"/>
  <c r="K137" i="1"/>
  <c r="N161" i="1"/>
  <c r="BM41" i="1"/>
  <c r="BE69" i="1"/>
  <c r="AX32" i="1"/>
  <c r="AU27" i="1"/>
  <c r="AR54" i="1"/>
  <c r="BH145" i="1"/>
  <c r="BI145" i="1" s="1"/>
  <c r="U177" i="1"/>
  <c r="AT150" i="1"/>
  <c r="S158" i="1"/>
  <c r="K154" i="1"/>
  <c r="N190" i="1"/>
  <c r="P95" i="1"/>
  <c r="H161" i="1"/>
  <c r="K162" i="1"/>
  <c r="K197" i="1" s="1"/>
  <c r="N137" i="1"/>
  <c r="H169" i="1"/>
  <c r="N182" i="1"/>
  <c r="O160" i="1"/>
  <c r="U153" i="1"/>
  <c r="U149" i="1" s="1"/>
  <c r="AW27" i="1"/>
  <c r="H163" i="1"/>
  <c r="H198" i="1" s="1"/>
  <c r="BQ39" i="1"/>
  <c r="BV145" i="1"/>
  <c r="BW145" i="1" s="1"/>
  <c r="Q177" i="1"/>
  <c r="AV39" i="1"/>
  <c r="G162" i="1"/>
  <c r="G197" i="1" s="1"/>
  <c r="V189" i="1"/>
  <c r="F97" i="1"/>
  <c r="G158" i="1"/>
  <c r="R140" i="1"/>
  <c r="R97" i="1"/>
  <c r="BJ40" i="1"/>
  <c r="BJ44" i="1" s="1"/>
  <c r="H189" i="1"/>
  <c r="M177" i="1"/>
  <c r="BD41" i="1"/>
  <c r="C171" i="1"/>
  <c r="C201" i="1" s="1"/>
  <c r="BE38" i="1"/>
  <c r="M181" i="1"/>
  <c r="L153" i="1"/>
  <c r="L149" i="1" s="1"/>
  <c r="BF42" i="1"/>
  <c r="BV54" i="1"/>
  <c r="G163" i="1"/>
  <c r="G198" i="1" s="1"/>
  <c r="BV57" i="1"/>
  <c r="AS63" i="1"/>
  <c r="L171" i="1"/>
  <c r="L201" i="1" s="1"/>
  <c r="P135" i="1"/>
  <c r="L163" i="1"/>
  <c r="L198" i="1" s="1"/>
  <c r="AP69" i="1"/>
  <c r="U150" i="1"/>
  <c r="R143" i="1"/>
  <c r="C136" i="1"/>
  <c r="BG33" i="1"/>
  <c r="C96" i="1"/>
  <c r="E97" i="1"/>
  <c r="BV140" i="1"/>
  <c r="BW140" i="1" s="1"/>
  <c r="T154" i="1"/>
  <c r="BV50" i="1"/>
  <c r="BV212" i="1" s="1"/>
  <c r="AP42" i="1"/>
  <c r="BC65" i="1"/>
  <c r="N171" i="1"/>
  <c r="N201" i="1" s="1"/>
  <c r="BE57" i="1"/>
  <c r="AN38" i="1"/>
  <c r="T145" i="1"/>
  <c r="AX31" i="1"/>
  <c r="BQ31" i="1"/>
  <c r="AR40" i="1"/>
  <c r="BQ65" i="1"/>
  <c r="BO63" i="1"/>
  <c r="BK57" i="1"/>
  <c r="BP50" i="1"/>
  <c r="BP212" i="1" s="1"/>
  <c r="Q150" i="1"/>
  <c r="T164" i="1"/>
  <c r="I167" i="1"/>
  <c r="BJ27" i="1"/>
  <c r="BJ28" i="1" s="1"/>
  <c r="BJ34" i="1" s="1"/>
  <c r="BV161" i="1"/>
  <c r="BW161" i="1" s="1"/>
  <c r="K181" i="1"/>
  <c r="S171" i="1"/>
  <c r="S201" i="1" s="1"/>
  <c r="BH149" i="1"/>
  <c r="N158" i="1"/>
  <c r="K177" i="1"/>
  <c r="U144" i="1"/>
  <c r="U172" i="1" s="1"/>
  <c r="AU69" i="1"/>
  <c r="O190" i="1"/>
  <c r="N151" i="1"/>
  <c r="J155" i="1"/>
  <c r="AI91" i="1"/>
  <c r="G96" i="1"/>
  <c r="U136" i="1"/>
  <c r="O95" i="1"/>
  <c r="AI42" i="1"/>
  <c r="J167" i="1"/>
  <c r="AS42" i="1"/>
  <c r="Q181" i="1"/>
  <c r="K188" i="1"/>
  <c r="K178" i="1"/>
  <c r="R169" i="1"/>
  <c r="C150" i="1"/>
  <c r="L143" i="1"/>
  <c r="BH39" i="1"/>
  <c r="W154" i="1"/>
  <c r="B136" i="1"/>
  <c r="U178" i="1"/>
  <c r="M167" i="1"/>
  <c r="BH150" i="1"/>
  <c r="AX57" i="1"/>
  <c r="D169" i="1"/>
  <c r="B154" i="1"/>
  <c r="BF54" i="1"/>
  <c r="P190" i="1"/>
  <c r="J153" i="1"/>
  <c r="J149" i="1" s="1"/>
  <c r="BC26" i="1"/>
  <c r="B163" i="1"/>
  <c r="B198" i="1" s="1"/>
  <c r="H145" i="1"/>
  <c r="H92" i="1"/>
  <c r="BQ32" i="1"/>
  <c r="BP54" i="1"/>
  <c r="BC64" i="1"/>
  <c r="V137" i="1"/>
  <c r="M188" i="1"/>
  <c r="C135" i="1"/>
  <c r="R85" i="1"/>
  <c r="AR27" i="1"/>
  <c r="M96" i="1"/>
  <c r="Q178" i="1"/>
  <c r="AO39" i="1"/>
  <c r="M161" i="1"/>
  <c r="U162" i="1"/>
  <c r="U197" i="1" s="1"/>
  <c r="BH164" i="1"/>
  <c r="BI164" i="1" s="1"/>
  <c r="BV137" i="1"/>
  <c r="U169" i="1"/>
  <c r="BF57" i="1"/>
  <c r="BV155" i="1"/>
  <c r="BW155" i="1" s="1"/>
  <c r="T91" i="1"/>
  <c r="D173" i="1"/>
  <c r="BH33" i="1"/>
  <c r="AY57" i="1"/>
  <c r="L164" i="1"/>
  <c r="BR31" i="1"/>
  <c r="W92" i="1"/>
  <c r="BJ63" i="1"/>
  <c r="BP33" i="1"/>
  <c r="AO27" i="1"/>
  <c r="BB41" i="1"/>
  <c r="U140" i="1"/>
  <c r="O97" i="1"/>
  <c r="BR50" i="1"/>
  <c r="BR212" i="1" s="1"/>
  <c r="BW63" i="1"/>
  <c r="AQ54" i="1"/>
  <c r="W151" i="1"/>
  <c r="M144" i="1"/>
  <c r="M172" i="1" s="1"/>
  <c r="C154" i="1"/>
  <c r="N169" i="1"/>
  <c r="H155" i="1"/>
  <c r="B95" i="1"/>
  <c r="W173" i="1"/>
  <c r="T137" i="1"/>
  <c r="G165" i="1"/>
  <c r="G153" i="1"/>
  <c r="G149" i="1" s="1"/>
  <c r="R163" i="1"/>
  <c r="R198" i="1" s="1"/>
  <c r="T96" i="1"/>
  <c r="E169" i="1"/>
  <c r="C158" i="1"/>
  <c r="I189" i="1"/>
  <c r="C92" i="1"/>
  <c r="AP33" i="1"/>
  <c r="V167" i="1"/>
  <c r="BH151" i="1"/>
  <c r="BV177" i="1"/>
  <c r="R145" i="1"/>
  <c r="I160" i="1"/>
  <c r="M163" i="1"/>
  <c r="M198" i="1" s="1"/>
  <c r="K173" i="1"/>
  <c r="BU27" i="1"/>
  <c r="P142" i="1"/>
  <c r="AN54" i="1"/>
  <c r="L177" i="1"/>
  <c r="C91" i="1"/>
  <c r="J177" i="1"/>
  <c r="AN39" i="1"/>
  <c r="J95" i="1"/>
  <c r="U165" i="1"/>
  <c r="S160" i="1"/>
  <c r="BH173" i="1"/>
  <c r="BI173" i="1" s="1"/>
  <c r="BV173" i="1"/>
  <c r="BW173" i="1" s="1"/>
  <c r="V142" i="1"/>
  <c r="J158" i="1"/>
  <c r="AN63" i="1"/>
  <c r="V96" i="1"/>
  <c r="S167" i="1"/>
  <c r="BW57" i="1"/>
  <c r="C145" i="1"/>
  <c r="W181" i="1"/>
  <c r="R144" i="1"/>
  <c r="R172" i="1" s="1"/>
  <c r="BM57" i="1"/>
  <c r="N178" i="1"/>
  <c r="W144" i="1"/>
  <c r="W172" i="1" s="1"/>
  <c r="BV63" i="1"/>
  <c r="BB31" i="1"/>
  <c r="BA33" i="1"/>
  <c r="AV54" i="1"/>
  <c r="O154" i="1"/>
  <c r="J182" i="1"/>
  <c r="AN32" i="1"/>
  <c r="AW63" i="1"/>
  <c r="BV172" i="1"/>
  <c r="BW172" i="1" s="1"/>
  <c r="G85" i="1"/>
  <c r="AQ53" i="1"/>
  <c r="BU64" i="1"/>
  <c r="Q153" i="1"/>
  <c r="Q149" i="1" s="1"/>
  <c r="AX26" i="1"/>
  <c r="AT64" i="1"/>
  <c r="BC92" i="1"/>
  <c r="G143" i="1"/>
  <c r="BV144" i="1"/>
  <c r="BW144" i="1" s="1"/>
  <c r="AU38" i="1"/>
  <c r="T142" i="1"/>
  <c r="C95" i="1"/>
  <c r="AR33" i="1"/>
  <c r="K163" i="1"/>
  <c r="K198" i="1" s="1"/>
  <c r="C82" i="1"/>
  <c r="C167" i="1"/>
  <c r="N143" i="1"/>
  <c r="O177" i="1"/>
  <c r="AT42" i="1"/>
  <c r="S97" i="1"/>
  <c r="AU43" i="1"/>
  <c r="AS64" i="1"/>
  <c r="E135" i="1"/>
  <c r="Q151" i="1"/>
  <c r="H150" i="1"/>
  <c r="E155" i="1"/>
  <c r="B82" i="1"/>
  <c r="W160" i="1"/>
  <c r="W162" i="1"/>
  <c r="S144" i="1"/>
  <c r="S172" i="1" s="1"/>
  <c r="AX42" i="1"/>
  <c r="F169" i="1"/>
  <c r="R188" i="1"/>
  <c r="O92" i="1"/>
  <c r="F165" i="1"/>
  <c r="F85" i="1"/>
  <c r="AW40" i="1"/>
  <c r="H158" i="1"/>
  <c r="BV149" i="1"/>
  <c r="T95" i="1"/>
  <c r="M182" i="1"/>
  <c r="L169" i="1"/>
  <c r="BF26" i="1"/>
  <c r="S142" i="1"/>
  <c r="AU31" i="1"/>
  <c r="BV182" i="1"/>
  <c r="BW182" i="1" s="1"/>
  <c r="R136" i="1"/>
  <c r="C85" i="1"/>
  <c r="M143" i="1"/>
  <c r="O168" i="1"/>
  <c r="Q91" i="1"/>
  <c r="I135" i="1"/>
  <c r="I188" i="1"/>
  <c r="BB50" i="1"/>
  <c r="AP32" i="1"/>
  <c r="T140" i="1"/>
  <c r="P144" i="1"/>
  <c r="P172" i="1" s="1"/>
  <c r="BK41" i="1"/>
  <c r="D188" i="1"/>
  <c r="U85" i="1"/>
  <c r="H182" i="1"/>
  <c r="AS65" i="1"/>
  <c r="AS50" i="1"/>
  <c r="BT39" i="1"/>
  <c r="AR42" i="1"/>
  <c r="W85" i="1"/>
  <c r="R135" i="1"/>
  <c r="I154" i="1"/>
  <c r="AX33" i="1"/>
  <c r="AI63" i="1"/>
  <c r="D190" i="1"/>
  <c r="K164" i="1"/>
  <c r="H142" i="1"/>
  <c r="R160" i="1"/>
  <c r="W178" i="1"/>
  <c r="BF38" i="1"/>
  <c r="BI31" i="1"/>
  <c r="AO65" i="1"/>
  <c r="AU54" i="1"/>
  <c r="I164" i="1"/>
  <c r="E163" i="1"/>
  <c r="E198" i="1" s="1"/>
  <c r="AV69" i="1"/>
  <c r="AT53" i="1"/>
  <c r="E144" i="1"/>
  <c r="E172" i="1" s="1"/>
  <c r="E95" i="1"/>
  <c r="M137" i="1"/>
  <c r="T171" i="1"/>
  <c r="T201" i="1" s="1"/>
  <c r="AW38" i="1"/>
  <c r="J173" i="1"/>
  <c r="I137" i="1"/>
  <c r="D177" i="1"/>
  <c r="U190" i="1"/>
  <c r="D162" i="1"/>
  <c r="D197" i="1" s="1"/>
  <c r="J151" i="1"/>
  <c r="AY64" i="1"/>
  <c r="B167" i="1"/>
  <c r="BH53" i="1"/>
  <c r="J140" i="1"/>
  <c r="G169" i="1"/>
  <c r="D85" i="1"/>
  <c r="BH144" i="1"/>
  <c r="BI144" i="1" s="1"/>
  <c r="L190" i="1"/>
  <c r="U168" i="1"/>
  <c r="M158" i="1"/>
  <c r="H165" i="1"/>
  <c r="BF63" i="1"/>
  <c r="BR27" i="1"/>
  <c r="J181" i="1"/>
  <c r="BV40" i="1"/>
  <c r="BG63" i="1"/>
  <c r="V165" i="1"/>
  <c r="L95" i="1"/>
  <c r="AO26" i="1"/>
  <c r="W153" i="1"/>
  <c r="W149" i="1" s="1"/>
  <c r="O189" i="1"/>
  <c r="L160" i="1"/>
  <c r="U143" i="1"/>
  <c r="G182" i="1"/>
  <c r="AZ39" i="1"/>
  <c r="T135" i="1"/>
  <c r="AX53" i="1"/>
  <c r="BP39" i="1"/>
  <c r="D161" i="1"/>
  <c r="AU26" i="1"/>
  <c r="U188" i="1"/>
  <c r="S190" i="1"/>
  <c r="V168" i="1"/>
  <c r="V97" i="1"/>
  <c r="O161" i="1"/>
  <c r="AX64" i="1"/>
  <c r="O173" i="1"/>
  <c r="R190" i="1"/>
  <c r="W95" i="1"/>
  <c r="V143" i="1"/>
  <c r="J178" i="1"/>
  <c r="BQ27" i="1"/>
  <c r="BV27" i="1"/>
  <c r="T160" i="1"/>
  <c r="G92" i="1"/>
  <c r="J143" i="1"/>
  <c r="BR162" i="1"/>
  <c r="R158" i="1"/>
  <c r="BD53" i="1"/>
  <c r="AP31" i="1"/>
  <c r="BG40" i="1"/>
  <c r="C140" i="1"/>
  <c r="U182" i="1"/>
  <c r="Q135" i="1"/>
  <c r="Q137" i="1"/>
  <c r="L92" i="1"/>
  <c r="L167" i="1"/>
  <c r="AW41" i="1"/>
  <c r="BH177" i="1"/>
  <c r="D168" i="1"/>
  <c r="V188" i="1"/>
  <c r="K182" i="1"/>
  <c r="AR26" i="1"/>
  <c r="AR249" i="1" s="1"/>
  <c r="BC57" i="1"/>
  <c r="V162" i="1"/>
  <c r="V197" i="1" s="1"/>
  <c r="AX54" i="1"/>
  <c r="E140" i="1"/>
  <c r="M190" i="1"/>
  <c r="BC32" i="1"/>
  <c r="AO38" i="1"/>
  <c r="Q136" i="1"/>
  <c r="AN33" i="1"/>
  <c r="L142" i="1"/>
  <c r="P92" i="1"/>
  <c r="H160" i="1"/>
  <c r="B182" i="1"/>
  <c r="Q162" i="1"/>
  <c r="Q197" i="1" s="1"/>
  <c r="J154" i="1"/>
  <c r="J96" i="1"/>
  <c r="BO69" i="1"/>
  <c r="T190" i="1"/>
  <c r="D182" i="1"/>
  <c r="O167" i="1"/>
  <c r="G95" i="1"/>
  <c r="O181" i="1"/>
  <c r="BE54" i="1"/>
  <c r="G144" i="1"/>
  <c r="G172" i="1" s="1"/>
  <c r="K168" i="1"/>
  <c r="C160" i="1"/>
  <c r="O91" i="1"/>
  <c r="Q169" i="1"/>
  <c r="J150" i="1"/>
  <c r="V164" i="1"/>
  <c r="C168" i="1"/>
  <c r="R165" i="1"/>
  <c r="F154" i="1"/>
  <c r="BS38" i="1"/>
  <c r="O165" i="1"/>
  <c r="AQ64" i="1"/>
  <c r="AI50" i="1"/>
  <c r="B162" i="1"/>
  <c r="B197" i="1" s="1"/>
  <c r="BV164" i="1"/>
  <c r="BW164" i="1" s="1"/>
  <c r="P85" i="1"/>
  <c r="BV165" i="1"/>
  <c r="BW165" i="1" s="1"/>
  <c r="N164" i="1"/>
  <c r="BH172" i="1"/>
  <c r="BI172" i="1" s="1"/>
  <c r="E154" i="1"/>
  <c r="BC41" i="1"/>
  <c r="C178" i="1"/>
  <c r="F143" i="1"/>
  <c r="P150" i="1"/>
  <c r="I142" i="1"/>
  <c r="AR39" i="1"/>
  <c r="C164" i="1"/>
  <c r="W91" i="1"/>
  <c r="T150" i="1"/>
  <c r="BA50" i="1"/>
  <c r="AO69" i="1"/>
  <c r="BJ92" i="1"/>
  <c r="D171" i="1"/>
  <c r="D201" i="1" s="1"/>
  <c r="N140" i="1"/>
  <c r="BV167" i="1"/>
  <c r="D164" i="1"/>
  <c r="G168" i="1"/>
  <c r="BS32" i="1"/>
  <c r="D81" i="1"/>
  <c r="G177" i="1"/>
  <c r="V153" i="1"/>
  <c r="V149" i="1" s="1"/>
  <c r="N188" i="1"/>
  <c r="D82" i="1"/>
  <c r="C161" i="1"/>
  <c r="B149" i="1"/>
  <c r="BD54" i="1"/>
  <c r="M169" i="1"/>
  <c r="T97" i="1"/>
  <c r="B81" i="1"/>
  <c r="AP41" i="1"/>
  <c r="N136" i="1"/>
  <c r="BF69" i="1"/>
  <c r="BS54" i="1"/>
  <c r="B189" i="1"/>
  <c r="BU53" i="1"/>
  <c r="M97" i="1"/>
  <c r="R142" i="1"/>
  <c r="BN43" i="1"/>
  <c r="BC63" i="1"/>
  <c r="BI69" i="1"/>
  <c r="BO32" i="1"/>
  <c r="D158" i="1"/>
  <c r="B158" i="1"/>
  <c r="M95" i="1"/>
  <c r="N167" i="1"/>
  <c r="F140" i="1"/>
  <c r="Q154" i="1"/>
  <c r="E137" i="1"/>
  <c r="R162" i="1"/>
  <c r="R197" i="1" s="1"/>
  <c r="BA40" i="1"/>
  <c r="L178" i="1"/>
  <c r="F160" i="1"/>
  <c r="D154" i="1"/>
  <c r="V182" i="1"/>
  <c r="AN51" i="1"/>
  <c r="BM9" i="1"/>
  <c r="G152" i="1"/>
  <c r="D179" i="1"/>
  <c r="E227" i="1" s="1"/>
  <c r="AN28" i="1"/>
  <c r="BM249" i="1"/>
  <c r="CQ156" i="1"/>
  <c r="CR50" i="1"/>
  <c r="AE95" i="1"/>
  <c r="AB143" i="1"/>
  <c r="AB146" i="1" s="1"/>
  <c r="AB267" i="1" s="1"/>
  <c r="AD160" i="1"/>
  <c r="CZ83" i="1"/>
  <c r="DA81" i="1"/>
  <c r="T48" i="3"/>
  <c r="BI91" i="1" l="1"/>
  <c r="BI92" i="1"/>
  <c r="AO92" i="1"/>
  <c r="AX165" i="1"/>
  <c r="AY165" i="1" s="1"/>
  <c r="AX160" i="1"/>
  <c r="AY160" i="1" s="1"/>
  <c r="AX136" i="1"/>
  <c r="AY136" i="1" s="1"/>
  <c r="AX151" i="1"/>
  <c r="AX164" i="1"/>
  <c r="AY164" i="1" s="1"/>
  <c r="AX143" i="1"/>
  <c r="AY143" i="1" s="1"/>
  <c r="AX168" i="1"/>
  <c r="AY168" i="1" s="1"/>
  <c r="AX177" i="1"/>
  <c r="AX92" i="1"/>
  <c r="AX181" i="1"/>
  <c r="AY181" i="1" s="1"/>
  <c r="AX155" i="1"/>
  <c r="AY155" i="1" s="1"/>
  <c r="AX178" i="1"/>
  <c r="AX153" i="1"/>
  <c r="AY153" i="1" s="1"/>
  <c r="AX171" i="1"/>
  <c r="AX142" i="1"/>
  <c r="AY142" i="1" s="1"/>
  <c r="AX149" i="1"/>
  <c r="BR161" i="1"/>
  <c r="BR164" i="1"/>
  <c r="BS164" i="1" s="1"/>
  <c r="BR140" i="1"/>
  <c r="BS140" i="1" s="1"/>
  <c r="BR155" i="1"/>
  <c r="BS155" i="1" s="1"/>
  <c r="BR173" i="1"/>
  <c r="BS173" i="1" s="1"/>
  <c r="AX161" i="1"/>
  <c r="AY161" i="1" s="1"/>
  <c r="BG28" i="1"/>
  <c r="BR172" i="1"/>
  <c r="BS172" i="1" s="1"/>
  <c r="BR135" i="1"/>
  <c r="BR92" i="1"/>
  <c r="BR160" i="1"/>
  <c r="BR151" i="1"/>
  <c r="BR178" i="1"/>
  <c r="BR168" i="1"/>
  <c r="BS168" i="1" s="1"/>
  <c r="I179" i="1"/>
  <c r="J227" i="1" s="1"/>
  <c r="BR144" i="1"/>
  <c r="BS144" i="1" s="1"/>
  <c r="BR136" i="1"/>
  <c r="BS136" i="1" s="1"/>
  <c r="BR170" i="1"/>
  <c r="BS170" i="1" s="1"/>
  <c r="BR137" i="1"/>
  <c r="BR143" i="1"/>
  <c r="BS143" i="1" s="1"/>
  <c r="BR153" i="1"/>
  <c r="BS153" i="1" s="1"/>
  <c r="BR171" i="1"/>
  <c r="BT201" i="1"/>
  <c r="BU201" i="1" s="1"/>
  <c r="BR182" i="1"/>
  <c r="BS182" i="1" s="1"/>
  <c r="BR145" i="1"/>
  <c r="BS145" i="1" s="1"/>
  <c r="BU91" i="1"/>
  <c r="BI270" i="1"/>
  <c r="BR169" i="1"/>
  <c r="BS169" i="1" s="1"/>
  <c r="BR91" i="1"/>
  <c r="BV201" i="1"/>
  <c r="BW201" i="1" s="1"/>
  <c r="BR158" i="1"/>
  <c r="BS158" i="1" s="1"/>
  <c r="BG270" i="1"/>
  <c r="BR177" i="1"/>
  <c r="BR163" i="1"/>
  <c r="BR165" i="1"/>
  <c r="BS165" i="1" s="1"/>
  <c r="BR150" i="1"/>
  <c r="BR181" i="1"/>
  <c r="BS181" i="1" s="1"/>
  <c r="F138" i="1"/>
  <c r="F72" i="1" s="1"/>
  <c r="BD249" i="1"/>
  <c r="BI9" i="1"/>
  <c r="BR249" i="1"/>
  <c r="BR9" i="1"/>
  <c r="BP249" i="1"/>
  <c r="BE271" i="1"/>
  <c r="BR149" i="1"/>
  <c r="BB179" i="1"/>
  <c r="BD153" i="1"/>
  <c r="BE153" i="1" s="1"/>
  <c r="BB170" i="1"/>
  <c r="BC170" i="1" s="1"/>
  <c r="B179" i="1"/>
  <c r="C227" i="1" s="1"/>
  <c r="AX201" i="1"/>
  <c r="AY201" i="1" s="1"/>
  <c r="BC142" i="1"/>
  <c r="AO160" i="1"/>
  <c r="AO158" i="1"/>
  <c r="BS135" i="1"/>
  <c r="AP179" i="1"/>
  <c r="AS220" i="1"/>
  <c r="BE161" i="1"/>
  <c r="BU161" i="1"/>
  <c r="BS161" i="1"/>
  <c r="BA161" i="1"/>
  <c r="AY220" i="1"/>
  <c r="BC220" i="1"/>
  <c r="BM271" i="1"/>
  <c r="AZ179" i="1"/>
  <c r="BA227" i="1" s="1"/>
  <c r="BD140" i="1"/>
  <c r="BE140" i="1" s="1"/>
  <c r="BG116" i="1"/>
  <c r="BG117" i="1" s="1"/>
  <c r="BG120" i="1" s="1"/>
  <c r="B146" i="1"/>
  <c r="B55" i="1" s="1"/>
  <c r="BS91" i="1"/>
  <c r="BS92" i="1"/>
  <c r="BG91" i="1"/>
  <c r="BI44" i="1"/>
  <c r="BK92" i="1"/>
  <c r="BC91" i="1"/>
  <c r="Q179" i="1"/>
  <c r="BR197" i="1"/>
  <c r="BS197" i="1" s="1"/>
  <c r="BG271" i="1"/>
  <c r="AW9" i="1"/>
  <c r="AT152" i="1"/>
  <c r="AY146" i="1"/>
  <c r="AV44" i="1"/>
  <c r="BB149" i="1"/>
  <c r="BN44" i="1"/>
  <c r="AT44" i="1"/>
  <c r="BD44" i="1"/>
  <c r="AN166" i="1"/>
  <c r="Q174" i="1"/>
  <c r="Q203" i="1" s="1"/>
  <c r="BC116" i="1"/>
  <c r="BC117" i="1" s="1"/>
  <c r="BC121" i="1" s="1"/>
  <c r="AT116" i="1"/>
  <c r="AT117" i="1" s="1"/>
  <c r="AT120" i="1" s="1"/>
  <c r="AR44" i="1"/>
  <c r="BB116" i="1"/>
  <c r="BB117" i="1" s="1"/>
  <c r="J166" i="1"/>
  <c r="J200" i="1" s="1"/>
  <c r="U174" i="1"/>
  <c r="V174" i="1"/>
  <c r="V203" i="1" s="1"/>
  <c r="AN270" i="1"/>
  <c r="S174" i="1"/>
  <c r="AV270" i="1"/>
  <c r="BI116" i="1"/>
  <c r="BI117" i="1" s="1"/>
  <c r="BI121" i="1" s="1"/>
  <c r="L166" i="1"/>
  <c r="L200" i="1" s="1"/>
  <c r="BH179" i="1"/>
  <c r="BI227" i="1" s="1"/>
  <c r="AO44" i="1"/>
  <c r="BS270" i="1"/>
  <c r="B138" i="1"/>
  <c r="I146" i="1"/>
  <c r="I55" i="1" s="1"/>
  <c r="N166" i="1"/>
  <c r="BY116" i="1"/>
  <c r="BY117" i="1" s="1"/>
  <c r="BY120" i="1" s="1"/>
  <c r="AP270" i="1"/>
  <c r="N179" i="1"/>
  <c r="AQ158" i="1"/>
  <c r="AN152" i="1"/>
  <c r="AP138" i="1"/>
  <c r="AP110" i="1" s="1"/>
  <c r="BC44" i="1"/>
  <c r="AS28" i="1"/>
  <c r="S166" i="1"/>
  <c r="S200" i="1" s="1"/>
  <c r="N191" i="1"/>
  <c r="S191" i="1"/>
  <c r="BN152" i="1"/>
  <c r="AZ201" i="1"/>
  <c r="BA201" i="1" s="1"/>
  <c r="AR179" i="1"/>
  <c r="AS227" i="1" s="1"/>
  <c r="AM66" i="1"/>
  <c r="AM137" i="1" s="1"/>
  <c r="AM138" i="1" s="1"/>
  <c r="AM147" i="1" s="1"/>
  <c r="B152" i="1"/>
  <c r="B156" i="1" s="1"/>
  <c r="AS34" i="1"/>
  <c r="S138" i="1"/>
  <c r="S72" i="1" s="1"/>
  <c r="BP152" i="1"/>
  <c r="AS270" i="1"/>
  <c r="BT152" i="1"/>
  <c r="K138" i="1"/>
  <c r="BS28" i="1"/>
  <c r="BO270" i="1"/>
  <c r="BR138" i="1"/>
  <c r="BR110" i="1" s="1"/>
  <c r="AV198" i="1"/>
  <c r="AW198" i="1" s="1"/>
  <c r="BI271" i="1"/>
  <c r="AP198" i="1"/>
  <c r="AQ198" i="1" s="1"/>
  <c r="T179" i="1"/>
  <c r="U227" i="1" s="1"/>
  <c r="AT198" i="1"/>
  <c r="AU198" i="1" s="1"/>
  <c r="AT201" i="1"/>
  <c r="AU201" i="1" s="1"/>
  <c r="N152" i="1"/>
  <c r="AZ28" i="1"/>
  <c r="H138" i="1"/>
  <c r="L152" i="1"/>
  <c r="V179" i="1"/>
  <c r="W227" i="1" s="1"/>
  <c r="BK270" i="1"/>
  <c r="BR198" i="1"/>
  <c r="BS198" i="1" s="1"/>
  <c r="BV198" i="1"/>
  <c r="BW198" i="1" s="1"/>
  <c r="K174" i="1"/>
  <c r="K203" i="1" s="1"/>
  <c r="AT270" i="1"/>
  <c r="AW270" i="1"/>
  <c r="R179" i="1"/>
  <c r="S227" i="1" s="1"/>
  <c r="E152" i="1"/>
  <c r="R152" i="1"/>
  <c r="S220" i="1"/>
  <c r="AW28" i="1"/>
  <c r="AW29" i="1" s="1"/>
  <c r="BQ44" i="1"/>
  <c r="BJ45" i="1"/>
  <c r="H191" i="1"/>
  <c r="P138" i="1"/>
  <c r="O220" i="1"/>
  <c r="K179" i="1"/>
  <c r="BV138" i="1"/>
  <c r="BV110" i="1" s="1"/>
  <c r="BA249" i="1"/>
  <c r="BA9" i="1"/>
  <c r="BA270" i="1"/>
  <c r="AT249" i="1"/>
  <c r="AT197" i="1"/>
  <c r="AU197" i="1" s="1"/>
  <c r="BZ116" i="1"/>
  <c r="BZ117" i="1" s="1"/>
  <c r="BZ120" i="1" s="1"/>
  <c r="AT28" i="1"/>
  <c r="AZ152" i="1"/>
  <c r="BV179" i="1"/>
  <c r="BW227" i="1" s="1"/>
  <c r="K220" i="1"/>
  <c r="C83" i="1"/>
  <c r="O179" i="1"/>
  <c r="P227" i="1" s="1"/>
  <c r="B83" i="1"/>
  <c r="B125" i="1" s="1"/>
  <c r="F174" i="1"/>
  <c r="F203" i="1" s="1"/>
  <c r="F202" i="1" s="1"/>
  <c r="BV152" i="1"/>
  <c r="BW51" i="1" s="1"/>
  <c r="AS271" i="1"/>
  <c r="U191" i="1"/>
  <c r="L191" i="1"/>
  <c r="N220" i="1"/>
  <c r="J152" i="1"/>
  <c r="J51" i="1" s="1"/>
  <c r="C179" i="1"/>
  <c r="D227" i="1" s="1"/>
  <c r="H152" i="1"/>
  <c r="H51" i="1" s="1"/>
  <c r="U220" i="1"/>
  <c r="BK28" i="1"/>
  <c r="BL30" i="1" s="1"/>
  <c r="R220" i="1"/>
  <c r="BM28" i="1"/>
  <c r="AR271" i="1"/>
  <c r="BT179" i="1"/>
  <c r="BU227" i="1" s="1"/>
  <c r="AX152" i="1"/>
  <c r="BO158" i="1"/>
  <c r="BG220" i="1"/>
  <c r="AT179" i="1"/>
  <c r="AU227" i="1" s="1"/>
  <c r="AQ146" i="1"/>
  <c r="AV152" i="1"/>
  <c r="BP138" i="1"/>
  <c r="BP110" i="1" s="1"/>
  <c r="BP112" i="1" s="1"/>
  <c r="AX174" i="1"/>
  <c r="AX203" i="1" s="1"/>
  <c r="BE28" i="1"/>
  <c r="BE34" i="1" s="1"/>
  <c r="P152" i="1"/>
  <c r="P51" i="1" s="1"/>
  <c r="V152" i="1"/>
  <c r="V156" i="1" s="1"/>
  <c r="BB212" i="1"/>
  <c r="BB271" i="1"/>
  <c r="I191" i="1"/>
  <c r="J174" i="1"/>
  <c r="U179" i="1"/>
  <c r="V227" i="1" s="1"/>
  <c r="BI146" i="1"/>
  <c r="BJ224" i="1" s="1"/>
  <c r="AV9" i="1"/>
  <c r="AV249" i="1"/>
  <c r="AY116" i="1"/>
  <c r="AY117" i="1" s="1"/>
  <c r="AY120" i="1" s="1"/>
  <c r="K146" i="1"/>
  <c r="BA160" i="1"/>
  <c r="AZ166" i="1"/>
  <c r="AZ200" i="1" s="1"/>
  <c r="AR152" i="1"/>
  <c r="AS152" i="1" s="1"/>
  <c r="AT51" i="1" s="1"/>
  <c r="BL116" i="1"/>
  <c r="BL117" i="1" s="1"/>
  <c r="BL122" i="1" s="1"/>
  <c r="BI249" i="1"/>
  <c r="BQ167" i="1"/>
  <c r="BP174" i="1"/>
  <c r="BP203" i="1" s="1"/>
  <c r="BF197" i="1"/>
  <c r="BG197" i="1" s="1"/>
  <c r="AI55" i="1"/>
  <c r="BD212" i="1"/>
  <c r="BD271" i="1"/>
  <c r="BS142" i="1"/>
  <c r="BS146" i="1" s="1"/>
  <c r="BE9" i="1"/>
  <c r="J146" i="1"/>
  <c r="AV197" i="1"/>
  <c r="AW197" i="1" s="1"/>
  <c r="AW212" i="1"/>
  <c r="AW271" i="1"/>
  <c r="BA142" i="1"/>
  <c r="BA146" i="1" s="1"/>
  <c r="AZ146" i="1"/>
  <c r="AO143" i="1"/>
  <c r="AO146" i="1" s="1"/>
  <c r="AN146" i="1"/>
  <c r="BB138" i="1"/>
  <c r="BB110" i="1" s="1"/>
  <c r="BB113" i="1" s="1"/>
  <c r="BW249" i="1"/>
  <c r="BW9" i="1"/>
  <c r="BW271" i="1"/>
  <c r="Q191" i="1"/>
  <c r="AY167" i="1"/>
  <c r="G179" i="1"/>
  <c r="H227" i="1" s="1"/>
  <c r="AN34" i="1"/>
  <c r="BE249" i="1"/>
  <c r="AX9" i="1"/>
  <c r="BR116" i="1"/>
  <c r="BR117" i="1" s="1"/>
  <c r="BR120" i="1" s="1"/>
  <c r="BO9" i="1"/>
  <c r="BQ271" i="1"/>
  <c r="BT116" i="1"/>
  <c r="BT117" i="1" s="1"/>
  <c r="AU158" i="1"/>
  <c r="AV220" i="1" s="1"/>
  <c r="AT220" i="1"/>
  <c r="T220" i="1"/>
  <c r="BF116" i="1"/>
  <c r="BF117" i="1" s="1"/>
  <c r="BF120" i="1" s="1"/>
  <c r="BC9" i="1"/>
  <c r="BC249" i="1"/>
  <c r="BC28" i="1"/>
  <c r="BK9" i="1"/>
  <c r="BN116" i="1"/>
  <c r="BN117" i="1" s="1"/>
  <c r="BN121" i="1" s="1"/>
  <c r="BU116" i="1"/>
  <c r="BU117" i="1" s="1"/>
  <c r="BU122" i="1" s="1"/>
  <c r="AO116" i="1"/>
  <c r="AO117" i="1" s="1"/>
  <c r="AN198" i="1"/>
  <c r="AO198" i="1" s="1"/>
  <c r="AQ116" i="1"/>
  <c r="AQ117" i="1" s="1"/>
  <c r="AQ122" i="1" s="1"/>
  <c r="AX197" i="1"/>
  <c r="AY197" i="1" s="1"/>
  <c r="BG142" i="1"/>
  <c r="BG146" i="1" s="1"/>
  <c r="BF146" i="1"/>
  <c r="BF186" i="1" s="1"/>
  <c r="AX179" i="1"/>
  <c r="AY227" i="1" s="1"/>
  <c r="BX116" i="1"/>
  <c r="BX117" i="1" s="1"/>
  <c r="BX120" i="1" s="1"/>
  <c r="BU9" i="1"/>
  <c r="P191" i="1"/>
  <c r="F193" i="1"/>
  <c r="BA158" i="1"/>
  <c r="BB220" i="1" s="1"/>
  <c r="L220" i="1"/>
  <c r="AT174" i="1"/>
  <c r="AT203" i="1" s="1"/>
  <c r="BF166" i="1"/>
  <c r="BF200" i="1" s="1"/>
  <c r="BV249" i="1"/>
  <c r="D146" i="1"/>
  <c r="D55" i="1" s="1"/>
  <c r="AV201" i="1"/>
  <c r="AW201" i="1" s="1"/>
  <c r="BS9" i="1"/>
  <c r="R166" i="1"/>
  <c r="BT174" i="1"/>
  <c r="BT203" i="1" s="1"/>
  <c r="BT202" i="1" s="1"/>
  <c r="BM55" i="1"/>
  <c r="AV138" i="1"/>
  <c r="AV110" i="1" s="1"/>
  <c r="BO28" i="1"/>
  <c r="AT271" i="1"/>
  <c r="BM116" i="1"/>
  <c r="BM117" i="1" s="1"/>
  <c r="BM122" i="1" s="1"/>
  <c r="M179" i="1"/>
  <c r="BU142" i="1"/>
  <c r="BT146" i="1"/>
  <c r="BO212" i="1"/>
  <c r="BO271" i="1"/>
  <c r="AP146" i="1"/>
  <c r="BA212" i="1"/>
  <c r="BA271" i="1"/>
  <c r="BH44" i="1"/>
  <c r="AS44" i="1"/>
  <c r="BE220" i="1"/>
  <c r="BH116" i="1"/>
  <c r="BH117" i="1" s="1"/>
  <c r="AX249" i="1"/>
  <c r="AX28" i="1"/>
  <c r="BT270" i="1"/>
  <c r="J179" i="1"/>
  <c r="AQ270" i="1"/>
  <c r="BD9" i="1"/>
  <c r="BD28" i="1"/>
  <c r="AZ220" i="1"/>
  <c r="BB146" i="1"/>
  <c r="BO249" i="1"/>
  <c r="BU249" i="1"/>
  <c r="AY270" i="1"/>
  <c r="V191" i="1"/>
  <c r="BP28" i="1"/>
  <c r="BS116" i="1"/>
  <c r="BS117" i="1" s="1"/>
  <c r="BS120" i="1" s="1"/>
  <c r="BV116" i="1"/>
  <c r="BV117" i="1" s="1"/>
  <c r="BV121" i="1" s="1"/>
  <c r="BV28" i="1"/>
  <c r="BT271" i="1"/>
  <c r="BS249" i="1"/>
  <c r="BQ146" i="1"/>
  <c r="BC135" i="1"/>
  <c r="BP271" i="1"/>
  <c r="AN271" i="1"/>
  <c r="BI212" i="1"/>
  <c r="BR271" i="1"/>
  <c r="D174" i="1"/>
  <c r="D203" i="1" s="1"/>
  <c r="P166" i="1"/>
  <c r="P200" i="1" s="1"/>
  <c r="F152" i="1"/>
  <c r="F51" i="1" s="1"/>
  <c r="W191" i="1"/>
  <c r="BW116" i="1"/>
  <c r="BW117" i="1" s="1"/>
  <c r="BW121" i="1" s="1"/>
  <c r="D220" i="1"/>
  <c r="D166" i="1"/>
  <c r="U138" i="1"/>
  <c r="BP116" i="1"/>
  <c r="BP117" i="1" s="1"/>
  <c r="BP121" i="1" s="1"/>
  <c r="L172" i="1"/>
  <c r="L146" i="1"/>
  <c r="L55" i="1" s="1"/>
  <c r="BP146" i="1"/>
  <c r="BC270" i="1"/>
  <c r="AX271" i="1"/>
  <c r="BT28" i="1"/>
  <c r="AV28" i="1"/>
  <c r="AV34" i="1" s="1"/>
  <c r="AS212" i="1"/>
  <c r="J138" i="1"/>
  <c r="J72" i="1" s="1"/>
  <c r="L138" i="1"/>
  <c r="AX44" i="1"/>
  <c r="S146" i="1"/>
  <c r="G166" i="1"/>
  <c r="G200" i="1" s="1"/>
  <c r="G199" i="1" s="1"/>
  <c r="BA28" i="1"/>
  <c r="BP44" i="1"/>
  <c r="BP45" i="1" s="1"/>
  <c r="BB44" i="1"/>
  <c r="Q146" i="1"/>
  <c r="Q55" i="1" s="1"/>
  <c r="S179" i="1"/>
  <c r="T227" i="1" s="1"/>
  <c r="BG44" i="1"/>
  <c r="BG45" i="1" s="1"/>
  <c r="BA44" i="1"/>
  <c r="BA45" i="1" s="1"/>
  <c r="O191" i="1"/>
  <c r="AQ44" i="1"/>
  <c r="BO44" i="1"/>
  <c r="BW270" i="1"/>
  <c r="AV179" i="1"/>
  <c r="AW227" i="1" s="1"/>
  <c r="BP179" i="1"/>
  <c r="BQ227" i="1" s="1"/>
  <c r="BT198" i="1"/>
  <c r="BU198" i="1" s="1"/>
  <c r="F191" i="1"/>
  <c r="G138" i="1"/>
  <c r="G225" i="1" s="1"/>
  <c r="BF152" i="1"/>
  <c r="BD201" i="1"/>
  <c r="BE201" i="1" s="1"/>
  <c r="AR28" i="1"/>
  <c r="C220" i="1"/>
  <c r="D83" i="1"/>
  <c r="D125" i="1" s="1"/>
  <c r="AX270" i="1"/>
  <c r="Q138" i="1"/>
  <c r="BQ28" i="1"/>
  <c r="AW44" i="1"/>
  <c r="BF44" i="1"/>
  <c r="BT44" i="1"/>
  <c r="I138" i="1"/>
  <c r="C174" i="1"/>
  <c r="D215" i="1" s="1"/>
  <c r="Q152" i="1"/>
  <c r="Q156" i="1" s="1"/>
  <c r="V146" i="1"/>
  <c r="BU28" i="1"/>
  <c r="BU29" i="1" s="1"/>
  <c r="E174" i="1"/>
  <c r="W152" i="1"/>
  <c r="W156" i="1" s="1"/>
  <c r="X221" i="1" s="1"/>
  <c r="X219" i="1" s="1"/>
  <c r="BV270" i="1"/>
  <c r="H220" i="1"/>
  <c r="AR270" i="1"/>
  <c r="T174" i="1"/>
  <c r="T203" i="1" s="1"/>
  <c r="T202" i="1" s="1"/>
  <c r="BM44" i="1"/>
  <c r="D138" i="1"/>
  <c r="BI28" i="1"/>
  <c r="E146" i="1"/>
  <c r="E55" i="1" s="1"/>
  <c r="AO270" i="1"/>
  <c r="BA116" i="1"/>
  <c r="BA117" i="1" s="1"/>
  <c r="BA122" i="1" s="1"/>
  <c r="BR152" i="1"/>
  <c r="BS51" i="1" s="1"/>
  <c r="BF198" i="1"/>
  <c r="BG198" i="1" s="1"/>
  <c r="BE116" i="1"/>
  <c r="BE117" i="1" s="1"/>
  <c r="BE122" i="1" s="1"/>
  <c r="I220" i="1"/>
  <c r="AI44" i="1"/>
  <c r="BD152" i="1"/>
  <c r="BE51" i="1" s="1"/>
  <c r="AY44" i="1"/>
  <c r="BD166" i="1"/>
  <c r="BN179" i="1"/>
  <c r="BO227" i="1" s="1"/>
  <c r="BH220" i="1"/>
  <c r="BD198" i="1"/>
  <c r="BE198" i="1" s="1"/>
  <c r="BJ46" i="1"/>
  <c r="J191" i="1"/>
  <c r="AR198" i="1"/>
  <c r="AS198" i="1" s="1"/>
  <c r="L179" i="1"/>
  <c r="F146" i="1"/>
  <c r="BE270" i="1"/>
  <c r="T138" i="1"/>
  <c r="T72" i="1" s="1"/>
  <c r="C152" i="1"/>
  <c r="C156" i="1" s="1"/>
  <c r="I174" i="1"/>
  <c r="I203" i="1" s="1"/>
  <c r="BE44" i="1"/>
  <c r="H166" i="1"/>
  <c r="I166" i="1"/>
  <c r="I200" i="1" s="1"/>
  <c r="I199" i="1" s="1"/>
  <c r="T152" i="1"/>
  <c r="T51" i="1" s="1"/>
  <c r="E191" i="1"/>
  <c r="S152" i="1"/>
  <c r="S51" i="1" s="1"/>
  <c r="P174" i="1"/>
  <c r="P203" i="1" s="1"/>
  <c r="P202" i="1" s="1"/>
  <c r="T191" i="1"/>
  <c r="E166" i="1"/>
  <c r="E200" i="1" s="1"/>
  <c r="E199" i="1" s="1"/>
  <c r="G146" i="1"/>
  <c r="M146" i="1"/>
  <c r="M55" i="1" s="1"/>
  <c r="BD220" i="1"/>
  <c r="BK44" i="1"/>
  <c r="AN197" i="1"/>
  <c r="AO197" i="1" s="1"/>
  <c r="AR197" i="1"/>
  <c r="AS197" i="1" s="1"/>
  <c r="BR44" i="1"/>
  <c r="D152" i="1"/>
  <c r="D51" i="1" s="1"/>
  <c r="BN166" i="1"/>
  <c r="BD270" i="1"/>
  <c r="BS44" i="1"/>
  <c r="AZ44" i="1"/>
  <c r="BR28" i="1"/>
  <c r="R138" i="1"/>
  <c r="F166" i="1"/>
  <c r="F200" i="1" s="1"/>
  <c r="E138" i="1"/>
  <c r="E72" i="1" s="1"/>
  <c r="T146" i="1"/>
  <c r="C138" i="1"/>
  <c r="C193" i="1" s="1"/>
  <c r="BF270" i="1"/>
  <c r="C146" i="1"/>
  <c r="BR179" i="1"/>
  <c r="BS227" i="1" s="1"/>
  <c r="M138" i="1"/>
  <c r="M193" i="1" s="1"/>
  <c r="BR270" i="1"/>
  <c r="V138" i="1"/>
  <c r="V193" i="1" s="1"/>
  <c r="H174" i="1"/>
  <c r="H203" i="1" s="1"/>
  <c r="H202" i="1" s="1"/>
  <c r="BR201" i="1"/>
  <c r="BS201" i="1" s="1"/>
  <c r="O152" i="1"/>
  <c r="O156" i="1" s="1"/>
  <c r="BU44" i="1"/>
  <c r="AR201" i="1"/>
  <c r="AS201" i="1" s="1"/>
  <c r="AU44" i="1"/>
  <c r="BH152" i="1"/>
  <c r="BH156" i="1" s="1"/>
  <c r="M191" i="1"/>
  <c r="BJ116" i="1"/>
  <c r="BJ117" i="1" s="1"/>
  <c r="BJ120" i="1" s="1"/>
  <c r="B191" i="1"/>
  <c r="BW28" i="1"/>
  <c r="V166" i="1"/>
  <c r="V200" i="1" s="1"/>
  <c r="V199" i="1" s="1"/>
  <c r="BN9" i="1"/>
  <c r="BN249" i="1"/>
  <c r="BQ116" i="1"/>
  <c r="BQ117" i="1" s="1"/>
  <c r="BQ120" i="1" s="1"/>
  <c r="BU212" i="1"/>
  <c r="BU271" i="1"/>
  <c r="BQ158" i="1"/>
  <c r="BR220" i="1" s="1"/>
  <c r="BW142" i="1"/>
  <c r="BW146" i="1" s="1"/>
  <c r="BX267" i="1" s="1"/>
  <c r="BV146" i="1"/>
  <c r="BQ161" i="1"/>
  <c r="BP166" i="1"/>
  <c r="BP200" i="1" s="1"/>
  <c r="AW160" i="1"/>
  <c r="AV166" i="1"/>
  <c r="BC168" i="1"/>
  <c r="BB174" i="1"/>
  <c r="BB203" i="1" s="1"/>
  <c r="AU142" i="1"/>
  <c r="AU146" i="1" s="1"/>
  <c r="AT146" i="1"/>
  <c r="BV166" i="1"/>
  <c r="BV200" i="1" s="1"/>
  <c r="BV197" i="1"/>
  <c r="BW197" i="1" s="1"/>
  <c r="G174" i="1"/>
  <c r="G203" i="1" s="1"/>
  <c r="H146" i="1"/>
  <c r="I152" i="1"/>
  <c r="I51" i="1" s="1"/>
  <c r="BH174" i="1"/>
  <c r="BH203" i="1" s="1"/>
  <c r="BH202" i="1" s="1"/>
  <c r="AU9" i="1"/>
  <c r="AU249" i="1"/>
  <c r="AU28" i="1"/>
  <c r="AV116" i="1"/>
  <c r="AV117" i="1" s="1"/>
  <c r="AV121" i="1" s="1"/>
  <c r="AX116" i="1"/>
  <c r="AX117" i="1" s="1"/>
  <c r="AX122" i="1" s="1"/>
  <c r="AU270" i="1"/>
  <c r="N172" i="1"/>
  <c r="N146" i="1"/>
  <c r="N55" i="1" s="1"/>
  <c r="BW44" i="1"/>
  <c r="C166" i="1"/>
  <c r="BF212" i="1"/>
  <c r="BF271" i="1"/>
  <c r="BC212" i="1"/>
  <c r="BC271" i="1"/>
  <c r="BA135" i="1"/>
  <c r="AZ138" i="1"/>
  <c r="AZ110" i="1" s="1"/>
  <c r="BU160" i="1"/>
  <c r="BT166" i="1"/>
  <c r="Q166" i="1"/>
  <c r="Q200" i="1" s="1"/>
  <c r="Q199" i="1" s="1"/>
  <c r="O197" i="1"/>
  <c r="O166" i="1"/>
  <c r="O200" i="1" s="1"/>
  <c r="O199" i="1" s="1"/>
  <c r="O172" i="1"/>
  <c r="O174" i="1" s="1"/>
  <c r="O146" i="1"/>
  <c r="P220" i="1"/>
  <c r="Q220" i="1"/>
  <c r="BO142" i="1"/>
  <c r="BO146" i="1" s="1"/>
  <c r="BN146" i="1"/>
  <c r="BO135" i="1"/>
  <c r="BN138" i="1"/>
  <c r="AR138" i="1"/>
  <c r="AS135" i="1"/>
  <c r="M174" i="1"/>
  <c r="BU135" i="1"/>
  <c r="BT138" i="1"/>
  <c r="BN270" i="1"/>
  <c r="BE143" i="1"/>
  <c r="BE146" i="1" s="1"/>
  <c r="BD146" i="1"/>
  <c r="BK212" i="1"/>
  <c r="BK51" i="1"/>
  <c r="BK221" i="1"/>
  <c r="BK219" i="1" s="1"/>
  <c r="BK271" i="1"/>
  <c r="AV146" i="1"/>
  <c r="AW142" i="1"/>
  <c r="AW146" i="1" s="1"/>
  <c r="AP44" i="1"/>
  <c r="W146" i="1"/>
  <c r="AX138" i="1"/>
  <c r="AY135" i="1"/>
  <c r="AX198" i="1"/>
  <c r="AY198" i="1" s="1"/>
  <c r="AX166" i="1"/>
  <c r="AX200" i="1" s="1"/>
  <c r="AP166" i="1"/>
  <c r="AP200" i="1" s="1"/>
  <c r="BW167" i="1"/>
  <c r="BV174" i="1"/>
  <c r="BV203" i="1" s="1"/>
  <c r="BV202" i="1" s="1"/>
  <c r="B174" i="1"/>
  <c r="B203" i="1" s="1"/>
  <c r="B202" i="1" s="1"/>
  <c r="T197" i="1"/>
  <c r="T166" i="1"/>
  <c r="T200" i="1" s="1"/>
  <c r="BW158" i="1"/>
  <c r="BX220" i="1" s="1"/>
  <c r="D191" i="1"/>
  <c r="BH166" i="1"/>
  <c r="BH200" i="1" s="1"/>
  <c r="BV44" i="1"/>
  <c r="B166" i="1"/>
  <c r="B200" i="1" s="1"/>
  <c r="AP152" i="1"/>
  <c r="AQ51" i="1" s="1"/>
  <c r="AN44" i="1"/>
  <c r="N138" i="1"/>
  <c r="AS143" i="1"/>
  <c r="AS146" i="1" s="1"/>
  <c r="AR146" i="1"/>
  <c r="BS160" i="1"/>
  <c r="BR166" i="1"/>
  <c r="BR200" i="1" s="1"/>
  <c r="K166" i="1"/>
  <c r="K200" i="1" s="1"/>
  <c r="K199" i="1" s="1"/>
  <c r="R174" i="1"/>
  <c r="R203" i="1" s="1"/>
  <c r="BD174" i="1"/>
  <c r="BD203" i="1" s="1"/>
  <c r="AT166" i="1"/>
  <c r="AT200" i="1" s="1"/>
  <c r="G156" i="1"/>
  <c r="G51" i="1"/>
  <c r="R146" i="1"/>
  <c r="R55" i="1" s="1"/>
  <c r="AW116" i="1"/>
  <c r="AW117" i="1" s="1"/>
  <c r="AW122" i="1" s="1"/>
  <c r="BO116" i="1"/>
  <c r="BO117" i="1" s="1"/>
  <c r="BO120" i="1" s="1"/>
  <c r="U166" i="1"/>
  <c r="U200" i="1" s="1"/>
  <c r="U199" i="1" s="1"/>
  <c r="AU212" i="1"/>
  <c r="AU271" i="1"/>
  <c r="BF220" i="1"/>
  <c r="W220" i="1"/>
  <c r="BB197" i="1"/>
  <c r="BC197" i="1" s="1"/>
  <c r="AP174" i="1"/>
  <c r="AT138" i="1"/>
  <c r="AT110" i="1" s="1"/>
  <c r="AT114" i="1" s="1"/>
  <c r="AU116" i="1"/>
  <c r="AU117" i="1" s="1"/>
  <c r="AU120" i="1" s="1"/>
  <c r="AV271" i="1"/>
  <c r="BJ35" i="1"/>
  <c r="BT249" i="1"/>
  <c r="BK249" i="1"/>
  <c r="BF9" i="1"/>
  <c r="BF249" i="1"/>
  <c r="BF28" i="1"/>
  <c r="BP270" i="1"/>
  <c r="BK55" i="1"/>
  <c r="BS271" i="1"/>
  <c r="G191" i="1"/>
  <c r="BQ270" i="1"/>
  <c r="BV220" i="1"/>
  <c r="BD116" i="1"/>
  <c r="BD117" i="1" s="1"/>
  <c r="BD120" i="1" s="1"/>
  <c r="BD197" i="1"/>
  <c r="BE197" i="1" s="1"/>
  <c r="U146" i="1"/>
  <c r="U152" i="1"/>
  <c r="BB28" i="1"/>
  <c r="AY212" i="1"/>
  <c r="AY271" i="1"/>
  <c r="BF174" i="1"/>
  <c r="BF203" i="1" s="1"/>
  <c r="AN138" i="1"/>
  <c r="AN266" i="1" s="1"/>
  <c r="AR166" i="1"/>
  <c r="AR200" i="1" s="1"/>
  <c r="AR116" i="1"/>
  <c r="AR117" i="1" s="1"/>
  <c r="AR121" i="1" s="1"/>
  <c r="AP271" i="1"/>
  <c r="BI220" i="1"/>
  <c r="BU270" i="1"/>
  <c r="BH138" i="1"/>
  <c r="BH110" i="1" s="1"/>
  <c r="BH114" i="1" s="1"/>
  <c r="BH146" i="1"/>
  <c r="P146" i="1"/>
  <c r="E220" i="1"/>
  <c r="BH197" i="1"/>
  <c r="BI197" i="1" s="1"/>
  <c r="AO28" i="1"/>
  <c r="AO249" i="1"/>
  <c r="J220" i="1"/>
  <c r="AY9" i="1"/>
  <c r="AY249" i="1"/>
  <c r="BN212" i="1"/>
  <c r="BN271" i="1"/>
  <c r="AQ249" i="1"/>
  <c r="AQ28" i="1"/>
  <c r="BV271" i="1"/>
  <c r="AZ197" i="1"/>
  <c r="BA197" i="1" s="1"/>
  <c r="AY28" i="1"/>
  <c r="BB9" i="1"/>
  <c r="BB249" i="1"/>
  <c r="AO212" i="1"/>
  <c r="AO271" i="1"/>
  <c r="AZ270" i="1"/>
  <c r="BQ9" i="1"/>
  <c r="BQ249" i="1"/>
  <c r="F220" i="1"/>
  <c r="G220" i="1"/>
  <c r="BP197" i="1"/>
  <c r="BQ197" i="1" s="1"/>
  <c r="BN198" i="1"/>
  <c r="BO198" i="1" s="1"/>
  <c r="BF201" i="1"/>
  <c r="BG201" i="1" s="1"/>
  <c r="F179" i="1"/>
  <c r="AZ9" i="1"/>
  <c r="AZ249" i="1"/>
  <c r="AZ174" i="1"/>
  <c r="AZ203" i="1" s="1"/>
  <c r="AN174" i="1"/>
  <c r="AN203" i="1" s="1"/>
  <c r="AN202" i="1" s="1"/>
  <c r="AP28" i="1"/>
  <c r="AQ30" i="1" s="1"/>
  <c r="AS116" i="1"/>
  <c r="AS117" i="1" s="1"/>
  <c r="AS120" i="1" s="1"/>
  <c r="BH270" i="1"/>
  <c r="BG34" i="1"/>
  <c r="AI212" i="1"/>
  <c r="AI221" i="1"/>
  <c r="AI219" i="1" s="1"/>
  <c r="AI51" i="1"/>
  <c r="BN174" i="1"/>
  <c r="BN203" i="1" s="1"/>
  <c r="BD138" i="1"/>
  <c r="AX146" i="1"/>
  <c r="AZ116" i="1"/>
  <c r="AZ117" i="1" s="1"/>
  <c r="AZ120" i="1" s="1"/>
  <c r="BP9" i="1"/>
  <c r="BT197" i="1"/>
  <c r="BU197" i="1" s="1"/>
  <c r="BN28" i="1"/>
  <c r="BN197" i="1"/>
  <c r="BO197" i="1" s="1"/>
  <c r="BP198" i="1"/>
  <c r="BQ198" i="1" s="1"/>
  <c r="AN249" i="1"/>
  <c r="AN116" i="1"/>
  <c r="AN117" i="1" s="1"/>
  <c r="BP201" i="1"/>
  <c r="BQ201" i="1" s="1"/>
  <c r="BM221" i="1"/>
  <c r="BM219" i="1" s="1"/>
  <c r="BM51" i="1"/>
  <c r="BM212" i="1"/>
  <c r="AQ271" i="1"/>
  <c r="AQ212" i="1"/>
  <c r="BN201" i="1"/>
  <c r="BO201" i="1" s="1"/>
  <c r="BB166" i="1"/>
  <c r="BB200" i="1" s="1"/>
  <c r="BF138" i="1"/>
  <c r="BF110" i="1" s="1"/>
  <c r="M166" i="1"/>
  <c r="M200" i="1" s="1"/>
  <c r="M199" i="1" s="1"/>
  <c r="AP197" i="1"/>
  <c r="AQ197" i="1" s="1"/>
  <c r="BH198" i="1"/>
  <c r="BI198" i="1" s="1"/>
  <c r="BH271" i="1"/>
  <c r="BH9" i="1"/>
  <c r="BK116" i="1"/>
  <c r="BK117" i="1" s="1"/>
  <c r="BK121" i="1" s="1"/>
  <c r="BH28" i="1"/>
  <c r="BB270" i="1"/>
  <c r="C191" i="1"/>
  <c r="AZ198" i="1"/>
  <c r="BA198" i="1" s="1"/>
  <c r="BB198" i="1"/>
  <c r="BC198" i="1" s="1"/>
  <c r="AZ271" i="1"/>
  <c r="AZ212" i="1"/>
  <c r="AV174" i="1"/>
  <c r="AV203" i="1" s="1"/>
  <c r="AR174" i="1"/>
  <c r="AP116" i="1"/>
  <c r="AP117" i="1" s="1"/>
  <c r="AP120" i="1" s="1"/>
  <c r="AP201" i="1"/>
  <c r="AQ201" i="1" s="1"/>
  <c r="V220" i="1"/>
  <c r="R191" i="1"/>
  <c r="K191" i="1"/>
  <c r="M220" i="1"/>
  <c r="BG9" i="1"/>
  <c r="BG249" i="1"/>
  <c r="AL116" i="1"/>
  <c r="AL117" i="1" s="1"/>
  <c r="AI198" i="1"/>
  <c r="AI201" i="1"/>
  <c r="AI203" i="1"/>
  <c r="AI28" i="1"/>
  <c r="AI200" i="1"/>
  <c r="AI249" i="1"/>
  <c r="AI197" i="1"/>
  <c r="BJ271" i="1"/>
  <c r="BJ212" i="1"/>
  <c r="BB201" i="1"/>
  <c r="BC201" i="1" s="1"/>
  <c r="AN29" i="1"/>
  <c r="AN243" i="1"/>
  <c r="AN30" i="1"/>
  <c r="O72" i="1"/>
  <c r="M156" i="1"/>
  <c r="O193" i="1"/>
  <c r="I227" i="1"/>
  <c r="K156" i="1"/>
  <c r="AW220" i="1"/>
  <c r="BU220" i="1"/>
  <c r="BC227" i="1"/>
  <c r="BT220" i="1"/>
  <c r="BS220" i="1"/>
  <c r="CR212" i="1"/>
  <c r="CR150" i="1"/>
  <c r="CQ221" i="1"/>
  <c r="CQ219" i="1" s="1"/>
  <c r="AB224" i="1"/>
  <c r="DB81" i="1"/>
  <c r="DB83" i="1" s="1"/>
  <c r="DA83" i="1"/>
  <c r="J199" i="1" l="1"/>
  <c r="BR146" i="1"/>
  <c r="BR174" i="1"/>
  <c r="BR203" i="1" s="1"/>
  <c r="AN46" i="1"/>
  <c r="BT29" i="1"/>
  <c r="AX202" i="1"/>
  <c r="BC146" i="1"/>
  <c r="BB152" i="1"/>
  <c r="C267" i="1"/>
  <c r="C269" i="1" s="1"/>
  <c r="O225" i="1"/>
  <c r="R227" i="1"/>
  <c r="B186" i="1"/>
  <c r="B127" i="1" s="1"/>
  <c r="BG122" i="1"/>
  <c r="AT156" i="1"/>
  <c r="AU51" i="1"/>
  <c r="AU152" i="1"/>
  <c r="AP220" i="1"/>
  <c r="AO220" i="1"/>
  <c r="AQ227" i="1"/>
  <c r="BE30" i="1"/>
  <c r="BG121" i="1"/>
  <c r="AQ224" i="1"/>
  <c r="L227" i="1"/>
  <c r="K266" i="1"/>
  <c r="Q266" i="1"/>
  <c r="H214" i="1"/>
  <c r="D202" i="1"/>
  <c r="R202" i="1"/>
  <c r="AP203" i="1"/>
  <c r="BQ224" i="1"/>
  <c r="AN36" i="1"/>
  <c r="AN37" i="1"/>
  <c r="BT267" i="1"/>
  <c r="J267" i="1"/>
  <c r="J269" i="1" s="1"/>
  <c r="K193" i="1"/>
  <c r="K72" i="1"/>
  <c r="AX45" i="1"/>
  <c r="BO45" i="1"/>
  <c r="AS30" i="1"/>
  <c r="BS30" i="1"/>
  <c r="T186" i="1"/>
  <c r="T127" i="1" s="1"/>
  <c r="E51" i="1"/>
  <c r="E156" i="1"/>
  <c r="B72" i="1"/>
  <c r="B193" i="1"/>
  <c r="BB121" i="1"/>
  <c r="BB120" i="1"/>
  <c r="BH121" i="1"/>
  <c r="BH122" i="1"/>
  <c r="N174" i="1"/>
  <c r="N203" i="1" s="1"/>
  <c r="N202" i="1" s="1"/>
  <c r="BV186" i="1"/>
  <c r="BV127" i="1" s="1"/>
  <c r="Q72" i="1"/>
  <c r="Q193" i="1"/>
  <c r="C125" i="1"/>
  <c r="N156" i="1"/>
  <c r="Q225" i="1"/>
  <c r="H72" i="1"/>
  <c r="AX243" i="1"/>
  <c r="BB122" i="1"/>
  <c r="BH186" i="1"/>
  <c r="O76" i="1"/>
  <c r="AZ30" i="1"/>
  <c r="BN45" i="1"/>
  <c r="T76" i="1"/>
  <c r="L174" i="1"/>
  <c r="L203" i="1" s="1"/>
  <c r="L202" i="1" s="1"/>
  <c r="AP29" i="1"/>
  <c r="B147" i="1"/>
  <c r="B73" i="1" s="1"/>
  <c r="BC120" i="1"/>
  <c r="I186" i="1"/>
  <c r="I127" i="1" s="1"/>
  <c r="BK30" i="1"/>
  <c r="BK29" i="1"/>
  <c r="BI120" i="1"/>
  <c r="BI122" i="1"/>
  <c r="V215" i="1"/>
  <c r="AT122" i="1"/>
  <c r="AT121" i="1"/>
  <c r="B266" i="1"/>
  <c r="BX122" i="1"/>
  <c r="BM30" i="1"/>
  <c r="BM243" i="1"/>
  <c r="S203" i="1"/>
  <c r="S202" i="1" s="1"/>
  <c r="AT243" i="1"/>
  <c r="BM120" i="1"/>
  <c r="BU120" i="1"/>
  <c r="BS29" i="1"/>
  <c r="AQ121" i="1"/>
  <c r="BC122" i="1"/>
  <c r="M203" i="1"/>
  <c r="X267" i="1"/>
  <c r="X269" i="1" s="1"/>
  <c r="O147" i="1"/>
  <c r="O73" i="1" s="1"/>
  <c r="AU29" i="1"/>
  <c r="AS122" i="1"/>
  <c r="U203" i="1"/>
  <c r="V76" i="1"/>
  <c r="BY122" i="1"/>
  <c r="R200" i="1"/>
  <c r="R199" i="1" s="1"/>
  <c r="AX34" i="1"/>
  <c r="N200" i="1"/>
  <c r="BY121" i="1"/>
  <c r="O227" i="1"/>
  <c r="N266" i="1"/>
  <c r="L199" i="1"/>
  <c r="AR220" i="1"/>
  <c r="AQ220" i="1"/>
  <c r="AO152" i="1"/>
  <c r="AO51" i="1"/>
  <c r="AN156" i="1"/>
  <c r="Q202" i="1"/>
  <c r="V202" i="1"/>
  <c r="BC267" i="1"/>
  <c r="AN200" i="1"/>
  <c r="AP266" i="1"/>
  <c r="AP186" i="1"/>
  <c r="AP147" i="1"/>
  <c r="AP113" i="1"/>
  <c r="AP112" i="1"/>
  <c r="AP114" i="1"/>
  <c r="AS45" i="1"/>
  <c r="AW45" i="1"/>
  <c r="V147" i="1"/>
  <c r="V73" i="1" s="1"/>
  <c r="BM45" i="1"/>
  <c r="BE45" i="1"/>
  <c r="J193" i="1"/>
  <c r="BA34" i="1"/>
  <c r="BA35" i="1" s="1"/>
  <c r="BA206" i="1"/>
  <c r="BW45" i="1"/>
  <c r="C175" i="1"/>
  <c r="C183" i="1" s="1"/>
  <c r="C262" i="1" s="1"/>
  <c r="P267" i="1"/>
  <c r="P269" i="1" s="1"/>
  <c r="BN186" i="1"/>
  <c r="AR266" i="1"/>
  <c r="BF224" i="1"/>
  <c r="BD224" i="1"/>
  <c r="I72" i="1"/>
  <c r="AP199" i="1"/>
  <c r="J156" i="1"/>
  <c r="BS34" i="1"/>
  <c r="BH199" i="1"/>
  <c r="H193" i="1"/>
  <c r="D84" i="1"/>
  <c r="D86" i="1" s="1"/>
  <c r="D126" i="1"/>
  <c r="BQ34" i="1"/>
  <c r="BQ46" i="1" s="1"/>
  <c r="BQ47" i="1" s="1"/>
  <c r="U147" i="1"/>
  <c r="U73" i="1" s="1"/>
  <c r="BD243" i="1"/>
  <c r="AX206" i="1"/>
  <c r="BQ29" i="1"/>
  <c r="BP206" i="1"/>
  <c r="BN200" i="1"/>
  <c r="BV113" i="1"/>
  <c r="AM225" i="1"/>
  <c r="AM223" i="1" s="1"/>
  <c r="AM73" i="1"/>
  <c r="AS46" i="1"/>
  <c r="BR113" i="1"/>
  <c r="F186" i="1"/>
  <c r="F127" i="1" s="1"/>
  <c r="AZ202" i="1"/>
  <c r="BU146" i="1"/>
  <c r="BZ206" i="1"/>
  <c r="BK34" i="1"/>
  <c r="BK37" i="1" s="1"/>
  <c r="BT30" i="1"/>
  <c r="L156" i="1"/>
  <c r="L262" i="1" s="1"/>
  <c r="BG29" i="1"/>
  <c r="AV202" i="1"/>
  <c r="K175" i="1"/>
  <c r="F199" i="1"/>
  <c r="BU30" i="1"/>
  <c r="BS243" i="1"/>
  <c r="BO34" i="1"/>
  <c r="BO35" i="1" s="1"/>
  <c r="AW34" i="1"/>
  <c r="AW35" i="1" s="1"/>
  <c r="AZ34" i="1"/>
  <c r="AZ36" i="1" s="1"/>
  <c r="K225" i="1"/>
  <c r="F175" i="1"/>
  <c r="H156" i="1"/>
  <c r="H266" i="1"/>
  <c r="BW120" i="1"/>
  <c r="R186" i="1"/>
  <c r="R127" i="1" s="1"/>
  <c r="BB30" i="1"/>
  <c r="AW121" i="1"/>
  <c r="AW120" i="1"/>
  <c r="BV156" i="1"/>
  <c r="BS122" i="1"/>
  <c r="F225" i="1"/>
  <c r="M72" i="1"/>
  <c r="AN45" i="1"/>
  <c r="R224" i="1"/>
  <c r="BS45" i="1"/>
  <c r="R72" i="1"/>
  <c r="O266" i="1"/>
  <c r="BK45" i="1"/>
  <c r="X76" i="1"/>
  <c r="W51" i="1"/>
  <c r="V72" i="1"/>
  <c r="H225" i="1"/>
  <c r="U266" i="1"/>
  <c r="G193" i="1"/>
  <c r="G147" i="1"/>
  <c r="G73" i="1" s="1"/>
  <c r="B84" i="1"/>
  <c r="B87" i="1" s="1"/>
  <c r="B105" i="1" s="1"/>
  <c r="P225" i="1"/>
  <c r="B126" i="1"/>
  <c r="BW152" i="1"/>
  <c r="BX51" i="1" s="1"/>
  <c r="S186" i="1"/>
  <c r="S127" i="1" s="1"/>
  <c r="AV45" i="1"/>
  <c r="BZ262" i="1"/>
  <c r="BW34" i="1"/>
  <c r="CA36" i="1" s="1"/>
  <c r="BW243" i="1"/>
  <c r="CB206" i="1"/>
  <c r="BW29" i="1"/>
  <c r="BV122" i="1"/>
  <c r="BJ122" i="1"/>
  <c r="BV120" i="1"/>
  <c r="B51" i="1"/>
  <c r="BX30" i="1"/>
  <c r="AV243" i="1"/>
  <c r="E186" i="1"/>
  <c r="E127" i="1" s="1"/>
  <c r="BQ206" i="1"/>
  <c r="E224" i="1"/>
  <c r="S215" i="1"/>
  <c r="U76" i="1"/>
  <c r="S175" i="1"/>
  <c r="E193" i="1"/>
  <c r="BJ30" i="1"/>
  <c r="BL243" i="1"/>
  <c r="AW243" i="1"/>
  <c r="O51" i="1"/>
  <c r="P186" i="1"/>
  <c r="P127" i="1" s="1"/>
  <c r="BL262" i="1"/>
  <c r="BM29" i="1"/>
  <c r="Q215" i="1"/>
  <c r="R193" i="1"/>
  <c r="BI45" i="1"/>
  <c r="BJ206" i="1"/>
  <c r="BM34" i="1"/>
  <c r="BM35" i="1" s="1"/>
  <c r="AM70" i="1"/>
  <c r="BI29" i="1"/>
  <c r="BI34" i="1"/>
  <c r="I214" i="1"/>
  <c r="F267" i="1"/>
  <c r="F269" i="1" s="1"/>
  <c r="E225" i="1"/>
  <c r="BO29" i="1"/>
  <c r="AU122" i="1"/>
  <c r="E203" i="1"/>
  <c r="E202" i="1" s="1"/>
  <c r="P266" i="1"/>
  <c r="H200" i="1"/>
  <c r="H199" i="1" s="1"/>
  <c r="BE120" i="1"/>
  <c r="L224" i="1"/>
  <c r="P193" i="1"/>
  <c r="K264" i="1"/>
  <c r="O186" i="1"/>
  <c r="O127" i="1" s="1"/>
  <c r="S55" i="1"/>
  <c r="BH120" i="1"/>
  <c r="L267" i="1"/>
  <c r="L269" i="1" s="1"/>
  <c r="Q51" i="1"/>
  <c r="S267" i="1"/>
  <c r="S269" i="1" s="1"/>
  <c r="AT45" i="1"/>
  <c r="N224" i="1"/>
  <c r="J175" i="1"/>
  <c r="C203" i="1"/>
  <c r="T214" i="1"/>
  <c r="BZ121" i="1"/>
  <c r="BA30" i="1"/>
  <c r="BP120" i="1"/>
  <c r="AT30" i="1"/>
  <c r="M186" i="1"/>
  <c r="M127" i="1" s="1"/>
  <c r="P72" i="1"/>
  <c r="H175" i="1"/>
  <c r="S214" i="1"/>
  <c r="J203" i="1"/>
  <c r="J202" i="1" s="1"/>
  <c r="E215" i="1"/>
  <c r="D200" i="1"/>
  <c r="D199" i="1" s="1"/>
  <c r="S199" i="1"/>
  <c r="K202" i="1"/>
  <c r="BU51" i="1"/>
  <c r="BT156" i="1"/>
  <c r="BU152" i="1"/>
  <c r="BN156" i="1"/>
  <c r="BO152" i="1"/>
  <c r="BO51" i="1"/>
  <c r="BA152" i="1"/>
  <c r="BA51" i="1"/>
  <c r="AZ156" i="1"/>
  <c r="BQ51" i="1"/>
  <c r="BP156" i="1"/>
  <c r="BQ152" i="1"/>
  <c r="BR266" i="1"/>
  <c r="BP114" i="1"/>
  <c r="BP113" i="1"/>
  <c r="BV114" i="1"/>
  <c r="BV112" i="1"/>
  <c r="AM72" i="1"/>
  <c r="AM110" i="1"/>
  <c r="AS35" i="1"/>
  <c r="BE35" i="1"/>
  <c r="BR114" i="1"/>
  <c r="BR112" i="1"/>
  <c r="BA267" i="1"/>
  <c r="AV175" i="1"/>
  <c r="AT202" i="1"/>
  <c r="AP267" i="1"/>
  <c r="J266" i="1"/>
  <c r="BB267" i="1"/>
  <c r="BV243" i="1"/>
  <c r="P204" i="1"/>
  <c r="E214" i="1"/>
  <c r="BP186" i="1"/>
  <c r="AT34" i="1"/>
  <c r="E175" i="1"/>
  <c r="G224" i="1"/>
  <c r="G223" i="1" s="1"/>
  <c r="BR45" i="1"/>
  <c r="BN175" i="1"/>
  <c r="AZ45" i="1"/>
  <c r="BU206" i="1"/>
  <c r="P156" i="1"/>
  <c r="Q221" i="1" s="1"/>
  <c r="J55" i="1"/>
  <c r="Q147" i="1"/>
  <c r="Q73" i="1" s="1"/>
  <c r="F55" i="1"/>
  <c r="F147" i="1"/>
  <c r="F73" i="1" s="1"/>
  <c r="K224" i="1"/>
  <c r="U193" i="1"/>
  <c r="U72" i="1"/>
  <c r="R266" i="1"/>
  <c r="R225" i="1"/>
  <c r="BD202" i="1"/>
  <c r="I193" i="1"/>
  <c r="V225" i="1"/>
  <c r="K55" i="1"/>
  <c r="I225" i="1"/>
  <c r="AZ29" i="1"/>
  <c r="AW30" i="1"/>
  <c r="BQ45" i="1"/>
  <c r="I266" i="1"/>
  <c r="BK206" i="1"/>
  <c r="I147" i="1"/>
  <c r="I73" i="1" s="1"/>
  <c r="BF202" i="1"/>
  <c r="BC34" i="1"/>
  <c r="AX267" i="1"/>
  <c r="AI45" i="1"/>
  <c r="F204" i="1"/>
  <c r="BR30" i="1"/>
  <c r="D266" i="1"/>
  <c r="AO120" i="1"/>
  <c r="T193" i="1"/>
  <c r="BT45" i="1"/>
  <c r="T156" i="1"/>
  <c r="T264" i="1" s="1"/>
  <c r="BH224" i="1"/>
  <c r="BX224" i="1"/>
  <c r="H215" i="1"/>
  <c r="K186" i="1"/>
  <c r="K127" i="1" s="1"/>
  <c r="AY122" i="1"/>
  <c r="BL120" i="1"/>
  <c r="C51" i="1"/>
  <c r="K267" i="1"/>
  <c r="K269" i="1" s="1"/>
  <c r="BL121" i="1"/>
  <c r="BC45" i="1"/>
  <c r="AY121" i="1"/>
  <c r="BC29" i="1"/>
  <c r="I156" i="1"/>
  <c r="I215" i="1"/>
  <c r="F214" i="1"/>
  <c r="J215" i="1"/>
  <c r="BH34" i="1"/>
  <c r="BL36" i="1" s="1"/>
  <c r="AU45" i="1"/>
  <c r="AV30" i="1"/>
  <c r="K147" i="1"/>
  <c r="K73" i="1" s="1"/>
  <c r="D214" i="1"/>
  <c r="S224" i="1"/>
  <c r="BJ121" i="1"/>
  <c r="M267" i="1"/>
  <c r="M269" i="1" s="1"/>
  <c r="D175" i="1"/>
  <c r="AV29" i="1"/>
  <c r="AQ120" i="1"/>
  <c r="BE121" i="1"/>
  <c r="BT206" i="1"/>
  <c r="BD122" i="1"/>
  <c r="BE29" i="1"/>
  <c r="AU30" i="1"/>
  <c r="BA29" i="1"/>
  <c r="M147" i="1"/>
  <c r="M73" i="1" s="1"/>
  <c r="K215" i="1"/>
  <c r="J186" i="1"/>
  <c r="J127" i="1" s="1"/>
  <c r="T215" i="1"/>
  <c r="V186" i="1"/>
  <c r="V127" i="1" s="1"/>
  <c r="AR45" i="1"/>
  <c r="BR121" i="1"/>
  <c r="BN120" i="1"/>
  <c r="AM84" i="1"/>
  <c r="AM87" i="1" s="1"/>
  <c r="AM104" i="1" s="1"/>
  <c r="P224" i="1"/>
  <c r="S193" i="1"/>
  <c r="L214" i="1"/>
  <c r="C126" i="1"/>
  <c r="T225" i="1"/>
  <c r="D193" i="1"/>
  <c r="BN122" i="1"/>
  <c r="AM211" i="1"/>
  <c r="AM213" i="1" s="1"/>
  <c r="P55" i="1"/>
  <c r="P147" i="1"/>
  <c r="P73" i="1" s="1"/>
  <c r="R215" i="1"/>
  <c r="Q224" i="1"/>
  <c r="T147" i="1"/>
  <c r="T73" i="1" s="1"/>
  <c r="V214" i="1"/>
  <c r="C84" i="1"/>
  <c r="C87" i="1" s="1"/>
  <c r="N51" i="1"/>
  <c r="D72" i="1"/>
  <c r="BF122" i="1"/>
  <c r="M227" i="1"/>
  <c r="S225" i="1"/>
  <c r="C72" i="1"/>
  <c r="Q76" i="1"/>
  <c r="BI224" i="1"/>
  <c r="BJ267" i="1"/>
  <c r="BP122" i="1"/>
  <c r="BH112" i="1"/>
  <c r="F224" i="1"/>
  <c r="E147" i="1"/>
  <c r="E73" i="1" s="1"/>
  <c r="AX29" i="1"/>
  <c r="BZ122" i="1"/>
  <c r="P175" i="1"/>
  <c r="L51" i="1"/>
  <c r="AX30" i="1"/>
  <c r="BR122" i="1"/>
  <c r="BF121" i="1"/>
  <c r="S266" i="1"/>
  <c r="S147" i="1"/>
  <c r="S73" i="1" s="1"/>
  <c r="BV147" i="1"/>
  <c r="BV266" i="1"/>
  <c r="R156" i="1"/>
  <c r="R51" i="1"/>
  <c r="C221" i="1"/>
  <c r="C219" i="1" s="1"/>
  <c r="AR156" i="1"/>
  <c r="B199" i="1"/>
  <c r="BR156" i="1"/>
  <c r="V262" i="1"/>
  <c r="BT147" i="1"/>
  <c r="I202" i="1"/>
  <c r="T204" i="1"/>
  <c r="T199" i="1"/>
  <c r="G204" i="1"/>
  <c r="G202" i="1"/>
  <c r="AX110" i="1"/>
  <c r="BG152" i="1"/>
  <c r="BG51" i="1"/>
  <c r="BF156" i="1"/>
  <c r="AW51" i="1"/>
  <c r="AV156" i="1"/>
  <c r="AW152" i="1"/>
  <c r="BB112" i="1"/>
  <c r="AN267" i="1"/>
  <c r="AN224" i="1"/>
  <c r="AN186" i="1"/>
  <c r="AY152" i="1"/>
  <c r="AX156" i="1"/>
  <c r="AY51" i="1"/>
  <c r="BO220" i="1"/>
  <c r="BP220" i="1"/>
  <c r="BN224" i="1"/>
  <c r="BT186" i="1"/>
  <c r="BT224" i="1"/>
  <c r="AZ186" i="1"/>
  <c r="AZ267" i="1"/>
  <c r="AZ224" i="1"/>
  <c r="AT186" i="1"/>
  <c r="BG267" i="1"/>
  <c r="BH267" i="1"/>
  <c r="BA224" i="1"/>
  <c r="AU224" i="1"/>
  <c r="AU267" i="1"/>
  <c r="BP204" i="1"/>
  <c r="BP207" i="1" s="1"/>
  <c r="BT110" i="1"/>
  <c r="BT266" i="1"/>
  <c r="BF267" i="1"/>
  <c r="BG224" i="1"/>
  <c r="BD200" i="1"/>
  <c r="BT200" i="1"/>
  <c r="BN202" i="1"/>
  <c r="BE46" i="1"/>
  <c r="AN35" i="1"/>
  <c r="BN267" i="1"/>
  <c r="BP267" i="1"/>
  <c r="BP175" i="1"/>
  <c r="BB114" i="1"/>
  <c r="BP147" i="1"/>
  <c r="BV199" i="1"/>
  <c r="BA220" i="1"/>
  <c r="BB224" i="1"/>
  <c r="BB147" i="1"/>
  <c r="BH264" i="1"/>
  <c r="AS156" i="1"/>
  <c r="BQ267" i="1"/>
  <c r="AX147" i="1"/>
  <c r="AQ152" i="1"/>
  <c r="BP266" i="1"/>
  <c r="AR224" i="1"/>
  <c r="AW267" i="1"/>
  <c r="BB266" i="1"/>
  <c r="BB186" i="1"/>
  <c r="BC55" i="1" s="1"/>
  <c r="AY267" i="1"/>
  <c r="AV266" i="1"/>
  <c r="BB202" i="1"/>
  <c r="AS51" i="1"/>
  <c r="AR199" i="1"/>
  <c r="AO224" i="1"/>
  <c r="AO267" i="1"/>
  <c r="AP224" i="1"/>
  <c r="G186" i="1"/>
  <c r="G127" i="1" s="1"/>
  <c r="AP156" i="1"/>
  <c r="BS152" i="1"/>
  <c r="AR34" i="1"/>
  <c r="AR36" i="1" s="1"/>
  <c r="BU121" i="1"/>
  <c r="K227" i="1"/>
  <c r="AR29" i="1"/>
  <c r="BD29" i="1"/>
  <c r="U55" i="1"/>
  <c r="C224" i="1"/>
  <c r="S156" i="1"/>
  <c r="BW122" i="1"/>
  <c r="BW30" i="1"/>
  <c r="AI202" i="1"/>
  <c r="BJ250" i="1"/>
  <c r="BJ251" i="1" s="1"/>
  <c r="BJ47" i="1"/>
  <c r="BJ52" i="1"/>
  <c r="BJ56" i="1" s="1"/>
  <c r="BT120" i="1"/>
  <c r="BT121" i="1"/>
  <c r="BT122" i="1"/>
  <c r="G266" i="1"/>
  <c r="BC206" i="1"/>
  <c r="BF147" i="1"/>
  <c r="BD156" i="1"/>
  <c r="BD264" i="1" s="1"/>
  <c r="AX266" i="1"/>
  <c r="V55" i="1"/>
  <c r="AZ122" i="1"/>
  <c r="T267" i="1"/>
  <c r="T269" i="1" s="1"/>
  <c r="J214" i="1"/>
  <c r="AS121" i="1"/>
  <c r="D224" i="1"/>
  <c r="U186" i="1"/>
  <c r="U127" i="1" s="1"/>
  <c r="D267" i="1"/>
  <c r="D269" i="1" s="1"/>
  <c r="BX262" i="1"/>
  <c r="G267" i="1"/>
  <c r="G269" i="1" s="1"/>
  <c r="BY29" i="1"/>
  <c r="BU45" i="1"/>
  <c r="BI152" i="1"/>
  <c r="W76" i="1"/>
  <c r="AR175" i="1"/>
  <c r="BC243" i="1"/>
  <c r="BZ29" i="1"/>
  <c r="BY243" i="1"/>
  <c r="BV34" i="1"/>
  <c r="BH147" i="1"/>
  <c r="N214" i="1"/>
  <c r="M262" i="1"/>
  <c r="BH266" i="1"/>
  <c r="AX186" i="1"/>
  <c r="BE152" i="1"/>
  <c r="BE156" i="1" s="1"/>
  <c r="U175" i="1"/>
  <c r="W267" i="1"/>
  <c r="W269" i="1" s="1"/>
  <c r="AZ121" i="1"/>
  <c r="AU243" i="1"/>
  <c r="T175" i="1"/>
  <c r="AX120" i="1"/>
  <c r="BU243" i="1"/>
  <c r="BI51" i="1"/>
  <c r="BV30" i="1"/>
  <c r="BV45" i="1"/>
  <c r="BP34" i="1"/>
  <c r="BP29" i="1"/>
  <c r="BG46" i="1"/>
  <c r="BG250" i="1" s="1"/>
  <c r="BG251" i="1" s="1"/>
  <c r="BE224" i="1"/>
  <c r="AX175" i="1"/>
  <c r="BE267" i="1"/>
  <c r="AR110" i="1"/>
  <c r="AR112" i="1" s="1"/>
  <c r="G264" i="1"/>
  <c r="W224" i="1"/>
  <c r="V51" i="1"/>
  <c r="I175" i="1"/>
  <c r="T224" i="1"/>
  <c r="C214" i="1"/>
  <c r="BX121" i="1"/>
  <c r="V267" i="1"/>
  <c r="V269" i="1" s="1"/>
  <c r="G55" i="1"/>
  <c r="D225" i="1"/>
  <c r="F215" i="1"/>
  <c r="F156" i="1"/>
  <c r="F262" i="1" s="1"/>
  <c r="BD147" i="1"/>
  <c r="J225" i="1"/>
  <c r="BX29" i="1"/>
  <c r="BT34" i="1"/>
  <c r="BX243" i="1"/>
  <c r="BT175" i="1"/>
  <c r="L147" i="1"/>
  <c r="L73" i="1" s="1"/>
  <c r="BH204" i="1"/>
  <c r="BL207" i="1" s="1"/>
  <c r="BG35" i="1"/>
  <c r="BF266" i="1"/>
  <c r="BP224" i="1"/>
  <c r="I204" i="1"/>
  <c r="Q262" i="1"/>
  <c r="AV186" i="1"/>
  <c r="AV127" i="1" s="1"/>
  <c r="G262" i="1"/>
  <c r="L193" i="1"/>
  <c r="V224" i="1"/>
  <c r="AY243" i="1"/>
  <c r="U225" i="1"/>
  <c r="U215" i="1"/>
  <c r="BM121" i="1"/>
  <c r="C55" i="1"/>
  <c r="CA206" i="1"/>
  <c r="V266" i="1"/>
  <c r="BV206" i="1"/>
  <c r="BR175" i="1"/>
  <c r="BY206" i="1"/>
  <c r="M266" i="1"/>
  <c r="N227" i="1"/>
  <c r="BD30" i="1"/>
  <c r="L72" i="1"/>
  <c r="BH175" i="1"/>
  <c r="BH183" i="1" s="1"/>
  <c r="D156" i="1"/>
  <c r="AP175" i="1"/>
  <c r="BO267" i="1"/>
  <c r="AN110" i="1"/>
  <c r="AN113" i="1" s="1"/>
  <c r="M225" i="1"/>
  <c r="AP122" i="1"/>
  <c r="R175" i="1"/>
  <c r="C225" i="1"/>
  <c r="T266" i="1"/>
  <c r="AP121" i="1"/>
  <c r="BH113" i="1"/>
  <c r="AR206" i="1"/>
  <c r="O55" i="1"/>
  <c r="BD34" i="1"/>
  <c r="AU121" i="1"/>
  <c r="BJ243" i="1"/>
  <c r="U267" i="1"/>
  <c r="U269" i="1" s="1"/>
  <c r="D147" i="1"/>
  <c r="D73" i="1" s="1"/>
  <c r="M214" i="1"/>
  <c r="BA120" i="1"/>
  <c r="D186" i="1"/>
  <c r="D127" i="1" s="1"/>
  <c r="Q186" i="1"/>
  <c r="Q127" i="1" s="1"/>
  <c r="BR34" i="1"/>
  <c r="BT243" i="1"/>
  <c r="T55" i="1"/>
  <c r="BN266" i="1"/>
  <c r="J147" i="1"/>
  <c r="J73" i="1" s="1"/>
  <c r="BZ243" i="1"/>
  <c r="CA29" i="1"/>
  <c r="AO122" i="1"/>
  <c r="AO121" i="1"/>
  <c r="W221" i="1"/>
  <c r="Q264" i="1"/>
  <c r="BE206" i="1"/>
  <c r="AY206" i="1"/>
  <c r="AZ175" i="1"/>
  <c r="AV200" i="1"/>
  <c r="AV204" i="1" s="1"/>
  <c r="BO224" i="1"/>
  <c r="AQ267" i="1"/>
  <c r="U214" i="1"/>
  <c r="AY30" i="1"/>
  <c r="C266" i="1"/>
  <c r="L186" i="1"/>
  <c r="L127" i="1" s="1"/>
  <c r="BO243" i="1"/>
  <c r="M175" i="1"/>
  <c r="M183" i="1" s="1"/>
  <c r="BR243" i="1"/>
  <c r="BD45" i="1"/>
  <c r="M224" i="1"/>
  <c r="C186" i="1"/>
  <c r="C127" i="1" s="1"/>
  <c r="R267" i="1"/>
  <c r="R269" i="1" s="1"/>
  <c r="G72" i="1"/>
  <c r="BS121" i="1"/>
  <c r="BU34" i="1"/>
  <c r="BA121" i="1"/>
  <c r="Q267" i="1"/>
  <c r="Q269" i="1" s="1"/>
  <c r="BV29" i="1"/>
  <c r="BV204" i="1"/>
  <c r="BZ207" i="1" s="1"/>
  <c r="J224" i="1"/>
  <c r="BQ30" i="1"/>
  <c r="BP30" i="1"/>
  <c r="L225" i="1"/>
  <c r="BW206" i="1"/>
  <c r="AR203" i="1"/>
  <c r="Q204" i="1"/>
  <c r="V264" i="1"/>
  <c r="L266" i="1"/>
  <c r="C147" i="1"/>
  <c r="C73" i="1" s="1"/>
  <c r="AW206" i="1"/>
  <c r="AX121" i="1"/>
  <c r="K214" i="1"/>
  <c r="BQ121" i="1"/>
  <c r="BX206" i="1"/>
  <c r="R214" i="1"/>
  <c r="G214" i="1"/>
  <c r="AU220" i="1"/>
  <c r="AT224" i="1"/>
  <c r="AT267" i="1"/>
  <c r="AS224" i="1"/>
  <c r="AS267" i="1"/>
  <c r="O203" i="1"/>
  <c r="O202" i="1" s="1"/>
  <c r="P215" i="1"/>
  <c r="BJ29" i="1"/>
  <c r="BG30" i="1"/>
  <c r="BF34" i="1"/>
  <c r="AP34" i="1"/>
  <c r="BN206" i="1"/>
  <c r="AT147" i="1"/>
  <c r="BQ122" i="1"/>
  <c r="BD121" i="1"/>
  <c r="BH206" i="1"/>
  <c r="BO206" i="1"/>
  <c r="O214" i="1"/>
  <c r="BR29" i="1"/>
  <c r="BF206" i="1"/>
  <c r="BN30" i="1"/>
  <c r="BN34" i="1"/>
  <c r="BN29" i="1"/>
  <c r="AX224" i="1"/>
  <c r="BQ243" i="1"/>
  <c r="BO30" i="1"/>
  <c r="H224" i="1"/>
  <c r="H147" i="1"/>
  <c r="H73" i="1" s="1"/>
  <c r="I224" i="1"/>
  <c r="H55" i="1"/>
  <c r="AV147" i="1"/>
  <c r="BD266" i="1"/>
  <c r="AT175" i="1"/>
  <c r="AV224" i="1"/>
  <c r="O264" i="1"/>
  <c r="BF30" i="1"/>
  <c r="N186" i="1"/>
  <c r="N127" i="1" s="1"/>
  <c r="BM206" i="1"/>
  <c r="BK243" i="1"/>
  <c r="BL29" i="1"/>
  <c r="BH45" i="1"/>
  <c r="BK122" i="1"/>
  <c r="BK120" i="1"/>
  <c r="AQ29" i="1"/>
  <c r="AQ34" i="1"/>
  <c r="BN147" i="1"/>
  <c r="BO121" i="1"/>
  <c r="AR243" i="1"/>
  <c r="AT29" i="1"/>
  <c r="O267" i="1"/>
  <c r="O269" i="1" s="1"/>
  <c r="BH243" i="1"/>
  <c r="AP30" i="1"/>
  <c r="BC30" i="1"/>
  <c r="BF29" i="1"/>
  <c r="BB34" i="1"/>
  <c r="BW220" i="1"/>
  <c r="BP199" i="1"/>
  <c r="AL122" i="1"/>
  <c r="AL120" i="1"/>
  <c r="AL121" i="1"/>
  <c r="AY224" i="1"/>
  <c r="BN243" i="1"/>
  <c r="BB175" i="1"/>
  <c r="AZ147" i="1"/>
  <c r="AP243" i="1"/>
  <c r="AQ206" i="1"/>
  <c r="U51" i="1"/>
  <c r="U156" i="1"/>
  <c r="BF45" i="1"/>
  <c r="I267" i="1"/>
  <c r="I269" i="1" s="1"/>
  <c r="BB45" i="1"/>
  <c r="BD186" i="1"/>
  <c r="BD127" i="1" s="1"/>
  <c r="V204" i="1"/>
  <c r="BD206" i="1"/>
  <c r="BA243" i="1"/>
  <c r="AS243" i="1"/>
  <c r="B175" i="1"/>
  <c r="B183" i="1" s="1"/>
  <c r="B262" i="1" s="1"/>
  <c r="BR206" i="1"/>
  <c r="AO206" i="1"/>
  <c r="U224" i="1"/>
  <c r="AV122" i="1"/>
  <c r="R147" i="1"/>
  <c r="R73" i="1" s="1"/>
  <c r="AN122" i="1"/>
  <c r="AN120" i="1"/>
  <c r="AN121" i="1"/>
  <c r="H186" i="1"/>
  <c r="H127" i="1" s="1"/>
  <c r="H267" i="1"/>
  <c r="H269" i="1" s="1"/>
  <c r="BP202" i="1"/>
  <c r="AR186" i="1"/>
  <c r="AS55" i="1" s="1"/>
  <c r="AR30" i="1"/>
  <c r="BD175" i="1"/>
  <c r="AT112" i="1"/>
  <c r="AN175" i="1"/>
  <c r="AN147" i="1"/>
  <c r="C200" i="1"/>
  <c r="C199" i="1" s="1"/>
  <c r="R76" i="1"/>
  <c r="BF243" i="1"/>
  <c r="Q175" i="1"/>
  <c r="Q183" i="1" s="1"/>
  <c r="BG206" i="1"/>
  <c r="AI199" i="1"/>
  <c r="AI204" i="1"/>
  <c r="AR120" i="1"/>
  <c r="AR122" i="1"/>
  <c r="AO34" i="1"/>
  <c r="AS29" i="1"/>
  <c r="AO29" i="1"/>
  <c r="AO243" i="1"/>
  <c r="AR147" i="1"/>
  <c r="AQ243" i="1"/>
  <c r="BD110" i="1"/>
  <c r="BD113" i="1" s="1"/>
  <c r="AT266" i="1"/>
  <c r="AZ266" i="1"/>
  <c r="BN110" i="1"/>
  <c r="BN114" i="1" s="1"/>
  <c r="BV175" i="1"/>
  <c r="BB206" i="1"/>
  <c r="BB29" i="1"/>
  <c r="BE243" i="1"/>
  <c r="S76" i="1"/>
  <c r="P76" i="1"/>
  <c r="BI243" i="1"/>
  <c r="BI30" i="1"/>
  <c r="AP206" i="1"/>
  <c r="AO30" i="1"/>
  <c r="N76" i="1"/>
  <c r="AL262" i="1"/>
  <c r="AL243" i="1"/>
  <c r="AI34" i="1"/>
  <c r="AM29" i="1"/>
  <c r="AJ30" i="1"/>
  <c r="X224" i="1"/>
  <c r="W55" i="1"/>
  <c r="BQ220" i="1"/>
  <c r="AR267" i="1"/>
  <c r="AT206" i="1"/>
  <c r="F266" i="1"/>
  <c r="G227" i="1"/>
  <c r="N72" i="1"/>
  <c r="N193" i="1"/>
  <c r="B204" i="1"/>
  <c r="BL206" i="1"/>
  <c r="AT113" i="1"/>
  <c r="AV267" i="1"/>
  <c r="AS206" i="1"/>
  <c r="AU206" i="1"/>
  <c r="BP243" i="1"/>
  <c r="BJ262" i="1"/>
  <c r="BH30" i="1"/>
  <c r="BG243" i="1"/>
  <c r="N225" i="1"/>
  <c r="G215" i="1"/>
  <c r="BB243" i="1"/>
  <c r="AY34" i="1"/>
  <c r="AP45" i="1"/>
  <c r="AU34" i="1"/>
  <c r="AY29" i="1"/>
  <c r="P214" i="1"/>
  <c r="N147" i="1"/>
  <c r="N73" i="1" s="1"/>
  <c r="BH262" i="1"/>
  <c r="C215" i="1"/>
  <c r="N267" i="1"/>
  <c r="N269" i="1" s="1"/>
  <c r="BS206" i="1"/>
  <c r="AW224" i="1"/>
  <c r="BO122" i="1"/>
  <c r="BF175" i="1"/>
  <c r="O262" i="1"/>
  <c r="AV120" i="1"/>
  <c r="O175" i="1"/>
  <c r="O183" i="1" s="1"/>
  <c r="BI206" i="1"/>
  <c r="AZ243" i="1"/>
  <c r="BH29" i="1"/>
  <c r="AZ206" i="1"/>
  <c r="AV206" i="1"/>
  <c r="V175" i="1"/>
  <c r="V183" i="1" s="1"/>
  <c r="BW267" i="1"/>
  <c r="Q214" i="1"/>
  <c r="G175" i="1"/>
  <c r="G183" i="1" s="1"/>
  <c r="BI267" i="1"/>
  <c r="BW224" i="1"/>
  <c r="AN206" i="1"/>
  <c r="AO45" i="1"/>
  <c r="O224" i="1"/>
  <c r="AY45" i="1"/>
  <c r="AQ45" i="1"/>
  <c r="M264" i="1"/>
  <c r="AV35" i="1"/>
  <c r="AV46" i="1"/>
  <c r="K204" i="1"/>
  <c r="P199" i="1"/>
  <c r="K262" i="1"/>
  <c r="BG55" i="1"/>
  <c r="BF127" i="1"/>
  <c r="AT204" i="1"/>
  <c r="AT199" i="1"/>
  <c r="AV114" i="1"/>
  <c r="AV112" i="1"/>
  <c r="AV113" i="1"/>
  <c r="AZ113" i="1"/>
  <c r="AZ114" i="1"/>
  <c r="AZ112" i="1"/>
  <c r="AX199" i="1"/>
  <c r="AX204" i="1"/>
  <c r="BF199" i="1"/>
  <c r="BF204" i="1"/>
  <c r="BJ207" i="1" s="1"/>
  <c r="BF113" i="1"/>
  <c r="BF114" i="1"/>
  <c r="BF112" i="1"/>
  <c r="BR199" i="1"/>
  <c r="BB204" i="1"/>
  <c r="BB199" i="1"/>
  <c r="AZ204" i="1"/>
  <c r="AZ199" i="1"/>
  <c r="BG47" i="1"/>
  <c r="BG52" i="1"/>
  <c r="AN268" i="1"/>
  <c r="AN52" i="1"/>
  <c r="AN49" i="1"/>
  <c r="AN47" i="1"/>
  <c r="AN250" i="1"/>
  <c r="AN251" i="1" s="1"/>
  <c r="AN244" i="1"/>
  <c r="AN130" i="1"/>
  <c r="AN48" i="1"/>
  <c r="CR152" i="1"/>
  <c r="AE160" i="1"/>
  <c r="AC142" i="1"/>
  <c r="BC51" i="1" l="1"/>
  <c r="BB156" i="1"/>
  <c r="BC152" i="1"/>
  <c r="BR202" i="1"/>
  <c r="BR224" i="1"/>
  <c r="N262" i="1"/>
  <c r="E264" i="1"/>
  <c r="O221" i="1"/>
  <c r="O219" i="1" s="1"/>
  <c r="E216" i="1"/>
  <c r="E217" i="1" s="1"/>
  <c r="E183" i="1"/>
  <c r="N264" i="1"/>
  <c r="E262" i="1"/>
  <c r="BH127" i="1"/>
  <c r="BI55" i="1"/>
  <c r="BC224" i="1"/>
  <c r="BR267" i="1"/>
  <c r="BR204" i="1"/>
  <c r="BR186" i="1"/>
  <c r="BS224" i="1"/>
  <c r="BS267" i="1"/>
  <c r="BR147" i="1"/>
  <c r="B128" i="1"/>
  <c r="B131" i="1" s="1"/>
  <c r="B129" i="1"/>
  <c r="B132" i="1" s="1"/>
  <c r="N221" i="1"/>
  <c r="N219" i="1" s="1"/>
  <c r="BE36" i="1"/>
  <c r="BA37" i="1"/>
  <c r="BT37" i="1"/>
  <c r="BQ250" i="1"/>
  <c r="BQ251" i="1" s="1"/>
  <c r="L175" i="1"/>
  <c r="BD267" i="1"/>
  <c r="E221" i="1"/>
  <c r="C128" i="1"/>
  <c r="C131" i="1" s="1"/>
  <c r="U204" i="1"/>
  <c r="O215" i="1"/>
  <c r="J183" i="1"/>
  <c r="BU267" i="1"/>
  <c r="AT183" i="1"/>
  <c r="Q216" i="1"/>
  <c r="Q217" i="1" s="1"/>
  <c r="O223" i="1"/>
  <c r="BM37" i="1"/>
  <c r="H204" i="1"/>
  <c r="BJ37" i="1"/>
  <c r="BI46" i="1"/>
  <c r="BJ268" i="1" s="1"/>
  <c r="BM36" i="1"/>
  <c r="BI35" i="1"/>
  <c r="BI36" i="1"/>
  <c r="D204" i="1"/>
  <c r="BN221" i="1"/>
  <c r="BN219" i="1" s="1"/>
  <c r="BN264" i="1"/>
  <c r="BN262" i="1"/>
  <c r="BD51" i="1"/>
  <c r="BC156" i="1"/>
  <c r="BT264" i="1"/>
  <c r="BT262" i="1"/>
  <c r="BA156" i="1"/>
  <c r="BB51" i="1"/>
  <c r="AZ262" i="1"/>
  <c r="AZ264" i="1"/>
  <c r="BR51" i="1"/>
  <c r="BQ156" i="1"/>
  <c r="BB264" i="1"/>
  <c r="BB262" i="1"/>
  <c r="BG156" i="1"/>
  <c r="BH51" i="1"/>
  <c r="AV262" i="1"/>
  <c r="AV264" i="1"/>
  <c r="AX114" i="1"/>
  <c r="AX113" i="1"/>
  <c r="AX112" i="1"/>
  <c r="BV51" i="1"/>
  <c r="BU156" i="1"/>
  <c r="AO55" i="1"/>
  <c r="AN127" i="1"/>
  <c r="AV51" i="1"/>
  <c r="AU156" i="1"/>
  <c r="BU55" i="1"/>
  <c r="BT127" i="1"/>
  <c r="AV183" i="1"/>
  <c r="BP51" i="1"/>
  <c r="BO156" i="1"/>
  <c r="BP264" i="1"/>
  <c r="BP262" i="1"/>
  <c r="AT264" i="1"/>
  <c r="AT262" i="1"/>
  <c r="AP127" i="1"/>
  <c r="AQ55" i="1"/>
  <c r="AZ127" i="1"/>
  <c r="BA55" i="1"/>
  <c r="AP204" i="1"/>
  <c r="AP207" i="1" s="1"/>
  <c r="AP202" i="1"/>
  <c r="BT114" i="1"/>
  <c r="BT113" i="1"/>
  <c r="BT112" i="1"/>
  <c r="BD199" i="1"/>
  <c r="BD204" i="1"/>
  <c r="BT204" i="1"/>
  <c r="BT199" i="1"/>
  <c r="AM112" i="1"/>
  <c r="AM113" i="1"/>
  <c r="AM114" i="1"/>
  <c r="AS221" i="1"/>
  <c r="AS219" i="1" s="1"/>
  <c r="AT221" i="1"/>
  <c r="AT219" i="1" s="1"/>
  <c r="BE250" i="1"/>
  <c r="BE251" i="1" s="1"/>
  <c r="BE47" i="1"/>
  <c r="BE52" i="1"/>
  <c r="BE56" i="1" s="1"/>
  <c r="BH128" i="1"/>
  <c r="BH129" i="1"/>
  <c r="BV128" i="1"/>
  <c r="BV129" i="1"/>
  <c r="AN269" i="1"/>
  <c r="T262" i="1"/>
  <c r="BQ52" i="1"/>
  <c r="BQ56" i="1" s="1"/>
  <c r="T183" i="1"/>
  <c r="AT35" i="1"/>
  <c r="I223" i="1"/>
  <c r="E204" i="1"/>
  <c r="G221" i="1"/>
  <c r="G219" i="1" s="1"/>
  <c r="I207" i="1"/>
  <c r="I208" i="1" s="1"/>
  <c r="BJ269" i="1"/>
  <c r="R264" i="1"/>
  <c r="R262" i="1"/>
  <c r="R221" i="1"/>
  <c r="R219" i="1" s="1"/>
  <c r="AW156" i="1"/>
  <c r="AX51" i="1"/>
  <c r="AX264" i="1"/>
  <c r="AX262" i="1"/>
  <c r="AU55" i="1"/>
  <c r="AT127" i="1"/>
  <c r="Q219" i="1"/>
  <c r="J216" i="1"/>
  <c r="J217" i="1" s="1"/>
  <c r="AR183" i="1"/>
  <c r="BV267" i="1"/>
  <c r="H264" i="1"/>
  <c r="Q223" i="1"/>
  <c r="M215" i="1"/>
  <c r="L215" i="1"/>
  <c r="N175" i="1"/>
  <c r="N183" i="1" s="1"/>
  <c r="N204" i="1"/>
  <c r="P183" i="1"/>
  <c r="P262" i="1"/>
  <c r="P264" i="1"/>
  <c r="L204" i="1"/>
  <c r="P221" i="1"/>
  <c r="P219" i="1" s="1"/>
  <c r="BL37" i="1"/>
  <c r="BK35" i="1"/>
  <c r="BQ35" i="1"/>
  <c r="BO36" i="1"/>
  <c r="BS35" i="1"/>
  <c r="BK36" i="1"/>
  <c r="BS46" i="1"/>
  <c r="AX183" i="1"/>
  <c r="AX184" i="1" s="1"/>
  <c r="I183" i="1"/>
  <c r="I184" i="1" s="1"/>
  <c r="T223" i="1"/>
  <c r="M204" i="1"/>
  <c r="M207" i="1" s="1"/>
  <c r="M208" i="1" s="1"/>
  <c r="AT46" i="1"/>
  <c r="AT52" i="1" s="1"/>
  <c r="AT56" i="1" s="1"/>
  <c r="AT59" i="1" s="1"/>
  <c r="BH37" i="1"/>
  <c r="F216" i="1"/>
  <c r="F217" i="1" s="1"/>
  <c r="BT183" i="1"/>
  <c r="V223" i="1"/>
  <c r="BA46" i="1"/>
  <c r="BE48" i="1" s="1"/>
  <c r="BR183" i="1"/>
  <c r="J264" i="1"/>
  <c r="BV264" i="1"/>
  <c r="BK46" i="1"/>
  <c r="I262" i="1"/>
  <c r="AZ183" i="1"/>
  <c r="AM103" i="1"/>
  <c r="K216" i="1"/>
  <c r="K217" i="1" s="1"/>
  <c r="BO46" i="1"/>
  <c r="BH35" i="1"/>
  <c r="BV224" i="1"/>
  <c r="BU224" i="1"/>
  <c r="D216" i="1"/>
  <c r="D217" i="1" s="1"/>
  <c r="U77" i="1"/>
  <c r="BH46" i="1"/>
  <c r="H223" i="1"/>
  <c r="BW156" i="1"/>
  <c r="AR37" i="1"/>
  <c r="BA36" i="1"/>
  <c r="BB36" i="1"/>
  <c r="BB183" i="1"/>
  <c r="BB184" i="1" s="1"/>
  <c r="BS36" i="1"/>
  <c r="D87" i="1"/>
  <c r="D104" i="1" s="1"/>
  <c r="L264" i="1"/>
  <c r="AR264" i="1"/>
  <c r="AN183" i="1"/>
  <c r="BI37" i="1"/>
  <c r="Q184" i="1"/>
  <c r="U202" i="1"/>
  <c r="I264" i="1"/>
  <c r="BV183" i="1"/>
  <c r="P223" i="1"/>
  <c r="R223" i="1"/>
  <c r="H216" i="1"/>
  <c r="H217" i="1" s="1"/>
  <c r="D128" i="1"/>
  <c r="D131" i="1" s="1"/>
  <c r="J262" i="1"/>
  <c r="N215" i="1"/>
  <c r="N223" i="1"/>
  <c r="AZ37" i="1"/>
  <c r="Q77" i="1"/>
  <c r="F207" i="1"/>
  <c r="F208" i="1" s="1"/>
  <c r="AN264" i="1"/>
  <c r="BF183" i="1"/>
  <c r="BF184" i="1" s="1"/>
  <c r="I221" i="1"/>
  <c r="I219" i="1" s="1"/>
  <c r="O184" i="1"/>
  <c r="H183" i="1"/>
  <c r="H184" i="1" s="1"/>
  <c r="V184" i="1"/>
  <c r="BV262" i="1"/>
  <c r="B103" i="1"/>
  <c r="H221" i="1"/>
  <c r="H219" i="1" s="1"/>
  <c r="D129" i="1"/>
  <c r="D132" i="1" s="1"/>
  <c r="B86" i="1"/>
  <c r="H262" i="1"/>
  <c r="M221" i="1"/>
  <c r="M219" i="1" s="1"/>
  <c r="AW46" i="1"/>
  <c r="AW52" i="1" s="1"/>
  <c r="AW56" i="1" s="1"/>
  <c r="S183" i="1"/>
  <c r="S184" i="1" s="1"/>
  <c r="AN262" i="1"/>
  <c r="AN199" i="1"/>
  <c r="AS52" i="1"/>
  <c r="AS56" i="1" s="1"/>
  <c r="E223" i="1"/>
  <c r="BD36" i="1"/>
  <c r="AW36" i="1"/>
  <c r="D223" i="1"/>
  <c r="I216" i="1"/>
  <c r="I217" i="1" s="1"/>
  <c r="J204" i="1"/>
  <c r="F183" i="1"/>
  <c r="F184" i="1" s="1"/>
  <c r="BW46" i="1"/>
  <c r="BX49" i="1" s="1"/>
  <c r="V216" i="1"/>
  <c r="V217" i="1" s="1"/>
  <c r="BW55" i="1"/>
  <c r="P77" i="1"/>
  <c r="BX37" i="1"/>
  <c r="BW35" i="1"/>
  <c r="BW36" i="1"/>
  <c r="AR46" i="1"/>
  <c r="AR47" i="1" s="1"/>
  <c r="AS37" i="1"/>
  <c r="X77" i="1"/>
  <c r="BW37" i="1"/>
  <c r="B104" i="1"/>
  <c r="BQ36" i="1"/>
  <c r="C202" i="1"/>
  <c r="G184" i="1"/>
  <c r="BN37" i="1"/>
  <c r="S204" i="1"/>
  <c r="T207" i="1" s="1"/>
  <c r="T208" i="1" s="1"/>
  <c r="C223" i="1"/>
  <c r="S223" i="1"/>
  <c r="AV36" i="1"/>
  <c r="M202" i="1"/>
  <c r="K221" i="1"/>
  <c r="K219" i="1" s="1"/>
  <c r="K183" i="1"/>
  <c r="L221" i="1"/>
  <c r="L219" i="1" s="1"/>
  <c r="AX35" i="1"/>
  <c r="N199" i="1"/>
  <c r="AX37" i="1"/>
  <c r="AX46" i="1"/>
  <c r="AX47" i="1" s="1"/>
  <c r="R204" i="1"/>
  <c r="AP51" i="1"/>
  <c r="AO156" i="1"/>
  <c r="BN127" i="1"/>
  <c r="BO55" i="1"/>
  <c r="BP127" i="1"/>
  <c r="BQ55" i="1"/>
  <c r="BN183" i="1"/>
  <c r="AN221" i="1"/>
  <c r="AN219" i="1" s="1"/>
  <c r="AN204" i="1"/>
  <c r="BN199" i="1"/>
  <c r="BN204" i="1"/>
  <c r="AS250" i="1"/>
  <c r="AS251" i="1" s="1"/>
  <c r="AS47" i="1"/>
  <c r="K223" i="1"/>
  <c r="S216" i="1"/>
  <c r="S217" i="1" s="1"/>
  <c r="BH184" i="1"/>
  <c r="AP183" i="1"/>
  <c r="AP184" i="1" s="1"/>
  <c r="BD35" i="1"/>
  <c r="F223" i="1"/>
  <c r="E219" i="1"/>
  <c r="BV46" i="1"/>
  <c r="L223" i="1"/>
  <c r="T77" i="1"/>
  <c r="AW37" i="1"/>
  <c r="T216" i="1"/>
  <c r="T217" i="1" s="1"/>
  <c r="C86" i="1"/>
  <c r="E184" i="1"/>
  <c r="M184" i="1"/>
  <c r="BM46" i="1"/>
  <c r="M223" i="1"/>
  <c r="D183" i="1"/>
  <c r="D262" i="1" s="1"/>
  <c r="U216" i="1"/>
  <c r="U217" i="1" s="1"/>
  <c r="C103" i="1"/>
  <c r="C105" i="1"/>
  <c r="AY37" i="1"/>
  <c r="AR262" i="1"/>
  <c r="S221" i="1"/>
  <c r="S219" i="1" s="1"/>
  <c r="S231" i="1" s="1"/>
  <c r="R183" i="1"/>
  <c r="R184" i="1" s="1"/>
  <c r="B107" i="1"/>
  <c r="C104" i="1"/>
  <c r="C88" i="1"/>
  <c r="BS156" i="1"/>
  <c r="BR264" i="1"/>
  <c r="BR262" i="1"/>
  <c r="BB127" i="1"/>
  <c r="BP183" i="1"/>
  <c r="AZ51" i="1"/>
  <c r="AY156" i="1"/>
  <c r="G207" i="1"/>
  <c r="G208" i="1" s="1"/>
  <c r="BF264" i="1"/>
  <c r="BF262" i="1"/>
  <c r="AP264" i="1"/>
  <c r="AP262" i="1"/>
  <c r="BS55" i="1"/>
  <c r="BR127" i="1"/>
  <c r="BF51" i="1"/>
  <c r="BD262" i="1"/>
  <c r="AQ156" i="1"/>
  <c r="AR51" i="1"/>
  <c r="AY55" i="1"/>
  <c r="AX127" i="1"/>
  <c r="AZ46" i="1"/>
  <c r="AZ35" i="1"/>
  <c r="AM105" i="1"/>
  <c r="J223" i="1"/>
  <c r="U207" i="1"/>
  <c r="U208" i="1" s="1"/>
  <c r="G216" i="1"/>
  <c r="G217" i="1" s="1"/>
  <c r="P216" i="1"/>
  <c r="P217" i="1" s="1"/>
  <c r="J221" i="1"/>
  <c r="J219" i="1" s="1"/>
  <c r="L183" i="1"/>
  <c r="F264" i="1"/>
  <c r="U183" i="1"/>
  <c r="U184" i="1" s="1"/>
  <c r="AX36" i="1"/>
  <c r="AT37" i="1"/>
  <c r="BC46" i="1"/>
  <c r="BG36" i="1"/>
  <c r="BC35" i="1"/>
  <c r="U223" i="1"/>
  <c r="AT184" i="1"/>
  <c r="V207" i="1"/>
  <c r="V208" i="1" s="1"/>
  <c r="C216" i="1"/>
  <c r="C217" i="1" s="1"/>
  <c r="C231" i="1" s="1"/>
  <c r="BE37" i="1"/>
  <c r="W219" i="1"/>
  <c r="R216" i="1"/>
  <c r="R217" i="1" s="1"/>
  <c r="BT51" i="1"/>
  <c r="AN112" i="1"/>
  <c r="AN114" i="1"/>
  <c r="Q207" i="1"/>
  <c r="Q208" i="1" s="1"/>
  <c r="AR204" i="1"/>
  <c r="AR202" i="1"/>
  <c r="AV199" i="1"/>
  <c r="AZ207" i="1"/>
  <c r="BD114" i="1"/>
  <c r="BD183" i="1"/>
  <c r="BD184" i="1" s="1"/>
  <c r="AW55" i="1"/>
  <c r="BU37" i="1"/>
  <c r="BT46" i="1"/>
  <c r="BX36" i="1"/>
  <c r="BT35" i="1"/>
  <c r="BI156" i="1"/>
  <c r="BJ51" i="1"/>
  <c r="BH36" i="1"/>
  <c r="BD37" i="1"/>
  <c r="BD46" i="1"/>
  <c r="AR113" i="1"/>
  <c r="AR114" i="1"/>
  <c r="C129" i="1"/>
  <c r="C132" i="1" s="1"/>
  <c r="O216" i="1"/>
  <c r="O217" i="1" s="1"/>
  <c r="BU36" i="1"/>
  <c r="BU46" i="1"/>
  <c r="BV37" i="1"/>
  <c r="BY36" i="1"/>
  <c r="BU35" i="1"/>
  <c r="F221" i="1"/>
  <c r="F219" i="1" s="1"/>
  <c r="AR35" i="1"/>
  <c r="BV207" i="1"/>
  <c r="J184" i="1"/>
  <c r="BZ36" i="1"/>
  <c r="BV35" i="1"/>
  <c r="D221" i="1"/>
  <c r="D219" i="1" s="1"/>
  <c r="O204" i="1"/>
  <c r="P207" i="1" s="1"/>
  <c r="P208" i="1" s="1"/>
  <c r="BP46" i="1"/>
  <c r="V77" i="1"/>
  <c r="BP37" i="1"/>
  <c r="BP36" i="1"/>
  <c r="BP35" i="1"/>
  <c r="BT36" i="1"/>
  <c r="BQ37" i="1"/>
  <c r="BJ59" i="1"/>
  <c r="BJ58" i="1"/>
  <c r="BV36" i="1"/>
  <c r="BR37" i="1"/>
  <c r="BR35" i="1"/>
  <c r="BS37" i="1"/>
  <c r="BR46" i="1"/>
  <c r="C184" i="1"/>
  <c r="S262" i="1"/>
  <c r="S264" i="1"/>
  <c r="T221" i="1"/>
  <c r="T219" i="1" s="1"/>
  <c r="AJ37" i="1"/>
  <c r="AI35" i="1"/>
  <c r="AM36" i="1"/>
  <c r="AI46" i="1"/>
  <c r="N77" i="1"/>
  <c r="BE55" i="1"/>
  <c r="BN112" i="1"/>
  <c r="BN35" i="1"/>
  <c r="BR36" i="1"/>
  <c r="BO37" i="1"/>
  <c r="BN46" i="1"/>
  <c r="BN36" i="1"/>
  <c r="BN113" i="1"/>
  <c r="AY36" i="1"/>
  <c r="AU37" i="1"/>
  <c r="AU46" i="1"/>
  <c r="AU35" i="1"/>
  <c r="U264" i="1"/>
  <c r="U262" i="1"/>
  <c r="V221" i="1"/>
  <c r="V219" i="1" s="1"/>
  <c r="U221" i="1"/>
  <c r="U219" i="1" s="1"/>
  <c r="AV37" i="1"/>
  <c r="BD112" i="1"/>
  <c r="AY46" i="1"/>
  <c r="BC36" i="1"/>
  <c r="R77" i="1"/>
  <c r="AY35" i="1"/>
  <c r="BB35" i="1"/>
  <c r="BB46" i="1"/>
  <c r="BF36" i="1"/>
  <c r="BB37" i="1"/>
  <c r="BC37" i="1"/>
  <c r="AT36" i="1"/>
  <c r="AP35" i="1"/>
  <c r="AP46" i="1"/>
  <c r="AP36" i="1"/>
  <c r="AQ37" i="1"/>
  <c r="C204" i="1"/>
  <c r="C207" i="1" s="1"/>
  <c r="C208" i="1" s="1"/>
  <c r="AQ46" i="1"/>
  <c r="AU36" i="1"/>
  <c r="AQ35" i="1"/>
  <c r="AQ36" i="1"/>
  <c r="BI47" i="1"/>
  <c r="B184" i="1"/>
  <c r="BI250" i="1"/>
  <c r="BI251" i="1" s="1"/>
  <c r="AO36" i="1"/>
  <c r="AP37" i="1"/>
  <c r="O77" i="1"/>
  <c r="AO46" i="1"/>
  <c r="AO35" i="1"/>
  <c r="AS36" i="1"/>
  <c r="AO37" i="1"/>
  <c r="BF35" i="1"/>
  <c r="BJ36" i="1"/>
  <c r="BF37" i="1"/>
  <c r="S77" i="1"/>
  <c r="BF46" i="1"/>
  <c r="BG37" i="1"/>
  <c r="BI52" i="1"/>
  <c r="BI56" i="1" s="1"/>
  <c r="BI48" i="1"/>
  <c r="H207" i="1"/>
  <c r="H208" i="1" s="1"/>
  <c r="AV250" i="1"/>
  <c r="AV251" i="1" s="1"/>
  <c r="AV47" i="1"/>
  <c r="AV52" i="1"/>
  <c r="AV56" i="1" s="1"/>
  <c r="AV128" i="1"/>
  <c r="AV129" i="1"/>
  <c r="BF129" i="1"/>
  <c r="BF128" i="1"/>
  <c r="BC221" i="1"/>
  <c r="BC219" i="1" s="1"/>
  <c r="BD221" i="1"/>
  <c r="BD219" i="1" s="1"/>
  <c r="BB221" i="1"/>
  <c r="BB219" i="1" s="1"/>
  <c r="BA221" i="1"/>
  <c r="BA219" i="1" s="1"/>
  <c r="BR221" i="1"/>
  <c r="BR219" i="1" s="1"/>
  <c r="BQ221" i="1"/>
  <c r="BQ219" i="1" s="1"/>
  <c r="BH221" i="1"/>
  <c r="BH219" i="1" s="1"/>
  <c r="BG221" i="1"/>
  <c r="BG219" i="1" s="1"/>
  <c r="BE221" i="1"/>
  <c r="BE219" i="1" s="1"/>
  <c r="BF221" i="1"/>
  <c r="BF219" i="1" s="1"/>
  <c r="AN129" i="1"/>
  <c r="AN132" i="1" s="1"/>
  <c r="AN128" i="1"/>
  <c r="AN131" i="1" s="1"/>
  <c r="AT207" i="1"/>
  <c r="AX207" i="1"/>
  <c r="BV221" i="1"/>
  <c r="BV219" i="1" s="1"/>
  <c r="BU221" i="1"/>
  <c r="BU219" i="1" s="1"/>
  <c r="AV221" i="1"/>
  <c r="AV219" i="1" s="1"/>
  <c r="AU221" i="1"/>
  <c r="AU219" i="1" s="1"/>
  <c r="BT129" i="1"/>
  <c r="BT128" i="1"/>
  <c r="BD129" i="1"/>
  <c r="BD128" i="1"/>
  <c r="BO221" i="1"/>
  <c r="BO219" i="1" s="1"/>
  <c r="BP221" i="1"/>
  <c r="BP219" i="1" s="1"/>
  <c r="AP128" i="1"/>
  <c r="AP129" i="1"/>
  <c r="AZ128" i="1"/>
  <c r="AZ129" i="1"/>
  <c r="BH207" i="1"/>
  <c r="BD207" i="1"/>
  <c r="BB207" i="1"/>
  <c r="BF207" i="1"/>
  <c r="BT207" i="1"/>
  <c r="BX207" i="1"/>
  <c r="BE58" i="1"/>
  <c r="BE59" i="1"/>
  <c r="AN73" i="1"/>
  <c r="AN56" i="1"/>
  <c r="BG56" i="1"/>
  <c r="CR156" i="1"/>
  <c r="CS50" i="1"/>
  <c r="Q231" i="1" l="1"/>
  <c r="K184" i="1"/>
  <c r="E207" i="1"/>
  <c r="E208" i="1" s="1"/>
  <c r="T184" i="1"/>
  <c r="AR184" i="1"/>
  <c r="R231" i="1"/>
  <c r="AV184" i="1"/>
  <c r="BJ49" i="1"/>
  <c r="BQ58" i="1"/>
  <c r="BQ59" i="1"/>
  <c r="N184" i="1"/>
  <c r="AR48" i="1"/>
  <c r="AR49" i="1"/>
  <c r="AY268" i="1"/>
  <c r="AY269" i="1" s="1"/>
  <c r="AX52" i="1"/>
  <c r="AX56" i="1" s="1"/>
  <c r="AY49" i="1"/>
  <c r="AX48" i="1"/>
  <c r="AX250" i="1"/>
  <c r="AX251" i="1" s="1"/>
  <c r="BL130" i="1"/>
  <c r="BL131" i="1" s="1"/>
  <c r="AS268" i="1"/>
  <c r="AS269" i="1" s="1"/>
  <c r="AR250" i="1"/>
  <c r="AR251" i="1" s="1"/>
  <c r="AS49" i="1"/>
  <c r="BM52" i="1"/>
  <c r="BM56" i="1" s="1"/>
  <c r="BM59" i="1" s="1"/>
  <c r="AR52" i="1"/>
  <c r="AR56" i="1" s="1"/>
  <c r="BM250" i="1"/>
  <c r="BM251" i="1" s="1"/>
  <c r="BM48" i="1"/>
  <c r="BQ48" i="1"/>
  <c r="BO130" i="1"/>
  <c r="BO244" i="1"/>
  <c r="BM47" i="1"/>
  <c r="BM130" i="1"/>
  <c r="BM268" i="1"/>
  <c r="BM269" i="1" s="1"/>
  <c r="BM244" i="1"/>
  <c r="BM49" i="1"/>
  <c r="L207" i="1"/>
  <c r="L208" i="1" s="1"/>
  <c r="AV130" i="1"/>
  <c r="D184" i="1"/>
  <c r="AV48" i="1"/>
  <c r="AX221" i="1"/>
  <c r="AX219" i="1" s="1"/>
  <c r="AW221" i="1"/>
  <c r="AW219" i="1" s="1"/>
  <c r="AT129" i="1"/>
  <c r="AT128" i="1"/>
  <c r="AS58" i="1"/>
  <c r="AS59" i="1"/>
  <c r="AT66" i="1"/>
  <c r="AT252" i="1"/>
  <c r="AT60" i="1"/>
  <c r="AT263" i="1" s="1"/>
  <c r="BN184" i="1"/>
  <c r="BX268" i="1"/>
  <c r="BX269" i="1" s="1"/>
  <c r="J207" i="1"/>
  <c r="J208" i="1" s="1"/>
  <c r="X78" i="1"/>
  <c r="BZ244" i="1"/>
  <c r="BW47" i="1"/>
  <c r="BW250" i="1"/>
  <c r="BW251" i="1" s="1"/>
  <c r="V228" i="1"/>
  <c r="V229" i="1" s="1"/>
  <c r="CA48" i="1"/>
  <c r="BW52" i="1"/>
  <c r="BW48" i="1"/>
  <c r="K228" i="1"/>
  <c r="K229" i="1" s="1"/>
  <c r="BZ130" i="1"/>
  <c r="BZ131" i="1" s="1"/>
  <c r="K207" i="1"/>
  <c r="K208" i="1" s="1"/>
  <c r="Q228" i="1"/>
  <c r="Q229" i="1" s="1"/>
  <c r="S207" i="1"/>
  <c r="S208" i="1" s="1"/>
  <c r="K231" i="1"/>
  <c r="R207" i="1"/>
  <c r="R208" i="1" s="1"/>
  <c r="S228" i="1"/>
  <c r="S229" i="1" s="1"/>
  <c r="BT221" i="1"/>
  <c r="BT219" i="1" s="1"/>
  <c r="BS221" i="1"/>
  <c r="BS219" i="1" s="1"/>
  <c r="AP221" i="1"/>
  <c r="AP219" i="1" s="1"/>
  <c r="AO221" i="1"/>
  <c r="AO219" i="1" s="1"/>
  <c r="BB129" i="1"/>
  <c r="BB128" i="1"/>
  <c r="BN129" i="1"/>
  <c r="BN128" i="1"/>
  <c r="BP128" i="1"/>
  <c r="BP129" i="1"/>
  <c r="AY221" i="1"/>
  <c r="AY219" i="1" s="1"/>
  <c r="AZ221" i="1"/>
  <c r="AZ219" i="1" s="1"/>
  <c r="BN207" i="1"/>
  <c r="BR207" i="1"/>
  <c r="BS250" i="1"/>
  <c r="BS251" i="1" s="1"/>
  <c r="BS47" i="1"/>
  <c r="BS52" i="1"/>
  <c r="BS56" i="1" s="1"/>
  <c r="BK52" i="1"/>
  <c r="BK56" i="1" s="1"/>
  <c r="BL49" i="1"/>
  <c r="BK49" i="1"/>
  <c r="BL268" i="1"/>
  <c r="BL269" i="1" s="1"/>
  <c r="BK268" i="1"/>
  <c r="BK269" i="1" s="1"/>
  <c r="BK250" i="1"/>
  <c r="BK251" i="1" s="1"/>
  <c r="BK47" i="1"/>
  <c r="BO52" i="1"/>
  <c r="BO56" i="1" s="1"/>
  <c r="BO47" i="1"/>
  <c r="BS48" i="1"/>
  <c r="BO250" i="1"/>
  <c r="BO251" i="1" s="1"/>
  <c r="L216" i="1"/>
  <c r="L217" i="1" s="1"/>
  <c r="BT184" i="1"/>
  <c r="BO48" i="1"/>
  <c r="P184" i="1"/>
  <c r="N207" i="1"/>
  <c r="N208" i="1" s="1"/>
  <c r="BX221" i="1"/>
  <c r="BX219" i="1" s="1"/>
  <c r="BW221" i="1"/>
  <c r="BK48" i="1"/>
  <c r="AW58" i="1"/>
  <c r="AW59" i="1"/>
  <c r="M216" i="1"/>
  <c r="M217" i="1" s="1"/>
  <c r="AZ184" i="1"/>
  <c r="P231" i="1"/>
  <c r="BV184" i="1"/>
  <c r="H228" i="1"/>
  <c r="H229" i="1" s="1"/>
  <c r="BA250" i="1"/>
  <c r="BA251" i="1" s="1"/>
  <c r="I228" i="1"/>
  <c r="I229" i="1" s="1"/>
  <c r="H231" i="1"/>
  <c r="AN184" i="1"/>
  <c r="AT58" i="1"/>
  <c r="AT250" i="1"/>
  <c r="AT251" i="1" s="1"/>
  <c r="AT49" i="1"/>
  <c r="F228" i="1"/>
  <c r="F229" i="1" s="1"/>
  <c r="N216" i="1"/>
  <c r="N217" i="1" s="1"/>
  <c r="N231" i="1" s="1"/>
  <c r="BR130" i="1"/>
  <c r="AT47" i="1"/>
  <c r="I231" i="1"/>
  <c r="AU244" i="1"/>
  <c r="AY130" i="1"/>
  <c r="BH268" i="1"/>
  <c r="BH269" i="1" s="1"/>
  <c r="D105" i="1"/>
  <c r="BI268" i="1"/>
  <c r="BI269" i="1" s="1"/>
  <c r="BH47" i="1"/>
  <c r="BI130" i="1"/>
  <c r="BA48" i="1"/>
  <c r="AW268" i="1"/>
  <c r="AW269" i="1" s="1"/>
  <c r="BA52" i="1"/>
  <c r="BA56" i="1" s="1"/>
  <c r="BA59" i="1" s="1"/>
  <c r="BA47" i="1"/>
  <c r="BR184" i="1"/>
  <c r="T78" i="1"/>
  <c r="D88" i="1"/>
  <c r="BL48" i="1"/>
  <c r="AW47" i="1"/>
  <c r="D231" i="1"/>
  <c r="AT268" i="1"/>
  <c r="AT269" i="1" s="1"/>
  <c r="D103" i="1"/>
  <c r="V78" i="1"/>
  <c r="BH49" i="1"/>
  <c r="C107" i="1"/>
  <c r="BL244" i="1"/>
  <c r="BK244" i="1"/>
  <c r="BI49" i="1"/>
  <c r="BH250" i="1"/>
  <c r="BH251" i="1" s="1"/>
  <c r="AW48" i="1"/>
  <c r="BJ244" i="1"/>
  <c r="AX49" i="1"/>
  <c r="BJ130" i="1"/>
  <c r="BH52" i="1"/>
  <c r="BH56" i="1" s="1"/>
  <c r="BK130" i="1"/>
  <c r="AW250" i="1"/>
  <c r="AW251" i="1" s="1"/>
  <c r="AX268" i="1"/>
  <c r="AX269" i="1" s="1"/>
  <c r="AW49" i="1"/>
  <c r="E228" i="1"/>
  <c r="E229" i="1" s="1"/>
  <c r="E231" i="1"/>
  <c r="BY244" i="1"/>
  <c r="BW49" i="1"/>
  <c r="J231" i="1"/>
  <c r="BP184" i="1"/>
  <c r="BY130" i="1"/>
  <c r="BR244" i="1"/>
  <c r="J228" i="1"/>
  <c r="J229" i="1" s="1"/>
  <c r="BW268" i="1"/>
  <c r="BW269" i="1" s="1"/>
  <c r="T231" i="1"/>
  <c r="BP244" i="1"/>
  <c r="BV250" i="1"/>
  <c r="BV251" i="1" s="1"/>
  <c r="BV52" i="1"/>
  <c r="BV56" i="1" s="1"/>
  <c r="BV47" i="1"/>
  <c r="BZ48" i="1"/>
  <c r="U231" i="1"/>
  <c r="AZ244" i="1"/>
  <c r="AZ48" i="1"/>
  <c r="AZ130" i="1"/>
  <c r="AR221" i="1"/>
  <c r="AR219" i="1" s="1"/>
  <c r="AQ221" i="1"/>
  <c r="AQ219" i="1" s="1"/>
  <c r="BR128" i="1"/>
  <c r="BR129" i="1"/>
  <c r="AX128" i="1"/>
  <c r="AX129" i="1"/>
  <c r="AZ47" i="1"/>
  <c r="AZ52" i="1"/>
  <c r="AZ56" i="1" s="1"/>
  <c r="BA49" i="1"/>
  <c r="BA268" i="1"/>
  <c r="BA269" i="1" s="1"/>
  <c r="AZ250" i="1"/>
  <c r="AZ251" i="1" s="1"/>
  <c r="L184" i="1"/>
  <c r="G228" i="1"/>
  <c r="G229" i="1" s="1"/>
  <c r="O207" i="1"/>
  <c r="O208" i="1" s="1"/>
  <c r="T228" i="1"/>
  <c r="T229" i="1" s="1"/>
  <c r="P228" i="1"/>
  <c r="P229" i="1" s="1"/>
  <c r="G231" i="1"/>
  <c r="D228" i="1"/>
  <c r="D229" i="1" s="1"/>
  <c r="BJ131" i="1"/>
  <c r="BJ132" i="1"/>
  <c r="BC250" i="1"/>
  <c r="BC251" i="1" s="1"/>
  <c r="BC47" i="1"/>
  <c r="BC52" i="1"/>
  <c r="BC56" i="1" s="1"/>
  <c r="BG48" i="1"/>
  <c r="V231" i="1"/>
  <c r="U228" i="1"/>
  <c r="U229" i="1" s="1"/>
  <c r="BH48" i="1"/>
  <c r="R228" i="1"/>
  <c r="R229" i="1" s="1"/>
  <c r="C228" i="1"/>
  <c r="C229" i="1" s="1"/>
  <c r="Q78" i="1"/>
  <c r="AR207" i="1"/>
  <c r="AV207" i="1"/>
  <c r="BJ60" i="1"/>
  <c r="BJ263" i="1" s="1"/>
  <c r="BJ252" i="1"/>
  <c r="BJ66" i="1"/>
  <c r="BD268" i="1"/>
  <c r="BD269" i="1" s="1"/>
  <c r="BD49" i="1"/>
  <c r="BD250" i="1"/>
  <c r="BD251" i="1" s="1"/>
  <c r="BE49" i="1"/>
  <c r="BD52" i="1"/>
  <c r="BD56" i="1" s="1"/>
  <c r="BD47" i="1"/>
  <c r="BD48" i="1"/>
  <c r="BE268" i="1"/>
  <c r="BE269" i="1" s="1"/>
  <c r="O228" i="1"/>
  <c r="O229" i="1" s="1"/>
  <c r="O231" i="1"/>
  <c r="BU130" i="1"/>
  <c r="BR52" i="1"/>
  <c r="BT244" i="1"/>
  <c r="BR250" i="1"/>
  <c r="BR251" i="1" s="1"/>
  <c r="BT130" i="1"/>
  <c r="BR49" i="1"/>
  <c r="BR268" i="1"/>
  <c r="BR269" i="1" s="1"/>
  <c r="BS268" i="1"/>
  <c r="BS269" i="1" s="1"/>
  <c r="BS49" i="1"/>
  <c r="BR47" i="1"/>
  <c r="BT131" i="1"/>
  <c r="BJ221" i="1"/>
  <c r="BJ219" i="1" s="1"/>
  <c r="BI221" i="1"/>
  <c r="BI219" i="1" s="1"/>
  <c r="AS244" i="1"/>
  <c r="BS244" i="1"/>
  <c r="BP268" i="1"/>
  <c r="BP269" i="1" s="1"/>
  <c r="BS130" i="1"/>
  <c r="BQ268" i="1"/>
  <c r="BQ269" i="1" s="1"/>
  <c r="BP52" i="1"/>
  <c r="BQ49" i="1"/>
  <c r="BP47" i="1"/>
  <c r="BP48" i="1"/>
  <c r="BP250" i="1"/>
  <c r="BP251" i="1" s="1"/>
  <c r="BT48" i="1"/>
  <c r="BL132" i="1"/>
  <c r="AX244" i="1"/>
  <c r="BV48" i="1"/>
  <c r="BT52" i="1"/>
  <c r="BT56" i="1" s="1"/>
  <c r="BT59" i="1" s="1"/>
  <c r="BT47" i="1"/>
  <c r="BV244" i="1"/>
  <c r="BX48" i="1"/>
  <c r="BV130" i="1"/>
  <c r="BT268" i="1"/>
  <c r="BT269" i="1" s="1"/>
  <c r="BT49" i="1"/>
  <c r="BW130" i="1"/>
  <c r="BU49" i="1"/>
  <c r="BT250" i="1"/>
  <c r="BT251" i="1" s="1"/>
  <c r="BW244" i="1"/>
  <c r="BN49" i="1"/>
  <c r="BN130" i="1"/>
  <c r="BN132" i="1" s="1"/>
  <c r="BL73" i="1"/>
  <c r="F231" i="1"/>
  <c r="BN268" i="1"/>
  <c r="BN269" i="1" s="1"/>
  <c r="U78" i="1"/>
  <c r="BV49" i="1"/>
  <c r="BV268" i="1"/>
  <c r="BV269" i="1" s="1"/>
  <c r="BU48" i="1"/>
  <c r="BU47" i="1"/>
  <c r="BU250" i="1"/>
  <c r="BU251" i="1" s="1"/>
  <c r="BX130" i="1"/>
  <c r="BX244" i="1"/>
  <c r="BU268" i="1"/>
  <c r="BU269" i="1" s="1"/>
  <c r="BY48" i="1"/>
  <c r="BU52" i="1"/>
  <c r="BU56" i="1" s="1"/>
  <c r="BP49" i="1"/>
  <c r="AY48" i="1"/>
  <c r="AU268" i="1"/>
  <c r="AU269" i="1" s="1"/>
  <c r="AU49" i="1"/>
  <c r="AU250" i="1"/>
  <c r="AU251" i="1" s="1"/>
  <c r="AU47" i="1"/>
  <c r="AU52" i="1"/>
  <c r="AU56" i="1" s="1"/>
  <c r="D207" i="1"/>
  <c r="D208" i="1" s="1"/>
  <c r="AW130" i="1"/>
  <c r="AZ49" i="1"/>
  <c r="BC48" i="1"/>
  <c r="AY250" i="1"/>
  <c r="AY251" i="1" s="1"/>
  <c r="R78" i="1"/>
  <c r="BA244" i="1"/>
  <c r="BB130" i="1"/>
  <c r="AZ268" i="1"/>
  <c r="AZ269" i="1" s="1"/>
  <c r="BB244" i="1"/>
  <c r="AY47" i="1"/>
  <c r="AY52" i="1"/>
  <c r="AY244" i="1"/>
  <c r="BP130" i="1"/>
  <c r="AU130" i="1"/>
  <c r="BA130" i="1"/>
  <c r="BN244" i="1"/>
  <c r="BM58" i="1"/>
  <c r="AP130" i="1"/>
  <c r="AP131" i="1" s="1"/>
  <c r="AO48" i="1"/>
  <c r="AS48" i="1"/>
  <c r="AP244" i="1"/>
  <c r="AO47" i="1"/>
  <c r="AQ244" i="1"/>
  <c r="AQ130" i="1"/>
  <c r="AO244" i="1"/>
  <c r="AP49" i="1"/>
  <c r="AO130" i="1"/>
  <c r="AO49" i="1"/>
  <c r="AO250" i="1"/>
  <c r="AO251" i="1" s="1"/>
  <c r="AR130" i="1"/>
  <c r="AO268" i="1"/>
  <c r="AO269" i="1" s="1"/>
  <c r="AO52" i="1"/>
  <c r="O78" i="1"/>
  <c r="AR244" i="1"/>
  <c r="AP132" i="1"/>
  <c r="BJ48" i="1"/>
  <c r="BF52" i="1"/>
  <c r="S78" i="1"/>
  <c r="BF244" i="1"/>
  <c r="BG130" i="1"/>
  <c r="BF250" i="1"/>
  <c r="BF251" i="1" s="1"/>
  <c r="BI244" i="1"/>
  <c r="BG268" i="1"/>
  <c r="BG269" i="1" s="1"/>
  <c r="BH130" i="1"/>
  <c r="BF49" i="1"/>
  <c r="BF47" i="1"/>
  <c r="BG49" i="1"/>
  <c r="BF130" i="1"/>
  <c r="BF131" i="1" s="1"/>
  <c r="BG244" i="1"/>
  <c r="BH244" i="1"/>
  <c r="BF268" i="1"/>
  <c r="BF269" i="1" s="1"/>
  <c r="AI52" i="1"/>
  <c r="N78" i="1"/>
  <c r="AL244" i="1"/>
  <c r="AI250" i="1"/>
  <c r="AI251" i="1" s="1"/>
  <c r="AL130" i="1"/>
  <c r="AI47" i="1"/>
  <c r="AJ49" i="1"/>
  <c r="AM48" i="1"/>
  <c r="BB49" i="1"/>
  <c r="BE130" i="1"/>
  <c r="BD130" i="1"/>
  <c r="BD131" i="1" s="1"/>
  <c r="BD244" i="1"/>
  <c r="BB52" i="1"/>
  <c r="BF48" i="1"/>
  <c r="BB268" i="1"/>
  <c r="BB269" i="1" s="1"/>
  <c r="BC130" i="1"/>
  <c r="BB47" i="1"/>
  <c r="BC49" i="1"/>
  <c r="BB250" i="1"/>
  <c r="BB251" i="1" s="1"/>
  <c r="BC268" i="1"/>
  <c r="BC269" i="1" s="1"/>
  <c r="BC244" i="1"/>
  <c r="BE244" i="1"/>
  <c r="AQ47" i="1"/>
  <c r="AQ250" i="1"/>
  <c r="AQ251" i="1" s="1"/>
  <c r="AQ52" i="1"/>
  <c r="AQ268" i="1"/>
  <c r="AQ269" i="1" s="1"/>
  <c r="P78" i="1"/>
  <c r="AQ48" i="1"/>
  <c r="AT130" i="1"/>
  <c r="AU48" i="1"/>
  <c r="AV268" i="1"/>
  <c r="AV269" i="1" s="1"/>
  <c r="AV244" i="1"/>
  <c r="AT244" i="1"/>
  <c r="AV49" i="1"/>
  <c r="BO49" i="1"/>
  <c r="BN250" i="1"/>
  <c r="BN251" i="1" s="1"/>
  <c r="BO268" i="1"/>
  <c r="BO269" i="1" s="1"/>
  <c r="BN48" i="1"/>
  <c r="BQ244" i="1"/>
  <c r="BR48" i="1"/>
  <c r="BQ130" i="1"/>
  <c r="BN47" i="1"/>
  <c r="BN52" i="1"/>
  <c r="AW244" i="1"/>
  <c r="AX130" i="1"/>
  <c r="BB48" i="1"/>
  <c r="AP268" i="1"/>
  <c r="AP269" i="1" s="1"/>
  <c r="AP47" i="1"/>
  <c r="AP48" i="1"/>
  <c r="AP250" i="1"/>
  <c r="AP251" i="1" s="1"/>
  <c r="AT48" i="1"/>
  <c r="AP52" i="1"/>
  <c r="AP56" i="1" s="1"/>
  <c r="AQ49" i="1"/>
  <c r="AS130" i="1"/>
  <c r="AR268" i="1"/>
  <c r="AR269" i="1" s="1"/>
  <c r="AR58" i="1"/>
  <c r="AR59" i="1"/>
  <c r="AV132" i="1"/>
  <c r="AV131" i="1"/>
  <c r="AS66" i="1"/>
  <c r="AS60" i="1"/>
  <c r="AS263" i="1" s="1"/>
  <c r="AS252" i="1"/>
  <c r="AT62" i="1"/>
  <c r="BI59" i="1"/>
  <c r="BI58" i="1"/>
  <c r="BM66" i="1"/>
  <c r="BM62" i="1"/>
  <c r="BM252" i="1"/>
  <c r="BQ61" i="1"/>
  <c r="BM60" i="1"/>
  <c r="BM263" i="1" s="1"/>
  <c r="BE60" i="1"/>
  <c r="BE263" i="1" s="1"/>
  <c r="BE66" i="1"/>
  <c r="BE252" i="1"/>
  <c r="AV58" i="1"/>
  <c r="AV59" i="1"/>
  <c r="AN59" i="1"/>
  <c r="AN58" i="1"/>
  <c r="AX59" i="1"/>
  <c r="AX58" i="1"/>
  <c r="BG58" i="1"/>
  <c r="BG59" i="1"/>
  <c r="AT84" i="1"/>
  <c r="AT211" i="1"/>
  <c r="AT213" i="1" s="1"/>
  <c r="AT70" i="1"/>
  <c r="CS212" i="1"/>
  <c r="CS150" i="1"/>
  <c r="CR221" i="1"/>
  <c r="CR219" i="1" s="1"/>
  <c r="AC143" i="1"/>
  <c r="AC146" i="1" s="1"/>
  <c r="AC267" i="1" s="1"/>
  <c r="BH59" i="1" l="1"/>
  <c r="BH58" i="1"/>
  <c r="BZ73" i="1"/>
  <c r="BW56" i="1"/>
  <c r="BZ132" i="1"/>
  <c r="BP132" i="1"/>
  <c r="AW61" i="1"/>
  <c r="BE61" i="1"/>
  <c r="BB132" i="1"/>
  <c r="AT131" i="1"/>
  <c r="BQ252" i="1"/>
  <c r="BQ66" i="1"/>
  <c r="BQ60" i="1"/>
  <c r="BQ263" i="1" s="1"/>
  <c r="M231" i="1"/>
  <c r="BW219" i="1"/>
  <c r="BA58" i="1"/>
  <c r="M228" i="1"/>
  <c r="M229" i="1" s="1"/>
  <c r="N228" i="1"/>
  <c r="N229" i="1" s="1"/>
  <c r="BA252" i="1"/>
  <c r="BA60" i="1"/>
  <c r="BA263" i="1" s="1"/>
  <c r="BA66" i="1"/>
  <c r="BS59" i="1"/>
  <c r="BS58" i="1"/>
  <c r="BK58" i="1"/>
  <c r="BK59" i="1"/>
  <c r="BO58" i="1"/>
  <c r="BO59" i="1"/>
  <c r="L228" i="1"/>
  <c r="L229" i="1" s="1"/>
  <c r="L231" i="1"/>
  <c r="BA61" i="1"/>
  <c r="AW60" i="1"/>
  <c r="AW263" i="1" s="1"/>
  <c r="AW66" i="1"/>
  <c r="AW252" i="1"/>
  <c r="BJ73" i="1"/>
  <c r="BR131" i="1"/>
  <c r="AX131" i="1"/>
  <c r="AZ132" i="1"/>
  <c r="AZ131" i="1"/>
  <c r="BY73" i="1"/>
  <c r="BR132" i="1"/>
  <c r="BN131" i="1"/>
  <c r="BV58" i="1"/>
  <c r="BV59" i="1"/>
  <c r="AV73" i="1"/>
  <c r="AX132" i="1"/>
  <c r="AZ59" i="1"/>
  <c r="AZ58" i="1"/>
  <c r="BF132" i="1"/>
  <c r="BC59" i="1"/>
  <c r="BC58" i="1"/>
  <c r="BT58" i="1"/>
  <c r="BT132" i="1"/>
  <c r="BB131" i="1"/>
  <c r="AX73" i="1"/>
  <c r="BP131" i="1"/>
  <c r="BP56" i="1"/>
  <c r="BR73" i="1"/>
  <c r="BU59" i="1"/>
  <c r="BU58" i="1"/>
  <c r="BV131" i="1"/>
  <c r="BV132" i="1"/>
  <c r="BX131" i="1"/>
  <c r="BX132" i="1"/>
  <c r="BD58" i="1"/>
  <c r="BD59" i="1"/>
  <c r="BV73" i="1"/>
  <c r="BX73" i="1"/>
  <c r="BT73" i="1"/>
  <c r="BR56" i="1"/>
  <c r="BJ211" i="1"/>
  <c r="BJ213" i="1" s="1"/>
  <c r="BJ84" i="1"/>
  <c r="BJ70" i="1"/>
  <c r="AQ56" i="1"/>
  <c r="AT73" i="1"/>
  <c r="BD73" i="1"/>
  <c r="BB56" i="1"/>
  <c r="BH132" i="1"/>
  <c r="BH131" i="1"/>
  <c r="AO56" i="1"/>
  <c r="AR73" i="1"/>
  <c r="AP73" i="1"/>
  <c r="AY56" i="1"/>
  <c r="AZ73" i="1"/>
  <c r="BB73" i="1"/>
  <c r="AT132" i="1"/>
  <c r="AL73" i="1"/>
  <c r="AI56" i="1"/>
  <c r="BD132" i="1"/>
  <c r="BN73" i="1"/>
  <c r="BN56" i="1"/>
  <c r="BP73" i="1"/>
  <c r="BF56" i="1"/>
  <c r="BF73" i="1"/>
  <c r="BH73" i="1"/>
  <c r="AU58" i="1"/>
  <c r="AU59" i="1"/>
  <c r="AW245" i="1" s="1"/>
  <c r="AL132" i="1"/>
  <c r="AL131" i="1"/>
  <c r="AP58" i="1"/>
  <c r="AP59" i="1"/>
  <c r="AR60" i="1"/>
  <c r="AR263" i="1" s="1"/>
  <c r="AR66" i="1"/>
  <c r="AR252" i="1"/>
  <c r="AS62" i="1"/>
  <c r="AS70" i="1"/>
  <c r="AS137" i="1"/>
  <c r="AS138" i="1" s="1"/>
  <c r="AS211" i="1"/>
  <c r="AS213" i="1" s="1"/>
  <c r="AS84" i="1"/>
  <c r="BI61" i="1"/>
  <c r="BM84" i="1"/>
  <c r="BM70" i="1"/>
  <c r="BM61" i="1"/>
  <c r="BI66" i="1"/>
  <c r="BI252" i="1"/>
  <c r="BJ62" i="1"/>
  <c r="BI60" i="1"/>
  <c r="BI263" i="1" s="1"/>
  <c r="BM137" i="1"/>
  <c r="BM138" i="1" s="1"/>
  <c r="BM211" i="1"/>
  <c r="BM213" i="1" s="1"/>
  <c r="BE84" i="1"/>
  <c r="BE211" i="1"/>
  <c r="BE213" i="1" s="1"/>
  <c r="BE70" i="1"/>
  <c r="BE137" i="1"/>
  <c r="BE138" i="1" s="1"/>
  <c r="AN60" i="1"/>
  <c r="AN263" i="1" s="1"/>
  <c r="AN245" i="1"/>
  <c r="AN61" i="1"/>
  <c r="AR61" i="1"/>
  <c r="AN66" i="1"/>
  <c r="AN62" i="1"/>
  <c r="AN252" i="1"/>
  <c r="BX61" i="1"/>
  <c r="BT60" i="1"/>
  <c r="BT263" i="1" s="1"/>
  <c r="BT252" i="1"/>
  <c r="BT66" i="1"/>
  <c r="AV60" i="1"/>
  <c r="AV263" i="1" s="1"/>
  <c r="AV252" i="1"/>
  <c r="AV66" i="1"/>
  <c r="AW62" i="1"/>
  <c r="AV61" i="1"/>
  <c r="AX66" i="1"/>
  <c r="AX252" i="1"/>
  <c r="AX60" i="1"/>
  <c r="AX263" i="1" s="1"/>
  <c r="AX62" i="1"/>
  <c r="AX61" i="1"/>
  <c r="BG66" i="1"/>
  <c r="BG60" i="1"/>
  <c r="BG263" i="1" s="1"/>
  <c r="BG252" i="1"/>
  <c r="CS152" i="1"/>
  <c r="AC224" i="1"/>
  <c r="CA244" i="1"/>
  <c r="CB244" i="1"/>
  <c r="BU244" i="1"/>
  <c r="BI62" i="1" l="1"/>
  <c r="BW59" i="1"/>
  <c r="BW61" i="1" s="1"/>
  <c r="BW58" i="1"/>
  <c r="BH66" i="1"/>
  <c r="BL61" i="1"/>
  <c r="BH252" i="1"/>
  <c r="BH60" i="1"/>
  <c r="BH263" i="1" s="1"/>
  <c r="BA70" i="1"/>
  <c r="BA211" i="1"/>
  <c r="BA213" i="1" s="1"/>
  <c r="BA84" i="1"/>
  <c r="BA137" i="1"/>
  <c r="BA138" i="1" s="1"/>
  <c r="BK245" i="1"/>
  <c r="BL245" i="1"/>
  <c r="BH62" i="1"/>
  <c r="BJ245" i="1"/>
  <c r="BQ137" i="1"/>
  <c r="BQ138" i="1" s="1"/>
  <c r="BQ70" i="1"/>
  <c r="BQ211" i="1"/>
  <c r="BQ213" i="1" s="1"/>
  <c r="BQ84" i="1"/>
  <c r="BU62" i="1"/>
  <c r="BS66" i="1"/>
  <c r="BS60" i="1"/>
  <c r="BS263" i="1" s="1"/>
  <c r="BS252" i="1"/>
  <c r="BK252" i="1"/>
  <c r="BK62" i="1"/>
  <c r="BK60" i="1"/>
  <c r="BK263" i="1" s="1"/>
  <c r="BK66" i="1"/>
  <c r="BL62" i="1"/>
  <c r="BO61" i="1"/>
  <c r="BM245" i="1"/>
  <c r="BO66" i="1"/>
  <c r="BO60" i="1"/>
  <c r="BO263" i="1" s="1"/>
  <c r="BO252" i="1"/>
  <c r="BS61" i="1"/>
  <c r="AW70" i="1"/>
  <c r="AW211" i="1"/>
  <c r="AW213" i="1" s="1"/>
  <c r="AW137" i="1"/>
  <c r="AW138" i="1" s="1"/>
  <c r="AW84" i="1"/>
  <c r="BT62" i="1"/>
  <c r="BK61" i="1"/>
  <c r="BV245" i="1"/>
  <c r="BV60" i="1"/>
  <c r="BV263" i="1" s="1"/>
  <c r="BV66" i="1"/>
  <c r="BV252" i="1"/>
  <c r="BZ61" i="1"/>
  <c r="BC66" i="1"/>
  <c r="BC252" i="1"/>
  <c r="BC60" i="1"/>
  <c r="BC263" i="1" s="1"/>
  <c r="AZ61" i="1"/>
  <c r="BG61" i="1"/>
  <c r="AZ66" i="1"/>
  <c r="AZ60" i="1"/>
  <c r="AZ263" i="1" s="1"/>
  <c r="BA62" i="1"/>
  <c r="AZ252" i="1"/>
  <c r="BD252" i="1"/>
  <c r="BH61" i="1"/>
  <c r="BD60" i="1"/>
  <c r="BD263" i="1" s="1"/>
  <c r="BD61" i="1"/>
  <c r="BE62" i="1"/>
  <c r="BD66" i="1"/>
  <c r="AV245" i="1"/>
  <c r="AV62" i="1"/>
  <c r="BP58" i="1"/>
  <c r="BP59" i="1"/>
  <c r="AX245" i="1"/>
  <c r="BD62" i="1"/>
  <c r="BY61" i="1"/>
  <c r="BU61" i="1"/>
  <c r="BU60" i="1"/>
  <c r="BU263" i="1" s="1"/>
  <c r="BU252" i="1"/>
  <c r="BU66" i="1"/>
  <c r="BV62" i="1"/>
  <c r="BR58" i="1"/>
  <c r="BR59" i="1"/>
  <c r="AY58" i="1"/>
  <c r="AY59" i="1"/>
  <c r="AP61" i="1"/>
  <c r="AP252" i="1"/>
  <c r="AP66" i="1"/>
  <c r="AP60" i="1"/>
  <c r="AP263" i="1" s="1"/>
  <c r="AT61" i="1"/>
  <c r="BN58" i="1"/>
  <c r="BN59" i="1"/>
  <c r="AU62" i="1"/>
  <c r="AU60" i="1"/>
  <c r="AU263" i="1" s="1"/>
  <c r="AU252" i="1"/>
  <c r="AU245" i="1"/>
  <c r="AY61" i="1"/>
  <c r="AU66" i="1"/>
  <c r="Q79" i="1" s="1"/>
  <c r="AO58" i="1"/>
  <c r="AO59" i="1"/>
  <c r="BB58" i="1"/>
  <c r="BB59" i="1"/>
  <c r="AI59" i="1"/>
  <c r="AI58" i="1"/>
  <c r="BF59" i="1"/>
  <c r="BF58" i="1"/>
  <c r="AQ59" i="1"/>
  <c r="AQ58" i="1"/>
  <c r="AR84" i="1"/>
  <c r="AR70" i="1"/>
  <c r="AR211" i="1"/>
  <c r="AR213" i="1" s="1"/>
  <c r="AS225" i="1"/>
  <c r="AS223" i="1" s="1"/>
  <c r="AS110" i="1"/>
  <c r="AS147" i="1"/>
  <c r="AS73" i="1" s="1"/>
  <c r="AT225" i="1"/>
  <c r="AT223" i="1" s="1"/>
  <c r="BI70" i="1"/>
  <c r="BI211" i="1"/>
  <c r="BI213" i="1" s="1"/>
  <c r="BI84" i="1"/>
  <c r="BI137" i="1"/>
  <c r="BI138" i="1" s="1"/>
  <c r="BM225" i="1"/>
  <c r="BM223" i="1" s="1"/>
  <c r="BM147" i="1"/>
  <c r="BM73" i="1" s="1"/>
  <c r="BM110" i="1"/>
  <c r="BE110" i="1"/>
  <c r="BE147" i="1"/>
  <c r="BE73" i="1" s="1"/>
  <c r="BE225" i="1"/>
  <c r="BE223" i="1" s="1"/>
  <c r="AV211" i="1"/>
  <c r="AV213" i="1" s="1"/>
  <c r="AV70" i="1"/>
  <c r="AV84" i="1"/>
  <c r="BT211" i="1"/>
  <c r="BT213" i="1" s="1"/>
  <c r="BT70" i="1"/>
  <c r="BT84" i="1"/>
  <c r="AX70" i="1"/>
  <c r="AX84" i="1"/>
  <c r="AX211" i="1"/>
  <c r="AX213" i="1" s="1"/>
  <c r="BG70" i="1"/>
  <c r="BG84" i="1"/>
  <c r="BG137" i="1"/>
  <c r="BG138" i="1" s="1"/>
  <c r="BG211" i="1"/>
  <c r="BG213" i="1" s="1"/>
  <c r="AN70" i="1"/>
  <c r="AN84" i="1"/>
  <c r="AN211" i="1"/>
  <c r="AN213" i="1" s="1"/>
  <c r="AN72" i="1"/>
  <c r="AN225" i="1"/>
  <c r="AN223" i="1" s="1"/>
  <c r="CS156" i="1"/>
  <c r="CT50" i="1"/>
  <c r="AD142" i="1"/>
  <c r="W77" i="1"/>
  <c r="BW245" i="1" l="1"/>
  <c r="BW62" i="1"/>
  <c r="BW252" i="1"/>
  <c r="BH70" i="1"/>
  <c r="BH84" i="1"/>
  <c r="BH211" i="1"/>
  <c r="BH213" i="1" s="1"/>
  <c r="BX245" i="1"/>
  <c r="BX62" i="1"/>
  <c r="BW66" i="1"/>
  <c r="X79" i="1"/>
  <c r="CA61" i="1"/>
  <c r="BW60" i="1"/>
  <c r="BW263" i="1" s="1"/>
  <c r="BZ245" i="1"/>
  <c r="BA225" i="1"/>
  <c r="BA223" i="1" s="1"/>
  <c r="BA110" i="1"/>
  <c r="BA147" i="1"/>
  <c r="BA73" i="1" s="1"/>
  <c r="BY245" i="1"/>
  <c r="BJ72" i="1"/>
  <c r="T79" i="1"/>
  <c r="BA113" i="1"/>
  <c r="BA112" i="1"/>
  <c r="BA114" i="1"/>
  <c r="BQ225" i="1"/>
  <c r="BQ223" i="1" s="1"/>
  <c r="BQ110" i="1"/>
  <c r="BQ147" i="1"/>
  <c r="BQ73" i="1" s="1"/>
  <c r="BM72" i="1"/>
  <c r="BW137" i="1"/>
  <c r="BW138" i="1" s="1"/>
  <c r="BW211" i="1"/>
  <c r="BW213" i="1" s="1"/>
  <c r="BW70" i="1"/>
  <c r="BZ72" i="1"/>
  <c r="BS84" i="1"/>
  <c r="BS137" i="1"/>
  <c r="BS138" i="1" s="1"/>
  <c r="BS70" i="1"/>
  <c r="BS211" i="1"/>
  <c r="BS213" i="1" s="1"/>
  <c r="BK84" i="1"/>
  <c r="BM87" i="1" s="1"/>
  <c r="BK137" i="1"/>
  <c r="BK138" i="1" s="1"/>
  <c r="BK211" i="1"/>
  <c r="BK213" i="1" s="1"/>
  <c r="BK70" i="1"/>
  <c r="BO137" i="1"/>
  <c r="BO138" i="1" s="1"/>
  <c r="BO84" i="1"/>
  <c r="BO70" i="1"/>
  <c r="BO211" i="1"/>
  <c r="BO213" i="1" s="1"/>
  <c r="AW110" i="1"/>
  <c r="AW225" i="1"/>
  <c r="AW223" i="1" s="1"/>
  <c r="AW147" i="1"/>
  <c r="AW73" i="1" s="1"/>
  <c r="BV211" i="1"/>
  <c r="BV213" i="1" s="1"/>
  <c r="BV84" i="1"/>
  <c r="BV70" i="1"/>
  <c r="BL72" i="1"/>
  <c r="AX225" i="1"/>
  <c r="AX223" i="1" s="1"/>
  <c r="BC84" i="1"/>
  <c r="BC137" i="1"/>
  <c r="BC138" i="1" s="1"/>
  <c r="BC211" i="1"/>
  <c r="BC213" i="1" s="1"/>
  <c r="BC70" i="1"/>
  <c r="BV72" i="1"/>
  <c r="AS245" i="1"/>
  <c r="AQ62" i="1"/>
  <c r="AZ211" i="1"/>
  <c r="AZ213" i="1" s="1"/>
  <c r="AZ84" i="1"/>
  <c r="AZ70" i="1"/>
  <c r="BR60" i="1"/>
  <c r="BR263" i="1" s="1"/>
  <c r="BR252" i="1"/>
  <c r="BR66" i="1"/>
  <c r="BS62" i="1"/>
  <c r="BV61" i="1"/>
  <c r="BT245" i="1"/>
  <c r="BR62" i="1"/>
  <c r="BD70" i="1"/>
  <c r="BD211" i="1"/>
  <c r="BD213" i="1" s="1"/>
  <c r="BD84" i="1"/>
  <c r="BQ62" i="1"/>
  <c r="BP66" i="1"/>
  <c r="BP62" i="1"/>
  <c r="BP61" i="1"/>
  <c r="BP252" i="1"/>
  <c r="BP60" i="1"/>
  <c r="BP263" i="1" s="1"/>
  <c r="BS245" i="1"/>
  <c r="BT61" i="1"/>
  <c r="BR245" i="1"/>
  <c r="AW72" i="1"/>
  <c r="BU84" i="1"/>
  <c r="BU70" i="1"/>
  <c r="BU137" i="1"/>
  <c r="BU138" i="1" s="1"/>
  <c r="BU211" i="1"/>
  <c r="BU213" i="1" s="1"/>
  <c r="AQ60" i="1"/>
  <c r="AQ263" i="1" s="1"/>
  <c r="AU61" i="1"/>
  <c r="AQ61" i="1"/>
  <c r="AQ66" i="1"/>
  <c r="AT245" i="1"/>
  <c r="AR62" i="1"/>
  <c r="AQ252" i="1"/>
  <c r="AP70" i="1"/>
  <c r="AP84" i="1"/>
  <c r="AP211" i="1"/>
  <c r="AP213" i="1" s="1"/>
  <c r="BN245" i="1"/>
  <c r="BN62" i="1"/>
  <c r="BQ245" i="1"/>
  <c r="BO245" i="1"/>
  <c r="BR61" i="1"/>
  <c r="BP245" i="1"/>
  <c r="BN252" i="1"/>
  <c r="BN66" i="1"/>
  <c r="BN61" i="1"/>
  <c r="BO62" i="1"/>
  <c r="BN60" i="1"/>
  <c r="BN263" i="1" s="1"/>
  <c r="AX72" i="1"/>
  <c r="AY60" i="1"/>
  <c r="AY263" i="1" s="1"/>
  <c r="AZ62" i="1"/>
  <c r="AY66" i="1"/>
  <c r="AY252" i="1"/>
  <c r="BC61" i="1"/>
  <c r="AZ245" i="1"/>
  <c r="AY245" i="1"/>
  <c r="BA245" i="1"/>
  <c r="BB245" i="1"/>
  <c r="AY62" i="1"/>
  <c r="BB62" i="1"/>
  <c r="BC62" i="1"/>
  <c r="BC245" i="1"/>
  <c r="BE245" i="1"/>
  <c r="BF61" i="1"/>
  <c r="BB252" i="1"/>
  <c r="BB61" i="1"/>
  <c r="BB60" i="1"/>
  <c r="BB263" i="1" s="1"/>
  <c r="BD245" i="1"/>
  <c r="BB66" i="1"/>
  <c r="AO61" i="1"/>
  <c r="AS61" i="1"/>
  <c r="AO60" i="1"/>
  <c r="AO263" i="1" s="1"/>
  <c r="AP62" i="1"/>
  <c r="AO252" i="1"/>
  <c r="AO66" i="1"/>
  <c r="AP245" i="1"/>
  <c r="AQ245" i="1"/>
  <c r="AO245" i="1"/>
  <c r="AO62" i="1"/>
  <c r="AR245" i="1"/>
  <c r="AU70" i="1"/>
  <c r="AU84" i="1"/>
  <c r="AX87" i="1" s="1"/>
  <c r="AU211" i="1"/>
  <c r="AU213" i="1" s="1"/>
  <c r="AU137" i="1"/>
  <c r="AU138" i="1" s="1"/>
  <c r="BF60" i="1"/>
  <c r="BF263" i="1" s="1"/>
  <c r="BF66" i="1"/>
  <c r="BJ61" i="1"/>
  <c r="BF252" i="1"/>
  <c r="BF62" i="1"/>
  <c r="BG62" i="1"/>
  <c r="BI245" i="1"/>
  <c r="BH245" i="1"/>
  <c r="BF245" i="1"/>
  <c r="BG245" i="1"/>
  <c r="AV72" i="1"/>
  <c r="AI60" i="1"/>
  <c r="AI252" i="1"/>
  <c r="AJ62" i="1"/>
  <c r="AM61" i="1"/>
  <c r="AI66" i="1"/>
  <c r="AL245" i="1"/>
  <c r="AS113" i="1"/>
  <c r="AS114" i="1"/>
  <c r="AS112" i="1"/>
  <c r="BI110" i="1"/>
  <c r="BI147" i="1"/>
  <c r="BI73" i="1" s="1"/>
  <c r="BI225" i="1"/>
  <c r="BI223" i="1" s="1"/>
  <c r="BJ225" i="1"/>
  <c r="BJ223" i="1" s="1"/>
  <c r="BM113" i="1"/>
  <c r="BM114" i="1"/>
  <c r="BM112" i="1"/>
  <c r="BE112" i="1"/>
  <c r="BE114" i="1"/>
  <c r="BE113" i="1"/>
  <c r="AN87" i="1"/>
  <c r="BJ87" i="1"/>
  <c r="BF107" i="1" s="1"/>
  <c r="BG225" i="1"/>
  <c r="BG223" i="1" s="1"/>
  <c r="BG147" i="1"/>
  <c r="BG73" i="1" s="1"/>
  <c r="BG110" i="1"/>
  <c r="BH225" i="1"/>
  <c r="BH223" i="1" s="1"/>
  <c r="AC50" i="1"/>
  <c r="CT212" i="1"/>
  <c r="CT150" i="1"/>
  <c r="CS221" i="1"/>
  <c r="CS219" i="1" s="1"/>
  <c r="W78" i="1"/>
  <c r="BW84" i="1" l="1"/>
  <c r="BY72" i="1"/>
  <c r="BX72" i="1"/>
  <c r="BV87" i="1"/>
  <c r="BZ87" i="1"/>
  <c r="BW225" i="1"/>
  <c r="BW223" i="1" s="1"/>
  <c r="BX225" i="1"/>
  <c r="BX223" i="1" s="1"/>
  <c r="BW147" i="1"/>
  <c r="BW73" i="1" s="1"/>
  <c r="BW72" i="1"/>
  <c r="BW110" i="1"/>
  <c r="BK72" i="1"/>
  <c r="BQ112" i="1"/>
  <c r="BQ114" i="1"/>
  <c r="BQ113" i="1"/>
  <c r="BC72" i="1"/>
  <c r="BL87" i="1"/>
  <c r="BK87" i="1"/>
  <c r="BC225" i="1"/>
  <c r="BC223" i="1" s="1"/>
  <c r="BC147" i="1"/>
  <c r="BC73" i="1" s="1"/>
  <c r="BC110" i="1"/>
  <c r="BD225" i="1"/>
  <c r="BD223" i="1" s="1"/>
  <c r="BY87" i="1"/>
  <c r="BM105" i="1"/>
  <c r="BM104" i="1"/>
  <c r="BM103" i="1"/>
  <c r="BI107" i="1"/>
  <c r="BS225" i="1"/>
  <c r="BS223" i="1" s="1"/>
  <c r="BS147" i="1"/>
  <c r="BS73" i="1" s="1"/>
  <c r="BS110" i="1"/>
  <c r="BT225" i="1"/>
  <c r="BT223" i="1" s="1"/>
  <c r="BL225" i="1"/>
  <c r="BL223" i="1" s="1"/>
  <c r="BK147" i="1"/>
  <c r="BK73" i="1" s="1"/>
  <c r="BK225" i="1"/>
  <c r="BK223" i="1" s="1"/>
  <c r="BK110" i="1"/>
  <c r="BO110" i="1"/>
  <c r="BO147" i="1"/>
  <c r="BO73" i="1" s="1"/>
  <c r="BO225" i="1"/>
  <c r="BO223" i="1" s="1"/>
  <c r="AW114" i="1"/>
  <c r="AW112" i="1"/>
  <c r="AW113" i="1"/>
  <c r="BV103" i="1"/>
  <c r="BX87" i="1"/>
  <c r="BX105" i="1" s="1"/>
  <c r="BP211" i="1"/>
  <c r="BP213" i="1" s="1"/>
  <c r="BP84" i="1"/>
  <c r="BP70" i="1"/>
  <c r="BP225" i="1"/>
  <c r="BP223" i="1" s="1"/>
  <c r="BS72" i="1"/>
  <c r="V79" i="1"/>
  <c r="BR72" i="1"/>
  <c r="BW87" i="1"/>
  <c r="AV87" i="1"/>
  <c r="BR225" i="1"/>
  <c r="BR223" i="1" s="1"/>
  <c r="BU72" i="1"/>
  <c r="BR70" i="1"/>
  <c r="BT72" i="1"/>
  <c r="BR84" i="1"/>
  <c r="BR211" i="1"/>
  <c r="BR213" i="1" s="1"/>
  <c r="AW87" i="1"/>
  <c r="AW104" i="1" s="1"/>
  <c r="BU225" i="1"/>
  <c r="BU223" i="1" s="1"/>
  <c r="BU147" i="1"/>
  <c r="BU73" i="1" s="1"/>
  <c r="BV225" i="1"/>
  <c r="BV223" i="1" s="1"/>
  <c r="BU110" i="1"/>
  <c r="AU87" i="1"/>
  <c r="BF70" i="1"/>
  <c r="BF84" i="1"/>
  <c r="BF211" i="1"/>
  <c r="BF213" i="1" s="1"/>
  <c r="S79" i="1"/>
  <c r="BF225" i="1"/>
  <c r="BF223" i="1" s="1"/>
  <c r="BH72" i="1"/>
  <c r="BF72" i="1"/>
  <c r="AU225" i="1"/>
  <c r="AU223" i="1" s="1"/>
  <c r="AU72" i="1"/>
  <c r="AV225" i="1"/>
  <c r="AV223" i="1" s="1"/>
  <c r="AU147" i="1"/>
  <c r="AU73" i="1" s="1"/>
  <c r="AU110" i="1"/>
  <c r="BI72" i="1"/>
  <c r="BB225" i="1"/>
  <c r="BB223" i="1" s="1"/>
  <c r="BB211" i="1"/>
  <c r="BB213" i="1" s="1"/>
  <c r="BD72" i="1"/>
  <c r="BE72" i="1"/>
  <c r="BB84" i="1"/>
  <c r="BB70" i="1"/>
  <c r="P79" i="1"/>
  <c r="AQ137" i="1"/>
  <c r="AQ138" i="1" s="1"/>
  <c r="AQ70" i="1"/>
  <c r="AQ84" i="1"/>
  <c r="AT87" i="1" s="1"/>
  <c r="AP107" i="1" s="1"/>
  <c r="AQ211" i="1"/>
  <c r="AQ213" i="1" s="1"/>
  <c r="AS72" i="1"/>
  <c r="AT72" i="1"/>
  <c r="BQ72" i="1"/>
  <c r="BN70" i="1"/>
  <c r="U79" i="1"/>
  <c r="BN84" i="1"/>
  <c r="BO72" i="1"/>
  <c r="BN211" i="1"/>
  <c r="BN213" i="1" s="1"/>
  <c r="BN225" i="1"/>
  <c r="BN223" i="1" s="1"/>
  <c r="BN72" i="1"/>
  <c r="BP72" i="1"/>
  <c r="BG72" i="1"/>
  <c r="AY211" i="1"/>
  <c r="AY213" i="1" s="1"/>
  <c r="AY84" i="1"/>
  <c r="AY137" i="1"/>
  <c r="AY138" i="1" s="1"/>
  <c r="AY70" i="1"/>
  <c r="BA72" i="1"/>
  <c r="R79" i="1"/>
  <c r="BB72" i="1"/>
  <c r="AZ72" i="1"/>
  <c r="N79" i="1"/>
  <c r="AI84" i="1"/>
  <c r="AL87" i="1" s="1"/>
  <c r="AI211" i="1"/>
  <c r="AI213" i="1" s="1"/>
  <c r="AI217" i="1" s="1"/>
  <c r="AI231" i="1" s="1"/>
  <c r="AI70" i="1"/>
  <c r="AL72" i="1"/>
  <c r="AI225" i="1"/>
  <c r="AI223" i="1" s="1"/>
  <c r="AO211" i="1"/>
  <c r="AO213" i="1" s="1"/>
  <c r="AO137" i="1"/>
  <c r="AO138" i="1" s="1"/>
  <c r="AO70" i="1"/>
  <c r="AO84" i="1"/>
  <c r="O79" i="1"/>
  <c r="AR72" i="1"/>
  <c r="AP72" i="1"/>
  <c r="BI113" i="1"/>
  <c r="BI114" i="1"/>
  <c r="BI112" i="1"/>
  <c r="AN105" i="1"/>
  <c r="AN104" i="1"/>
  <c r="AN103" i="1"/>
  <c r="BJ104" i="1"/>
  <c r="BJ103" i="1"/>
  <c r="BJ105" i="1"/>
  <c r="AX104" i="1"/>
  <c r="AX103" i="1"/>
  <c r="AT107" i="1"/>
  <c r="AX105" i="1"/>
  <c r="BG112" i="1"/>
  <c r="BG114" i="1"/>
  <c r="BG113" i="1"/>
  <c r="AC212" i="1"/>
  <c r="AC150" i="1"/>
  <c r="AC152" i="1" s="1"/>
  <c r="AC51" i="1" s="1"/>
  <c r="CT152" i="1"/>
  <c r="AD143" i="1"/>
  <c r="AD146" i="1" s="1"/>
  <c r="AD267" i="1" s="1"/>
  <c r="AR127" i="1"/>
  <c r="W79" i="1"/>
  <c r="BV107" i="1" l="1"/>
  <c r="BZ88" i="1"/>
  <c r="BR107" i="1"/>
  <c r="BV105" i="1"/>
  <c r="BV104" i="1"/>
  <c r="AS87" i="1"/>
  <c r="AO107" i="1" s="1"/>
  <c r="CD88" i="1"/>
  <c r="BZ105" i="1"/>
  <c r="BZ104" i="1"/>
  <c r="CC108" i="1" s="1"/>
  <c r="BZ103" i="1"/>
  <c r="BW112" i="1"/>
  <c r="BW114" i="1"/>
  <c r="BW113" i="1"/>
  <c r="BF87" i="1"/>
  <c r="BL103" i="1"/>
  <c r="BL104" i="1"/>
  <c r="BH107" i="1"/>
  <c r="BL105" i="1"/>
  <c r="BK103" i="1"/>
  <c r="BK104" i="1"/>
  <c r="BK105" i="1"/>
  <c r="BG107" i="1"/>
  <c r="BC113" i="1"/>
  <c r="BC112" i="1"/>
  <c r="BC114" i="1"/>
  <c r="CC88" i="1"/>
  <c r="BY105" i="1"/>
  <c r="BU107" i="1"/>
  <c r="BY104" i="1"/>
  <c r="BY103" i="1"/>
  <c r="BS113" i="1"/>
  <c r="BS112" i="1"/>
  <c r="BS114" i="1"/>
  <c r="BK112" i="1"/>
  <c r="BK114" i="1"/>
  <c r="BK113" i="1"/>
  <c r="BO114" i="1"/>
  <c r="BO113" i="1"/>
  <c r="BO112" i="1"/>
  <c r="BT107" i="1"/>
  <c r="BX103" i="1"/>
  <c r="BX104" i="1"/>
  <c r="CA88" i="1"/>
  <c r="BS107" i="1"/>
  <c r="BW105" i="1"/>
  <c r="BW104" i="1"/>
  <c r="BW103" i="1"/>
  <c r="AW103" i="1"/>
  <c r="AV104" i="1"/>
  <c r="AV103" i="1"/>
  <c r="BR87" i="1"/>
  <c r="BS87" i="1"/>
  <c r="BB87" i="1"/>
  <c r="AY87" i="1"/>
  <c r="BA87" i="1"/>
  <c r="AZ87" i="1"/>
  <c r="BI87" i="1"/>
  <c r="BH87" i="1"/>
  <c r="AU105" i="1"/>
  <c r="AU104" i="1"/>
  <c r="AQ107" i="1"/>
  <c r="AU103" i="1"/>
  <c r="AR87" i="1"/>
  <c r="AP87" i="1"/>
  <c r="AO87" i="1"/>
  <c r="AQ87" i="1"/>
  <c r="BQ87" i="1"/>
  <c r="BN87" i="1"/>
  <c r="BP87" i="1"/>
  <c r="BO87" i="1"/>
  <c r="BT87" i="1"/>
  <c r="BU87" i="1"/>
  <c r="BE87" i="1"/>
  <c r="BD87" i="1"/>
  <c r="BC87" i="1"/>
  <c r="BU114" i="1"/>
  <c r="BU113" i="1"/>
  <c r="BU112" i="1"/>
  <c r="AV105" i="1"/>
  <c r="AS107" i="1"/>
  <c r="CB88" i="1"/>
  <c r="AW105" i="1"/>
  <c r="AR107" i="1"/>
  <c r="BG87" i="1"/>
  <c r="AT104" i="1"/>
  <c r="AQ225" i="1"/>
  <c r="AQ223" i="1" s="1"/>
  <c r="AQ110" i="1"/>
  <c r="AR225" i="1"/>
  <c r="AR223" i="1" s="1"/>
  <c r="AQ72" i="1"/>
  <c r="AQ147" i="1"/>
  <c r="AQ73" i="1" s="1"/>
  <c r="AL103" i="1"/>
  <c r="AL105" i="1"/>
  <c r="AL104" i="1"/>
  <c r="AX88" i="1"/>
  <c r="AO72" i="1"/>
  <c r="AO110" i="1"/>
  <c r="AO147" i="1"/>
  <c r="AO73" i="1" s="1"/>
  <c r="AO225" i="1"/>
  <c r="AO223" i="1" s="1"/>
  <c r="AP225" i="1"/>
  <c r="AP223" i="1" s="1"/>
  <c r="AU113" i="1"/>
  <c r="AU114" i="1"/>
  <c r="AU112" i="1"/>
  <c r="AT103" i="1"/>
  <c r="AT105" i="1"/>
  <c r="AI228" i="1"/>
  <c r="AI229" i="1" s="1"/>
  <c r="AY110" i="1"/>
  <c r="AY72" i="1"/>
  <c r="AZ225" i="1"/>
  <c r="AZ223" i="1" s="1"/>
  <c r="AY225" i="1"/>
  <c r="AY223" i="1" s="1"/>
  <c r="AY147" i="1"/>
  <c r="AY73" i="1" s="1"/>
  <c r="CU50" i="1"/>
  <c r="CT156" i="1"/>
  <c r="AD224" i="1"/>
  <c r="AB156" i="1"/>
  <c r="AR128" i="1"/>
  <c r="AR131" i="1" s="1"/>
  <c r="AR129" i="1"/>
  <c r="AR132" i="1" s="1"/>
  <c r="CA245" i="1"/>
  <c r="CB245" i="1"/>
  <c r="W211" i="1"/>
  <c r="W213" i="1" s="1"/>
  <c r="BU245" i="1"/>
  <c r="AS104" i="1" l="1"/>
  <c r="AS103" i="1"/>
  <c r="AW88" i="1"/>
  <c r="AS105" i="1"/>
  <c r="BJ88" i="1"/>
  <c r="BF104" i="1"/>
  <c r="BF105" i="1"/>
  <c r="BB107" i="1"/>
  <c r="BF103" i="1"/>
  <c r="CB108" i="1"/>
  <c r="BM108" i="1"/>
  <c r="BY108" i="1"/>
  <c r="CA108" i="1"/>
  <c r="AV108" i="1"/>
  <c r="AW108" i="1"/>
  <c r="BZ108" i="1"/>
  <c r="BE103" i="1"/>
  <c r="BE105" i="1"/>
  <c r="AR103" i="1"/>
  <c r="AV88" i="1"/>
  <c r="BI88" i="1"/>
  <c r="AX108" i="1"/>
  <c r="BT105" i="1"/>
  <c r="BT104" i="1"/>
  <c r="BX88" i="1"/>
  <c r="BP107" i="1"/>
  <c r="BT103" i="1"/>
  <c r="BP88" i="1"/>
  <c r="BP103" i="1"/>
  <c r="BL107" i="1"/>
  <c r="BP104" i="1"/>
  <c r="BP105" i="1"/>
  <c r="BT88" i="1"/>
  <c r="BA103" i="1"/>
  <c r="AW107" i="1"/>
  <c r="BA104" i="1"/>
  <c r="BE88" i="1"/>
  <c r="BA105" i="1"/>
  <c r="AY104" i="1"/>
  <c r="AY88" i="1"/>
  <c r="AY105" i="1"/>
  <c r="AU107" i="1"/>
  <c r="BC88" i="1"/>
  <c r="AY103" i="1"/>
  <c r="BC107" i="1"/>
  <c r="BG105" i="1"/>
  <c r="BK88" i="1"/>
  <c r="BG103" i="1"/>
  <c r="BG104" i="1"/>
  <c r="AO103" i="1"/>
  <c r="AS88" i="1"/>
  <c r="AO104" i="1"/>
  <c r="AO105" i="1"/>
  <c r="BB103" i="1"/>
  <c r="BB104" i="1"/>
  <c r="AX107" i="1"/>
  <c r="BF88" i="1"/>
  <c r="BB105" i="1"/>
  <c r="BB88" i="1"/>
  <c r="BH104" i="1"/>
  <c r="BH105" i="1"/>
  <c r="BD107" i="1"/>
  <c r="BH103" i="1"/>
  <c r="BL88" i="1"/>
  <c r="BK107" i="1"/>
  <c r="BS88" i="1"/>
  <c r="BO105" i="1"/>
  <c r="BO88" i="1"/>
  <c r="BO104" i="1"/>
  <c r="BO103" i="1"/>
  <c r="BJ107" i="1"/>
  <c r="BN103" i="1"/>
  <c r="BN104" i="1"/>
  <c r="BN108" i="1" s="1"/>
  <c r="BN88" i="1"/>
  <c r="BN105" i="1"/>
  <c r="BR88" i="1"/>
  <c r="BQ105" i="1"/>
  <c r="BM107" i="1"/>
  <c r="BQ88" i="1"/>
  <c r="BQ104" i="1"/>
  <c r="BQ103" i="1"/>
  <c r="AQ104" i="1"/>
  <c r="AT108" i="1" s="1"/>
  <c r="AM107" i="1"/>
  <c r="AQ105" i="1"/>
  <c r="AQ103" i="1"/>
  <c r="AU88" i="1"/>
  <c r="AQ88" i="1"/>
  <c r="AL107" i="1"/>
  <c r="AP104" i="1"/>
  <c r="AT88" i="1"/>
  <c r="AP105" i="1"/>
  <c r="AP103" i="1"/>
  <c r="BG88" i="1"/>
  <c r="BC104" i="1"/>
  <c r="BC103" i="1"/>
  <c r="AY107" i="1"/>
  <c r="BC105" i="1"/>
  <c r="BD105" i="1"/>
  <c r="BD104" i="1"/>
  <c r="BD103" i="1"/>
  <c r="AZ107" i="1"/>
  <c r="BH88" i="1"/>
  <c r="BR104" i="1"/>
  <c r="BR103" i="1"/>
  <c r="BN107" i="1"/>
  <c r="BR105" i="1"/>
  <c r="BV88" i="1"/>
  <c r="BA88" i="1"/>
  <c r="AR104" i="1"/>
  <c r="AU108" i="1" s="1"/>
  <c r="AR88" i="1"/>
  <c r="AN107" i="1"/>
  <c r="AR105" i="1"/>
  <c r="AP88" i="1"/>
  <c r="BE104" i="1"/>
  <c r="BA107" i="1"/>
  <c r="BI105" i="1"/>
  <c r="BM88" i="1"/>
  <c r="BI103" i="1"/>
  <c r="BI104" i="1"/>
  <c r="BE107" i="1"/>
  <c r="AV107" i="1"/>
  <c r="AZ105" i="1"/>
  <c r="AZ103" i="1"/>
  <c r="AZ104" i="1"/>
  <c r="BD88" i="1"/>
  <c r="BU88" i="1"/>
  <c r="BS105" i="1"/>
  <c r="BO107" i="1"/>
  <c r="BS103" i="1"/>
  <c r="BW88" i="1"/>
  <c r="BS104" i="1"/>
  <c r="BU103" i="1"/>
  <c r="BY88" i="1"/>
  <c r="BQ107" i="1"/>
  <c r="BU105" i="1"/>
  <c r="BU104" i="1"/>
  <c r="BX108" i="1" s="1"/>
  <c r="AZ88" i="1"/>
  <c r="AY112" i="1"/>
  <c r="AY114" i="1"/>
  <c r="AY113" i="1"/>
  <c r="AQ112" i="1"/>
  <c r="AQ113" i="1"/>
  <c r="AQ114" i="1"/>
  <c r="AO113" i="1"/>
  <c r="AO112" i="1"/>
  <c r="AO114" i="1"/>
  <c r="CT221" i="1"/>
  <c r="CT219" i="1" s="1"/>
  <c r="CU212" i="1"/>
  <c r="CU150" i="1"/>
  <c r="AB221" i="1"/>
  <c r="AB219" i="1" s="1"/>
  <c r="AE142" i="1"/>
  <c r="CA107" i="1"/>
  <c r="BF108" i="1" l="1"/>
  <c r="AO108" i="1"/>
  <c r="BU108" i="1"/>
  <c r="BH108" i="1"/>
  <c r="BV108" i="1"/>
  <c r="AP108" i="1"/>
  <c r="BK108" i="1"/>
  <c r="BW108" i="1"/>
  <c r="BQ108" i="1"/>
  <c r="BL108" i="1"/>
  <c r="BC108" i="1"/>
  <c r="BG108" i="1"/>
  <c r="AS108" i="1"/>
  <c r="BT108" i="1"/>
  <c r="BI108" i="1"/>
  <c r="BJ108" i="1"/>
  <c r="BR108" i="1"/>
  <c r="BP108" i="1"/>
  <c r="BE108" i="1"/>
  <c r="BB108" i="1"/>
  <c r="BA108" i="1"/>
  <c r="BO108" i="1"/>
  <c r="BD108" i="1"/>
  <c r="BS108" i="1"/>
  <c r="AR108" i="1"/>
  <c r="AQ108" i="1"/>
  <c r="AZ108" i="1"/>
  <c r="AY108" i="1"/>
  <c r="CU152" i="1"/>
  <c r="CF107" i="1"/>
  <c r="CU156" i="1" l="1"/>
  <c r="CV50" i="1"/>
  <c r="AE143" i="1"/>
  <c r="AE146" i="1" s="1"/>
  <c r="AE267" i="1" s="1"/>
  <c r="CV212" i="1" l="1"/>
  <c r="CV150" i="1"/>
  <c r="CU221" i="1"/>
  <c r="CU219" i="1" s="1"/>
  <c r="AE224" i="1"/>
  <c r="AC156" i="1"/>
  <c r="W138" i="1"/>
  <c r="CV152" i="1" l="1"/>
  <c r="W72" i="1"/>
  <c r="AC221" i="1"/>
  <c r="AC219" i="1" s="1"/>
  <c r="X225" i="1"/>
  <c r="X223" i="1" s="1"/>
  <c r="W225" i="1"/>
  <c r="W223" i="1" s="1"/>
  <c r="W147" i="1"/>
  <c r="W73" i="1" s="1"/>
  <c r="W193" i="1"/>
  <c r="CW50" i="1" l="1"/>
  <c r="CV156" i="1"/>
  <c r="CV221" i="1" l="1"/>
  <c r="CV219" i="1" s="1"/>
  <c r="CW212" i="1"/>
  <c r="CW150" i="1"/>
  <c r="CW152" i="1" l="1"/>
  <c r="CW156" i="1" l="1"/>
  <c r="CX50" i="1"/>
  <c r="AD50" i="1" l="1"/>
  <c r="CX212" i="1"/>
  <c r="CX150" i="1"/>
  <c r="CW221" i="1"/>
  <c r="CW219" i="1" s="1"/>
  <c r="AD212" i="1" l="1"/>
  <c r="AD150" i="1"/>
  <c r="AD152" i="1" s="1"/>
  <c r="CX152" i="1"/>
  <c r="AD156" i="1" l="1"/>
  <c r="AD221" i="1" s="1"/>
  <c r="AD219" i="1" s="1"/>
  <c r="AD51" i="1"/>
  <c r="CX156" i="1"/>
  <c r="CY50" i="1"/>
  <c r="CY212" i="1" l="1"/>
  <c r="CY150" i="1"/>
  <c r="CX221" i="1"/>
  <c r="CX219" i="1" s="1"/>
  <c r="CY152" i="1" l="1"/>
  <c r="W198" i="1"/>
  <c r="CY156" i="1" l="1"/>
  <c r="CZ50" i="1"/>
  <c r="W201" i="1"/>
  <c r="W174" i="1"/>
  <c r="X215" i="1" s="1"/>
  <c r="CZ212" i="1" l="1"/>
  <c r="CZ150" i="1"/>
  <c r="CY221" i="1"/>
  <c r="CY219" i="1" s="1"/>
  <c r="W203" i="1"/>
  <c r="W202" i="1" s="1"/>
  <c r="W215" i="1"/>
  <c r="W166" i="1"/>
  <c r="X214" i="1" s="1"/>
  <c r="X216" i="1" s="1"/>
  <c r="X217" i="1" s="1"/>
  <c r="X231" i="1" s="1"/>
  <c r="W197" i="1"/>
  <c r="CZ152" i="1" l="1"/>
  <c r="W200" i="1"/>
  <c r="W175" i="1"/>
  <c r="W214" i="1"/>
  <c r="W216" i="1" s="1"/>
  <c r="W217" i="1" s="1"/>
  <c r="CZ156" i="1" l="1"/>
  <c r="CZ221" i="1" s="1"/>
  <c r="CZ219" i="1" s="1"/>
  <c r="DA50" i="1"/>
  <c r="W199" i="1"/>
  <c r="W204" i="1"/>
  <c r="W228" i="1"/>
  <c r="W231" i="1"/>
  <c r="DA212" i="1" l="1"/>
  <c r="DA150" i="1"/>
  <c r="W207" i="1"/>
  <c r="W208" i="1" s="1"/>
  <c r="X207" i="1"/>
  <c r="X208" i="1" s="1"/>
  <c r="DA152" i="1" l="1"/>
  <c r="W179" i="1"/>
  <c r="X227" i="1" l="1"/>
  <c r="X228" i="1" s="1"/>
  <c r="X229" i="1" s="1"/>
  <c r="W264" i="1"/>
  <c r="W266" i="1"/>
  <c r="W262" i="1"/>
  <c r="DA156" i="1"/>
  <c r="DA221" i="1" s="1"/>
  <c r="DA219" i="1" s="1"/>
  <c r="DB50" i="1"/>
  <c r="W186" i="1"/>
  <c r="W127" i="1" s="1"/>
  <c r="W183" i="1"/>
  <c r="W229" i="1"/>
  <c r="AE50" i="1" l="1"/>
  <c r="AE212" i="1" s="1"/>
  <c r="DB212" i="1"/>
  <c r="DB150" i="1"/>
  <c r="W184" i="1"/>
  <c r="DB152" i="1" l="1"/>
  <c r="DB156" i="1" s="1"/>
  <c r="DB221" i="1" s="1"/>
  <c r="DB219" i="1" s="1"/>
  <c r="AE150" i="1"/>
  <c r="AE152" i="1" s="1"/>
  <c r="C111" i="2"/>
  <c r="C112" i="2"/>
  <c r="C113" i="2"/>
  <c r="AE156" i="1" l="1"/>
  <c r="AE221" i="1" s="1"/>
  <c r="AE219" i="1" s="1"/>
  <c r="AE51" i="1"/>
  <c r="B91" i="1"/>
  <c r="B92" i="1"/>
  <c r="AK197" i="1" l="1"/>
  <c r="AK162" i="1" s="1"/>
  <c r="AM162" i="1" l="1"/>
  <c r="AO162" i="1" l="1"/>
  <c r="AQ162" i="1" l="1"/>
  <c r="AS162" i="1" l="1"/>
  <c r="AU162" i="1" l="1"/>
  <c r="AW162" i="1" l="1"/>
  <c r="AY162" i="1" l="1"/>
  <c r="BA162" i="1" l="1"/>
  <c r="BC162" i="1" l="1"/>
  <c r="BE162" i="1" l="1"/>
  <c r="BG162" i="1" l="1"/>
  <c r="BI162" i="1" l="1"/>
  <c r="BK162" i="1" l="1"/>
  <c r="BM162" i="1" l="1"/>
  <c r="BO162" i="1" l="1"/>
  <c r="BQ162" i="1" l="1"/>
  <c r="BS162" i="1" l="1"/>
  <c r="BU162" i="1" l="1"/>
  <c r="BW162" i="1" l="1"/>
  <c r="BY162" i="1" l="1"/>
  <c r="AK163" i="1" l="1"/>
  <c r="AK166" i="1" s="1"/>
  <c r="AL214" i="1" l="1"/>
  <c r="AK214" i="1"/>
  <c r="AK200" i="1"/>
  <c r="AM163" i="1"/>
  <c r="AM166" i="1" s="1"/>
  <c r="AM200" i="1" l="1"/>
  <c r="AM199" i="1" s="1"/>
  <c r="AN214" i="1"/>
  <c r="AM214" i="1"/>
  <c r="AJ199" i="1"/>
  <c r="AK199" i="1"/>
  <c r="AO163" i="1" l="1"/>
  <c r="AO166" i="1" s="1"/>
  <c r="AP214" i="1" l="1"/>
  <c r="AO200" i="1"/>
  <c r="AO199" i="1" s="1"/>
  <c r="AO214" i="1"/>
  <c r="AQ163" i="1" l="1"/>
  <c r="AQ166" i="1" s="1"/>
  <c r="AQ200" i="1" l="1"/>
  <c r="AQ199" i="1" s="1"/>
  <c r="AR214" i="1"/>
  <c r="AQ214" i="1"/>
  <c r="AS163" i="1" l="1"/>
  <c r="AS166" i="1" s="1"/>
  <c r="AT214" i="1" l="1"/>
  <c r="AS200" i="1"/>
  <c r="AS199" i="1" s="1"/>
  <c r="AS214" i="1"/>
  <c r="AU163" i="1" l="1"/>
  <c r="AU166" i="1" s="1"/>
  <c r="AU200" i="1" l="1"/>
  <c r="AU199" i="1" s="1"/>
  <c r="AV214" i="1"/>
  <c r="AU214" i="1"/>
  <c r="AW163" i="1" l="1"/>
  <c r="AW166" i="1" s="1"/>
  <c r="AW200" i="1" l="1"/>
  <c r="AW199" i="1" s="1"/>
  <c r="AX214" i="1"/>
  <c r="AW214" i="1"/>
  <c r="AY163" i="1" l="1"/>
  <c r="AY166" i="1" s="1"/>
  <c r="AY200" i="1" l="1"/>
  <c r="AY199" i="1" s="1"/>
  <c r="AZ214" i="1"/>
  <c r="AY214" i="1"/>
  <c r="BA163" i="1" l="1"/>
  <c r="BA166" i="1" s="1"/>
  <c r="BB214" i="1" l="1"/>
  <c r="BA200" i="1"/>
  <c r="BA199" i="1" s="1"/>
  <c r="BA214" i="1"/>
  <c r="BC163" i="1" l="1"/>
  <c r="BC166" i="1" s="1"/>
  <c r="BD214" i="1" l="1"/>
  <c r="BC200" i="1"/>
  <c r="BC199" i="1" s="1"/>
  <c r="BC214" i="1"/>
  <c r="BE163" i="1" l="1"/>
  <c r="BE166" i="1" s="1"/>
  <c r="BF214" i="1" l="1"/>
  <c r="BE200" i="1"/>
  <c r="BE199" i="1" s="1"/>
  <c r="BE214" i="1"/>
  <c r="BG163" i="1" l="1"/>
  <c r="BG166" i="1" s="1"/>
  <c r="BG200" i="1" l="1"/>
  <c r="BG199" i="1" s="1"/>
  <c r="BH214" i="1"/>
  <c r="BG214" i="1"/>
  <c r="BI163" i="1" l="1"/>
  <c r="BI166" i="1" s="1"/>
  <c r="BJ214" i="1" l="1"/>
  <c r="BI200" i="1"/>
  <c r="BI199" i="1" s="1"/>
  <c r="BI214" i="1"/>
  <c r="BK163" i="1" l="1"/>
  <c r="BK166" i="1" s="1"/>
  <c r="BL214" i="1" l="1"/>
  <c r="BK200" i="1"/>
  <c r="BK199" i="1" s="1"/>
  <c r="BK214" i="1"/>
  <c r="BM163" i="1" l="1"/>
  <c r="BM166" i="1" s="1"/>
  <c r="BM200" i="1" l="1"/>
  <c r="BM199" i="1" s="1"/>
  <c r="BN214" i="1"/>
  <c r="BM214" i="1"/>
  <c r="BO163" i="1" l="1"/>
  <c r="BO166" i="1" s="1"/>
  <c r="BO200" i="1" l="1"/>
  <c r="BO199" i="1" s="1"/>
  <c r="BP214" i="1"/>
  <c r="BO214" i="1"/>
  <c r="BQ163" i="1" l="1"/>
  <c r="BQ166" i="1" s="1"/>
  <c r="BR214" i="1" l="1"/>
  <c r="BQ200" i="1"/>
  <c r="BQ199" i="1" s="1"/>
  <c r="BQ214" i="1"/>
  <c r="BS163" i="1" l="1"/>
  <c r="BS166" i="1" s="1"/>
  <c r="BT214" i="1" l="1"/>
  <c r="BS200" i="1"/>
  <c r="BS199" i="1" s="1"/>
  <c r="BS214" i="1"/>
  <c r="BU163" i="1" l="1"/>
  <c r="BU166" i="1" s="1"/>
  <c r="BU200" i="1" l="1"/>
  <c r="BU199" i="1" s="1"/>
  <c r="BV214" i="1"/>
  <c r="BU214" i="1"/>
  <c r="BW163" i="1" l="1"/>
  <c r="BW166" i="1" s="1"/>
  <c r="BW200" i="1" l="1"/>
  <c r="BW199" i="1" s="1"/>
  <c r="BX214" i="1"/>
  <c r="BW214" i="1"/>
  <c r="BY163" i="1" l="1"/>
  <c r="BY166" i="1" s="1"/>
  <c r="BZ214" i="1" l="1"/>
  <c r="BY200" i="1"/>
  <c r="BY199" i="1" s="1"/>
  <c r="BY214" i="1"/>
  <c r="AK201" i="1" l="1"/>
  <c r="AK171" i="1" s="1"/>
  <c r="AK174" i="1" s="1"/>
  <c r="AK175" i="1" l="1"/>
  <c r="AK203" i="1"/>
  <c r="AL215" i="1"/>
  <c r="AL216" i="1" s="1"/>
  <c r="AL217" i="1" s="1"/>
  <c r="AL231" i="1" s="1"/>
  <c r="AK215" i="1"/>
  <c r="AK216" i="1" s="1"/>
  <c r="AK217" i="1" s="1"/>
  <c r="AM171" i="1"/>
  <c r="AM174" i="1" s="1"/>
  <c r="AK231" i="1" l="1"/>
  <c r="AK228" i="1"/>
  <c r="AK178" i="1" s="1"/>
  <c r="AK179" i="1" s="1"/>
  <c r="AK183" i="1" s="1"/>
  <c r="AK184" i="1" s="1"/>
  <c r="AN215" i="1"/>
  <c r="AN216" i="1" s="1"/>
  <c r="AN217" i="1" s="1"/>
  <c r="AN231" i="1" s="1"/>
  <c r="AM203" i="1"/>
  <c r="AM202" i="1" s="1"/>
  <c r="AM215" i="1"/>
  <c r="AM216" i="1" s="1"/>
  <c r="AM217" i="1" s="1"/>
  <c r="AM175" i="1"/>
  <c r="AJ202" i="1"/>
  <c r="AJ204" i="1"/>
  <c r="AN207" i="1" s="1"/>
  <c r="AK202" i="1"/>
  <c r="AK204" i="1"/>
  <c r="AO171" i="1"/>
  <c r="AO174" i="1" s="1"/>
  <c r="AM204" i="1" l="1"/>
  <c r="AO203" i="1"/>
  <c r="AO202" i="1" s="1"/>
  <c r="AP215" i="1"/>
  <c r="AP216" i="1" s="1"/>
  <c r="AP217" i="1" s="1"/>
  <c r="AP231" i="1" s="1"/>
  <c r="AO215" i="1"/>
  <c r="AO216" i="1" s="1"/>
  <c r="AO217" i="1" s="1"/>
  <c r="AM231" i="1"/>
  <c r="AM228" i="1"/>
  <c r="AO175" i="1"/>
  <c r="AL227" i="1" l="1"/>
  <c r="AL228" i="1" s="1"/>
  <c r="AL229" i="1" s="1"/>
  <c r="AK229" i="1"/>
  <c r="AO204" i="1"/>
  <c r="AO207" i="1" s="1"/>
  <c r="AO231" i="1"/>
  <c r="AO228" i="1"/>
  <c r="AQ171" i="1"/>
  <c r="AQ174" i="1" s="1"/>
  <c r="AK186" i="1"/>
  <c r="AL55" i="1" s="1"/>
  <c r="AM178" i="1"/>
  <c r="AM179" i="1" s="1"/>
  <c r="AM183" i="1" s="1"/>
  <c r="AN227" i="1" l="1"/>
  <c r="AN228" i="1" s="1"/>
  <c r="AN229" i="1" s="1"/>
  <c r="AM266" i="1"/>
  <c r="AM264" i="1"/>
  <c r="AM262" i="1"/>
  <c r="AQ203" i="1"/>
  <c r="AQ202" i="1" s="1"/>
  <c r="AR215" i="1"/>
  <c r="AR216" i="1" s="1"/>
  <c r="AR217" i="1" s="1"/>
  <c r="AR231" i="1" s="1"/>
  <c r="AQ215" i="1"/>
  <c r="AQ216" i="1" s="1"/>
  <c r="AQ217" i="1" s="1"/>
  <c r="AM229" i="1"/>
  <c r="AQ175" i="1"/>
  <c r="AO178" i="1"/>
  <c r="AO179" i="1" s="1"/>
  <c r="AM186" i="1"/>
  <c r="AO264" i="1" l="1"/>
  <c r="AO266" i="1"/>
  <c r="AO262" i="1"/>
  <c r="AM127" i="1"/>
  <c r="AM128" i="1" s="1"/>
  <c r="AM131" i="1" s="1"/>
  <c r="AN55" i="1"/>
  <c r="AQ204" i="1"/>
  <c r="AQ207" i="1" s="1"/>
  <c r="AQ231" i="1"/>
  <c r="AQ228" i="1"/>
  <c r="AP227" i="1"/>
  <c r="AP228" i="1" s="1"/>
  <c r="AP229" i="1" s="1"/>
  <c r="AO229" i="1"/>
  <c r="AS171" i="1"/>
  <c r="AS174" i="1" s="1"/>
  <c r="AO186" i="1"/>
  <c r="AO183" i="1"/>
  <c r="AM184" i="1"/>
  <c r="AM129" i="1" l="1"/>
  <c r="AM132" i="1" s="1"/>
  <c r="AO127" i="1"/>
  <c r="AO129" i="1" s="1"/>
  <c r="AO132" i="1" s="1"/>
  <c r="AP55" i="1"/>
  <c r="AS203" i="1"/>
  <c r="AS202" i="1" s="1"/>
  <c r="AT215" i="1"/>
  <c r="AT216" i="1" s="1"/>
  <c r="AT217" i="1" s="1"/>
  <c r="AT231" i="1" s="1"/>
  <c r="AS215" i="1"/>
  <c r="AS216" i="1" s="1"/>
  <c r="AS217" i="1" s="1"/>
  <c r="AO184" i="1"/>
  <c r="AS175" i="1"/>
  <c r="AQ178" i="1"/>
  <c r="AQ179" i="1" s="1"/>
  <c r="AQ264" i="1" l="1"/>
  <c r="AQ266" i="1"/>
  <c r="AQ262" i="1"/>
  <c r="AO128" i="1"/>
  <c r="AO131" i="1" s="1"/>
  <c r="AS204" i="1"/>
  <c r="AS207" i="1" s="1"/>
  <c r="AS231" i="1"/>
  <c r="AS228" i="1"/>
  <c r="AR227" i="1"/>
  <c r="AR228" i="1" s="1"/>
  <c r="AR229" i="1" s="1"/>
  <c r="AQ229" i="1"/>
  <c r="AQ183" i="1"/>
  <c r="AQ186" i="1"/>
  <c r="AU171" i="1"/>
  <c r="AU174" i="1" s="1"/>
  <c r="AQ127" i="1" l="1"/>
  <c r="AQ128" i="1" s="1"/>
  <c r="AQ131" i="1" s="1"/>
  <c r="AR55" i="1"/>
  <c r="AU203" i="1"/>
  <c r="AU202" i="1" s="1"/>
  <c r="AV215" i="1"/>
  <c r="AV216" i="1" s="1"/>
  <c r="AV217" i="1" s="1"/>
  <c r="AV231" i="1" s="1"/>
  <c r="AU215" i="1"/>
  <c r="AU216" i="1" s="1"/>
  <c r="AU217" i="1" s="1"/>
  <c r="AU175" i="1"/>
  <c r="AS178" i="1"/>
  <c r="AS179" i="1" s="1"/>
  <c r="AQ184" i="1"/>
  <c r="AS266" i="1" l="1"/>
  <c r="AS264" i="1"/>
  <c r="AS262" i="1"/>
  <c r="AQ129" i="1"/>
  <c r="AQ132" i="1" s="1"/>
  <c r="AU204" i="1"/>
  <c r="AU207" i="1" s="1"/>
  <c r="AU231" i="1"/>
  <c r="AU228" i="1"/>
  <c r="AT227" i="1"/>
  <c r="AT228" i="1" s="1"/>
  <c r="AT229" i="1" s="1"/>
  <c r="AS229" i="1"/>
  <c r="AS186" i="1"/>
  <c r="AS183" i="1"/>
  <c r="AW171" i="1"/>
  <c r="AW174" i="1" s="1"/>
  <c r="AS127" i="1" l="1"/>
  <c r="AS128" i="1" s="1"/>
  <c r="AS131" i="1" s="1"/>
  <c r="AT55" i="1"/>
  <c r="AW203" i="1"/>
  <c r="AW204" i="1" s="1"/>
  <c r="AW207" i="1" s="1"/>
  <c r="AX215" i="1"/>
  <c r="AX216" i="1" s="1"/>
  <c r="AX217" i="1" s="1"/>
  <c r="AX231" i="1" s="1"/>
  <c r="AW215" i="1"/>
  <c r="AW216" i="1" s="1"/>
  <c r="AW217" i="1" s="1"/>
  <c r="AU178" i="1"/>
  <c r="AU179" i="1" s="1"/>
  <c r="AS184" i="1"/>
  <c r="AW175" i="1"/>
  <c r="AU266" i="1" l="1"/>
  <c r="AU264" i="1"/>
  <c r="AU262" i="1"/>
  <c r="AS129" i="1"/>
  <c r="AS132" i="1" s="1"/>
  <c r="AW202" i="1"/>
  <c r="AW231" i="1"/>
  <c r="AW228" i="1"/>
  <c r="AV227" i="1"/>
  <c r="AV228" i="1" s="1"/>
  <c r="AV229" i="1" s="1"/>
  <c r="AU229" i="1"/>
  <c r="AU186" i="1"/>
  <c r="AU183" i="1"/>
  <c r="AY171" i="1"/>
  <c r="AY174" i="1" s="1"/>
  <c r="AU127" i="1" l="1"/>
  <c r="AU129" i="1" s="1"/>
  <c r="AU132" i="1" s="1"/>
  <c r="AV55" i="1"/>
  <c r="AY203" i="1"/>
  <c r="AY202" i="1" s="1"/>
  <c r="AZ215" i="1"/>
  <c r="AZ216" i="1" s="1"/>
  <c r="AZ217" i="1" s="1"/>
  <c r="AZ231" i="1" s="1"/>
  <c r="AY215" i="1"/>
  <c r="AY216" i="1" s="1"/>
  <c r="AY217" i="1" s="1"/>
  <c r="AW178" i="1"/>
  <c r="AW179" i="1" s="1"/>
  <c r="AY175" i="1"/>
  <c r="AU184" i="1"/>
  <c r="AW264" i="1" l="1"/>
  <c r="AW266" i="1"/>
  <c r="AW262" i="1"/>
  <c r="AU128" i="1"/>
  <c r="AU131" i="1" s="1"/>
  <c r="AY204" i="1"/>
  <c r="AY207" i="1" s="1"/>
  <c r="AY231" i="1"/>
  <c r="AY228" i="1"/>
  <c r="AX227" i="1"/>
  <c r="AX228" i="1" s="1"/>
  <c r="AX229" i="1" s="1"/>
  <c r="AW229" i="1"/>
  <c r="BA171" i="1"/>
  <c r="BA174" i="1" s="1"/>
  <c r="AW183" i="1"/>
  <c r="AW186" i="1"/>
  <c r="AW127" i="1" l="1"/>
  <c r="AW129" i="1" s="1"/>
  <c r="AW132" i="1" s="1"/>
  <c r="AX55" i="1"/>
  <c r="BB215" i="1"/>
  <c r="BB216" i="1" s="1"/>
  <c r="BB217" i="1" s="1"/>
  <c r="BB231" i="1" s="1"/>
  <c r="BA203" i="1"/>
  <c r="BA202" i="1" s="1"/>
  <c r="BA215" i="1"/>
  <c r="BA216" i="1" s="1"/>
  <c r="BA217" i="1" s="1"/>
  <c r="AW184" i="1"/>
  <c r="BA175" i="1"/>
  <c r="AY178" i="1"/>
  <c r="AY179" i="1" s="1"/>
  <c r="AY264" i="1" l="1"/>
  <c r="AY266" i="1"/>
  <c r="AY262" i="1"/>
  <c r="AW128" i="1"/>
  <c r="AW131" i="1" s="1"/>
  <c r="BA204" i="1"/>
  <c r="BA207" i="1" s="1"/>
  <c r="BA231" i="1"/>
  <c r="BA228" i="1"/>
  <c r="AZ227" i="1"/>
  <c r="AZ228" i="1" s="1"/>
  <c r="AZ229" i="1" s="1"/>
  <c r="AY229" i="1"/>
  <c r="AY183" i="1"/>
  <c r="AY186" i="1"/>
  <c r="BC171" i="1"/>
  <c r="BC174" i="1" s="1"/>
  <c r="AY127" i="1" l="1"/>
  <c r="AY129" i="1" s="1"/>
  <c r="AY132" i="1" s="1"/>
  <c r="AZ55" i="1"/>
  <c r="BC203" i="1"/>
  <c r="BC202" i="1" s="1"/>
  <c r="BD215" i="1"/>
  <c r="BD216" i="1" s="1"/>
  <c r="BD217" i="1" s="1"/>
  <c r="BD231" i="1" s="1"/>
  <c r="BC215" i="1"/>
  <c r="BC216" i="1" s="1"/>
  <c r="BC217" i="1" s="1"/>
  <c r="AY184" i="1"/>
  <c r="BC175" i="1"/>
  <c r="BA178" i="1"/>
  <c r="BA179" i="1" s="1"/>
  <c r="BA266" i="1" l="1"/>
  <c r="BA264" i="1"/>
  <c r="BA262" i="1"/>
  <c r="AY128" i="1"/>
  <c r="AY131" i="1" s="1"/>
  <c r="BC204" i="1"/>
  <c r="BC207" i="1" s="1"/>
  <c r="BC231" i="1"/>
  <c r="BC228" i="1"/>
  <c r="BB227" i="1"/>
  <c r="BB228" i="1" s="1"/>
  <c r="BB229" i="1" s="1"/>
  <c r="BA229" i="1"/>
  <c r="BE171" i="1"/>
  <c r="BE174" i="1" s="1"/>
  <c r="BA186" i="1"/>
  <c r="BA183" i="1"/>
  <c r="BA127" i="1" l="1"/>
  <c r="BA128" i="1" s="1"/>
  <c r="BA131" i="1" s="1"/>
  <c r="BB55" i="1"/>
  <c r="BE203" i="1"/>
  <c r="BE202" i="1" s="1"/>
  <c r="BF215" i="1"/>
  <c r="BF216" i="1" s="1"/>
  <c r="BF217" i="1" s="1"/>
  <c r="BF231" i="1" s="1"/>
  <c r="BE215" i="1"/>
  <c r="BE216" i="1" s="1"/>
  <c r="BE217" i="1" s="1"/>
  <c r="BC178" i="1"/>
  <c r="BC179" i="1" s="1"/>
  <c r="BA184" i="1"/>
  <c r="BE175" i="1"/>
  <c r="BC266" i="1" l="1"/>
  <c r="BC264" i="1"/>
  <c r="BC262" i="1"/>
  <c r="BA129" i="1"/>
  <c r="BA132" i="1" s="1"/>
  <c r="BE204" i="1"/>
  <c r="BE207" i="1" s="1"/>
  <c r="BE231" i="1"/>
  <c r="BE228" i="1"/>
  <c r="BD227" i="1"/>
  <c r="BD228" i="1" s="1"/>
  <c r="BD229" i="1" s="1"/>
  <c r="BC229" i="1"/>
  <c r="BG171" i="1"/>
  <c r="BG174" i="1" s="1"/>
  <c r="BC183" i="1"/>
  <c r="BC186" i="1"/>
  <c r="BC127" i="1" l="1"/>
  <c r="BC128" i="1" s="1"/>
  <c r="BC131" i="1" s="1"/>
  <c r="BD55" i="1"/>
  <c r="BG203" i="1"/>
  <c r="BG204" i="1" s="1"/>
  <c r="BG207" i="1" s="1"/>
  <c r="BH215" i="1"/>
  <c r="BH216" i="1" s="1"/>
  <c r="BH217" i="1" s="1"/>
  <c r="BH231" i="1" s="1"/>
  <c r="BG215" i="1"/>
  <c r="BG216" i="1" s="1"/>
  <c r="BG217" i="1" s="1"/>
  <c r="BC184" i="1"/>
  <c r="BE178" i="1"/>
  <c r="BE179" i="1" s="1"/>
  <c r="BG175" i="1"/>
  <c r="BE264" i="1" l="1"/>
  <c r="BE266" i="1"/>
  <c r="BE262" i="1"/>
  <c r="BC129" i="1"/>
  <c r="BC132" i="1" s="1"/>
  <c r="BG202" i="1"/>
  <c r="BG231" i="1"/>
  <c r="BG228" i="1"/>
  <c r="BF227" i="1"/>
  <c r="BF228" i="1" s="1"/>
  <c r="BF229" i="1" s="1"/>
  <c r="BE229" i="1"/>
  <c r="BE186" i="1"/>
  <c r="BE183" i="1"/>
  <c r="BI171" i="1"/>
  <c r="BI174" i="1" s="1"/>
  <c r="BE127" i="1" l="1"/>
  <c r="BE128" i="1" s="1"/>
  <c r="BE131" i="1" s="1"/>
  <c r="BF55" i="1"/>
  <c r="BI203" i="1"/>
  <c r="BI202" i="1" s="1"/>
  <c r="BJ215" i="1"/>
  <c r="BJ216" i="1" s="1"/>
  <c r="BJ217" i="1" s="1"/>
  <c r="BJ231" i="1" s="1"/>
  <c r="BI215" i="1"/>
  <c r="BI216" i="1" s="1"/>
  <c r="BI217" i="1" s="1"/>
  <c r="BE184" i="1"/>
  <c r="BG178" i="1"/>
  <c r="BG179" i="1" s="1"/>
  <c r="BI175" i="1"/>
  <c r="BG264" i="1" l="1"/>
  <c r="BG266" i="1"/>
  <c r="BG262" i="1"/>
  <c r="BE129" i="1"/>
  <c r="BE132" i="1" s="1"/>
  <c r="BI204" i="1"/>
  <c r="BI207" i="1" s="1"/>
  <c r="BI231" i="1"/>
  <c r="BI228" i="1"/>
  <c r="BH227" i="1"/>
  <c r="BH228" i="1" s="1"/>
  <c r="BH229" i="1" s="1"/>
  <c r="BG229" i="1"/>
  <c r="BG183" i="1"/>
  <c r="BG186" i="1"/>
  <c r="BK171" i="1"/>
  <c r="BK174" i="1" s="1"/>
  <c r="BG127" i="1" l="1"/>
  <c r="BG128" i="1" s="1"/>
  <c r="BG131" i="1" s="1"/>
  <c r="BH55" i="1"/>
  <c r="BL215" i="1"/>
  <c r="BL216" i="1" s="1"/>
  <c r="BL217" i="1" s="1"/>
  <c r="BL231" i="1" s="1"/>
  <c r="BK203" i="1"/>
  <c r="BK202" i="1" s="1"/>
  <c r="BK215" i="1"/>
  <c r="BK216" i="1" s="1"/>
  <c r="BK217" i="1" s="1"/>
  <c r="BK175" i="1"/>
  <c r="BG184" i="1"/>
  <c r="BI178" i="1"/>
  <c r="BI179" i="1" s="1"/>
  <c r="BI266" i="1" l="1"/>
  <c r="BI264" i="1"/>
  <c r="BI262" i="1"/>
  <c r="BG129" i="1"/>
  <c r="BG132" i="1" s="1"/>
  <c r="BK204" i="1"/>
  <c r="BK207" i="1" s="1"/>
  <c r="BK231" i="1"/>
  <c r="BK228" i="1"/>
  <c r="BJ227" i="1"/>
  <c r="BJ228" i="1" s="1"/>
  <c r="BJ229" i="1" s="1"/>
  <c r="BI229" i="1"/>
  <c r="BI186" i="1"/>
  <c r="BI183" i="1"/>
  <c r="BM171" i="1"/>
  <c r="BM174" i="1" s="1"/>
  <c r="BI127" i="1" l="1"/>
  <c r="BI129" i="1" s="1"/>
  <c r="BI132" i="1" s="1"/>
  <c r="BJ55" i="1"/>
  <c r="BM203" i="1"/>
  <c r="BM202" i="1" s="1"/>
  <c r="BN215" i="1"/>
  <c r="BN216" i="1" s="1"/>
  <c r="BN217" i="1" s="1"/>
  <c r="BN231" i="1" s="1"/>
  <c r="BM215" i="1"/>
  <c r="BM216" i="1" s="1"/>
  <c r="BM217" i="1" s="1"/>
  <c r="BM175" i="1"/>
  <c r="BI184" i="1"/>
  <c r="BK178" i="1"/>
  <c r="BK179" i="1" s="1"/>
  <c r="BK266" i="1" l="1"/>
  <c r="BK264" i="1"/>
  <c r="BK262" i="1"/>
  <c r="BI128" i="1"/>
  <c r="BI131" i="1" s="1"/>
  <c r="BM204" i="1"/>
  <c r="BM207" i="1" s="1"/>
  <c r="BM231" i="1"/>
  <c r="BM228" i="1"/>
  <c r="BL227" i="1"/>
  <c r="BL228" i="1" s="1"/>
  <c r="BL229" i="1" s="1"/>
  <c r="BK229" i="1"/>
  <c r="BK186" i="1"/>
  <c r="BK183" i="1"/>
  <c r="BO171" i="1"/>
  <c r="BO174" i="1" s="1"/>
  <c r="BK127" i="1" l="1"/>
  <c r="BK129" i="1" s="1"/>
  <c r="BK132" i="1" s="1"/>
  <c r="BL55" i="1"/>
  <c r="BO203" i="1"/>
  <c r="BO202" i="1" s="1"/>
  <c r="BP215" i="1"/>
  <c r="BP216" i="1" s="1"/>
  <c r="BP217" i="1" s="1"/>
  <c r="BP231" i="1" s="1"/>
  <c r="BO215" i="1"/>
  <c r="BO216" i="1" s="1"/>
  <c r="BO217" i="1" s="1"/>
  <c r="BM178" i="1"/>
  <c r="BM179" i="1" s="1"/>
  <c r="BK184" i="1"/>
  <c r="BO175" i="1"/>
  <c r="BM264" i="1" l="1"/>
  <c r="BM266" i="1"/>
  <c r="BM262" i="1"/>
  <c r="BK128" i="1"/>
  <c r="BK131" i="1" s="1"/>
  <c r="BO204" i="1"/>
  <c r="BO207" i="1" s="1"/>
  <c r="BO231" i="1"/>
  <c r="BO228" i="1"/>
  <c r="BN227" i="1"/>
  <c r="BN228" i="1" s="1"/>
  <c r="BN229" i="1" s="1"/>
  <c r="BM229" i="1"/>
  <c r="BM183" i="1"/>
  <c r="BM186" i="1"/>
  <c r="BQ171" i="1"/>
  <c r="BQ174" i="1" s="1"/>
  <c r="BM127" i="1" l="1"/>
  <c r="BM128" i="1" s="1"/>
  <c r="BM131" i="1" s="1"/>
  <c r="BN55" i="1"/>
  <c r="BQ203" i="1"/>
  <c r="BQ202" i="1" s="1"/>
  <c r="BR215" i="1"/>
  <c r="BR216" i="1" s="1"/>
  <c r="BR217" i="1" s="1"/>
  <c r="BR231" i="1" s="1"/>
  <c r="BQ215" i="1"/>
  <c r="BQ216" i="1" s="1"/>
  <c r="BQ217" i="1" s="1"/>
  <c r="BO178" i="1"/>
  <c r="BO179" i="1" s="1"/>
  <c r="BQ175" i="1"/>
  <c r="BM184" i="1"/>
  <c r="BO264" i="1" l="1"/>
  <c r="BO266" i="1"/>
  <c r="BO262" i="1"/>
  <c r="BM129" i="1"/>
  <c r="BM132" i="1" s="1"/>
  <c r="BQ204" i="1"/>
  <c r="BQ207" i="1" s="1"/>
  <c r="BQ231" i="1"/>
  <c r="BQ228" i="1"/>
  <c r="BP227" i="1"/>
  <c r="BP228" i="1" s="1"/>
  <c r="BP229" i="1" s="1"/>
  <c r="BO229" i="1"/>
  <c r="BS171" i="1"/>
  <c r="BS174" i="1" s="1"/>
  <c r="BO183" i="1"/>
  <c r="BO186" i="1"/>
  <c r="BO127" i="1" l="1"/>
  <c r="BO128" i="1" s="1"/>
  <c r="BO131" i="1" s="1"/>
  <c r="BP55" i="1"/>
  <c r="BS203" i="1"/>
  <c r="BS202" i="1" s="1"/>
  <c r="BT215" i="1"/>
  <c r="BT216" i="1" s="1"/>
  <c r="BT217" i="1" s="1"/>
  <c r="BT231" i="1" s="1"/>
  <c r="BS215" i="1"/>
  <c r="BS216" i="1" s="1"/>
  <c r="BS217" i="1" s="1"/>
  <c r="BO184" i="1"/>
  <c r="BS175" i="1"/>
  <c r="BQ178" i="1"/>
  <c r="BQ179" i="1" s="1"/>
  <c r="BQ266" i="1" l="1"/>
  <c r="BQ264" i="1"/>
  <c r="BQ262" i="1"/>
  <c r="BO129" i="1"/>
  <c r="BO132" i="1" s="1"/>
  <c r="BS204" i="1"/>
  <c r="BS207" i="1" s="1"/>
  <c r="BS231" i="1"/>
  <c r="BS228" i="1"/>
  <c r="BR227" i="1"/>
  <c r="BR228" i="1" s="1"/>
  <c r="BR229" i="1" s="1"/>
  <c r="BQ229" i="1"/>
  <c r="BQ183" i="1"/>
  <c r="BQ186" i="1"/>
  <c r="BU171" i="1"/>
  <c r="BU174" i="1" s="1"/>
  <c r="BQ127" i="1" l="1"/>
  <c r="BQ128" i="1" s="1"/>
  <c r="BQ131" i="1" s="1"/>
  <c r="BR55" i="1"/>
  <c r="BU203" i="1"/>
  <c r="BU202" i="1" s="1"/>
  <c r="BV215" i="1"/>
  <c r="BV216" i="1" s="1"/>
  <c r="BV217" i="1" s="1"/>
  <c r="BV231" i="1" s="1"/>
  <c r="BU215" i="1"/>
  <c r="BU216" i="1" s="1"/>
  <c r="BU217" i="1" s="1"/>
  <c r="BS178" i="1"/>
  <c r="BS179" i="1" s="1"/>
  <c r="BQ184" i="1"/>
  <c r="BU175" i="1"/>
  <c r="BS266" i="1" l="1"/>
  <c r="BS264" i="1"/>
  <c r="BS262" i="1"/>
  <c r="BQ129" i="1"/>
  <c r="BQ132" i="1" s="1"/>
  <c r="BU204" i="1"/>
  <c r="BU207" i="1" s="1"/>
  <c r="BU231" i="1"/>
  <c r="BU228" i="1"/>
  <c r="BT227" i="1"/>
  <c r="BT228" i="1" s="1"/>
  <c r="BT229" i="1" s="1"/>
  <c r="BS229" i="1"/>
  <c r="BS183" i="1"/>
  <c r="BS186" i="1"/>
  <c r="BW171" i="1"/>
  <c r="BW174" i="1" s="1"/>
  <c r="BS127" i="1" l="1"/>
  <c r="BS129" i="1" s="1"/>
  <c r="BS132" i="1" s="1"/>
  <c r="BT55" i="1"/>
  <c r="BW203" i="1"/>
  <c r="BW202" i="1" s="1"/>
  <c r="BX215" i="1"/>
  <c r="BX216" i="1" s="1"/>
  <c r="BX217" i="1" s="1"/>
  <c r="BX231" i="1" s="1"/>
  <c r="BW215" i="1"/>
  <c r="BW216" i="1" s="1"/>
  <c r="BW217" i="1" s="1"/>
  <c r="BW175" i="1"/>
  <c r="BS184" i="1"/>
  <c r="BU178" i="1"/>
  <c r="BU179" i="1" s="1"/>
  <c r="BU264" i="1" l="1"/>
  <c r="BU266" i="1"/>
  <c r="BU262" i="1"/>
  <c r="BS128" i="1"/>
  <c r="BS131" i="1" s="1"/>
  <c r="BW204" i="1"/>
  <c r="BW207" i="1" s="1"/>
  <c r="BW231" i="1"/>
  <c r="BW228" i="1"/>
  <c r="BV227" i="1"/>
  <c r="BV228" i="1" s="1"/>
  <c r="BV229" i="1" s="1"/>
  <c r="BU229" i="1"/>
  <c r="BU183" i="1"/>
  <c r="BU186" i="1"/>
  <c r="BY171" i="1"/>
  <c r="BY174" i="1" s="1"/>
  <c r="BU127" i="1" l="1"/>
  <c r="BU129" i="1" s="1"/>
  <c r="BU132" i="1" s="1"/>
  <c r="BV55" i="1"/>
  <c r="BZ215" i="1"/>
  <c r="BZ216" i="1" s="1"/>
  <c r="BZ217" i="1" s="1"/>
  <c r="BZ231" i="1" s="1"/>
  <c r="BY203" i="1"/>
  <c r="BY202" i="1" s="1"/>
  <c r="BY215" i="1"/>
  <c r="BY216" i="1" s="1"/>
  <c r="BY217" i="1" s="1"/>
  <c r="BW178" i="1"/>
  <c r="BW179" i="1" s="1"/>
  <c r="BY175" i="1"/>
  <c r="BU184" i="1"/>
  <c r="BW264" i="1" l="1"/>
  <c r="BW266" i="1"/>
  <c r="BW262" i="1"/>
  <c r="BU128" i="1"/>
  <c r="BU131" i="1" s="1"/>
  <c r="BY204" i="1"/>
  <c r="BY207" i="1" s="1"/>
  <c r="BY231" i="1"/>
  <c r="BY228" i="1"/>
  <c r="BX227" i="1"/>
  <c r="BX228" i="1" s="1"/>
  <c r="BX229" i="1" s="1"/>
  <c r="BW229" i="1"/>
  <c r="BW183" i="1"/>
  <c r="BW186" i="1"/>
  <c r="BW127" i="1" l="1"/>
  <c r="BW129" i="1" s="1"/>
  <c r="BW132" i="1" s="1"/>
  <c r="BX55" i="1"/>
  <c r="BW184" i="1"/>
  <c r="BY178" i="1"/>
  <c r="BY179" i="1" s="1"/>
  <c r="BY266" i="1" l="1"/>
  <c r="BY264" i="1"/>
  <c r="BY262" i="1"/>
  <c r="BW128" i="1"/>
  <c r="BW131" i="1" s="1"/>
  <c r="BZ227" i="1"/>
  <c r="BZ228" i="1" s="1"/>
  <c r="BZ229" i="1" s="1"/>
  <c r="BY229" i="1"/>
  <c r="BY186" i="1"/>
  <c r="BY183" i="1"/>
  <c r="BY127" i="1" l="1"/>
  <c r="BY128" i="1" s="1"/>
  <c r="BY131" i="1" s="1"/>
  <c r="BZ55" i="1"/>
  <c r="BY184" i="1"/>
  <c r="CC163" i="1"/>
  <c r="CC162" i="1"/>
  <c r="CA162" i="1"/>
  <c r="CA171" i="1"/>
  <c r="CA174" i="1" s="1"/>
  <c r="CA163" i="1"/>
  <c r="BY129" i="1" l="1"/>
  <c r="BY132" i="1" s="1"/>
  <c r="CA166" i="1"/>
  <c r="CA200" i="1" s="1"/>
  <c r="CA199" i="1" s="1"/>
  <c r="CB215" i="1"/>
  <c r="CA203" i="1"/>
  <c r="CA202" i="1" s="1"/>
  <c r="CA215" i="1"/>
  <c r="CC171" i="1"/>
  <c r="CC174" i="1" s="1"/>
  <c r="CC166" i="1"/>
  <c r="CA175" i="1" l="1"/>
  <c r="CA214" i="1"/>
  <c r="CA216" i="1" s="1"/>
  <c r="CA217" i="1" s="1"/>
  <c r="CA231" i="1" s="1"/>
  <c r="CB214" i="1"/>
  <c r="CB216" i="1" s="1"/>
  <c r="CB217" i="1" s="1"/>
  <c r="CB231" i="1" s="1"/>
  <c r="CA204" i="1"/>
  <c r="CD214" i="1"/>
  <c r="CC200" i="1"/>
  <c r="CC199" i="1" s="1"/>
  <c r="CC214" i="1"/>
  <c r="CC203" i="1"/>
  <c r="CC202" i="1" s="1"/>
  <c r="CD215" i="1"/>
  <c r="CC215" i="1"/>
  <c r="CC175" i="1"/>
  <c r="CA207" i="1" l="1"/>
  <c r="CE207" i="1"/>
  <c r="CC216" i="1"/>
  <c r="CC217" i="1" s="1"/>
  <c r="CC231" i="1" s="1"/>
  <c r="CD216" i="1"/>
  <c r="CD217" i="1" s="1"/>
  <c r="CD231" i="1" s="1"/>
  <c r="CA228" i="1"/>
  <c r="CA178" i="1" s="1"/>
  <c r="CA179" i="1" s="1"/>
  <c r="CC204" i="1"/>
  <c r="CA266" i="1" l="1"/>
  <c r="CA264" i="1"/>
  <c r="CA262" i="1"/>
  <c r="CC207" i="1"/>
  <c r="CG207" i="1"/>
  <c r="CC228" i="1"/>
  <c r="CC178" i="1" s="1"/>
  <c r="CC179" i="1" s="1"/>
  <c r="CB227" i="1"/>
  <c r="CB228" i="1" s="1"/>
  <c r="CB229" i="1" s="1"/>
  <c r="CA229" i="1"/>
  <c r="CA186" i="1"/>
  <c r="CA183" i="1"/>
  <c r="CC264" i="1" l="1"/>
  <c r="CC266" i="1"/>
  <c r="CC262" i="1"/>
  <c r="CA127" i="1"/>
  <c r="CA128" i="1" s="1"/>
  <c r="CA131" i="1" s="1"/>
  <c r="CB55" i="1"/>
  <c r="CD227" i="1"/>
  <c r="CD228" i="1" s="1"/>
  <c r="CD229" i="1" s="1"/>
  <c r="CC229" i="1"/>
  <c r="CC183" i="1"/>
  <c r="CC186" i="1"/>
  <c r="CA184" i="1"/>
  <c r="CA129" i="1" l="1"/>
  <c r="CA132" i="1" s="1"/>
  <c r="CC127" i="1"/>
  <c r="CC128" i="1" s="1"/>
  <c r="CC131" i="1" s="1"/>
  <c r="CD55" i="1"/>
  <c r="CC184" i="1"/>
  <c r="CC129" i="1" l="1"/>
  <c r="CC132" i="1" s="1"/>
  <c r="CE107" i="1"/>
  <c r="CD107" i="1"/>
  <c r="CC107" i="1"/>
  <c r="CB107" i="1"/>
  <c r="CI163" i="1" l="1"/>
  <c r="CI171" i="1"/>
  <c r="CI174" i="1" s="1"/>
  <c r="CI162" i="1"/>
  <c r="CJ215" i="1" l="1"/>
  <c r="CI166" i="1"/>
  <c r="CI215" i="1"/>
  <c r="CJ214" i="1" l="1"/>
  <c r="CJ216" i="1" s="1"/>
  <c r="CJ217" i="1" s="1"/>
  <c r="CJ231" i="1" s="1"/>
  <c r="CI175" i="1"/>
  <c r="CI214" i="1"/>
  <c r="CI216" i="1" s="1"/>
  <c r="CI217" i="1" s="1"/>
  <c r="CI231" i="1" s="1"/>
  <c r="CI204" i="1" l="1"/>
  <c r="CI207" i="1" s="1"/>
  <c r="CI228" i="1"/>
  <c r="CI178" i="1" s="1"/>
  <c r="CI179" i="1" s="1"/>
  <c r="CI266" i="1" l="1"/>
  <c r="CI264" i="1"/>
  <c r="CI262" i="1"/>
  <c r="CI229" i="1"/>
  <c r="CJ227" i="1"/>
  <c r="CJ228" i="1" s="1"/>
  <c r="CI186" i="1"/>
  <c r="CI183" i="1"/>
  <c r="CI127" i="1" l="1"/>
  <c r="CI129" i="1" s="1"/>
  <c r="CI132" i="1" s="1"/>
  <c r="CJ55" i="1"/>
  <c r="CJ229" i="1"/>
  <c r="CI184" i="1"/>
  <c r="CI128" i="1" l="1"/>
  <c r="CI131" i="1" s="1"/>
  <c r="CJ186" i="1"/>
  <c r="CK55" i="1" s="1"/>
  <c r="CJ127" i="1" l="1"/>
  <c r="CJ128" i="1" s="1"/>
  <c r="CJ131" i="1" s="1"/>
  <c r="CJ129" i="1" l="1"/>
  <c r="CJ132" i="1" s="1"/>
  <c r="CK249" i="1"/>
  <c r="CK271" i="1"/>
  <c r="CK270" i="1"/>
  <c r="CK162" i="1" l="1"/>
  <c r="CK171" i="1"/>
  <c r="CK163" i="1"/>
  <c r="CK170" i="1"/>
  <c r="CK243" i="1"/>
  <c r="CK164" i="1"/>
  <c r="CK174" i="1" l="1"/>
  <c r="CK166" i="1"/>
  <c r="CK215" i="1" l="1"/>
  <c r="CL215" i="1"/>
  <c r="CK214" i="1"/>
  <c r="CL214" i="1"/>
  <c r="CK175" i="1"/>
  <c r="CK268" i="1"/>
  <c r="CK269" i="1" s="1"/>
  <c r="CK250" i="1"/>
  <c r="CK251" i="1" s="1"/>
  <c r="CK244" i="1"/>
  <c r="CL216" i="1" l="1"/>
  <c r="CL217" i="1" s="1"/>
  <c r="CL231" i="1" s="1"/>
  <c r="CK216" i="1"/>
  <c r="CK263" i="1" l="1"/>
  <c r="CK245" i="1"/>
  <c r="CK252" i="1"/>
  <c r="CK211" i="1" l="1"/>
  <c r="CK213" i="1" s="1"/>
  <c r="CK217" i="1" s="1"/>
  <c r="CK231" i="1" s="1"/>
  <c r="CK137" i="1"/>
  <c r="CK138" i="1" l="1"/>
  <c r="CL225" i="1" s="1"/>
  <c r="CL223" i="1" s="1"/>
  <c r="CK110" i="1" l="1"/>
  <c r="CK72" i="1"/>
  <c r="CG107" i="1"/>
  <c r="CK225" i="1"/>
  <c r="CK223" i="1" s="1"/>
  <c r="CK228" i="1" s="1"/>
  <c r="CK147" i="1"/>
  <c r="CK73" i="1" s="1"/>
  <c r="CK112" i="1" l="1"/>
  <c r="CK113" i="1"/>
  <c r="CK114" i="1"/>
  <c r="CK178" i="1"/>
  <c r="CK179" i="1" s="1"/>
  <c r="CL227" i="1" s="1"/>
  <c r="CL228" i="1" s="1"/>
  <c r="CL229" i="1" s="1"/>
  <c r="CK229" i="1" l="1"/>
  <c r="CK266" i="1"/>
  <c r="CK262" i="1"/>
  <c r="CK264" i="1"/>
  <c r="CK183" i="1"/>
  <c r="CK186" i="1"/>
  <c r="CK127" i="1" l="1"/>
  <c r="CL55" i="1"/>
  <c r="CM55" i="1" s="1"/>
  <c r="CN55" i="1" s="1"/>
  <c r="CO55" i="1" s="1"/>
  <c r="CP55" i="1" s="1"/>
  <c r="CQ55" i="1" s="1"/>
  <c r="CR55" i="1" s="1"/>
  <c r="CS55" i="1" s="1"/>
  <c r="CT55" i="1" s="1"/>
  <c r="CU55" i="1" s="1"/>
  <c r="CV55" i="1" s="1"/>
  <c r="CW55" i="1" s="1"/>
  <c r="CX55" i="1" s="1"/>
  <c r="CY55" i="1" s="1"/>
  <c r="CZ55" i="1" s="1"/>
  <c r="DA55" i="1" s="1"/>
  <c r="DB55" i="1" s="1"/>
  <c r="CK184" i="1"/>
  <c r="CK129" i="1" l="1"/>
  <c r="CK132" i="1" s="1"/>
  <c r="CK128" i="1"/>
  <c r="CK131" i="1" s="1"/>
  <c r="CL110" i="1" l="1"/>
  <c r="CL72" i="1"/>
  <c r="CM105" i="1"/>
  <c r="CN105" i="1" s="1"/>
  <c r="CO105" i="1" s="1"/>
  <c r="CP105" i="1" s="1"/>
  <c r="CQ105" i="1" s="1"/>
  <c r="CR105" i="1" s="1"/>
  <c r="CS105" i="1" s="1"/>
  <c r="CT105" i="1" s="1"/>
  <c r="CU105" i="1" s="1"/>
  <c r="CV105" i="1" s="1"/>
  <c r="CW105" i="1" s="1"/>
  <c r="CX105" i="1" s="1"/>
  <c r="CY105" i="1" s="1"/>
  <c r="CZ105" i="1" s="1"/>
  <c r="DA105" i="1" s="1"/>
  <c r="DB105" i="1" s="1"/>
  <c r="CL73" i="1"/>
  <c r="CH107" i="1"/>
  <c r="CL113" i="1" l="1"/>
  <c r="CM113" i="1" s="1"/>
  <c r="CN113" i="1" s="1"/>
  <c r="CO113" i="1" s="1"/>
  <c r="CP113" i="1" s="1"/>
  <c r="CQ113" i="1" s="1"/>
  <c r="CR113" i="1" s="1"/>
  <c r="CS113" i="1" s="1"/>
  <c r="CT113" i="1" s="1"/>
  <c r="CU113" i="1" s="1"/>
  <c r="CV113" i="1" s="1"/>
  <c r="CW113" i="1" s="1"/>
  <c r="CX113" i="1" s="1"/>
  <c r="CY113" i="1" s="1"/>
  <c r="CZ113" i="1" s="1"/>
  <c r="DA113" i="1" s="1"/>
  <c r="DB113" i="1" s="1"/>
  <c r="CL112" i="1"/>
  <c r="CL114" i="1"/>
  <c r="CM114" i="1" s="1"/>
  <c r="CN114" i="1" s="1"/>
  <c r="CO114" i="1" s="1"/>
  <c r="CP114" i="1" s="1"/>
  <c r="CQ114" i="1" s="1"/>
  <c r="CR114" i="1" s="1"/>
  <c r="CS114" i="1" s="1"/>
  <c r="CT114" i="1" s="1"/>
  <c r="CU114" i="1" s="1"/>
  <c r="CV114" i="1" s="1"/>
  <c r="CW114" i="1" s="1"/>
  <c r="CX114" i="1" s="1"/>
  <c r="CY114" i="1" s="1"/>
  <c r="CZ114" i="1" s="1"/>
  <c r="DA114" i="1" s="1"/>
  <c r="DB114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227" i="1" l="1"/>
  <c r="CL127" i="1"/>
  <c r="AB227" i="1"/>
  <c r="CL129" i="1" l="1"/>
  <c r="CL132" i="1" s="1"/>
  <c r="CL128" i="1"/>
  <c r="CL131" i="1" s="1"/>
  <c r="CM54" i="1"/>
  <c r="CP18" i="1"/>
  <c r="AB18" i="1" s="1"/>
  <c r="CL20" i="1"/>
  <c r="AA18" i="1"/>
  <c r="AA21" i="1" s="1"/>
  <c r="CM17" i="1" l="1"/>
  <c r="AA20" i="1"/>
  <c r="AB21" i="1"/>
  <c r="CT18" i="1"/>
  <c r="AC18" i="1" l="1"/>
  <c r="AC21" i="1" s="1"/>
  <c r="CX18" i="1"/>
  <c r="CM19" i="1"/>
  <c r="CM20" i="1" s="1"/>
  <c r="CN17" i="1" l="1"/>
  <c r="CM26" i="1"/>
  <c r="DB18" i="1"/>
  <c r="AE18" i="1" s="1"/>
  <c r="AD18" i="1"/>
  <c r="AD21" i="1" s="1"/>
  <c r="CM271" i="1" l="1"/>
  <c r="CM28" i="1"/>
  <c r="CM249" i="1"/>
  <c r="CM116" i="1"/>
  <c r="CM117" i="1" s="1"/>
  <c r="CM120" i="1" s="1"/>
  <c r="CM270" i="1"/>
  <c r="AE21" i="1"/>
  <c r="CN19" i="1"/>
  <c r="CN20" i="1" s="1"/>
  <c r="CO17" i="1" l="1"/>
  <c r="CN26" i="1"/>
  <c r="CM29" i="1"/>
  <c r="CM34" i="1"/>
  <c r="CM44" i="1"/>
  <c r="CM41" i="1" s="1"/>
  <c r="CM170" i="1"/>
  <c r="CM30" i="1"/>
  <c r="CM164" i="1"/>
  <c r="CM162" i="1"/>
  <c r="CM166" i="1" s="1"/>
  <c r="CM163" i="1"/>
  <c r="CM243" i="1"/>
  <c r="CM171" i="1"/>
  <c r="CM174" i="1" l="1"/>
  <c r="CM37" i="1"/>
  <c r="CM46" i="1"/>
  <c r="CM36" i="1"/>
  <c r="CM33" i="1"/>
  <c r="CN249" i="1"/>
  <c r="CN271" i="1"/>
  <c r="CN28" i="1"/>
  <c r="CN116" i="1"/>
  <c r="CN117" i="1" s="1"/>
  <c r="CN120" i="1" s="1"/>
  <c r="CM214" i="1"/>
  <c r="CO19" i="1"/>
  <c r="CO20" i="1" s="1"/>
  <c r="CM175" i="1" l="1"/>
  <c r="CP17" i="1"/>
  <c r="CM250" i="1"/>
  <c r="CM251" i="1" s="1"/>
  <c r="CM47" i="1"/>
  <c r="CM52" i="1"/>
  <c r="CM48" i="1"/>
  <c r="CM268" i="1"/>
  <c r="CM269" i="1" s="1"/>
  <c r="CM49" i="1"/>
  <c r="CM244" i="1"/>
  <c r="CM130" i="1"/>
  <c r="CO26" i="1"/>
  <c r="CN44" i="1"/>
  <c r="CN41" i="1" s="1"/>
  <c r="CN34" i="1"/>
  <c r="CN33" i="1" s="1"/>
  <c r="CN164" i="1"/>
  <c r="CN29" i="1"/>
  <c r="CN162" i="1"/>
  <c r="CN163" i="1"/>
  <c r="CN171" i="1"/>
  <c r="CN170" i="1"/>
  <c r="CN174" i="1" s="1"/>
  <c r="CN30" i="1"/>
  <c r="CN243" i="1"/>
  <c r="CM215" i="1"/>
  <c r="CM216" i="1" s="1"/>
  <c r="CM56" i="1" l="1"/>
  <c r="CN166" i="1"/>
  <c r="CN37" i="1"/>
  <c r="CN46" i="1"/>
  <c r="CN36" i="1"/>
  <c r="CO249" i="1"/>
  <c r="CO28" i="1"/>
  <c r="CO271" i="1"/>
  <c r="CO116" i="1"/>
  <c r="CO117" i="1" s="1"/>
  <c r="CO120" i="1" s="1"/>
  <c r="CN215" i="1"/>
  <c r="CP19" i="1"/>
  <c r="CP20" i="1"/>
  <c r="AB17" i="1"/>
  <c r="CM57" i="1" l="1"/>
  <c r="CM59" i="1"/>
  <c r="CQ17" i="1"/>
  <c r="AB20" i="1"/>
  <c r="CP26" i="1"/>
  <c r="AB19" i="1"/>
  <c r="AB22" i="1" s="1"/>
  <c r="CN52" i="1"/>
  <c r="CN49" i="1"/>
  <c r="CN48" i="1"/>
  <c r="CN47" i="1"/>
  <c r="CN250" i="1"/>
  <c r="CN251" i="1" s="1"/>
  <c r="CN268" i="1"/>
  <c r="CN269" i="1" s="1"/>
  <c r="CN130" i="1"/>
  <c r="CN244" i="1"/>
  <c r="CO170" i="1"/>
  <c r="CO34" i="1"/>
  <c r="CO33" i="1" s="1"/>
  <c r="CO44" i="1"/>
  <c r="CO41" i="1" s="1"/>
  <c r="CO162" i="1"/>
  <c r="CO29" i="1"/>
  <c r="CO164" i="1"/>
  <c r="CO171" i="1"/>
  <c r="CO163" i="1"/>
  <c r="CO30" i="1"/>
  <c r="CO243" i="1"/>
  <c r="CN175" i="1"/>
  <c r="CN214" i="1"/>
  <c r="CN216" i="1" s="1"/>
  <c r="CP271" i="1" l="1"/>
  <c r="CP28" i="1"/>
  <c r="CP249" i="1"/>
  <c r="CP116" i="1"/>
  <c r="CP117" i="1" s="1"/>
  <c r="CP120" i="1" s="1"/>
  <c r="AB26" i="1"/>
  <c r="CO166" i="1"/>
  <c r="CQ19" i="1"/>
  <c r="CO174" i="1"/>
  <c r="CM62" i="1"/>
  <c r="CM252" i="1"/>
  <c r="CM66" i="1"/>
  <c r="CM60" i="1"/>
  <c r="CM263" i="1" s="1"/>
  <c r="CM61" i="1"/>
  <c r="CM245" i="1"/>
  <c r="CO36" i="1"/>
  <c r="CO46" i="1"/>
  <c r="CO37" i="1"/>
  <c r="CO52" i="1" l="1"/>
  <c r="CO250" i="1"/>
  <c r="CO251" i="1" s="1"/>
  <c r="CO49" i="1"/>
  <c r="CO268" i="1"/>
  <c r="CO269" i="1" s="1"/>
  <c r="CO48" i="1"/>
  <c r="CO47" i="1"/>
  <c r="CO244" i="1"/>
  <c r="CO130" i="1"/>
  <c r="AB28" i="1"/>
  <c r="AB271" i="1"/>
  <c r="CM84" i="1"/>
  <c r="CM137" i="1"/>
  <c r="CM211" i="1"/>
  <c r="CM213" i="1" s="1"/>
  <c r="CM217" i="1" s="1"/>
  <c r="CM231" i="1" s="1"/>
  <c r="CP170" i="1"/>
  <c r="CP29" i="1"/>
  <c r="CP164" i="1"/>
  <c r="AB164" i="1" s="1"/>
  <c r="CP44" i="1"/>
  <c r="CP41" i="1" s="1"/>
  <c r="AB41" i="1" s="1"/>
  <c r="AB44" i="1" s="1"/>
  <c r="CP34" i="1"/>
  <c r="CP162" i="1"/>
  <c r="CP171" i="1"/>
  <c r="AB171" i="1" s="1"/>
  <c r="AB201" i="1" s="1"/>
  <c r="CP163" i="1"/>
  <c r="AB163" i="1" s="1"/>
  <c r="AB198" i="1" s="1"/>
  <c r="CP243" i="1"/>
  <c r="CP30" i="1"/>
  <c r="CO215" i="1"/>
  <c r="CQ26" i="1"/>
  <c r="CO175" i="1"/>
  <c r="CO214" i="1"/>
  <c r="CQ20" i="1"/>
  <c r="AB45" i="1" l="1"/>
  <c r="AB76" i="1"/>
  <c r="AB206" i="1"/>
  <c r="AB29" i="1"/>
  <c r="AB116" i="1"/>
  <c r="CP36" i="1"/>
  <c r="CP46" i="1"/>
  <c r="CP37" i="1"/>
  <c r="CP174" i="1"/>
  <c r="AB170" i="1"/>
  <c r="AB174" i="1" s="1"/>
  <c r="CR17" i="1"/>
  <c r="CO216" i="1"/>
  <c r="CP166" i="1"/>
  <c r="AB162" i="1"/>
  <c r="CM138" i="1"/>
  <c r="CQ28" i="1"/>
  <c r="CQ271" i="1"/>
  <c r="CQ249" i="1"/>
  <c r="CQ116" i="1"/>
  <c r="CQ117" i="1" s="1"/>
  <c r="CQ120" i="1" s="1"/>
  <c r="CP33" i="1"/>
  <c r="AB33" i="1" s="1"/>
  <c r="CM87" i="1"/>
  <c r="AB34" i="1" l="1"/>
  <c r="CP52" i="1"/>
  <c r="CP47" i="1"/>
  <c r="CP48" i="1"/>
  <c r="CP250" i="1"/>
  <c r="CP251" i="1" s="1"/>
  <c r="CP268" i="1"/>
  <c r="CP269" i="1" s="1"/>
  <c r="CP49" i="1"/>
  <c r="CP244" i="1"/>
  <c r="CP130" i="1"/>
  <c r="CM103" i="1"/>
  <c r="CM88" i="1"/>
  <c r="CM97" i="1"/>
  <c r="CI107" i="1"/>
  <c r="CM96" i="1"/>
  <c r="CR19" i="1"/>
  <c r="CP175" i="1"/>
  <c r="CP214" i="1"/>
  <c r="CQ164" i="1"/>
  <c r="CQ44" i="1"/>
  <c r="CQ41" i="1" s="1"/>
  <c r="CQ170" i="1"/>
  <c r="CQ163" i="1"/>
  <c r="CQ34" i="1"/>
  <c r="CQ171" i="1"/>
  <c r="CQ162" i="1"/>
  <c r="CQ29" i="1"/>
  <c r="CQ243" i="1"/>
  <c r="CQ30" i="1"/>
  <c r="AB203" i="1"/>
  <c r="AB202" i="1" s="1"/>
  <c r="AB215" i="1"/>
  <c r="CP215" i="1"/>
  <c r="AB197" i="1"/>
  <c r="AB166" i="1"/>
  <c r="CM147" i="1"/>
  <c r="CM73" i="1" s="1"/>
  <c r="CM225" i="1"/>
  <c r="CM223" i="1" s="1"/>
  <c r="CM228" i="1" s="1"/>
  <c r="CM110" i="1"/>
  <c r="CM112" i="1" s="1"/>
  <c r="CM72" i="1"/>
  <c r="CP216" i="1" l="1"/>
  <c r="CR20" i="1"/>
  <c r="AB36" i="1"/>
  <c r="AB46" i="1"/>
  <c r="AB77" i="1"/>
  <c r="AB35" i="1"/>
  <c r="CS17" i="1"/>
  <c r="AB175" i="1"/>
  <c r="AB200" i="1"/>
  <c r="AB214" i="1"/>
  <c r="AB216" i="1" s="1"/>
  <c r="CR26" i="1"/>
  <c r="CM125" i="1"/>
  <c r="CM99" i="1"/>
  <c r="CQ36" i="1"/>
  <c r="CQ37" i="1"/>
  <c r="CQ46" i="1"/>
  <c r="CQ33" i="1"/>
  <c r="CM178" i="1"/>
  <c r="CM179" i="1" s="1"/>
  <c r="CQ166" i="1"/>
  <c r="CQ174" i="1"/>
  <c r="CM126" i="1"/>
  <c r="CM100" i="1"/>
  <c r="AB48" i="1" l="1"/>
  <c r="AB130" i="1"/>
  <c r="AB47" i="1"/>
  <c r="AB52" i="1"/>
  <c r="AB78" i="1"/>
  <c r="AB268" i="1"/>
  <c r="AB269" i="1" s="1"/>
  <c r="CR271" i="1"/>
  <c r="CR28" i="1"/>
  <c r="CR249" i="1"/>
  <c r="CR116" i="1"/>
  <c r="CR117" i="1" s="1"/>
  <c r="CR120" i="1" s="1"/>
  <c r="CQ215" i="1"/>
  <c r="CQ48" i="1"/>
  <c r="CQ250" i="1"/>
  <c r="CQ251" i="1" s="1"/>
  <c r="CQ268" i="1"/>
  <c r="CQ269" i="1" s="1"/>
  <c r="CQ52" i="1"/>
  <c r="CQ47" i="1"/>
  <c r="CQ49" i="1"/>
  <c r="CQ130" i="1"/>
  <c r="CQ244" i="1"/>
  <c r="AB199" i="1"/>
  <c r="AB204" i="1"/>
  <c r="AB207" i="1" s="1"/>
  <c r="AB208" i="1" s="1"/>
  <c r="CQ175" i="1"/>
  <c r="CQ214" i="1"/>
  <c r="CN227" i="1"/>
  <c r="CM183" i="1"/>
  <c r="CM184" i="1" s="1"/>
  <c r="CM266" i="1"/>
  <c r="CM186" i="1"/>
  <c r="CM264" i="1"/>
  <c r="CM262" i="1"/>
  <c r="CM229" i="1"/>
  <c r="CS19" i="1"/>
  <c r="CQ216" i="1" l="1"/>
  <c r="CN54" i="1"/>
  <c r="CM127" i="1"/>
  <c r="CR171" i="1"/>
  <c r="CR163" i="1"/>
  <c r="CR162" i="1"/>
  <c r="CR166" i="1" s="1"/>
  <c r="CR34" i="1"/>
  <c r="CR170" i="1"/>
  <c r="CR164" i="1"/>
  <c r="CR44" i="1"/>
  <c r="CR41" i="1" s="1"/>
  <c r="CR29" i="1"/>
  <c r="CR243" i="1"/>
  <c r="CR30" i="1"/>
  <c r="CS26" i="1"/>
  <c r="CS20" i="1"/>
  <c r="CR174" i="1" l="1"/>
  <c r="CR37" i="1"/>
  <c r="CR46" i="1"/>
  <c r="CR36" i="1"/>
  <c r="CM129" i="1"/>
  <c r="CM132" i="1" s="1"/>
  <c r="CM128" i="1"/>
  <c r="CM131" i="1" s="1"/>
  <c r="CS249" i="1"/>
  <c r="CS271" i="1"/>
  <c r="CS28" i="1"/>
  <c r="CS116" i="1"/>
  <c r="CS117" i="1" s="1"/>
  <c r="CS120" i="1" s="1"/>
  <c r="CN270" i="1"/>
  <c r="CN56" i="1"/>
  <c r="CR33" i="1"/>
  <c r="CT17" i="1"/>
  <c r="CR214" i="1"/>
  <c r="CR175" i="1" l="1"/>
  <c r="CR215" i="1"/>
  <c r="CR216" i="1"/>
  <c r="CT19" i="1"/>
  <c r="AC17" i="1"/>
  <c r="CR52" i="1"/>
  <c r="CR268" i="1"/>
  <c r="CR269" i="1" s="1"/>
  <c r="CR47" i="1"/>
  <c r="CR250" i="1"/>
  <c r="CR251" i="1" s="1"/>
  <c r="CR49" i="1"/>
  <c r="CR48" i="1"/>
  <c r="CR130" i="1"/>
  <c r="CR244" i="1"/>
  <c r="CN57" i="1"/>
  <c r="CS171" i="1"/>
  <c r="CS162" i="1"/>
  <c r="CS163" i="1"/>
  <c r="CS170" i="1"/>
  <c r="CS174" i="1" s="1"/>
  <c r="CS44" i="1"/>
  <c r="CS41" i="1" s="1"/>
  <c r="CS164" i="1"/>
  <c r="CS34" i="1"/>
  <c r="CS29" i="1"/>
  <c r="CS243" i="1"/>
  <c r="CS30" i="1"/>
  <c r="CN59" i="1" l="1"/>
  <c r="CS46" i="1"/>
  <c r="CS36" i="1"/>
  <c r="CS37" i="1"/>
  <c r="CS33" i="1"/>
  <c r="CS166" i="1"/>
  <c r="CS215" i="1"/>
  <c r="CT26" i="1"/>
  <c r="AC19" i="1"/>
  <c r="AC22" i="1" s="1"/>
  <c r="CT20" i="1"/>
  <c r="CN245" i="1" l="1"/>
  <c r="CN66" i="1"/>
  <c r="CN62" i="1"/>
  <c r="CN61" i="1"/>
  <c r="CN60" i="1"/>
  <c r="CN263" i="1" s="1"/>
  <c r="CN252" i="1"/>
  <c r="CS175" i="1"/>
  <c r="CS214" i="1"/>
  <c r="CS216" i="1" s="1"/>
  <c r="CU17" i="1"/>
  <c r="AC20" i="1"/>
  <c r="CT28" i="1"/>
  <c r="CT249" i="1"/>
  <c r="CT271" i="1"/>
  <c r="AC26" i="1"/>
  <c r="CT116" i="1"/>
  <c r="CT117" i="1" s="1"/>
  <c r="CT120" i="1" s="1"/>
  <c r="CS52" i="1"/>
  <c r="CS268" i="1"/>
  <c r="CS269" i="1" s="1"/>
  <c r="CS48" i="1"/>
  <c r="CS47" i="1"/>
  <c r="CS250" i="1"/>
  <c r="CS251" i="1" s="1"/>
  <c r="CS49" i="1"/>
  <c r="CS130" i="1"/>
  <c r="CS244" i="1"/>
  <c r="CN84" i="1" l="1"/>
  <c r="CN211" i="1"/>
  <c r="CN213" i="1" s="1"/>
  <c r="CN217" i="1" s="1"/>
  <c r="CN231" i="1" s="1"/>
  <c r="CN137" i="1"/>
  <c r="CT164" i="1"/>
  <c r="AC164" i="1" s="1"/>
  <c r="CT162" i="1"/>
  <c r="CT163" i="1"/>
  <c r="AC163" i="1" s="1"/>
  <c r="AC198" i="1" s="1"/>
  <c r="CT171" i="1"/>
  <c r="AC171" i="1" s="1"/>
  <c r="AC201" i="1" s="1"/>
  <c r="CT170" i="1"/>
  <c r="CT44" i="1"/>
  <c r="CT41" i="1" s="1"/>
  <c r="AC41" i="1" s="1"/>
  <c r="AC44" i="1" s="1"/>
  <c r="CT34" i="1"/>
  <c r="CT29" i="1"/>
  <c r="CT243" i="1"/>
  <c r="CT30" i="1"/>
  <c r="CU19" i="1"/>
  <c r="AC28" i="1"/>
  <c r="AC271" i="1"/>
  <c r="CN87" i="1" l="1"/>
  <c r="AC45" i="1"/>
  <c r="CN138" i="1"/>
  <c r="CU20" i="1"/>
  <c r="CT166" i="1"/>
  <c r="AC162" i="1"/>
  <c r="CT36" i="1"/>
  <c r="CT46" i="1"/>
  <c r="CT37" i="1"/>
  <c r="AC206" i="1"/>
  <c r="AC76" i="1"/>
  <c r="AC29" i="1"/>
  <c r="AC116" i="1"/>
  <c r="CT33" i="1"/>
  <c r="AC33" i="1" s="1"/>
  <c r="AC34" i="1" s="1"/>
  <c r="CJ107" i="1"/>
  <c r="CN103" i="1"/>
  <c r="CU26" i="1"/>
  <c r="CT174" i="1"/>
  <c r="AC170" i="1"/>
  <c r="AC174" i="1" s="1"/>
  <c r="CV17" i="1" l="1"/>
  <c r="CN88" i="1"/>
  <c r="CN97" i="1"/>
  <c r="CN96" i="1"/>
  <c r="CN110" i="1"/>
  <c r="CN112" i="1" s="1"/>
  <c r="CN147" i="1"/>
  <c r="CN73" i="1" s="1"/>
  <c r="CN225" i="1"/>
  <c r="CN223" i="1" s="1"/>
  <c r="CN228" i="1" s="1"/>
  <c r="CN72" i="1"/>
  <c r="AC46" i="1"/>
  <c r="AC35" i="1"/>
  <c r="AC77" i="1"/>
  <c r="AC36" i="1"/>
  <c r="CN99" i="1"/>
  <c r="CN125" i="1"/>
  <c r="CN100" i="1"/>
  <c r="CN126" i="1"/>
  <c r="AC203" i="1"/>
  <c r="AC202" i="1" s="1"/>
  <c r="AC215" i="1"/>
  <c r="CV19" i="1"/>
  <c r="CV20" i="1"/>
  <c r="CT215" i="1"/>
  <c r="AC166" i="1"/>
  <c r="AC197" i="1"/>
  <c r="CT52" i="1"/>
  <c r="CT268" i="1"/>
  <c r="CT269" i="1" s="1"/>
  <c r="CT47" i="1"/>
  <c r="CT250" i="1"/>
  <c r="CT251" i="1" s="1"/>
  <c r="CT48" i="1"/>
  <c r="CT49" i="1"/>
  <c r="CT244" i="1"/>
  <c r="CT130" i="1"/>
  <c r="CU28" i="1"/>
  <c r="CU271" i="1"/>
  <c r="CU249" i="1"/>
  <c r="CU116" i="1"/>
  <c r="CU117" i="1" s="1"/>
  <c r="CU120" i="1" s="1"/>
  <c r="CT175" i="1"/>
  <c r="CT214" i="1"/>
  <c r="CN178" i="1" l="1"/>
  <c r="CN179" i="1" s="1"/>
  <c r="CT216" i="1"/>
  <c r="CW17" i="1"/>
  <c r="CU44" i="1"/>
  <c r="CU41" i="1" s="1"/>
  <c r="CU162" i="1"/>
  <c r="CU34" i="1"/>
  <c r="CU163" i="1"/>
  <c r="CU171" i="1"/>
  <c r="CU170" i="1"/>
  <c r="CU164" i="1"/>
  <c r="CU29" i="1"/>
  <c r="CU30" i="1"/>
  <c r="CU243" i="1"/>
  <c r="AC200" i="1"/>
  <c r="AC175" i="1"/>
  <c r="AC214" i="1"/>
  <c r="AC216" i="1" s="1"/>
  <c r="CV26" i="1"/>
  <c r="AC52" i="1"/>
  <c r="AC47" i="1"/>
  <c r="AC130" i="1"/>
  <c r="AC268" i="1"/>
  <c r="AC269" i="1" s="1"/>
  <c r="AC78" i="1"/>
  <c r="AC48" i="1"/>
  <c r="CN229" i="1" l="1"/>
  <c r="CO227" i="1"/>
  <c r="CN186" i="1"/>
  <c r="CN266" i="1"/>
  <c r="CN264" i="1"/>
  <c r="CN183" i="1"/>
  <c r="CN184" i="1" s="1"/>
  <c r="CN262" i="1"/>
  <c r="CU36" i="1"/>
  <c r="CU46" i="1"/>
  <c r="CU37" i="1"/>
  <c r="CU166" i="1"/>
  <c r="CN127" i="1"/>
  <c r="CO54" i="1"/>
  <c r="CU174" i="1"/>
  <c r="CU33" i="1"/>
  <c r="CV28" i="1"/>
  <c r="CV271" i="1"/>
  <c r="CV249" i="1"/>
  <c r="CV116" i="1"/>
  <c r="CV117" i="1" s="1"/>
  <c r="CV120" i="1" s="1"/>
  <c r="AC204" i="1"/>
  <c r="AC207" i="1" s="1"/>
  <c r="AC208" i="1" s="1"/>
  <c r="AC199" i="1"/>
  <c r="CW19" i="1"/>
  <c r="CW20" i="1"/>
  <c r="CU175" i="1" l="1"/>
  <c r="CU214" i="1"/>
  <c r="CU215" i="1"/>
  <c r="CW26" i="1"/>
  <c r="CV162" i="1"/>
  <c r="CV164" i="1"/>
  <c r="CV170" i="1"/>
  <c r="CV163" i="1"/>
  <c r="CV171" i="1"/>
  <c r="CV34" i="1"/>
  <c r="CV44" i="1"/>
  <c r="CV41" i="1" s="1"/>
  <c r="CV29" i="1"/>
  <c r="CV243" i="1"/>
  <c r="CV30" i="1"/>
  <c r="CN129" i="1"/>
  <c r="CN132" i="1" s="1"/>
  <c r="CN128" i="1"/>
  <c r="CN131" i="1" s="1"/>
  <c r="CU52" i="1"/>
  <c r="CU48" i="1"/>
  <c r="CU250" i="1"/>
  <c r="CU251" i="1" s="1"/>
  <c r="CU49" i="1"/>
  <c r="CU268" i="1"/>
  <c r="CU269" i="1" s="1"/>
  <c r="CU47" i="1"/>
  <c r="CU244" i="1"/>
  <c r="CU130" i="1"/>
  <c r="CX17" i="1"/>
  <c r="CO270" i="1"/>
  <c r="CO56" i="1"/>
  <c r="CV166" i="1" l="1"/>
  <c r="CV174" i="1"/>
  <c r="CV215" i="1" s="1"/>
  <c r="CV33" i="1"/>
  <c r="CW28" i="1"/>
  <c r="CW249" i="1"/>
  <c r="CW271" i="1"/>
  <c r="CW116" i="1"/>
  <c r="CW117" i="1" s="1"/>
  <c r="CW120" i="1" s="1"/>
  <c r="CX19" i="1"/>
  <c r="AD17" i="1"/>
  <c r="CU216" i="1"/>
  <c r="CO57" i="1"/>
  <c r="CV37" i="1"/>
  <c r="CV36" i="1"/>
  <c r="CV46" i="1"/>
  <c r="CV214" i="1" l="1"/>
  <c r="CV216" i="1" s="1"/>
  <c r="CV175" i="1"/>
  <c r="CO59" i="1"/>
  <c r="CX20" i="1"/>
  <c r="CO252" i="1"/>
  <c r="CO62" i="1"/>
  <c r="CV52" i="1"/>
  <c r="CV250" i="1"/>
  <c r="CV251" i="1" s="1"/>
  <c r="CV49" i="1"/>
  <c r="CV48" i="1"/>
  <c r="CV268" i="1"/>
  <c r="CV269" i="1" s="1"/>
  <c r="CV47" i="1"/>
  <c r="CV130" i="1"/>
  <c r="CV244" i="1"/>
  <c r="CW170" i="1"/>
  <c r="CW164" i="1"/>
  <c r="CW34" i="1"/>
  <c r="CW33" i="1" s="1"/>
  <c r="CW44" i="1"/>
  <c r="CW41" i="1" s="1"/>
  <c r="CW162" i="1"/>
  <c r="CW171" i="1"/>
  <c r="CW163" i="1"/>
  <c r="CW29" i="1"/>
  <c r="CW30" i="1"/>
  <c r="CW243" i="1"/>
  <c r="CX26" i="1"/>
  <c r="AD19" i="1"/>
  <c r="AD22" i="1" s="1"/>
  <c r="CO245" i="1" l="1"/>
  <c r="AD20" i="1"/>
  <c r="CO61" i="1"/>
  <c r="CO60" i="1"/>
  <c r="CO263" i="1" s="1"/>
  <c r="CO66" i="1"/>
  <c r="CY17" i="1"/>
  <c r="CX271" i="1"/>
  <c r="CX249" i="1"/>
  <c r="CX28" i="1"/>
  <c r="CX116" i="1"/>
  <c r="CX117" i="1" s="1"/>
  <c r="CX120" i="1" s="1"/>
  <c r="AD26" i="1"/>
  <c r="CW174" i="1"/>
  <c r="CW166" i="1"/>
  <c r="CW37" i="1"/>
  <c r="CW46" i="1"/>
  <c r="CW36" i="1"/>
  <c r="CO211" i="1" l="1"/>
  <c r="CO213" i="1" s="1"/>
  <c r="CO217" i="1" s="1"/>
  <c r="CO231" i="1" s="1"/>
  <c r="CO84" i="1"/>
  <c r="CO137" i="1"/>
  <c r="CY19" i="1"/>
  <c r="AD28" i="1"/>
  <c r="AD271" i="1"/>
  <c r="CW175" i="1"/>
  <c r="CW214" i="1"/>
  <c r="CX34" i="1"/>
  <c r="CX162" i="1"/>
  <c r="CX163" i="1"/>
  <c r="AD163" i="1" s="1"/>
  <c r="AD198" i="1" s="1"/>
  <c r="CX44" i="1"/>
  <c r="CX41" i="1" s="1"/>
  <c r="AD41" i="1" s="1"/>
  <c r="AD44" i="1" s="1"/>
  <c r="CX170" i="1"/>
  <c r="CX171" i="1"/>
  <c r="AD171" i="1" s="1"/>
  <c r="AD201" i="1" s="1"/>
  <c r="CX164" i="1"/>
  <c r="AD164" i="1" s="1"/>
  <c r="CX29" i="1"/>
  <c r="CX243" i="1"/>
  <c r="CX30" i="1"/>
  <c r="CW52" i="1"/>
  <c r="CW268" i="1"/>
  <c r="CW269" i="1" s="1"/>
  <c r="CW250" i="1"/>
  <c r="CW251" i="1" s="1"/>
  <c r="CW49" i="1"/>
  <c r="CW48" i="1"/>
  <c r="CW47" i="1"/>
  <c r="CW244" i="1"/>
  <c r="CW130" i="1"/>
  <c r="CW215" i="1"/>
  <c r="CO87" i="1" l="1"/>
  <c r="CO138" i="1"/>
  <c r="CY20" i="1"/>
  <c r="AD45" i="1"/>
  <c r="CX33" i="1"/>
  <c r="AD33" i="1" s="1"/>
  <c r="CY26" i="1"/>
  <c r="CX174" i="1"/>
  <c r="AD170" i="1"/>
  <c r="AD174" i="1" s="1"/>
  <c r="AD116" i="1"/>
  <c r="AD29" i="1"/>
  <c r="AD206" i="1"/>
  <c r="AD76" i="1"/>
  <c r="AD162" i="1"/>
  <c r="CX166" i="1"/>
  <c r="CX37" i="1"/>
  <c r="CX36" i="1"/>
  <c r="CX46" i="1"/>
  <c r="CO88" i="1"/>
  <c r="CO97" i="1"/>
  <c r="CO96" i="1"/>
  <c r="CW216" i="1"/>
  <c r="CO103" i="1" l="1"/>
  <c r="CK107" i="1"/>
  <c r="CO225" i="1"/>
  <c r="CO223" i="1" s="1"/>
  <c r="CO228" i="1" s="1"/>
  <c r="CO147" i="1"/>
  <c r="CO73" i="1" s="1"/>
  <c r="CO110" i="1"/>
  <c r="CO112" i="1" s="1"/>
  <c r="CO72" i="1"/>
  <c r="CZ17" i="1"/>
  <c r="CY116" i="1"/>
  <c r="CY117" i="1" s="1"/>
  <c r="CY120" i="1" s="1"/>
  <c r="AD34" i="1"/>
  <c r="CY271" i="1"/>
  <c r="CY28" i="1"/>
  <c r="CY249" i="1"/>
  <c r="CO125" i="1"/>
  <c r="CO99" i="1"/>
  <c r="CO100" i="1"/>
  <c r="CO126" i="1"/>
  <c r="AD203" i="1"/>
  <c r="AD202" i="1" s="1"/>
  <c r="AD215" i="1"/>
  <c r="CX52" i="1"/>
  <c r="CX49" i="1"/>
  <c r="CX250" i="1"/>
  <c r="CX251" i="1" s="1"/>
  <c r="CX48" i="1"/>
  <c r="CX268" i="1"/>
  <c r="CX269" i="1" s="1"/>
  <c r="CX47" i="1"/>
  <c r="CX130" i="1"/>
  <c r="CX244" i="1"/>
  <c r="CX175" i="1"/>
  <c r="CX214" i="1"/>
  <c r="AD166" i="1"/>
  <c r="AD197" i="1"/>
  <c r="CX215" i="1"/>
  <c r="AD77" i="1" l="1"/>
  <c r="AD35" i="1"/>
  <c r="AD36" i="1"/>
  <c r="CO178" i="1"/>
  <c r="CO179" i="1" s="1"/>
  <c r="AD46" i="1"/>
  <c r="CZ19" i="1"/>
  <c r="CZ20" i="1"/>
  <c r="CY163" i="1"/>
  <c r="CY162" i="1"/>
  <c r="CY44" i="1"/>
  <c r="CY41" i="1" s="1"/>
  <c r="CY29" i="1"/>
  <c r="CY243" i="1"/>
  <c r="CY30" i="1"/>
  <c r="CY34" i="1"/>
  <c r="CY164" i="1"/>
  <c r="CY170" i="1"/>
  <c r="CY171" i="1"/>
  <c r="CX216" i="1"/>
  <c r="AD200" i="1"/>
  <c r="AD175" i="1"/>
  <c r="AD214" i="1"/>
  <c r="AD216" i="1" s="1"/>
  <c r="CZ26" i="1" l="1"/>
  <c r="CY174" i="1"/>
  <c r="DA17" i="1"/>
  <c r="CO186" i="1"/>
  <c r="CO183" i="1"/>
  <c r="CO184" i="1" s="1"/>
  <c r="AD48" i="1"/>
  <c r="CO229" i="1"/>
  <c r="CO264" i="1"/>
  <c r="CP227" i="1"/>
  <c r="CO266" i="1"/>
  <c r="CO262" i="1"/>
  <c r="AD52" i="1"/>
  <c r="AD268" i="1"/>
  <c r="AD269" i="1" s="1"/>
  <c r="AD47" i="1"/>
  <c r="AD130" i="1"/>
  <c r="AD78" i="1"/>
  <c r="CY166" i="1"/>
  <c r="CY37" i="1"/>
  <c r="CY46" i="1"/>
  <c r="CY33" i="1"/>
  <c r="CY36" i="1"/>
  <c r="AD199" i="1"/>
  <c r="AD204" i="1"/>
  <c r="AD207" i="1" s="1"/>
  <c r="AD208" i="1" s="1"/>
  <c r="CZ271" i="1"/>
  <c r="CZ28" i="1"/>
  <c r="CZ249" i="1"/>
  <c r="CZ116" i="1" l="1"/>
  <c r="CZ117" i="1" s="1"/>
  <c r="CZ120" i="1" s="1"/>
  <c r="DA19" i="1"/>
  <c r="DA20" i="1"/>
  <c r="CY215" i="1"/>
  <c r="CY47" i="1"/>
  <c r="CY49" i="1"/>
  <c r="CY48" i="1"/>
  <c r="CY130" i="1"/>
  <c r="CY244" i="1"/>
  <c r="CO127" i="1"/>
  <c r="CP54" i="1"/>
  <c r="CY52" i="1"/>
  <c r="CY268" i="1"/>
  <c r="CY269" i="1" s="1"/>
  <c r="CY250" i="1"/>
  <c r="CY251" i="1" s="1"/>
  <c r="CY175" i="1"/>
  <c r="CY214" i="1"/>
  <c r="DB17" i="1"/>
  <c r="DA26" i="1"/>
  <c r="CP270" i="1"/>
  <c r="CP56" i="1"/>
  <c r="AB54" i="1"/>
  <c r="CZ171" i="1"/>
  <c r="CZ163" i="1"/>
  <c r="CZ170" i="1"/>
  <c r="CZ162" i="1"/>
  <c r="CZ44" i="1"/>
  <c r="CZ41" i="1" s="1"/>
  <c r="CZ34" i="1"/>
  <c r="CZ33" i="1"/>
  <c r="CZ164" i="1"/>
  <c r="CZ29" i="1"/>
  <c r="CZ243" i="1"/>
  <c r="CZ30" i="1"/>
  <c r="CO128" i="1"/>
  <c r="CO131" i="1" s="1"/>
  <c r="CO129" i="1"/>
  <c r="CO132" i="1" s="1"/>
  <c r="CY216" i="1" l="1"/>
  <c r="AB55" i="1"/>
  <c r="AB270" i="1"/>
  <c r="AB56" i="1"/>
  <c r="CP57" i="1"/>
  <c r="AB57" i="1" s="1"/>
  <c r="DA249" i="1"/>
  <c r="DA28" i="1"/>
  <c r="DA271" i="1"/>
  <c r="DA116" i="1"/>
  <c r="DA117" i="1" s="1"/>
  <c r="DA120" i="1" s="1"/>
  <c r="CZ174" i="1"/>
  <c r="CZ46" i="1"/>
  <c r="CZ36" i="1"/>
  <c r="CZ37" i="1"/>
  <c r="CZ166" i="1"/>
  <c r="DB19" i="1"/>
  <c r="AE17" i="1"/>
  <c r="AB58" i="1" l="1"/>
  <c r="CZ52" i="1"/>
  <c r="CZ48" i="1"/>
  <c r="CZ268" i="1"/>
  <c r="CZ269" i="1" s="1"/>
  <c r="CZ250" i="1"/>
  <c r="CZ251" i="1" s="1"/>
  <c r="CZ47" i="1"/>
  <c r="CZ49" i="1"/>
  <c r="CZ130" i="1"/>
  <c r="CZ244" i="1"/>
  <c r="DA162" i="1"/>
  <c r="DA44" i="1"/>
  <c r="DA41" i="1" s="1"/>
  <c r="DA164" i="1"/>
  <c r="DA171" i="1"/>
  <c r="DA170" i="1"/>
  <c r="DA34" i="1"/>
  <c r="DA163" i="1"/>
  <c r="DA33" i="1"/>
  <c r="DA29" i="1"/>
  <c r="DA30" i="1"/>
  <c r="DA243" i="1"/>
  <c r="DB26" i="1"/>
  <c r="AE19" i="1"/>
  <c r="AE22" i="1" s="1"/>
  <c r="DB20" i="1"/>
  <c r="AE20" i="1" s="1"/>
  <c r="CZ175" i="1"/>
  <c r="CZ214" i="1"/>
  <c r="CZ215" i="1"/>
  <c r="CP59" i="1"/>
  <c r="AB59" i="1"/>
  <c r="DA166" i="1" l="1"/>
  <c r="AB61" i="1"/>
  <c r="AB79" i="1"/>
  <c r="AB66" i="1"/>
  <c r="AB60" i="1"/>
  <c r="AB263" i="1" s="1"/>
  <c r="CP66" i="1"/>
  <c r="CP60" i="1"/>
  <c r="CP263" i="1" s="1"/>
  <c r="CP252" i="1"/>
  <c r="CP61" i="1"/>
  <c r="CP62" i="1"/>
  <c r="CP245" i="1"/>
  <c r="DA37" i="1"/>
  <c r="DA46" i="1"/>
  <c r="DA36" i="1"/>
  <c r="DB28" i="1"/>
  <c r="DB271" i="1"/>
  <c r="DB249" i="1"/>
  <c r="AE26" i="1"/>
  <c r="DB116" i="1"/>
  <c r="DB117" i="1" s="1"/>
  <c r="DB120" i="1" s="1"/>
  <c r="CZ216" i="1"/>
  <c r="DA174" i="1"/>
  <c r="CP84" i="1" l="1"/>
  <c r="CP211" i="1"/>
  <c r="CP213" i="1" s="1"/>
  <c r="CP217" i="1" s="1"/>
  <c r="CP231" i="1" s="1"/>
  <c r="CP137" i="1"/>
  <c r="AB211" i="1"/>
  <c r="AB213" i="1" s="1"/>
  <c r="AB217" i="1" s="1"/>
  <c r="AB231" i="1" s="1"/>
  <c r="AB69" i="1"/>
  <c r="AB70" i="1" s="1"/>
  <c r="AE28" i="1"/>
  <c r="AE271" i="1"/>
  <c r="DB34" i="1"/>
  <c r="DB44" i="1"/>
  <c r="DB41" i="1" s="1"/>
  <c r="AE41" i="1" s="1"/>
  <c r="AE44" i="1" s="1"/>
  <c r="DB164" i="1"/>
  <c r="AE164" i="1" s="1"/>
  <c r="DB171" i="1"/>
  <c r="AE171" i="1" s="1"/>
  <c r="AE201" i="1" s="1"/>
  <c r="DB163" i="1"/>
  <c r="AE163" i="1" s="1"/>
  <c r="AE198" i="1" s="1"/>
  <c r="DB170" i="1"/>
  <c r="DB162" i="1"/>
  <c r="DB29" i="1"/>
  <c r="DB243" i="1"/>
  <c r="DB30" i="1"/>
  <c r="DA215" i="1"/>
  <c r="DA268" i="1"/>
  <c r="DA269" i="1" s="1"/>
  <c r="DA49" i="1"/>
  <c r="DA47" i="1"/>
  <c r="DA52" i="1"/>
  <c r="DA48" i="1"/>
  <c r="DA250" i="1"/>
  <c r="DA251" i="1" s="1"/>
  <c r="DA130" i="1"/>
  <c r="DA244" i="1"/>
  <c r="DA175" i="1"/>
  <c r="DA214" i="1"/>
  <c r="DB33" i="1" l="1"/>
  <c r="AE33" i="1" s="1"/>
  <c r="DA216" i="1"/>
  <c r="AE45" i="1"/>
  <c r="CP138" i="1"/>
  <c r="AB137" i="1"/>
  <c r="AB138" i="1" s="1"/>
  <c r="DB166" i="1"/>
  <c r="AE162" i="1"/>
  <c r="DB37" i="1"/>
  <c r="DB46" i="1"/>
  <c r="DB36" i="1"/>
  <c r="AE170" i="1"/>
  <c r="AE174" i="1" s="1"/>
  <c r="DB174" i="1"/>
  <c r="DB215" i="1" s="1"/>
  <c r="AE116" i="1"/>
  <c r="AE29" i="1"/>
  <c r="AE76" i="1"/>
  <c r="AE206" i="1"/>
  <c r="CP87" i="1"/>
  <c r="AE34" i="1" l="1"/>
  <c r="CP96" i="1"/>
  <c r="CP88" i="1"/>
  <c r="CP97" i="1"/>
  <c r="CP103" i="1"/>
  <c r="CL107" i="1"/>
  <c r="AB193" i="1"/>
  <c r="AB225" i="1"/>
  <c r="AB223" i="1" s="1"/>
  <c r="AB228" i="1" s="1"/>
  <c r="AB147" i="1"/>
  <c r="AB73" i="1" s="1"/>
  <c r="AB72" i="1"/>
  <c r="DB52" i="1"/>
  <c r="DB48" i="1"/>
  <c r="DB268" i="1"/>
  <c r="DB269" i="1" s="1"/>
  <c r="DB49" i="1"/>
  <c r="DB47" i="1"/>
  <c r="DB250" i="1"/>
  <c r="DB251" i="1" s="1"/>
  <c r="DB244" i="1"/>
  <c r="DB130" i="1"/>
  <c r="AE166" i="1"/>
  <c r="AE197" i="1"/>
  <c r="DB175" i="1"/>
  <c r="DB214" i="1"/>
  <c r="DB216" i="1" s="1"/>
  <c r="CP225" i="1"/>
  <c r="CP223" i="1" s="1"/>
  <c r="CP228" i="1" s="1"/>
  <c r="CP147" i="1"/>
  <c r="CP73" i="1" s="1"/>
  <c r="CP110" i="1"/>
  <c r="CP112" i="1" s="1"/>
  <c r="CP72" i="1"/>
  <c r="AE77" i="1"/>
  <c r="AE36" i="1"/>
  <c r="AE203" i="1"/>
  <c r="AE202" i="1" s="1"/>
  <c r="AE215" i="1"/>
  <c r="AE46" i="1" l="1"/>
  <c r="AE35" i="1"/>
  <c r="AE52" i="1"/>
  <c r="AE268" i="1"/>
  <c r="AE269" i="1" s="1"/>
  <c r="AE78" i="1"/>
  <c r="AE130" i="1"/>
  <c r="AE48" i="1"/>
  <c r="CP126" i="1"/>
  <c r="CP100" i="1"/>
  <c r="AB97" i="1"/>
  <c r="CP178" i="1"/>
  <c r="AE175" i="1"/>
  <c r="AE200" i="1"/>
  <c r="AE214" i="1"/>
  <c r="AE216" i="1" s="1"/>
  <c r="CP125" i="1"/>
  <c r="CP99" i="1"/>
  <c r="AB96" i="1"/>
  <c r="AE47" i="1" l="1"/>
  <c r="AE199" i="1"/>
  <c r="AE204" i="1"/>
  <c r="AE207" i="1" s="1"/>
  <c r="AE208" i="1" s="1"/>
  <c r="AB99" i="1"/>
  <c r="AB178" i="1"/>
  <c r="AB179" i="1" s="1"/>
  <c r="CP179" i="1"/>
  <c r="AB100" i="1"/>
  <c r="CP264" i="1" l="1"/>
  <c r="CP186" i="1"/>
  <c r="CQ227" i="1"/>
  <c r="CP183" i="1"/>
  <c r="CP184" i="1" s="1"/>
  <c r="CP266" i="1"/>
  <c r="CP262" i="1"/>
  <c r="CP229" i="1"/>
  <c r="AC227" i="1"/>
  <c r="AB186" i="1"/>
  <c r="AB127" i="1" s="1"/>
  <c r="AB183" i="1"/>
  <c r="AB184" i="1" s="1"/>
  <c r="AB264" i="1"/>
  <c r="AB266" i="1"/>
  <c r="AB262" i="1"/>
  <c r="AB229" i="1"/>
  <c r="CQ54" i="1" l="1"/>
  <c r="CP127" i="1"/>
  <c r="CQ270" i="1" l="1"/>
  <c r="CQ56" i="1"/>
  <c r="CP129" i="1"/>
  <c r="CP132" i="1" s="1"/>
  <c r="CP128" i="1"/>
  <c r="CP131" i="1" s="1"/>
  <c r="CQ57" i="1" l="1"/>
  <c r="CQ59" i="1" l="1"/>
  <c r="CQ252" i="1" l="1"/>
  <c r="CQ61" i="1"/>
  <c r="CQ66" i="1"/>
  <c r="CQ60" i="1"/>
  <c r="CQ263" i="1" s="1"/>
  <c r="CQ62" i="1"/>
  <c r="CQ245" i="1"/>
  <c r="CQ84" i="1" l="1"/>
  <c r="CQ211" i="1"/>
  <c r="CQ213" i="1" s="1"/>
  <c r="CQ217" i="1" s="1"/>
  <c r="CQ231" i="1" s="1"/>
  <c r="CQ137" i="1"/>
  <c r="CQ138" i="1" l="1"/>
  <c r="CQ87" i="1"/>
  <c r="CQ97" i="1" l="1"/>
  <c r="CQ96" i="1"/>
  <c r="CQ103" i="1"/>
  <c r="CQ88" i="1"/>
  <c r="CQ110" i="1"/>
  <c r="CQ112" i="1" s="1"/>
  <c r="CQ225" i="1"/>
  <c r="CQ223" i="1" s="1"/>
  <c r="CQ228" i="1" s="1"/>
  <c r="CQ147" i="1"/>
  <c r="CQ73" i="1" s="1"/>
  <c r="CQ72" i="1"/>
  <c r="CQ126" i="1" l="1"/>
  <c r="CQ100" i="1"/>
  <c r="CQ178" i="1"/>
  <c r="CQ179" i="1" s="1"/>
  <c r="CQ99" i="1"/>
  <c r="CQ125" i="1"/>
  <c r="CQ183" i="1" l="1"/>
  <c r="CQ184" i="1" s="1"/>
  <c r="CQ186" i="1"/>
  <c r="CQ266" i="1"/>
  <c r="CQ264" i="1"/>
  <c r="CR227" i="1"/>
  <c r="CQ262" i="1"/>
  <c r="CQ229" i="1"/>
  <c r="CR54" i="1" l="1"/>
  <c r="CQ127" i="1"/>
  <c r="CQ129" i="1" l="1"/>
  <c r="CQ132" i="1" s="1"/>
  <c r="CQ128" i="1"/>
  <c r="CQ131" i="1" s="1"/>
  <c r="CR270" i="1"/>
  <c r="CR56" i="1"/>
  <c r="CR57" i="1" l="1"/>
  <c r="CR59" i="1" l="1"/>
  <c r="CR245" i="1" l="1"/>
  <c r="CR61" i="1"/>
  <c r="CR62" i="1"/>
  <c r="CR252" i="1"/>
  <c r="CR66" i="1"/>
  <c r="CR60" i="1"/>
  <c r="CR263" i="1" s="1"/>
  <c r="CR84" i="1" l="1"/>
  <c r="CR211" i="1"/>
  <c r="CR213" i="1" s="1"/>
  <c r="CR217" i="1" s="1"/>
  <c r="CR231" i="1" s="1"/>
  <c r="CR137" i="1"/>
  <c r="CR87" i="1" l="1"/>
  <c r="CR138" i="1"/>
  <c r="CR103" i="1"/>
  <c r="CR97" i="1"/>
  <c r="CR88" i="1" l="1"/>
  <c r="CR96" i="1"/>
  <c r="CR147" i="1"/>
  <c r="CR73" i="1" s="1"/>
  <c r="CR110" i="1"/>
  <c r="CR112" i="1" s="1"/>
  <c r="CR225" i="1"/>
  <c r="CR223" i="1" s="1"/>
  <c r="CR228" i="1" s="1"/>
  <c r="CR72" i="1"/>
  <c r="CR126" i="1"/>
  <c r="CR100" i="1"/>
  <c r="CR125" i="1" l="1"/>
  <c r="CR99" i="1"/>
  <c r="CR178" i="1"/>
  <c r="CR179" i="1" s="1"/>
  <c r="CS227" i="1" l="1"/>
  <c r="CR266" i="1"/>
  <c r="CR186" i="1"/>
  <c r="CR264" i="1"/>
  <c r="CR183" i="1"/>
  <c r="CR184" i="1" s="1"/>
  <c r="CR262" i="1"/>
  <c r="CR229" i="1"/>
  <c r="CS54" i="1" l="1"/>
  <c r="CR127" i="1"/>
  <c r="CR128" i="1" l="1"/>
  <c r="CR131" i="1" s="1"/>
  <c r="CR129" i="1"/>
  <c r="CR132" i="1" s="1"/>
  <c r="CS270" i="1"/>
  <c r="CS56" i="1"/>
  <c r="CS57" i="1"/>
  <c r="CS59" i="1" l="1"/>
  <c r="CS62" i="1" l="1"/>
  <c r="CS66" i="1"/>
  <c r="CS60" i="1"/>
  <c r="CS263" i="1" s="1"/>
  <c r="CS252" i="1"/>
  <c r="CS61" i="1"/>
  <c r="CS245" i="1"/>
  <c r="CS84" i="1" l="1"/>
  <c r="CS211" i="1"/>
  <c r="CS213" i="1" s="1"/>
  <c r="CS217" i="1" s="1"/>
  <c r="CS231" i="1" s="1"/>
  <c r="CS137" i="1"/>
  <c r="CS138" i="1" l="1"/>
  <c r="CS87" i="1"/>
  <c r="CS103" i="1" l="1"/>
  <c r="CS97" i="1"/>
  <c r="CS96" i="1"/>
  <c r="CS88" i="1"/>
  <c r="CS110" i="1"/>
  <c r="CS112" i="1" s="1"/>
  <c r="CS147" i="1"/>
  <c r="CS73" i="1" s="1"/>
  <c r="CS225" i="1"/>
  <c r="CS223" i="1" s="1"/>
  <c r="CS228" i="1" s="1"/>
  <c r="CS72" i="1"/>
  <c r="CS178" i="1" l="1"/>
  <c r="CS179" i="1" s="1"/>
  <c r="CS125" i="1"/>
  <c r="CS99" i="1"/>
  <c r="CS126" i="1"/>
  <c r="CS100" i="1"/>
  <c r="CS186" i="1" l="1"/>
  <c r="CS264" i="1"/>
  <c r="CS266" i="1"/>
  <c r="CS183" i="1"/>
  <c r="CS184" i="1" s="1"/>
  <c r="CT227" i="1"/>
  <c r="CS262" i="1"/>
  <c r="CS229" i="1"/>
  <c r="CS127" i="1" l="1"/>
  <c r="CT54" i="1"/>
  <c r="CT270" i="1" l="1"/>
  <c r="CT56" i="1"/>
  <c r="AC54" i="1"/>
  <c r="CS129" i="1"/>
  <c r="CS132" i="1" s="1"/>
  <c r="CS128" i="1"/>
  <c r="CS131" i="1" s="1"/>
  <c r="AC55" i="1" l="1"/>
  <c r="AC270" i="1"/>
  <c r="AC56" i="1"/>
  <c r="CT57" i="1"/>
  <c r="AC57" i="1" s="1"/>
  <c r="AC58" i="1" l="1"/>
  <c r="CT59" i="1"/>
  <c r="AC59" i="1"/>
  <c r="AC61" i="1"/>
  <c r="CT245" i="1" l="1"/>
  <c r="AC66" i="1"/>
  <c r="AC79" i="1"/>
  <c r="AC60" i="1"/>
  <c r="AC263" i="1" s="1"/>
  <c r="CT61" i="1"/>
  <c r="CT62" i="1"/>
  <c r="CT66" i="1"/>
  <c r="CT252" i="1"/>
  <c r="CT60" i="1"/>
  <c r="CT263" i="1" s="1"/>
  <c r="AC211" i="1" l="1"/>
  <c r="AC213" i="1" s="1"/>
  <c r="AC217" i="1" s="1"/>
  <c r="AC231" i="1" s="1"/>
  <c r="AC69" i="1"/>
  <c r="AC70" i="1" s="1"/>
  <c r="CT211" i="1"/>
  <c r="CT213" i="1" s="1"/>
  <c r="CT217" i="1" s="1"/>
  <c r="CT231" i="1" s="1"/>
  <c r="CT137" i="1"/>
  <c r="CT84" i="1"/>
  <c r="CT87" i="1" l="1"/>
  <c r="CT138" i="1"/>
  <c r="AC137" i="1"/>
  <c r="AC138" i="1" s="1"/>
  <c r="CT147" i="1"/>
  <c r="CT73" i="1" s="1"/>
  <c r="CT72" i="1"/>
  <c r="CT96" i="1"/>
  <c r="CT110" i="1" l="1"/>
  <c r="CT112" i="1" s="1"/>
  <c r="CT225" i="1"/>
  <c r="CT223" i="1" s="1"/>
  <c r="CT228" i="1" s="1"/>
  <c r="CT97" i="1"/>
  <c r="CT103" i="1"/>
  <c r="CT88" i="1"/>
  <c r="AC225" i="1"/>
  <c r="AC223" i="1" s="1"/>
  <c r="AC228" i="1" s="1"/>
  <c r="AC193" i="1"/>
  <c r="AC147" i="1"/>
  <c r="AC73" i="1" s="1"/>
  <c r="AC72" i="1"/>
  <c r="CT125" i="1"/>
  <c r="CT99" i="1"/>
  <c r="AC96" i="1"/>
  <c r="AC97" i="1"/>
  <c r="CT178" i="1" l="1"/>
  <c r="CT126" i="1"/>
  <c r="CT100" i="1"/>
  <c r="AC99" i="1"/>
  <c r="AC100" i="1"/>
  <c r="CT179" i="1" l="1"/>
  <c r="AC178" i="1"/>
  <c r="AC179" i="1" s="1"/>
  <c r="AC183" i="1"/>
  <c r="AC184" i="1" s="1"/>
  <c r="AC266" i="1"/>
  <c r="AD227" i="1"/>
  <c r="AC186" i="1"/>
  <c r="AC127" i="1" s="1"/>
  <c r="AC264" i="1"/>
  <c r="AC262" i="1"/>
  <c r="AC229" i="1"/>
  <c r="CU227" i="1"/>
  <c r="CT183" i="1"/>
  <c r="CT184" i="1" s="1"/>
  <c r="CT186" i="1"/>
  <c r="CT266" i="1"/>
  <c r="CT264" i="1"/>
  <c r="CT262" i="1"/>
  <c r="CT229" i="1"/>
  <c r="CU54" i="1" l="1"/>
  <c r="CT127" i="1"/>
  <c r="CT129" i="1" l="1"/>
  <c r="CT132" i="1" s="1"/>
  <c r="CT128" i="1"/>
  <c r="CT131" i="1" s="1"/>
  <c r="CU270" i="1"/>
  <c r="CU56" i="1"/>
  <c r="CU57" i="1" l="1"/>
  <c r="CU59" i="1" l="1"/>
  <c r="CU66" i="1" l="1"/>
  <c r="CU61" i="1"/>
  <c r="CU62" i="1"/>
  <c r="CU252" i="1"/>
  <c r="CU60" i="1"/>
  <c r="CU263" i="1" s="1"/>
  <c r="CU245" i="1"/>
  <c r="CU211" i="1" l="1"/>
  <c r="CU213" i="1" s="1"/>
  <c r="CU217" i="1" s="1"/>
  <c r="CU231" i="1" s="1"/>
  <c r="CU84" i="1"/>
  <c r="CU137" i="1"/>
  <c r="CU138" i="1" l="1"/>
  <c r="CU87" i="1"/>
  <c r="CU97" i="1" l="1"/>
  <c r="CU103" i="1"/>
  <c r="CU96" i="1"/>
  <c r="CU88" i="1"/>
  <c r="CU225" i="1"/>
  <c r="CU223" i="1" s="1"/>
  <c r="CU228" i="1" s="1"/>
  <c r="CU110" i="1"/>
  <c r="CU112" i="1" s="1"/>
  <c r="CU147" i="1"/>
  <c r="CU73" i="1" s="1"/>
  <c r="CU72" i="1"/>
  <c r="CU126" i="1" l="1"/>
  <c r="CU100" i="1"/>
  <c r="CU178" i="1"/>
  <c r="CU179" i="1" s="1"/>
  <c r="CU125" i="1"/>
  <c r="CU99" i="1"/>
  <c r="CU183" i="1" l="1"/>
  <c r="CU184" i="1" s="1"/>
  <c r="CU186" i="1"/>
  <c r="CV227" i="1"/>
  <c r="CU266" i="1"/>
  <c r="CU264" i="1"/>
  <c r="CU262" i="1"/>
  <c r="CU229" i="1"/>
  <c r="CV54" i="1" l="1"/>
  <c r="CU127" i="1"/>
  <c r="CU129" i="1" l="1"/>
  <c r="CU132" i="1" s="1"/>
  <c r="CU128" i="1"/>
  <c r="CU131" i="1" s="1"/>
  <c r="CV270" i="1"/>
  <c r="CV56" i="1"/>
  <c r="CV57" i="1" l="1"/>
  <c r="CV59" i="1" l="1"/>
  <c r="CV245" i="1" l="1"/>
  <c r="CV62" i="1"/>
  <c r="CV61" i="1"/>
  <c r="CV252" i="1"/>
  <c r="CV66" i="1"/>
  <c r="CV60" i="1"/>
  <c r="CV263" i="1" s="1"/>
  <c r="CV84" i="1" l="1"/>
  <c r="CV211" i="1"/>
  <c r="CV213" i="1" s="1"/>
  <c r="CV217" i="1" s="1"/>
  <c r="CV231" i="1" s="1"/>
  <c r="CV137" i="1"/>
  <c r="CV138" i="1"/>
  <c r="CV87" i="1" l="1"/>
  <c r="CV110" i="1"/>
  <c r="CV112" i="1" s="1"/>
  <c r="CV147" i="1"/>
  <c r="CV73" i="1" s="1"/>
  <c r="CV225" i="1"/>
  <c r="CV223" i="1" s="1"/>
  <c r="CV228" i="1" s="1"/>
  <c r="CV72" i="1"/>
  <c r="CV96" i="1" l="1"/>
  <c r="CV103" i="1"/>
  <c r="CV88" i="1"/>
  <c r="CV97" i="1"/>
  <c r="CV178" i="1"/>
  <c r="CV179" i="1" s="1"/>
  <c r="CV100" i="1" l="1"/>
  <c r="CV126" i="1"/>
  <c r="CV125" i="1"/>
  <c r="CV99" i="1"/>
  <c r="CV229" i="1"/>
  <c r="CV183" i="1"/>
  <c r="CV184" i="1" s="1"/>
  <c r="CV186" i="1"/>
  <c r="CW227" i="1"/>
  <c r="CV264" i="1"/>
  <c r="CV266" i="1"/>
  <c r="CV262" i="1"/>
  <c r="CW54" i="1" l="1"/>
  <c r="CV127" i="1"/>
  <c r="CV128" i="1" l="1"/>
  <c r="CV131" i="1" s="1"/>
  <c r="CV129" i="1"/>
  <c r="CV132" i="1" s="1"/>
  <c r="CW270" i="1"/>
  <c r="CW56" i="1"/>
  <c r="CW57" i="1" l="1"/>
  <c r="CW59" i="1" l="1"/>
  <c r="CW245" i="1" l="1"/>
  <c r="CW62" i="1"/>
  <c r="CW61" i="1"/>
  <c r="CW66" i="1"/>
  <c r="CW252" i="1"/>
  <c r="CW60" i="1"/>
  <c r="CW263" i="1" s="1"/>
  <c r="CW84" i="1" l="1"/>
  <c r="CW211" i="1"/>
  <c r="CW213" i="1" s="1"/>
  <c r="CW217" i="1" s="1"/>
  <c r="CW231" i="1" s="1"/>
  <c r="CW137" i="1"/>
  <c r="CW87" i="1" l="1"/>
  <c r="CW138" i="1"/>
  <c r="CW103" i="1" l="1"/>
  <c r="CW96" i="1"/>
  <c r="CW97" i="1"/>
  <c r="CW88" i="1"/>
  <c r="CW147" i="1"/>
  <c r="CW73" i="1" s="1"/>
  <c r="CW225" i="1"/>
  <c r="CW223" i="1" s="1"/>
  <c r="CW228" i="1" s="1"/>
  <c r="CW110" i="1"/>
  <c r="CW112" i="1" s="1"/>
  <c r="CW72" i="1"/>
  <c r="CW126" i="1" l="1"/>
  <c r="CW100" i="1"/>
  <c r="CW178" i="1"/>
  <c r="CW179" i="1" s="1"/>
  <c r="CW125" i="1"/>
  <c r="CW99" i="1"/>
  <c r="CW229" i="1" l="1"/>
  <c r="CW264" i="1"/>
  <c r="CW183" i="1"/>
  <c r="CW184" i="1" s="1"/>
  <c r="CX227" i="1"/>
  <c r="CW266" i="1"/>
  <c r="CW186" i="1"/>
  <c r="CW262" i="1"/>
  <c r="CX54" i="1" l="1"/>
  <c r="CW127" i="1"/>
  <c r="CW128" i="1" l="1"/>
  <c r="CW131" i="1" s="1"/>
  <c r="CW129" i="1"/>
  <c r="CW132" i="1" s="1"/>
  <c r="CX270" i="1"/>
  <c r="CX56" i="1"/>
  <c r="AD54" i="1"/>
  <c r="AD55" i="1" l="1"/>
  <c r="AD56" i="1"/>
  <c r="CX57" i="1"/>
  <c r="AD57" i="1" s="1"/>
  <c r="AD58" i="1" s="1"/>
  <c r="AD270" i="1"/>
  <c r="CX59" i="1" l="1"/>
  <c r="AD59" i="1"/>
  <c r="AD79" i="1"/>
  <c r="CX245" i="1" l="1"/>
  <c r="CX62" i="1"/>
  <c r="CX252" i="1"/>
  <c r="CX66" i="1"/>
  <c r="AD61" i="1"/>
  <c r="AD66" i="1"/>
  <c r="AD60" i="1"/>
  <c r="AD263" i="1" s="1"/>
  <c r="CX60" i="1"/>
  <c r="CX263" i="1" s="1"/>
  <c r="CX61" i="1"/>
  <c r="CX84" i="1"/>
  <c r="CX211" i="1" l="1"/>
  <c r="CX213" i="1" s="1"/>
  <c r="CX217" i="1" s="1"/>
  <c r="CX231" i="1" s="1"/>
  <c r="CX137" i="1"/>
  <c r="CX138" i="1" s="1"/>
  <c r="AD211" i="1"/>
  <c r="AD213" i="1" s="1"/>
  <c r="AD217" i="1" s="1"/>
  <c r="AD231" i="1" s="1"/>
  <c r="AD69" i="1"/>
  <c r="AD70" i="1" s="1"/>
  <c r="AD137" i="1"/>
  <c r="AD138" i="1" s="1"/>
  <c r="CX87" i="1"/>
  <c r="AD193" i="1"/>
  <c r="AD147" i="1"/>
  <c r="AD73" i="1" s="1"/>
  <c r="AD72" i="1"/>
  <c r="CX96" i="1" l="1"/>
  <c r="CX97" i="1"/>
  <c r="CX103" i="1"/>
  <c r="CX88" i="1"/>
  <c r="CX110" i="1"/>
  <c r="CX112" i="1" s="1"/>
  <c r="CX225" i="1"/>
  <c r="CX223" i="1" s="1"/>
  <c r="CX228" i="1" s="1"/>
  <c r="CX147" i="1"/>
  <c r="CX73" i="1" s="1"/>
  <c r="CX72" i="1"/>
  <c r="AD225" i="1"/>
  <c r="AD223" i="1" s="1"/>
  <c r="AD228" i="1" s="1"/>
  <c r="AD96" i="1"/>
  <c r="CX126" i="1" l="1"/>
  <c r="CX99" i="1"/>
  <c r="CX125" i="1"/>
  <c r="CX100" i="1"/>
  <c r="CX178" i="1"/>
  <c r="AD97" i="1"/>
  <c r="AD99" i="1"/>
  <c r="AD100" i="1" l="1"/>
  <c r="AD178" i="1"/>
  <c r="AD179" i="1" s="1"/>
  <c r="CX179" i="1"/>
  <c r="AD266" i="1"/>
  <c r="AD186" i="1"/>
  <c r="AD127" i="1" s="1"/>
  <c r="AD229" i="1"/>
  <c r="CX264" i="1" l="1"/>
  <c r="CX186" i="1"/>
  <c r="CX266" i="1"/>
  <c r="CX262" i="1"/>
  <c r="CX183" i="1"/>
  <c r="CX184" i="1" s="1"/>
  <c r="CX229" i="1"/>
  <c r="CY227" i="1"/>
  <c r="AE227" i="1"/>
  <c r="AD264" i="1"/>
  <c r="AD183" i="1"/>
  <c r="AD184" i="1" s="1"/>
  <c r="AD262" i="1"/>
  <c r="CY54" i="1"/>
  <c r="CX127" i="1"/>
  <c r="CX128" i="1" l="1"/>
  <c r="CX131" i="1" s="1"/>
  <c r="CX129" i="1"/>
  <c r="CX132" i="1" s="1"/>
  <c r="CY270" i="1"/>
  <c r="CY56" i="1"/>
  <c r="CY57" i="1" l="1"/>
  <c r="CY59" i="1" l="1"/>
  <c r="CY245" i="1" l="1"/>
  <c r="CY60" i="1"/>
  <c r="CY263" i="1" s="1"/>
  <c r="CY252" i="1"/>
  <c r="CY61" i="1"/>
  <c r="CY66" i="1"/>
  <c r="CY62" i="1"/>
  <c r="CY84" i="1" l="1"/>
  <c r="CY211" i="1"/>
  <c r="CY213" i="1" s="1"/>
  <c r="CY217" i="1" s="1"/>
  <c r="CY231" i="1" s="1"/>
  <c r="CY137" i="1"/>
  <c r="CY87" i="1" l="1"/>
  <c r="CY138" i="1"/>
  <c r="CY103" i="1" l="1"/>
  <c r="CY96" i="1"/>
  <c r="CY97" i="1"/>
  <c r="CY88" i="1"/>
  <c r="CY225" i="1"/>
  <c r="CY223" i="1" s="1"/>
  <c r="CY228" i="1" s="1"/>
  <c r="CY147" i="1"/>
  <c r="CY73" i="1" s="1"/>
  <c r="CY110" i="1"/>
  <c r="CY112" i="1" s="1"/>
  <c r="CY72" i="1"/>
  <c r="CY178" i="1" l="1"/>
  <c r="CY179" i="1" s="1"/>
  <c r="CY126" i="1"/>
  <c r="CY100" i="1"/>
  <c r="CY99" i="1"/>
  <c r="CY125" i="1"/>
  <c r="CY186" i="1"/>
  <c r="CY229" i="1" l="1"/>
  <c r="CY266" i="1"/>
  <c r="CZ227" i="1"/>
  <c r="CY183" i="1"/>
  <c r="CY184" i="1" s="1"/>
  <c r="CY264" i="1"/>
  <c r="CY262" i="1"/>
  <c r="CZ54" i="1"/>
  <c r="CY127" i="1"/>
  <c r="CY128" i="1" l="1"/>
  <c r="CY131" i="1" s="1"/>
  <c r="CY129" i="1"/>
  <c r="CY132" i="1" s="1"/>
  <c r="CZ270" i="1"/>
  <c r="CZ56" i="1"/>
  <c r="CZ57" i="1" l="1"/>
  <c r="CZ59" i="1" l="1"/>
  <c r="CZ245" i="1"/>
  <c r="CZ66" i="1" l="1"/>
  <c r="CZ252" i="1"/>
  <c r="CZ61" i="1"/>
  <c r="CZ60" i="1"/>
  <c r="CZ263" i="1" s="1"/>
  <c r="CZ62" i="1"/>
  <c r="CZ84" i="1" l="1"/>
  <c r="CZ211" i="1"/>
  <c r="CZ213" i="1" s="1"/>
  <c r="CZ217" i="1" s="1"/>
  <c r="CZ231" i="1" s="1"/>
  <c r="CZ137" i="1"/>
  <c r="CZ87" i="1"/>
  <c r="CZ138" i="1" l="1"/>
  <c r="CZ96" i="1"/>
  <c r="CZ103" i="1"/>
  <c r="CZ97" i="1"/>
  <c r="CZ88" i="1"/>
  <c r="CZ110" i="1" l="1"/>
  <c r="CZ112" i="1" s="1"/>
  <c r="CZ225" i="1"/>
  <c r="CZ223" i="1" s="1"/>
  <c r="CZ228" i="1" s="1"/>
  <c r="CZ147" i="1"/>
  <c r="CZ73" i="1" s="1"/>
  <c r="CZ72" i="1"/>
  <c r="CZ178" i="1"/>
  <c r="CZ179" i="1" s="1"/>
  <c r="CZ100" i="1"/>
  <c r="CZ126" i="1"/>
  <c r="CZ125" i="1"/>
  <c r="CZ99" i="1"/>
  <c r="CZ266" i="1" l="1"/>
  <c r="CZ186" i="1"/>
  <c r="DA227" i="1"/>
  <c r="CZ183" i="1"/>
  <c r="CZ184" i="1" s="1"/>
  <c r="CZ264" i="1"/>
  <c r="CZ262" i="1"/>
  <c r="CZ229" i="1"/>
  <c r="DA54" i="1" l="1"/>
  <c r="CZ127" i="1"/>
  <c r="CZ128" i="1" l="1"/>
  <c r="CZ131" i="1" s="1"/>
  <c r="CZ129" i="1"/>
  <c r="CZ132" i="1" s="1"/>
  <c r="DA270" i="1"/>
  <c r="DA56" i="1"/>
  <c r="DA57" i="1" l="1"/>
  <c r="DA59" i="1" l="1"/>
  <c r="DA245" i="1" l="1"/>
  <c r="DA60" i="1"/>
  <c r="DA263" i="1" s="1"/>
  <c r="DA252" i="1"/>
  <c r="DA62" i="1"/>
  <c r="DA66" i="1"/>
  <c r="DA61" i="1"/>
  <c r="DA84" i="1" l="1"/>
  <c r="DA211" i="1"/>
  <c r="DA213" i="1" s="1"/>
  <c r="DA217" i="1" s="1"/>
  <c r="DA231" i="1" s="1"/>
  <c r="DA137" i="1"/>
  <c r="DA138" i="1" l="1"/>
  <c r="DA87" i="1"/>
  <c r="DA225" i="1"/>
  <c r="DA223" i="1" s="1"/>
  <c r="DA228" i="1" s="1"/>
  <c r="DA147" i="1"/>
  <c r="DA73" i="1" s="1"/>
  <c r="DA72" i="1"/>
  <c r="DA110" i="1" l="1"/>
  <c r="DA112" i="1" s="1"/>
  <c r="DA97" i="1"/>
  <c r="DA103" i="1"/>
  <c r="DA96" i="1"/>
  <c r="DA88" i="1"/>
  <c r="DA178" i="1"/>
  <c r="DA179" i="1" s="1"/>
  <c r="DA99" i="1" l="1"/>
  <c r="DA125" i="1"/>
  <c r="DA126" i="1"/>
  <c r="DA100" i="1"/>
  <c r="DA229" i="1"/>
  <c r="DA183" i="1"/>
  <c r="DA184" i="1" s="1"/>
  <c r="DA186" i="1"/>
  <c r="DA266" i="1"/>
  <c r="DB227" i="1"/>
  <c r="DA264" i="1"/>
  <c r="DA262" i="1"/>
  <c r="DB54" i="1" l="1"/>
  <c r="DA127" i="1"/>
  <c r="DA129" i="1" l="1"/>
  <c r="DA132" i="1" s="1"/>
  <c r="DA128" i="1"/>
  <c r="DA131" i="1" s="1"/>
  <c r="DB270" i="1"/>
  <c r="DB56" i="1"/>
  <c r="AE54" i="1"/>
  <c r="AE270" i="1" l="1"/>
  <c r="AE55" i="1"/>
  <c r="AE56" i="1"/>
  <c r="DB57" i="1"/>
  <c r="AE57" i="1" s="1"/>
  <c r="AE58" i="1" s="1"/>
  <c r="AE59" i="1" l="1"/>
  <c r="DB59" i="1"/>
  <c r="DB252" i="1" l="1"/>
  <c r="DB61" i="1"/>
  <c r="DB66" i="1"/>
  <c r="DB60" i="1"/>
  <c r="DB263" i="1" s="1"/>
  <c r="DB62" i="1"/>
  <c r="DB245" i="1"/>
  <c r="AE66" i="1"/>
  <c r="AE79" i="1"/>
  <c r="AE60" i="1"/>
  <c r="AE263" i="1" s="1"/>
  <c r="AE61" i="1"/>
  <c r="AE69" i="1" l="1"/>
  <c r="AE70" i="1" s="1"/>
  <c r="AE211" i="1"/>
  <c r="AE213" i="1" s="1"/>
  <c r="AE217" i="1" s="1"/>
  <c r="AE231" i="1" s="1"/>
  <c r="DB211" i="1"/>
  <c r="DB213" i="1" s="1"/>
  <c r="DB217" i="1" s="1"/>
  <c r="DB231" i="1" s="1"/>
  <c r="DB84" i="1"/>
  <c r="DB87" i="1" s="1"/>
  <c r="DB137" i="1"/>
  <c r="AE137" i="1" l="1"/>
  <c r="AE138" i="1" s="1"/>
  <c r="DB138" i="1"/>
  <c r="DB97" i="1"/>
  <c r="DB96" i="1"/>
  <c r="DB103" i="1"/>
  <c r="DB88" i="1"/>
  <c r="DB125" i="1" l="1"/>
  <c r="DB99" i="1"/>
  <c r="AE96" i="1"/>
  <c r="DB100" i="1"/>
  <c r="DB126" i="1"/>
  <c r="AE97" i="1"/>
  <c r="DB147" i="1"/>
  <c r="DB73" i="1" s="1"/>
  <c r="DB225" i="1"/>
  <c r="DB223" i="1" s="1"/>
  <c r="DB228" i="1" s="1"/>
  <c r="DB110" i="1"/>
  <c r="DB112" i="1" s="1"/>
  <c r="DB72" i="1"/>
  <c r="AE147" i="1"/>
  <c r="AE73" i="1" s="1"/>
  <c r="AE193" i="1"/>
  <c r="AE225" i="1"/>
  <c r="AE223" i="1" s="1"/>
  <c r="AE228" i="1" s="1"/>
  <c r="AE72" i="1"/>
  <c r="AE99" i="1" l="1"/>
  <c r="DB178" i="1"/>
  <c r="AE100" i="1"/>
  <c r="DB179" i="1" l="1"/>
  <c r="AE178" i="1"/>
  <c r="AE179" i="1" s="1"/>
  <c r="AE266" i="1" l="1"/>
  <c r="AE183" i="1"/>
  <c r="AE184" i="1" s="1"/>
  <c r="AE186" i="1"/>
  <c r="AE127" i="1" s="1"/>
  <c r="AE264" i="1"/>
  <c r="AE262" i="1"/>
  <c r="AE229" i="1"/>
  <c r="DB186" i="1"/>
  <c r="DB127" i="1" s="1"/>
  <c r="DB183" i="1"/>
  <c r="DB184" i="1" s="1"/>
  <c r="DB266" i="1"/>
  <c r="DB264" i="1"/>
  <c r="DB262" i="1"/>
  <c r="DB229" i="1"/>
  <c r="DB128" i="1" l="1"/>
  <c r="DB131" i="1" s="1"/>
  <c r="DB129" i="1"/>
  <c r="DB132" i="1" s="1"/>
  <c r="AB81" i="1" l="1"/>
  <c r="AA81" i="1"/>
  <c r="AA83" i="1"/>
  <c r="AA84" i="1"/>
  <c r="AA87" i="1"/>
  <c r="AA88" i="1"/>
  <c r="AA126" i="1"/>
  <c r="AA129" i="1"/>
  <c r="AA132" i="1"/>
  <c r="AA105" i="1"/>
  <c r="AA103" i="1"/>
  <c r="AA104" i="1"/>
  <c r="AA125" i="1"/>
  <c r="AA128" i="1"/>
  <c r="AA131" i="1"/>
  <c r="AA117" i="1"/>
  <c r="AA110" i="1"/>
  <c r="AA122" i="1"/>
  <c r="AA120" i="1"/>
  <c r="AA121" i="1"/>
  <c r="AA112" i="1"/>
  <c r="AA114" i="1"/>
  <c r="AA113" i="1"/>
  <c r="AA86" i="1"/>
  <c r="Z81" i="1"/>
  <c r="Y81" i="1"/>
  <c r="X81" i="1"/>
  <c r="W81" i="1"/>
  <c r="V81" i="1"/>
  <c r="U81" i="1"/>
  <c r="T81" i="1"/>
  <c r="S81" i="1"/>
  <c r="R81" i="1"/>
  <c r="R83" i="1"/>
  <c r="R125" i="1"/>
  <c r="R128" i="1"/>
  <c r="Q81" i="1"/>
  <c r="P81" i="1"/>
  <c r="P83" i="1"/>
  <c r="P110" i="1"/>
  <c r="P112" i="1"/>
  <c r="X83" i="1"/>
  <c r="X84" i="1"/>
  <c r="X87" i="1"/>
  <c r="X103" i="1"/>
  <c r="S83" i="1"/>
  <c r="S117" i="1"/>
  <c r="O81" i="1"/>
  <c r="N81" i="1"/>
  <c r="M81" i="1"/>
  <c r="M83" i="1"/>
  <c r="M84" i="1"/>
  <c r="M87" i="1"/>
  <c r="M103" i="1"/>
  <c r="L81" i="1"/>
  <c r="K81" i="1"/>
  <c r="J81" i="1"/>
  <c r="I81" i="1"/>
  <c r="I83" i="1"/>
  <c r="I117" i="1"/>
  <c r="I121" i="1"/>
  <c r="S122" i="1"/>
  <c r="M105" i="1"/>
  <c r="X88" i="1"/>
  <c r="I120" i="1"/>
  <c r="AC81" i="1"/>
  <c r="AC83" i="1"/>
  <c r="AC84" i="1"/>
  <c r="AC87" i="1"/>
  <c r="AB107" i="1"/>
  <c r="AD81" i="1"/>
  <c r="AD83" i="1"/>
  <c r="AD126" i="1"/>
  <c r="AD129" i="1"/>
  <c r="AD132" i="1"/>
  <c r="M117" i="1"/>
  <c r="M120" i="1"/>
  <c r="Y83" i="1"/>
  <c r="Y84" i="1"/>
  <c r="Y87" i="1"/>
  <c r="Y103" i="1"/>
  <c r="Y104" i="1"/>
  <c r="Y88" i="1"/>
  <c r="X110" i="1"/>
  <c r="X112" i="1"/>
  <c r="X117" i="1"/>
  <c r="X121" i="1"/>
  <c r="P117" i="1"/>
  <c r="N83" i="1"/>
  <c r="N117" i="1"/>
  <c r="T83" i="1"/>
  <c r="T84" i="1"/>
  <c r="K83" i="1"/>
  <c r="K84" i="1"/>
  <c r="Q83" i="1"/>
  <c r="Q84" i="1"/>
  <c r="Q87" i="1"/>
  <c r="Q88" i="1"/>
  <c r="Q117" i="1"/>
  <c r="Q122" i="1"/>
  <c r="R117" i="1"/>
  <c r="R121" i="1"/>
  <c r="T86" i="1"/>
  <c r="P113" i="1"/>
  <c r="V83" i="1"/>
  <c r="V84" i="1"/>
  <c r="V87" i="1"/>
  <c r="V105" i="1"/>
  <c r="AD117" i="1"/>
  <c r="N122" i="1"/>
  <c r="R122" i="1"/>
  <c r="Q103" i="1"/>
  <c r="N121" i="1"/>
  <c r="M110" i="1"/>
  <c r="S121" i="1"/>
  <c r="H81" i="1"/>
  <c r="G81" i="1"/>
  <c r="F81" i="1"/>
  <c r="E81" i="1"/>
  <c r="E83" i="1"/>
  <c r="E84" i="1"/>
  <c r="E87" i="1"/>
  <c r="E88" i="1"/>
  <c r="I110" i="1"/>
  <c r="I113" i="1"/>
  <c r="H83" i="1"/>
  <c r="H117" i="1"/>
  <c r="H121" i="1"/>
  <c r="AB83" i="1"/>
  <c r="AB84" i="1"/>
  <c r="AB87" i="1"/>
  <c r="AB103" i="1"/>
  <c r="S120" i="1"/>
  <c r="K125" i="1"/>
  <c r="I122" i="1"/>
  <c r="P120" i="1"/>
  <c r="I126" i="1"/>
  <c r="M125" i="1"/>
  <c r="P84" i="1"/>
  <c r="X125" i="1"/>
  <c r="AC110" i="1"/>
  <c r="W83" i="1"/>
  <c r="W84" i="1"/>
  <c r="W87" i="1"/>
  <c r="W103" i="1"/>
  <c r="P86" i="1"/>
  <c r="AC88" i="1"/>
  <c r="Y126" i="1"/>
  <c r="V117" i="1"/>
  <c r="V120" i="1"/>
  <c r="K126" i="1"/>
  <c r="Q126" i="1"/>
  <c r="L83" i="1"/>
  <c r="L84" i="1"/>
  <c r="L87" i="1"/>
  <c r="I125" i="1"/>
  <c r="AD125" i="1"/>
  <c r="AD128" i="1"/>
  <c r="AD131" i="1"/>
  <c r="Y86" i="1"/>
  <c r="AC126" i="1"/>
  <c r="P126" i="1"/>
  <c r="R84" i="1"/>
  <c r="R87" i="1"/>
  <c r="R105" i="1"/>
  <c r="Y110" i="1"/>
  <c r="R103" i="1"/>
  <c r="Q125" i="1"/>
  <c r="X114" i="1"/>
  <c r="N84" i="1"/>
  <c r="N87" i="1"/>
  <c r="N104" i="1"/>
  <c r="AE81" i="1"/>
  <c r="AE83" i="1"/>
  <c r="AE110" i="1"/>
  <c r="AE112" i="1"/>
  <c r="E110" i="1"/>
  <c r="F83" i="1"/>
  <c r="F126" i="1"/>
  <c r="R126" i="1"/>
  <c r="U83" i="1"/>
  <c r="U84" i="1"/>
  <c r="U87" i="1"/>
  <c r="T107" i="1"/>
  <c r="R131" i="1"/>
  <c r="K110" i="1"/>
  <c r="U105" i="1"/>
  <c r="Q110" i="1"/>
  <c r="Q113" i="1"/>
  <c r="Q112" i="1"/>
  <c r="Q129" i="1"/>
  <c r="W117" i="1"/>
  <c r="W120" i="1"/>
  <c r="AC112" i="1"/>
  <c r="AC117" i="1"/>
  <c r="Y117" i="1"/>
  <c r="K86" i="1"/>
  <c r="W125" i="1"/>
  <c r="AC129" i="1"/>
  <c r="J83" i="1"/>
  <c r="J125" i="1"/>
  <c r="J128" i="1"/>
  <c r="T125" i="1"/>
  <c r="L126" i="1"/>
  <c r="L129" i="1"/>
  <c r="T110" i="1"/>
  <c r="AE126" i="1"/>
  <c r="U88" i="1"/>
  <c r="V121" i="1"/>
  <c r="AD110" i="1"/>
  <c r="Z83" i="1"/>
  <c r="Z117" i="1"/>
  <c r="Z121" i="1"/>
  <c r="AC86" i="1"/>
  <c r="N88" i="1"/>
  <c r="N120" i="1"/>
  <c r="AE84" i="1"/>
  <c r="AE87" i="1"/>
  <c r="AE88" i="1"/>
  <c r="K87" i="1"/>
  <c r="AD84" i="1"/>
  <c r="AD87" i="1"/>
  <c r="AD103" i="1"/>
  <c r="J110" i="1"/>
  <c r="AD105" i="1"/>
  <c r="P129" i="1"/>
  <c r="X128" i="1"/>
  <c r="M112" i="1"/>
  <c r="T128" i="1"/>
  <c r="N86" i="1"/>
  <c r="U126" i="1"/>
  <c r="U129" i="1"/>
  <c r="N103" i="1"/>
  <c r="Z110" i="1"/>
  <c r="Z107" i="1"/>
  <c r="W104" i="1"/>
  <c r="T112" i="1"/>
  <c r="X120" i="1"/>
  <c r="U86" i="1"/>
  <c r="H125" i="1"/>
  <c r="H128" i="1"/>
  <c r="H122" i="1"/>
  <c r="Y122" i="1"/>
  <c r="AC122" i="1"/>
  <c r="V107" i="1"/>
  <c r="E112" i="1"/>
  <c r="AB86" i="1"/>
  <c r="H131" i="1"/>
  <c r="U132" i="1"/>
  <c r="Z113" i="1"/>
  <c r="G83" i="1"/>
  <c r="G126" i="1"/>
  <c r="G129" i="1"/>
  <c r="G132" i="1"/>
  <c r="Z114" i="1"/>
  <c r="K112" i="1"/>
  <c r="R104" i="1"/>
  <c r="P125" i="1"/>
  <c r="Y125" i="1"/>
  <c r="G117" i="1"/>
  <c r="G121" i="1"/>
  <c r="K103" i="1"/>
  <c r="P128" i="1"/>
  <c r="Z125" i="1"/>
  <c r="Z128" i="1"/>
  <c r="V126" i="1"/>
  <c r="AB82" i="1"/>
  <c r="AA82" i="1"/>
  <c r="M104" i="1"/>
  <c r="AD104" i="1"/>
  <c r="N110" i="1"/>
  <c r="R86" i="1"/>
  <c r="U125" i="1"/>
  <c r="U128" i="1"/>
  <c r="AE86" i="1"/>
  <c r="E105" i="1"/>
  <c r="X126" i="1"/>
  <c r="W107" i="1"/>
  <c r="V104" i="1"/>
  <c r="F125" i="1"/>
  <c r="F128" i="1"/>
  <c r="X86" i="1"/>
  <c r="F84" i="1"/>
  <c r="F87" i="1"/>
  <c r="T126" i="1"/>
  <c r="Z122" i="1"/>
  <c r="E125" i="1"/>
  <c r="S126" i="1"/>
  <c r="E117" i="1"/>
  <c r="E128" i="1"/>
  <c r="J126" i="1"/>
  <c r="V122" i="1"/>
  <c r="H84" i="1"/>
  <c r="H86" i="1"/>
  <c r="W128" i="1"/>
  <c r="F129" i="1"/>
  <c r="P114" i="1"/>
  <c r="Z82" i="1"/>
  <c r="AC113" i="1"/>
  <c r="W86" i="1"/>
  <c r="AE125" i="1"/>
  <c r="AD86" i="1"/>
  <c r="K113" i="1"/>
  <c r="I129" i="1"/>
  <c r="F110" i="1"/>
  <c r="T117" i="1"/>
  <c r="V125" i="1"/>
  <c r="V128" i="1"/>
  <c r="V131" i="1"/>
  <c r="J117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Y120" i="1"/>
  <c r="Y121" i="1"/>
  <c r="Q132" i="1"/>
  <c r="V88" i="1"/>
  <c r="E86" i="1"/>
  <c r="E126" i="1"/>
  <c r="AC104" i="1"/>
  <c r="K114" i="1"/>
  <c r="AD114" i="1"/>
  <c r="AD113" i="1"/>
  <c r="K107" i="1"/>
  <c r="P87" i="1"/>
  <c r="R88" i="1"/>
  <c r="P107" i="1"/>
  <c r="Y112" i="1"/>
  <c r="R120" i="1"/>
  <c r="Q120" i="1"/>
  <c r="M107" i="1"/>
  <c r="U110" i="1"/>
  <c r="U117" i="1"/>
  <c r="K104" i="1"/>
  <c r="K128" i="1"/>
  <c r="S125" i="1"/>
  <c r="S128" i="1"/>
  <c r="Q128" i="1"/>
  <c r="G84" i="1"/>
  <c r="G87" i="1"/>
  <c r="M121" i="1"/>
  <c r="AC82" i="1"/>
  <c r="AD82" i="1"/>
  <c r="AE82" i="1"/>
  <c r="P121" i="1"/>
  <c r="N105" i="1"/>
  <c r="S131" i="1"/>
  <c r="H126" i="1"/>
  <c r="H129" i="1"/>
  <c r="N126" i="1"/>
  <c r="N129" i="1"/>
  <c r="N125" i="1"/>
  <c r="N128" i="1"/>
  <c r="X107" i="1"/>
  <c r="W110" i="1"/>
  <c r="W114" i="1"/>
  <c r="L125" i="1"/>
  <c r="L128" i="1"/>
  <c r="Z126" i="1"/>
  <c r="W126" i="1"/>
  <c r="W129" i="1"/>
  <c r="I84" i="1"/>
  <c r="T87" i="1"/>
  <c r="J113" i="1"/>
  <c r="M126" i="1"/>
  <c r="M129" i="1"/>
  <c r="AB117" i="1"/>
  <c r="AB120" i="1"/>
  <c r="AB126" i="1"/>
  <c r="AB129" i="1"/>
  <c r="I87" i="1"/>
  <c r="O83" i="1"/>
  <c r="V103" i="1"/>
  <c r="S110" i="1"/>
  <c r="X113" i="1"/>
  <c r="L107" i="1"/>
  <c r="W122" i="1"/>
  <c r="AE113" i="1"/>
  <c r="AC103" i="1"/>
  <c r="S84" i="1"/>
  <c r="S87" i="1"/>
  <c r="S103" i="1"/>
  <c r="U107" i="1"/>
  <c r="R129" i="1"/>
  <c r="O84" i="1"/>
  <c r="J131" i="1"/>
  <c r="Q121" i="1"/>
  <c r="AC114" i="1"/>
  <c r="AB121" i="1"/>
  <c r="W88" i="1"/>
  <c r="AD121" i="1"/>
  <c r="M122" i="1"/>
  <c r="Y129" i="1"/>
  <c r="Q86" i="1"/>
  <c r="G125" i="1"/>
  <c r="Z84" i="1"/>
  <c r="K105" i="1"/>
  <c r="R107" i="1"/>
  <c r="AE128" i="1"/>
  <c r="AE131" i="1"/>
  <c r="F117" i="1"/>
  <c r="L104" i="1"/>
  <c r="AB132" i="1"/>
  <c r="Q114" i="1"/>
  <c r="H87" i="1"/>
  <c r="V129" i="1"/>
  <c r="Y105" i="1"/>
  <c r="F132" i="1"/>
  <c r="K129" i="1"/>
  <c r="O126" i="1"/>
  <c r="Z129" i="1"/>
  <c r="S112" i="1"/>
  <c r="L110" i="1"/>
  <c r="L113" i="1"/>
  <c r="U104" i="1"/>
  <c r="X104" i="1"/>
  <c r="T129" i="1"/>
  <c r="I114" i="1"/>
  <c r="J84" i="1"/>
  <c r="J87" i="1"/>
  <c r="J104" i="1"/>
  <c r="D107" i="1"/>
  <c r="L117" i="1"/>
  <c r="K131" i="1"/>
  <c r="E104" i="1"/>
  <c r="E122" i="1"/>
  <c r="F121" i="1"/>
  <c r="N112" i="1"/>
  <c r="F113" i="1"/>
  <c r="M132" i="1"/>
  <c r="S113" i="1"/>
  <c r="L112" i="1"/>
  <c r="G82" i="1"/>
  <c r="I103" i="1"/>
  <c r="O87" i="1"/>
  <c r="O125" i="1"/>
  <c r="AD122" i="1"/>
  <c r="AE129" i="1"/>
  <c r="AC132" i="1"/>
  <c r="T105" i="1"/>
  <c r="P103" i="1"/>
  <c r="L132" i="1"/>
  <c r="V110" i="1"/>
  <c r="G86" i="1"/>
  <c r="U121" i="1"/>
  <c r="X122" i="1"/>
  <c r="Q104" i="1"/>
  <c r="H132" i="1"/>
  <c r="I128" i="1"/>
  <c r="AD120" i="1"/>
  <c r="X105" i="1"/>
  <c r="R110" i="1"/>
  <c r="N131" i="1"/>
  <c r="L114" i="1"/>
  <c r="U103" i="1"/>
  <c r="H110" i="1"/>
  <c r="AE117" i="1"/>
  <c r="O117" i="1"/>
  <c r="AB125" i="1"/>
  <c r="S107" i="1"/>
  <c r="AC105" i="1"/>
  <c r="AE121" i="1"/>
  <c r="AC107" i="1"/>
  <c r="L120" i="1"/>
  <c r="Z87" i="1"/>
  <c r="H105" i="1"/>
  <c r="Q131" i="1"/>
  <c r="G104" i="1"/>
  <c r="O107" i="1"/>
  <c r="F112" i="1"/>
  <c r="J121" i="1"/>
  <c r="H120" i="1"/>
  <c r="AB88" i="1"/>
  <c r="O110" i="1"/>
  <c r="AD112" i="1"/>
  <c r="AA107" i="1"/>
  <c r="R114" i="1"/>
  <c r="O104" i="1"/>
  <c r="I107" i="1"/>
  <c r="W131" i="1"/>
  <c r="Z88" i="1"/>
  <c r="G110" i="1"/>
  <c r="Z120" i="1"/>
  <c r="Z131" i="1"/>
  <c r="Y114" i="1"/>
  <c r="X129" i="1"/>
  <c r="X132" i="1"/>
  <c r="F82" i="1"/>
  <c r="E82" i="1"/>
  <c r="AB110" i="1"/>
  <c r="AB113" i="1"/>
  <c r="AC121" i="1"/>
  <c r="E114" i="1"/>
  <c r="L88" i="1"/>
  <c r="G128" i="1"/>
  <c r="G131" i="1"/>
  <c r="AE114" i="1"/>
  <c r="W121" i="1"/>
  <c r="O113" i="1"/>
  <c r="L121" i="1"/>
  <c r="O88" i="1"/>
  <c r="K88" i="1"/>
  <c r="T104" i="1"/>
  <c r="AC125" i="1"/>
  <c r="AC128" i="1"/>
  <c r="AC131" i="1"/>
  <c r="Z105" i="1"/>
  <c r="F104" i="1"/>
  <c r="J105" i="1"/>
  <c r="R113" i="1"/>
  <c r="V132" i="1"/>
  <c r="AB105" i="1"/>
  <c r="W132" i="1"/>
  <c r="F131" i="1"/>
  <c r="I105" i="1"/>
  <c r="AB104" i="1"/>
  <c r="M113" i="1"/>
  <c r="O114" i="1"/>
  <c r="O86" i="1"/>
  <c r="M128" i="1"/>
  <c r="M131" i="1"/>
  <c r="O121" i="1"/>
  <c r="Z132" i="1"/>
  <c r="J86" i="1"/>
  <c r="G114" i="1"/>
  <c r="G112" i="1"/>
  <c r="G113" i="1"/>
  <c r="E129" i="1"/>
  <c r="E132" i="1"/>
  <c r="L86" i="1"/>
  <c r="G105" i="1"/>
  <c r="Y113" i="1"/>
  <c r="AE103" i="1"/>
  <c r="F122" i="1"/>
  <c r="T121" i="1"/>
  <c r="V86" i="1"/>
  <c r="M88" i="1"/>
  <c r="M86" i="1"/>
  <c r="T113" i="1"/>
  <c r="AE105" i="1"/>
  <c r="J112" i="1"/>
  <c r="Y128" i="1"/>
  <c r="Y131" i="1"/>
  <c r="S105" i="1"/>
  <c r="I112" i="1"/>
  <c r="S129" i="1"/>
  <c r="H103" i="1"/>
  <c r="J88" i="1"/>
  <c r="W105" i="1"/>
  <c r="O103" i="1"/>
  <c r="E103" i="1"/>
  <c r="Z86" i="1"/>
  <c r="S86" i="1"/>
  <c r="J107" i="1"/>
  <c r="E107" i="1"/>
  <c r="P88" i="1"/>
  <c r="P104" i="1"/>
  <c r="E113" i="1"/>
  <c r="Q105" i="1"/>
  <c r="K117" i="1"/>
  <c r="F114" i="1"/>
  <c r="Y132" i="1"/>
  <c r="L122" i="1"/>
  <c r="T114" i="1"/>
  <c r="F88" i="1"/>
  <c r="AB114" i="1"/>
  <c r="Z103" i="1"/>
  <c r="AE104" i="1"/>
  <c r="I86" i="1"/>
  <c r="J103" i="1"/>
  <c r="U112" i="1"/>
  <c r="P105" i="1"/>
  <c r="R112" i="1"/>
  <c r="P132" i="1"/>
  <c r="X131" i="1"/>
  <c r="H114" i="1"/>
  <c r="F86" i="1"/>
  <c r="O129" i="1"/>
  <c r="M114" i="1"/>
  <c r="G107" i="1"/>
  <c r="S132" i="1"/>
  <c r="K121" i="1"/>
  <c r="G122" i="1"/>
  <c r="V112" i="1"/>
  <c r="Y107" i="1"/>
  <c r="N107" i="1"/>
  <c r="Q107" i="1"/>
  <c r="AD107" i="1"/>
  <c r="U131" i="1"/>
  <c r="AC120" i="1"/>
  <c r="L103" i="1"/>
  <c r="T132" i="1"/>
  <c r="L105" i="1"/>
  <c r="F105" i="1"/>
  <c r="AD88" i="1"/>
  <c r="E131" i="1"/>
  <c r="N114" i="1"/>
  <c r="Z104" i="1"/>
  <c r="W113" i="1"/>
  <c r="H107" i="1"/>
  <c r="H88" i="1"/>
  <c r="F107" i="1"/>
  <c r="L131" i="1"/>
  <c r="U120" i="1"/>
  <c r="O128" i="1"/>
  <c r="O131" i="1"/>
  <c r="O122" i="1"/>
  <c r="T120" i="1"/>
  <c r="K132" i="1"/>
  <c r="H112" i="1"/>
  <c r="Z112" i="1"/>
  <c r="J129" i="1"/>
  <c r="J132" i="1"/>
  <c r="T131" i="1"/>
  <c r="AB128" i="1"/>
  <c r="AB131" i="1"/>
  <c r="P122" i="1"/>
  <c r="J114" i="1"/>
  <c r="G103" i="1"/>
  <c r="F103" i="1"/>
  <c r="I88" i="1"/>
  <c r="AE132" i="1"/>
  <c r="H104" i="1"/>
  <c r="O132" i="1"/>
  <c r="E120" i="1"/>
  <c r="K122" i="1"/>
  <c r="K120" i="1"/>
  <c r="O112" i="1"/>
  <c r="G120" i="1"/>
  <c r="I104" i="1"/>
  <c r="S114" i="1"/>
  <c r="R132" i="1"/>
  <c r="P131" i="1"/>
  <c r="T88" i="1"/>
  <c r="E121" i="1"/>
  <c r="T122" i="1"/>
  <c r="U113" i="1"/>
  <c r="S104" i="1"/>
  <c r="W112" i="1"/>
  <c r="S88" i="1"/>
  <c r="G88" i="1"/>
  <c r="AE120" i="1"/>
  <c r="V114" i="1"/>
  <c r="J122" i="1"/>
  <c r="N113" i="1"/>
  <c r="O120" i="1"/>
  <c r="I132" i="1"/>
  <c r="AB112" i="1"/>
  <c r="AB122" i="1"/>
  <c r="U114" i="1"/>
  <c r="U122" i="1"/>
  <c r="I131" i="1"/>
  <c r="O105" i="1"/>
  <c r="T103" i="1"/>
  <c r="J120" i="1"/>
  <c r="F120" i="1"/>
  <c r="N132" i="1"/>
  <c r="V113" i="1"/>
  <c r="AE122" i="1"/>
  <c r="H1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Dinesh kumar</author>
  </authors>
  <commentList>
    <comment ref="CE5" authorId="0" shapeId="0" xr:uid="{E3F665E4-9B0B-48AE-A07D-884B8DBD81BA}">
      <text>
        <r>
          <rPr>
            <b/>
            <sz val="9"/>
            <color indexed="81"/>
            <rFont val="Tahoma"/>
            <family val="2"/>
          </rPr>
          <t>Decline is because of slower order inflows due to general elections</t>
        </r>
      </text>
    </comment>
    <comment ref="CI5" authorId="0" shapeId="0" xr:uid="{BFCB74B9-F4D3-485E-AD8B-72AA6C61BCFC}">
      <text>
        <r>
          <rPr>
            <b/>
            <sz val="9"/>
            <color indexed="81"/>
            <rFont val="Tahoma"/>
            <family val="2"/>
          </rPr>
          <t xml:space="preserve">5.01 Cr - Inter divisional Sales
</t>
        </r>
      </text>
    </comment>
    <comment ref="CI6" authorId="1" shapeId="0" xr:uid="{3177F53B-2B44-4DF3-99EE-48B612471AE8}">
      <text>
        <r>
          <rPr>
            <b/>
            <sz val="9"/>
            <color indexed="81"/>
            <rFont val="Tahoma"/>
            <family val="2"/>
          </rPr>
          <t>41% of revenue is Service and Replacements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<sst xmlns="http://schemas.openxmlformats.org/spreadsheetml/2006/main" count="680" uniqueCount="541">
  <si>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</si>
  <si>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</si>
  <si>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</si>
  <si>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</si>
  <si>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</si>
  <si>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</si>
  <si>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</si>
  <si>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</si>
  <si>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</si>
  <si>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</si>
  <si>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</si>
  <si>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</si>
  <si>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</si>
  <si>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</si>
  <si>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</si>
  <si>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</si>
  <si>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</si>
  <si>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</si>
  <si>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</si>
  <si>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</si>
  <si>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</si>
  <si>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</si>
  <si>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</si>
  <si>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</si>
  <si>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</si>
  <si>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</si>
  <si>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</si>
  <si>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</si>
  <si>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</si>
  <si>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</si>
  <si>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</si>
  <si>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</si>
  <si>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</si>
  <si>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</si>
  <si>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</si>
  <si>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</si>
  <si>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</si>
  <si>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</si>
  <si>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</si>
  <si>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</si>
  <si>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</si>
  <si>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</si>
  <si>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</si>
  <si>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</si>
  <si>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</si>
  <si>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</si>
  <si>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</si>
  <si>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</si>
  <si>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</si>
  <si>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</si>
  <si>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</si>
  <si>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</si>
  <si>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</si>
  <si>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</si>
  <si>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</si>
  <si>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</si>
  <si>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</si>
  <si>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</si>
  <si>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</si>
  <si>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</si>
  <si>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</si>
  <si>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</si>
  <si>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</si>
  <si>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</si>
  <si>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</si>
  <si>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</si>
  <si>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</si>
  <si>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</si>
  <si>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</si>
  <si>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</si>
  <si>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</si>
  <si>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</si>
  <si>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</si>
  <si>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</si>
  <si>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</si>
  <si>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</si>
  <si>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</si>
  <si>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</si>
  <si>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</si>
  <si>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</si>
  <si>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</si>
  <si>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</si>
  <si>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</si>
  <si>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</si>
  <si>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</si>
  <si>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</si>
  <si>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</si>
  <si>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</si>
  <si>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</si>
  <si>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</si>
  <si>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</si>
  <si>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</si>
  <si>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</si>
  <si>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</si>
  <si>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</si>
  <si>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</si>
  <si>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</si>
  <si>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</si>
  <si>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</si>
  <si>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</si>
  <si>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</si>
  <si>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</si>
  <si>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</si>
  <si>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</si>
  <si>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</si>
  <si>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</si>
  <si>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</si>
  <si>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</si>
  <si>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</si>
  <si>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</si>
  <si>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</si>
  <si>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</si>
  <si>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</si>
  <si>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</si>
  <si>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</si>
  <si>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</si>
  <si>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</si>
  <si>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</si>
  <si>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</si>
  <si>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</si>
  <si>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</si>
  <si>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</si>
  <si>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</si>
  <si>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</si>
  <si>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</si>
  <si>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</si>
  <si>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</si>
  <si>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</si>
  <si>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</si>
  <si>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</si>
  <si>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</si>
  <si>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</si>
  <si>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</si>
  <si>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</si>
  <si>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</si>
  <si>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</si>
  <si>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</si>
  <si>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</si>
  <si>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</si>
  <si>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</si>
  <si>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</si>
  <si>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</si>
  <si>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</si>
  <si>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</si>
  <si>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</si>
  <si>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</si>
  <si>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</si>
  <si>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</si>
  <si>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</si>
  <si>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</si>
  <si>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</si>
  <si>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</si>
  <si>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</si>
  <si>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</si>
  <si>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</si>
  <si>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</si>
  <si>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</si>
  <si>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</si>
  <si>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</si>
  <si>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</si>
  <si>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</si>
  <si>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</si>
  <si>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</si>
  <si>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</si>
  <si>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</si>
  <si>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</si>
  <si>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</si>
  <si>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</si>
  <si>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</si>
  <si>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</si>
  <si>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</si>
  <si>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</si>
  <si>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</si>
  <si>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</si>
  <si>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</si>
  <si>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</si>
  <si>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</si>
  <si>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</si>
  <si>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</si>
  <si>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</si>
  <si>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</si>
  <si>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</si>
  <si>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</si>
  <si>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</si>
  <si>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</si>
  <si>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</si>
  <si>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</si>
  <si>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</si>
  <si>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</si>
  <si>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</si>
  <si>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</si>
  <si>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</si>
  <si>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</si>
  <si>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</si>
  <si>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</si>
  <si>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</si>
  <si>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</si>
  <si>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</si>
  <si>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</si>
  <si>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</si>
  <si>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</si>
  <si>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</si>
  <si>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</si>
  <si>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</si>
  <si>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</si>
  <si>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</si>
  <si>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</si>
  <si>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</si>
  <si>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</si>
  <si>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</si>
  <si>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</si>
  <si>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</si>
  <si>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</si>
  <si>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</si>
  <si>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</si>
  <si>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</si>
  <si>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</si>
  <si>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</si>
  <si>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</si>
  <si>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</si>
  <si>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</si>
  <si>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</si>
  <si>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</si>
  <si>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</si>
  <si>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</si>
  <si>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</si>
  <si>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</si>
  <si>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</si>
  <si>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</si>
  <si>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</si>
  <si>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</si>
  <si>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</si>
  <si>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</si>
  <si>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</si>
  <si>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</si>
  <si>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</si>
  <si>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</si>
  <si>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</si>
  <si>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</si>
  <si>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</si>
  <si>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</si>
  <si>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</si>
  <si>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</si>
  <si>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</si>
  <si>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</si>
  <si>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</si>
  <si>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</si>
  <si>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</si>
  <si>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</si>
  <si>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</si>
  <si>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</si>
  <si>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</si>
  <si>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</si>
  <si>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</si>
  <si>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</si>
  <si>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</si>
  <si>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</si>
  <si>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</si>
  <si>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</si>
  <si>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</si>
  <si>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</si>
  <si>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</si>
  <si>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</si>
  <si>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</si>
  <si>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</si>
  <si>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</si>
  <si>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</si>
  <si>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</si>
  <si>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</si>
  <si>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</si>
  <si>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</si>
  <si>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</si>
  <si>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</si>
  <si>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</si>
  <si>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</si>
  <si>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</si>
  <si>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</si>
  <si>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</si>
  <si>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</si>
  <si>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</si>
  <si>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</si>
  <si>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</si>
  <si>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</si>
  <si>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</si>
  <si>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</si>
  <si>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</si>
  <si>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</si>
  <si>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</si>
  <si>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</si>
  <si>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</si>
  <si>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</si>
  <si>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</si>
  <si>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</si>
  <si>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</si>
  <si>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</si>
  <si>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</si>
  <si>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</si>
  <si>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</si>
  <si>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</si>
  <si>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</si>
  <si>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</si>
  <si>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</si>
  <si>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</si>
  <si>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</si>
  <si>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</si>
  <si>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</si>
  <si>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</si>
  <si>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</si>
  <si>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</si>
  <si>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</si>
  <si>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</si>
  <si>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</si>
  <si>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</si>
  <si>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</si>
  <si>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</si>
  <si>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</si>
  <si>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</si>
  <si>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</si>
  <si>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</si>
  <si>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</si>
  <si>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</si>
  <si>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</si>
  <si>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</si>
  <si>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</si>
  <si>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</si>
  <si>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</si>
  <si>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</si>
  <si>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</si>
  <si>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</si>
  <si>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</si>
  <si>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</si>
  <si>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</si>
  <si>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</si>
  <si>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</si>
  <si>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</si>
  <si>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</si>
  <si>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</si>
  <si>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</si>
  <si>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</si>
  <si>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</si>
  <si>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</si>
  <si>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</si>
  <si>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</si>
  <si>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</si>
  <si>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</si>
  <si>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</si>
  <si>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</si>
  <si>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</si>
  <si>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</si>
  <si>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</si>
  <si>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</si>
  <si>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</si>
  <si>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</si>
  <si>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</si>
  <si>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</si>
  <si>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</si>
  <si>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</si>
  <si>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</si>
  <si>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</si>
  <si>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</si>
  <si>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</si>
  <si>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</si>
  <si>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</si>
  <si>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</si>
  <si>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</si>
  <si>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</si>
  <si>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</si>
  <si>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</si>
  <si>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</si>
  <si>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</si>
  <si>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</si>
  <si>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</si>
  <si>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</si>
  <si>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</si>
  <si>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</si>
  <si>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</si>
  <si>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</si>
  <si>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</si>
  <si>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</si>
  <si>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</si>
  <si>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</si>
  <si>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</si>
  <si>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</si>
  <si>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</si>
  <si>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</si>
  <si>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</si>
  <si>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</si>
  <si>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</si>
  <si>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</si>
  <si>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</si>
  <si>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</si>
  <si>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</si>
  <si>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</si>
  <si>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</si>
  <si>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</si>
  <si>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</si>
  <si>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</si>
  <si>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</si>
  <si>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</si>
  <si>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</si>
  <si>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</si>
  <si>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</si>
  <si>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</si>
  <si>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</si>
  <si>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</si>
  <si>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</si>
  <si>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</si>
  <si>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</si>
  <si>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</si>
  <si>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</si>
  <si>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</si>
  <si>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</si>
  <si>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</si>
  <si>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</si>
  <si>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</si>
  <si>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</si>
  <si>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</si>
  <si>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</si>
  <si>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</si>
  <si>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</si>
  <si>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</si>
  <si>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</si>
  <si>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</si>
  <si>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</si>
  <si>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</si>
  <si>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</si>
  <si>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</si>
  <si>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</si>
  <si>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</si>
  <si>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</si>
  <si>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</si>
  <si>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</si>
  <si>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</si>
  <si>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</si>
  <si>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</si>
  <si>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</si>
  <si>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</si>
  <si>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</si>
  <si>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</si>
  <si>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</si>
  <si>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</si>
  <si>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</si>
  <si>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</si>
  <si>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</si>
  <si>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</si>
  <si>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</si>
  <si>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</si>
  <si>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</si>
  <si>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</si>
  <si>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</si>
  <si>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</si>
  <si>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</si>
  <si>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</si>
  <si>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</si>
  <si>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</si>
  <si>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</si>
  <si>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</si>
  <si>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</si>
  <si>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</si>
  <si>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</si>
  <si>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</si>
  <si>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</si>
  <si>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</si>
  <si>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</si>
  <si>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</si>
  <si>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</si>
  <si>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</si>
  <si>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</si>
  <si>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</si>
  <si>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</si>
  <si>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</si>
  <si>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</si>
  <si>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</si>
  <si>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</si>
  <si>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</si>
  <si>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</si>
  <si>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</si>
  <si>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</si>
  <si>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</si>
  <si>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</si>
  <si>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</si>
  <si>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</si>
  <si>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</si>
  <si>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</si>
  <si>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</si>
  <si>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</si>
  <si>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</si>
  <si>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</si>
  <si>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</si>
  <si>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</si>
  <si>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</si>
  <si>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</si>
  <si>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</si>
  <si>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</si>
  <si>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</si>
  <si>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</si>
  <si>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</si>
  <si>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</si>
  <si>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</si>
  <si>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</si>
  <si>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</si>
  <si>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</si>
  <si>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</si>
  <si>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</si>
  <si>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</si>
  <si>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</si>
  <si>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</si>
  <si>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</si>
  <si>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</si>
  <si>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</si>
  <si>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</si>
  <si>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</si>
  <si>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</si>
  <si>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</si>
  <si>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</si>
  <si>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Elecon Engineering Company Ltd.</t>
  </si>
  <si>
    <t>DATE</t>
  </si>
  <si>
    <t>ADJCLOSE</t>
  </si>
  <si>
    <t>ADJHIGH</t>
  </si>
  <si>
    <t>ADJLOW</t>
  </si>
  <si>
    <t>ADJOPEN</t>
  </si>
  <si>
    <t>CLOSE</t>
  </si>
  <si>
    <t>VOLUME</t>
  </si>
  <si>
    <t>Opening</t>
  </si>
  <si>
    <t>Additions</t>
  </si>
  <si>
    <t>Executed</t>
  </si>
  <si>
    <t>Total</t>
  </si>
  <si>
    <t>Additions YOY%</t>
  </si>
  <si>
    <t>Execution (%)</t>
  </si>
  <si>
    <t xml:space="preserve">  Transmission Equipment (Gears)</t>
  </si>
  <si>
    <t xml:space="preserve">  Material Handling Equipment (MHE)</t>
  </si>
  <si>
    <t>:Elimination of Inter division sales</t>
  </si>
  <si>
    <t>Revenue Breakup</t>
  </si>
  <si>
    <t>Revenue Growth %</t>
  </si>
  <si>
    <t>Transmission Equipments</t>
  </si>
  <si>
    <t>MHE</t>
  </si>
  <si>
    <t>Total Revenue</t>
  </si>
  <si>
    <t>Checksum</t>
  </si>
  <si>
    <t>har</t>
  </si>
  <si>
    <t>Order Book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</si>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</sst>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19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7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Border="1" applyAlignment="1">
      <alignment vertical="center"/>
    </xf>
    <xf numFmtId="43" fontId="20" fillId="2" borderId="0" xfId="2" applyFont="1" applyFill="1" applyBorder="1" applyAlignment="1">
      <alignment vertical="center"/>
    </xf>
    <xf numFmtId="166" fontId="20" fillId="2" borderId="0" xfId="1" applyNumberFormat="1" applyFont="1" applyFill="1" applyBorder="1" applyAlignment="1">
      <alignment vertical="center"/>
    </xf>
    <xf numFmtId="9" fontId="18" fillId="2" borderId="0" xfId="1" applyFont="1" applyFill="1" applyAlignment="1">
      <alignment horizontal="center"/>
    </xf>
    <xf numFmtId="9" fontId="18" fillId="7" borderId="0" xfId="1" applyFont="1" applyFill="1" applyAlignment="1">
      <alignment horizontal="center"/>
    </xf>
    <xf numFmtId="166" fontId="11" fillId="2" borderId="0" xfId="1" applyNumberFormat="1" applyFont="1" applyFill="1" applyBorder="1" applyAlignment="1">
      <alignment vertical="center"/>
    </xf>
    <xf numFmtId="2" fontId="20" fillId="2" borderId="0" xfId="2" applyNumberFormat="1" applyFont="1" applyFill="1" applyBorder="1" applyAlignment="1">
      <alignment vertical="center"/>
    </xf>
    <xf numFmtId="2" fontId="20" fillId="2" borderId="0" xfId="2" applyNumberFormat="1" applyFont="1" applyFill="1" applyAlignment="1">
      <alignment vertical="center"/>
    </xf>
    <xf numFmtId="9" fontId="20" fillId="2" borderId="0" xfId="1" applyFont="1" applyFill="1" applyBorder="1" applyAlignment="1">
      <alignment vertical="center"/>
    </xf>
    <xf numFmtId="17" fontId="5" fillId="0" borderId="0" xfId="0" applyNumberFormat="1" applyFont="1" applyAlignment="1">
      <alignment horizontal="center"/>
    </xf>
    <xf numFmtId="9" fontId="4" fillId="0" borderId="0" xfId="2" applyNumberFormat="1" applyFont="1" applyAlignment="1">
      <alignment horizontal="center"/>
    </xf>
    <xf numFmtId="43" fontId="9" fillId="0" borderId="0" xfId="0" applyNumberFormat="1" applyFont="1"/>
    <xf numFmtId="43" fontId="5" fillId="3" borderId="0" xfId="0" applyNumberFormat="1" applyFont="1" applyFill="1"/>
    <xf numFmtId="43" fontId="7" fillId="0" borderId="0" xfId="0" applyNumberFormat="1" applyFont="1"/>
    <xf numFmtId="9" fontId="4" fillId="4" borderId="0" xfId="2" applyNumberFormat="1" applyFont="1" applyFill="1"/>
    <xf numFmtId="43" fontId="9" fillId="4" borderId="0" xfId="0" applyNumberFormat="1" applyFont="1" applyFill="1"/>
    <xf numFmtId="2" fontId="18" fillId="2" borderId="4" xfId="2" applyNumberFormat="1" applyFont="1" applyFill="1" applyBorder="1" applyAlignment="1">
      <alignment vertical="center"/>
    </xf>
    <xf numFmtId="43" fontId="18" fillId="2" borderId="1" xfId="2" applyFont="1" applyFill="1" applyBorder="1" applyAlignment="1">
      <alignment horizontal="center"/>
    </xf>
    <xf numFmtId="43" fontId="4" fillId="0" borderId="1" xfId="2" applyFont="1" applyBorder="1" applyAlignment="1">
      <alignment horizontal="center"/>
    </xf>
    <xf numFmtId="2" fontId="18" fillId="2" borderId="1" xfId="2" applyNumberFormat="1" applyFont="1" applyFill="1" applyBorder="1" applyAlignment="1">
      <alignment vertical="center"/>
    </xf>
    <xf numFmtId="43" fontId="18" fillId="0" borderId="1" xfId="2" applyFont="1" applyFill="1" applyBorder="1" applyAlignment="1">
      <alignment horizontal="center"/>
    </xf>
    <xf numFmtId="2" fontId="18" fillId="7" borderId="1" xfId="2" applyNumberFormat="1" applyFont="1" applyFill="1" applyBorder="1" applyAlignment="1">
      <alignment horizontal="center"/>
    </xf>
    <xf numFmtId="43" fontId="20" fillId="2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9" fontId="18" fillId="2" borderId="0" xfId="1" applyFont="1" applyFill="1" applyAlignment="1">
      <alignment horizontal="right"/>
    </xf>
    <xf numFmtId="9" fontId="18" fillId="7" borderId="0" xfId="1" applyFont="1" applyFill="1" applyAlignment="1">
      <alignment horizontal="right"/>
    </xf>
    <xf numFmtId="43" fontId="18" fillId="10" borderId="0" xfId="2" applyFont="1" applyFill="1" applyAlignment="1">
      <alignment horizontal="left"/>
    </xf>
    <xf numFmtId="43" fontId="18" fillId="10" borderId="0" xfId="2" applyFont="1" applyFill="1" applyAlignment="1">
      <alignment horizontal="center"/>
    </xf>
    <xf numFmtId="43" fontId="4" fillId="10" borderId="0" xfId="2" applyFont="1" applyFill="1" applyAlignment="1">
      <alignment horizontal="center"/>
    </xf>
    <xf numFmtId="2" fontId="18" fillId="10" borderId="0" xfId="2" applyNumberFormat="1" applyFont="1" applyFill="1" applyBorder="1" applyAlignment="1">
      <alignment vertical="center"/>
    </xf>
    <xf numFmtId="2" fontId="18" fillId="10" borderId="0" xfId="2" applyNumberFormat="1" applyFont="1" applyFill="1" applyAlignment="1">
      <alignment vertical="center"/>
    </xf>
    <xf numFmtId="9" fontId="20" fillId="7" borderId="0" xfId="1" applyFont="1" applyFill="1" applyAlignment="1">
      <alignment horizontal="right"/>
    </xf>
    <xf numFmtId="2" fontId="20" fillId="7" borderId="0" xfId="2" applyNumberFormat="1" applyFont="1" applyFill="1" applyAlignment="1">
      <alignment horizontal="right"/>
    </xf>
    <xf numFmtId="2" fontId="18" fillId="7" borderId="1" xfId="2" applyNumberFormat="1" applyFont="1" applyFill="1" applyBorder="1" applyAlignment="1">
      <alignment horizontal="right"/>
    </xf>
    <xf numFmtId="2" fontId="18" fillId="2" borderId="1" xfId="2" applyNumberFormat="1" applyFont="1" applyFill="1" applyBorder="1" applyAlignment="1">
      <alignment horizontal="center"/>
    </xf>
    <xf numFmtId="2" fontId="18" fillId="2" borderId="0" xfId="2" applyNumberFormat="1" applyFont="1" applyFill="1" applyAlignment="1">
      <alignment horizontal="center"/>
    </xf>
    <xf numFmtId="2" fontId="18" fillId="7" borderId="0" xfId="2" applyNumberFormat="1" applyFont="1" applyFill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72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25" sqref="DF25:DF272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9" width="11.140625" style="2"/>
    <col min="90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Elecon Engineering Company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J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ref="CK1" si="16">EOMONTH(CJ1,3)</f>
        <v>46022</v>
      </c>
      <c r="CL1" s="79">
        <f t="shared" ref="CL1" si="17">EOMONTH(CK1,3)</f>
        <v>46112</v>
      </c>
      <c r="CM1" s="80">
        <f t="shared" ref="CM1" si="18">EOMONTH(CL1,3)</f>
        <v>46203</v>
      </c>
      <c r="CN1" s="80">
        <f t="shared" ref="CN1" si="19">EOMONTH(CM1,3)</f>
        <v>46295</v>
      </c>
      <c r="CO1" s="80">
        <f t="shared" ref="CO1" si="20">EOMONTH(CN1,3)</f>
        <v>46387</v>
      </c>
      <c r="CP1" s="80">
        <f t="shared" ref="CP1" si="21">EOMONTH(CO1,3)</f>
        <v>46477</v>
      </c>
      <c r="CQ1" s="80">
        <f t="shared" ref="CQ1" si="22">EOMONTH(CP1,3)</f>
        <v>46568</v>
      </c>
      <c r="CR1" s="80">
        <f t="shared" ref="CR1" si="23">EOMONTH(CQ1,3)</f>
        <v>46660</v>
      </c>
      <c r="CS1" s="80">
        <f t="shared" ref="CS1" si="24">EOMONTH(CR1,3)</f>
        <v>46752</v>
      </c>
      <c r="CT1" s="80">
        <f t="shared" ref="CT1" si="25">EOMONTH(CS1,3)</f>
        <v>46843</v>
      </c>
      <c r="CU1" s="80">
        <f t="shared" ref="CU1" si="26">EOMONTH(CT1,3)</f>
        <v>46934</v>
      </c>
      <c r="CV1" s="80">
        <f t="shared" ref="CV1" si="27">EOMONTH(CU1,3)</f>
        <v>47026</v>
      </c>
      <c r="CW1" s="80">
        <f t="shared" ref="CW1" si="28">EOMONTH(CV1,3)</f>
        <v>47118</v>
      </c>
      <c r="CX1" s="80">
        <f t="shared" ref="CX1" si="29">EOMONTH(CW1,3)</f>
        <v>47208</v>
      </c>
      <c r="CY1" s="80">
        <f t="shared" ref="CY1" si="30">EOMONTH(CX1,3)</f>
        <v>47299</v>
      </c>
      <c r="CZ1" s="80">
        <f t="shared" ref="CZ1" si="31">EOMONTH(CY1,3)</f>
        <v>47391</v>
      </c>
      <c r="DA1" s="80">
        <f t="shared" ref="DA1" si="32">EOMONTH(CZ1,3)</f>
        <v>47483</v>
      </c>
      <c r="DB1" s="80">
        <f t="shared" ref="DB1" si="33">EOMONTH(DA1,3)</f>
        <v>47573</v>
      </c>
      <c r="DE1" s="148" t="s">
        <v>445</v>
      </c>
      <c r="DF1" s="190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09" customFormat="1" x14ac:dyDescent="0.2">
      <c r="A3" s="186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8"/>
      <c r="AB3" s="108"/>
      <c r="AC3" s="108"/>
      <c r="AD3" s="108"/>
      <c r="AE3" s="108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  <c r="CI3" s="107"/>
      <c r="CJ3" s="107"/>
      <c r="CK3" s="107"/>
      <c r="CL3" s="107"/>
      <c r="CM3" s="108"/>
      <c r="CN3" s="108"/>
      <c r="CO3" s="108"/>
      <c r="CP3" s="108"/>
      <c r="CQ3" s="108"/>
      <c r="CR3" s="108"/>
      <c r="CS3" s="108"/>
      <c r="CT3" s="108"/>
      <c r="CU3" s="108"/>
      <c r="CV3" s="108"/>
      <c r="CW3" s="108"/>
      <c r="CX3" s="108"/>
      <c r="CY3" s="108"/>
      <c r="CZ3" s="108"/>
      <c r="DA3" s="108"/>
      <c r="DB3" s="108"/>
      <c r="DE3" s="117"/>
    </row>
    <row r="4" spans="1:110" s="210" customFormat="1" x14ac:dyDescent="0.2">
      <c r="A4" s="211" t="s">
        <v>532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I4" s="209"/>
      <c r="AJ4" s="209"/>
      <c r="AK4" s="209"/>
      <c r="AL4" s="209"/>
      <c r="AM4" s="209"/>
      <c r="AN4" s="209"/>
      <c r="AO4" s="209"/>
      <c r="AP4" s="209"/>
      <c r="AQ4" s="209"/>
      <c r="AR4" s="209"/>
      <c r="AS4" s="209"/>
      <c r="AT4" s="209"/>
      <c r="AU4" s="211"/>
      <c r="AV4" s="211"/>
      <c r="AW4" s="211"/>
      <c r="AX4" s="211"/>
      <c r="AY4" s="211"/>
      <c r="AZ4" s="211"/>
      <c r="BA4" s="211"/>
      <c r="BB4" s="211"/>
      <c r="BC4" s="211"/>
      <c r="BD4" s="211"/>
      <c r="BE4" s="211"/>
      <c r="BF4" s="211"/>
      <c r="BG4" s="211"/>
      <c r="BH4" s="211"/>
      <c r="BI4" s="211"/>
      <c r="BJ4" s="211"/>
      <c r="BK4" s="211"/>
      <c r="BL4" s="211"/>
      <c r="BM4" s="211"/>
      <c r="BN4" s="211"/>
      <c r="BO4" s="211"/>
      <c r="BP4" s="211"/>
      <c r="BQ4" s="211"/>
      <c r="BR4" s="211"/>
      <c r="BS4" s="211"/>
      <c r="BT4" s="211"/>
      <c r="BU4" s="211"/>
      <c r="BV4" s="211"/>
      <c r="BW4" s="211"/>
      <c r="BX4" s="211"/>
      <c r="BY4" s="211"/>
      <c r="BZ4" s="211"/>
      <c r="CA4" s="211"/>
      <c r="CB4" s="211"/>
      <c r="CC4" s="211"/>
      <c r="CD4" s="211"/>
      <c r="CE4" s="211"/>
      <c r="CF4" s="211"/>
      <c r="CG4" s="211"/>
      <c r="CH4" s="211"/>
      <c r="CI4" s="212"/>
      <c r="CJ4" s="212"/>
      <c r="CK4" s="212"/>
      <c r="CL4" s="212"/>
      <c r="CM4" s="209"/>
      <c r="CN4" s="209"/>
      <c r="CO4" s="209"/>
      <c r="CP4" s="209"/>
      <c r="CQ4" s="209"/>
      <c r="CR4" s="209"/>
      <c r="CS4" s="209"/>
      <c r="CT4" s="209"/>
      <c r="CU4" s="209"/>
      <c r="CV4" s="209"/>
      <c r="CW4" s="209"/>
      <c r="CX4" s="209"/>
      <c r="CY4" s="209"/>
      <c r="CZ4" s="209"/>
      <c r="DA4" s="209"/>
      <c r="DB4" s="209"/>
      <c r="DE4" s="209"/>
    </row>
    <row r="5" spans="1:110" s="109" customFormat="1" x14ac:dyDescent="0.2">
      <c r="A5" s="187" t="s">
        <v>529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>
        <f>SUM(AU5:AX5)</f>
        <v>750.05</v>
      </c>
      <c r="R5" s="107">
        <f>SUM(AY5:BB5)</f>
        <v>504.52000000000004</v>
      </c>
      <c r="S5" s="107">
        <f>SUM(BC5:BF5)</f>
        <v>382.53999999999996</v>
      </c>
      <c r="T5" s="107">
        <f>SUM(BG5:BJ5)</f>
        <v>345.13</v>
      </c>
      <c r="U5" s="107">
        <f>SUM(BK5:BN5)</f>
        <v>587.12</v>
      </c>
      <c r="V5" s="107">
        <f>SUM(BO5:BR5)</f>
        <v>905.46</v>
      </c>
      <c r="W5" s="107">
        <f>SUM(BS5:BV5)</f>
        <v>1068.17</v>
      </c>
      <c r="X5" s="107">
        <f>SUM(BW5:BZ5)</f>
        <v>1313.43</v>
      </c>
      <c r="Y5" s="107">
        <f>SUM(CA5:CD5)</f>
        <v>1644.4299999999998</v>
      </c>
      <c r="Z5" s="107">
        <f>SUM(CE5:CH5)</f>
        <v>1733.47</v>
      </c>
      <c r="AA5" s="108">
        <f>SUM(CI5:CL5)</f>
        <v>1694.27</v>
      </c>
      <c r="AB5" s="108">
        <f>SUM(CM5:CP5)</f>
        <v>0</v>
      </c>
      <c r="AC5" s="108">
        <f>SUM(CQ5:CT5)</f>
        <v>0</v>
      </c>
      <c r="AD5" s="108">
        <f>SUM(CU5:CX5)</f>
        <v>0</v>
      </c>
      <c r="AE5" s="108">
        <f>SUM(CY5:DB5)</f>
        <v>0</v>
      </c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87">
        <v>188.16</v>
      </c>
      <c r="AV5" s="187">
        <v>100.89</v>
      </c>
      <c r="AW5" s="187">
        <v>134.93</v>
      </c>
      <c r="AX5" s="187">
        <v>326.07</v>
      </c>
      <c r="AY5" s="187">
        <v>84.44</v>
      </c>
      <c r="AZ5" s="187">
        <v>105.74</v>
      </c>
      <c r="BA5" s="187">
        <v>106.53</v>
      </c>
      <c r="BB5" s="187">
        <v>207.81</v>
      </c>
      <c r="BC5" s="187">
        <v>79.17</v>
      </c>
      <c r="BD5" s="187">
        <v>70.52</v>
      </c>
      <c r="BE5" s="187">
        <v>90.77</v>
      </c>
      <c r="BF5" s="187">
        <v>142.08000000000001</v>
      </c>
      <c r="BG5" s="187">
        <v>83.02</v>
      </c>
      <c r="BH5" s="187">
        <v>97.02</v>
      </c>
      <c r="BI5" s="187">
        <v>78.53</v>
      </c>
      <c r="BJ5" s="187">
        <v>86.56</v>
      </c>
      <c r="BK5" s="187">
        <v>72.09</v>
      </c>
      <c r="BL5" s="187">
        <v>60.5</v>
      </c>
      <c r="BM5" s="187">
        <v>217.12</v>
      </c>
      <c r="BN5" s="187">
        <v>237.41</v>
      </c>
      <c r="BO5" s="187">
        <v>114.2</v>
      </c>
      <c r="BP5" s="187">
        <v>230.29</v>
      </c>
      <c r="BQ5" s="187">
        <v>266.12</v>
      </c>
      <c r="BR5" s="187">
        <v>294.85000000000002</v>
      </c>
      <c r="BS5" s="187">
        <v>262.95</v>
      </c>
      <c r="BT5" s="187">
        <v>262.06</v>
      </c>
      <c r="BU5" s="187">
        <v>250.1</v>
      </c>
      <c r="BV5" s="187">
        <v>293.06</v>
      </c>
      <c r="BW5" s="187">
        <v>284.97000000000003</v>
      </c>
      <c r="BX5" s="187">
        <v>333.24</v>
      </c>
      <c r="BY5" s="187">
        <v>328.77</v>
      </c>
      <c r="BZ5" s="187">
        <v>366.45</v>
      </c>
      <c r="CA5" s="187">
        <v>360.74</v>
      </c>
      <c r="CB5" s="187">
        <v>422.83</v>
      </c>
      <c r="CC5" s="187">
        <v>408.53</v>
      </c>
      <c r="CD5" s="187">
        <v>452.33</v>
      </c>
      <c r="CE5" s="187">
        <v>334.11</v>
      </c>
      <c r="CF5" s="187">
        <v>397.75</v>
      </c>
      <c r="CG5" s="187">
        <v>417.1</v>
      </c>
      <c r="CH5" s="187">
        <f>597.46-12.95</f>
        <v>584.51</v>
      </c>
      <c r="CI5" s="188">
        <f>357.25-5.01</f>
        <v>352.24</v>
      </c>
      <c r="CJ5" s="188">
        <v>441</v>
      </c>
      <c r="CK5" s="188">
        <v>429.13</v>
      </c>
      <c r="CL5" s="188">
        <v>471.9</v>
      </c>
      <c r="CM5" s="155"/>
      <c r="CN5" s="155"/>
      <c r="CO5" s="155"/>
      <c r="CP5" s="155"/>
      <c r="CQ5" s="155"/>
      <c r="CR5" s="155"/>
      <c r="CS5" s="155"/>
      <c r="CT5" s="155"/>
      <c r="CU5" s="155"/>
      <c r="CV5" s="155"/>
      <c r="CW5" s="155"/>
      <c r="CX5" s="155"/>
      <c r="CY5" s="155"/>
      <c r="CZ5" s="155"/>
      <c r="DA5" s="155"/>
      <c r="DB5" s="155"/>
      <c r="DE5" s="117"/>
      <c r="DF5" s="109">
        <v>466.75556133470036</v>
      </c>
    </row>
    <row r="6" spans="1:110" s="109" customFormat="1" x14ac:dyDescent="0.2">
      <c r="A6" s="187" t="s">
        <v>530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>
        <f>SUM(AU6:AX6)</f>
        <v>687.82999999999993</v>
      </c>
      <c r="R6" s="107">
        <f>SUM(AY6:BB6)</f>
        <v>811.4</v>
      </c>
      <c r="S6" s="107">
        <f>SUM(BC6:BF6)</f>
        <v>805.96</v>
      </c>
      <c r="T6" s="107">
        <f>SUM(BG6:BJ6)</f>
        <v>878</v>
      </c>
      <c r="U6" s="107">
        <f>SUM(BK6:BN6)</f>
        <v>498.4</v>
      </c>
      <c r="V6" s="107">
        <f>SUM(BO6:BR6)</f>
        <v>139.24</v>
      </c>
      <c r="W6" s="107">
        <f>SUM(BS6:BV6)</f>
        <v>135.39000000000001</v>
      </c>
      <c r="X6" s="107">
        <f>SUM(BW6:BZ6)</f>
        <v>216.25</v>
      </c>
      <c r="Y6" s="107">
        <f>SUM(CA6:CD6)</f>
        <v>292.99</v>
      </c>
      <c r="Z6" s="107">
        <f>SUM(CE6:CH6)</f>
        <v>493.49</v>
      </c>
      <c r="AA6" s="108">
        <f>SUM(CI6:CL6)</f>
        <v>703.48</v>
      </c>
      <c r="AB6" s="108">
        <f>SUM(CM6:CP6)</f>
        <v>0</v>
      </c>
      <c r="AC6" s="108">
        <f>SUM(CQ6:CT6)</f>
        <v>0</v>
      </c>
      <c r="AD6" s="108">
        <f>SUM(CU6:CX6)</f>
        <v>0</v>
      </c>
      <c r="AE6" s="108">
        <f>SUM(CY6:DB6)</f>
        <v>0</v>
      </c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87">
        <v>87.53</v>
      </c>
      <c r="AV6" s="187">
        <v>189.54</v>
      </c>
      <c r="AW6" s="187">
        <v>215.63</v>
      </c>
      <c r="AX6" s="187">
        <v>195.13</v>
      </c>
      <c r="AY6" s="187">
        <v>187.41</v>
      </c>
      <c r="AZ6" s="187">
        <v>169.96</v>
      </c>
      <c r="BA6" s="187">
        <v>205.69</v>
      </c>
      <c r="BB6" s="187">
        <v>248.34</v>
      </c>
      <c r="BC6" s="187">
        <v>163.49</v>
      </c>
      <c r="BD6" s="187">
        <v>179.1</v>
      </c>
      <c r="BE6" s="187">
        <v>168.31</v>
      </c>
      <c r="BF6" s="187">
        <v>295.06</v>
      </c>
      <c r="BG6" s="187">
        <v>220.47</v>
      </c>
      <c r="BH6" s="187">
        <v>223.74</v>
      </c>
      <c r="BI6" s="187">
        <v>194.11</v>
      </c>
      <c r="BJ6" s="187">
        <v>239.68</v>
      </c>
      <c r="BK6" s="187">
        <v>199.29</v>
      </c>
      <c r="BL6" s="187">
        <v>205.66</v>
      </c>
      <c r="BM6" s="187">
        <v>62.37</v>
      </c>
      <c r="BN6" s="187">
        <v>31.08</v>
      </c>
      <c r="BO6" s="187">
        <v>20.58</v>
      </c>
      <c r="BP6" s="187">
        <v>33.36</v>
      </c>
      <c r="BQ6" s="187">
        <v>30.02</v>
      </c>
      <c r="BR6" s="187">
        <v>55.28</v>
      </c>
      <c r="BS6" s="187">
        <v>29.59</v>
      </c>
      <c r="BT6" s="187">
        <v>48.34</v>
      </c>
      <c r="BU6" s="187">
        <v>20.78</v>
      </c>
      <c r="BV6" s="187">
        <v>36.68</v>
      </c>
      <c r="BW6" s="187">
        <v>42.76</v>
      </c>
      <c r="BX6" s="187">
        <v>55.36</v>
      </c>
      <c r="BY6" s="187">
        <v>60.05</v>
      </c>
      <c r="BZ6" s="187">
        <v>58.08</v>
      </c>
      <c r="CA6" s="187">
        <v>53.6</v>
      </c>
      <c r="CB6" s="187">
        <v>62.07</v>
      </c>
      <c r="CC6" s="187">
        <v>65.03</v>
      </c>
      <c r="CD6" s="187">
        <v>112.29</v>
      </c>
      <c r="CE6" s="187">
        <v>58.25</v>
      </c>
      <c r="CF6" s="187">
        <v>110.39</v>
      </c>
      <c r="CG6" s="187">
        <v>111.79</v>
      </c>
      <c r="CH6" s="187">
        <v>213.06</v>
      </c>
      <c r="CI6" s="188">
        <f>138.33</f>
        <v>138.33000000000001</v>
      </c>
      <c r="CJ6" s="188">
        <v>137</v>
      </c>
      <c r="CK6" s="188">
        <v>135.74</v>
      </c>
      <c r="CL6" s="188">
        <v>292.41000000000003</v>
      </c>
      <c r="CM6" s="155"/>
      <c r="CN6" s="155"/>
      <c r="CO6" s="155"/>
      <c r="CP6" s="155"/>
      <c r="CQ6" s="155"/>
      <c r="CR6" s="155"/>
      <c r="CS6" s="155"/>
      <c r="CT6" s="155"/>
      <c r="CU6" s="155"/>
      <c r="CV6" s="155"/>
      <c r="CW6" s="155"/>
      <c r="CX6" s="155"/>
      <c r="CY6" s="155"/>
      <c r="CZ6" s="155"/>
      <c r="DA6" s="155"/>
      <c r="DB6" s="155"/>
      <c r="DE6" s="117"/>
      <c r="DF6" s="109">
        <v>202.12413503155821</v>
      </c>
    </row>
    <row r="7" spans="1:110" s="109" customFormat="1" x14ac:dyDescent="0.2">
      <c r="A7" s="187" t="s">
        <v>531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8">
        <f>SUM(CI7:CL7)</f>
        <v>-31.83</v>
      </c>
      <c r="AB7" s="108">
        <f>SUM(CM7:CP7)</f>
        <v>0</v>
      </c>
      <c r="AC7" s="108">
        <f>SUM(CQ7:CT7)</f>
        <v>0</v>
      </c>
      <c r="AD7" s="108">
        <f>SUM(CU7:CX7)</f>
        <v>0</v>
      </c>
      <c r="AE7" s="108">
        <f>SUM(CY7:DB7)</f>
        <v>0</v>
      </c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87"/>
      <c r="AV7" s="187"/>
      <c r="AW7" s="187"/>
      <c r="AX7" s="187"/>
      <c r="AY7" s="187"/>
      <c r="AZ7" s="187"/>
      <c r="BA7" s="187"/>
      <c r="BB7" s="187"/>
      <c r="BC7" s="187"/>
      <c r="BD7" s="187"/>
      <c r="BE7" s="187"/>
      <c r="BF7" s="187"/>
      <c r="BG7" s="187"/>
      <c r="BH7" s="187"/>
      <c r="BI7" s="187"/>
      <c r="BJ7" s="187"/>
      <c r="BK7" s="187"/>
      <c r="BL7" s="187"/>
      <c r="BM7" s="187"/>
      <c r="BN7" s="187"/>
      <c r="BO7" s="187"/>
      <c r="BP7" s="187"/>
      <c r="BQ7" s="187"/>
      <c r="BR7" s="187"/>
      <c r="BS7" s="187"/>
      <c r="BT7" s="187"/>
      <c r="BU7" s="187"/>
      <c r="BV7" s="187"/>
      <c r="BW7" s="187"/>
      <c r="BX7" s="187"/>
      <c r="BY7" s="187"/>
      <c r="BZ7" s="187"/>
      <c r="CA7" s="187"/>
      <c r="CB7" s="187"/>
      <c r="CC7" s="187"/>
      <c r="CD7" s="187"/>
      <c r="CE7" s="187"/>
      <c r="CF7" s="187"/>
      <c r="CG7" s="187"/>
      <c r="CH7" s="187"/>
      <c r="CI7" s="188"/>
      <c r="CJ7" s="188"/>
      <c r="CK7" s="188">
        <v>-13.13</v>
      </c>
      <c r="CL7" s="188">
        <v>-18.7</v>
      </c>
      <c r="CM7" s="155"/>
      <c r="CN7" s="155"/>
      <c r="CO7" s="155"/>
      <c r="CP7" s="155"/>
      <c r="CQ7" s="155"/>
      <c r="CR7" s="155"/>
      <c r="CS7" s="155"/>
      <c r="CT7" s="155"/>
      <c r="CU7" s="155"/>
      <c r="CV7" s="155"/>
      <c r="CW7" s="155"/>
      <c r="CX7" s="155"/>
      <c r="CY7" s="155"/>
      <c r="CZ7" s="155"/>
      <c r="DA7" s="155"/>
      <c r="DB7" s="155"/>
      <c r="DE7" s="117"/>
    </row>
    <row r="8" spans="1:110" s="199" customFormat="1" x14ac:dyDescent="0.2">
      <c r="A8" s="197" t="s">
        <v>536</v>
      </c>
      <c r="B8" s="198"/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216">
        <f t="shared" ref="R8" si="34">+SUM(R5:R7)</f>
        <v>1315.92</v>
      </c>
      <c r="S8" s="216">
        <f t="shared" ref="S8" si="35">+SUM(S5:S7)</f>
        <v>1188.5</v>
      </c>
      <c r="T8" s="216">
        <f t="shared" ref="T8" si="36">+SUM(T5:T7)</f>
        <v>1223.1300000000001</v>
      </c>
      <c r="U8" s="216">
        <f t="shared" ref="U8" si="37">+SUM(U5:U7)</f>
        <v>1085.52</v>
      </c>
      <c r="V8" s="216">
        <f t="shared" ref="V8" si="38">+SUM(V5:V7)</f>
        <v>1044.7</v>
      </c>
      <c r="W8" s="216">
        <f t="shared" ref="W8" si="39">+SUM(W5:W7)</f>
        <v>1203.5600000000002</v>
      </c>
      <c r="X8" s="216">
        <f t="shared" ref="X8" si="40">+SUM(X5:X7)</f>
        <v>1529.68</v>
      </c>
      <c r="Y8" s="216">
        <f t="shared" ref="Y8" si="41">+SUM(Y5:Y7)</f>
        <v>1937.4199999999998</v>
      </c>
      <c r="Z8" s="216">
        <f t="shared" ref="Z8" si="42">+SUM(Z5:Z7)</f>
        <v>2226.96</v>
      </c>
      <c r="AA8" s="202">
        <f t="shared" ref="AA8" si="43">+SUM(AA5:AA7)</f>
        <v>2365.92</v>
      </c>
      <c r="AB8" s="202">
        <f t="shared" ref="AB8" si="44">+SUM(AB5:AB7)</f>
        <v>0</v>
      </c>
      <c r="AC8" s="202">
        <f t="shared" ref="AC8" si="45">+SUM(AC5:AC7)</f>
        <v>0</v>
      </c>
      <c r="AD8" s="202">
        <f t="shared" ref="AD8" si="46">+SUM(AD5:AD7)</f>
        <v>0</v>
      </c>
      <c r="AE8" s="202">
        <f t="shared" ref="AE8" si="47">+SUM(AE5:AE7)</f>
        <v>0</v>
      </c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200">
        <f t="shared" ref="AU8:CJ8" si="48">+SUM(AU5:AU7)</f>
        <v>275.69</v>
      </c>
      <c r="AV8" s="200">
        <f t="shared" si="48"/>
        <v>290.43</v>
      </c>
      <c r="AW8" s="200">
        <f t="shared" si="48"/>
        <v>350.56</v>
      </c>
      <c r="AX8" s="200">
        <f t="shared" si="48"/>
        <v>521.20000000000005</v>
      </c>
      <c r="AY8" s="200">
        <f t="shared" si="48"/>
        <v>271.85000000000002</v>
      </c>
      <c r="AZ8" s="200">
        <f t="shared" si="48"/>
        <v>275.7</v>
      </c>
      <c r="BA8" s="200">
        <f t="shared" si="48"/>
        <v>312.22000000000003</v>
      </c>
      <c r="BB8" s="200">
        <f t="shared" si="48"/>
        <v>456.15</v>
      </c>
      <c r="BC8" s="200">
        <f t="shared" si="48"/>
        <v>242.66000000000003</v>
      </c>
      <c r="BD8" s="200">
        <f t="shared" si="48"/>
        <v>249.62</v>
      </c>
      <c r="BE8" s="200">
        <f t="shared" si="48"/>
        <v>259.08</v>
      </c>
      <c r="BF8" s="200">
        <f t="shared" si="48"/>
        <v>437.14</v>
      </c>
      <c r="BG8" s="200">
        <f t="shared" si="48"/>
        <v>303.49</v>
      </c>
      <c r="BH8" s="200">
        <f t="shared" si="48"/>
        <v>320.76</v>
      </c>
      <c r="BI8" s="200">
        <f t="shared" si="48"/>
        <v>272.64</v>
      </c>
      <c r="BJ8" s="200">
        <f t="shared" si="48"/>
        <v>326.24</v>
      </c>
      <c r="BK8" s="200">
        <f t="shared" si="48"/>
        <v>271.38</v>
      </c>
      <c r="BL8" s="200">
        <f t="shared" si="48"/>
        <v>266.15999999999997</v>
      </c>
      <c r="BM8" s="200">
        <f t="shared" si="48"/>
        <v>279.49</v>
      </c>
      <c r="BN8" s="200">
        <f t="shared" si="48"/>
        <v>268.49</v>
      </c>
      <c r="BO8" s="200">
        <f t="shared" si="48"/>
        <v>134.78</v>
      </c>
      <c r="BP8" s="200">
        <f t="shared" si="48"/>
        <v>263.64999999999998</v>
      </c>
      <c r="BQ8" s="200">
        <f t="shared" si="48"/>
        <v>296.14</v>
      </c>
      <c r="BR8" s="200">
        <f t="shared" si="48"/>
        <v>350.13</v>
      </c>
      <c r="BS8" s="200">
        <f t="shared" si="48"/>
        <v>292.53999999999996</v>
      </c>
      <c r="BT8" s="200">
        <f t="shared" si="48"/>
        <v>310.39999999999998</v>
      </c>
      <c r="BU8" s="200">
        <f t="shared" si="48"/>
        <v>270.88</v>
      </c>
      <c r="BV8" s="200">
        <f t="shared" si="48"/>
        <v>329.74</v>
      </c>
      <c r="BW8" s="200">
        <f t="shared" si="48"/>
        <v>327.73</v>
      </c>
      <c r="BX8" s="200">
        <f t="shared" si="48"/>
        <v>388.6</v>
      </c>
      <c r="BY8" s="200">
        <f t="shared" si="48"/>
        <v>388.82</v>
      </c>
      <c r="BZ8" s="200">
        <f t="shared" si="48"/>
        <v>424.53</v>
      </c>
      <c r="CA8" s="200">
        <f t="shared" si="48"/>
        <v>414.34000000000003</v>
      </c>
      <c r="CB8" s="200">
        <f t="shared" si="48"/>
        <v>484.9</v>
      </c>
      <c r="CC8" s="200">
        <f t="shared" si="48"/>
        <v>473.55999999999995</v>
      </c>
      <c r="CD8" s="200">
        <f t="shared" si="48"/>
        <v>564.62</v>
      </c>
      <c r="CE8" s="200">
        <f t="shared" si="48"/>
        <v>392.36</v>
      </c>
      <c r="CF8" s="200">
        <f t="shared" si="48"/>
        <v>508.14</v>
      </c>
      <c r="CG8" s="200">
        <f t="shared" si="48"/>
        <v>528.89</v>
      </c>
      <c r="CH8" s="200">
        <f t="shared" si="48"/>
        <v>797.56999999999994</v>
      </c>
      <c r="CI8" s="200">
        <f t="shared" si="48"/>
        <v>490.57000000000005</v>
      </c>
      <c r="CJ8" s="200">
        <f t="shared" si="48"/>
        <v>578</v>
      </c>
      <c r="CK8" s="200">
        <f>+SUM(CK5:CK7)</f>
        <v>551.74</v>
      </c>
      <c r="CL8" s="200">
        <f>+SUM(CL5:CL7)</f>
        <v>745.6099999999999</v>
      </c>
      <c r="CM8" s="215"/>
      <c r="CN8" s="215"/>
      <c r="CO8" s="215"/>
      <c r="CP8" s="215"/>
      <c r="CQ8" s="215"/>
      <c r="CR8" s="215"/>
      <c r="CS8" s="215"/>
      <c r="CT8" s="215"/>
      <c r="CU8" s="215"/>
      <c r="CV8" s="215"/>
      <c r="CW8" s="215"/>
      <c r="CX8" s="215"/>
      <c r="CY8" s="215"/>
      <c r="CZ8" s="215"/>
      <c r="DA8" s="215"/>
      <c r="DB8" s="215"/>
      <c r="DE8" s="201"/>
    </row>
    <row r="9" spans="1:110" s="109" customFormat="1" x14ac:dyDescent="0.2">
      <c r="A9" s="187" t="s">
        <v>537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217">
        <f t="shared" ref="R9" si="49">+R8-R26</f>
        <v>41.264599999999973</v>
      </c>
      <c r="S9" s="217">
        <f t="shared" ref="S9" si="50">+S8-S26</f>
        <v>-6.0000000007676135E-4</v>
      </c>
      <c r="T9" s="217">
        <f t="shared" ref="T9" si="51">+T8-T26</f>
        <v>-1.7142999999998665</v>
      </c>
      <c r="U9" s="217">
        <f t="shared" ref="U9" si="52">+U8-U26</f>
        <v>-2.9448999999999614</v>
      </c>
      <c r="V9" s="217">
        <f t="shared" ref="V9" si="53">+V8-V26</f>
        <v>0.26040000000011787</v>
      </c>
      <c r="W9" s="217">
        <f t="shared" ref="W9" si="54">+W8-W26</f>
        <v>-8.3857999999997901</v>
      </c>
      <c r="X9" s="217">
        <f t="shared" ref="X9" si="55">+X8-X26</f>
        <v>0</v>
      </c>
      <c r="Y9" s="217">
        <f t="shared" ref="Y9" si="56">+Y8-Y26</f>
        <v>0</v>
      </c>
      <c r="Z9" s="217">
        <f t="shared" ref="Z9:AA9" si="57">+Z8-Z26</f>
        <v>0</v>
      </c>
      <c r="AA9" s="218">
        <f t="shared" si="57"/>
        <v>-0.13000000000010914</v>
      </c>
      <c r="AB9" s="218"/>
      <c r="AC9" s="218"/>
      <c r="AD9" s="218"/>
      <c r="AE9" s="218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87">
        <f t="shared" ref="AU9:CJ9" si="58">+AU8-AU26</f>
        <v>15.200999999999965</v>
      </c>
      <c r="AV9" s="187">
        <f t="shared" si="58"/>
        <v>-14.860000000000014</v>
      </c>
      <c r="AW9" s="187">
        <f t="shared" si="58"/>
        <v>2.0430000000000064</v>
      </c>
      <c r="AX9" s="187">
        <f t="shared" si="58"/>
        <v>67.934000000000026</v>
      </c>
      <c r="AY9" s="187">
        <f t="shared" si="58"/>
        <v>8.6140000000000327</v>
      </c>
      <c r="AZ9" s="187">
        <f t="shared" si="58"/>
        <v>15.902999999999963</v>
      </c>
      <c r="BA9" s="187">
        <f t="shared" si="58"/>
        <v>7.2430000000000518</v>
      </c>
      <c r="BB9" s="187">
        <f t="shared" si="58"/>
        <v>9.5049999999999955</v>
      </c>
      <c r="BC9" s="187">
        <f t="shared" si="58"/>
        <v>0</v>
      </c>
      <c r="BD9" s="187">
        <f t="shared" si="58"/>
        <v>9.0000000000145519E-3</v>
      </c>
      <c r="BE9" s="187">
        <f t="shared" si="58"/>
        <v>-6.0000000000286491E-3</v>
      </c>
      <c r="BF9" s="187">
        <f t="shared" si="58"/>
        <v>-4.0000000000190994E-3</v>
      </c>
      <c r="BG9" s="187">
        <f t="shared" si="58"/>
        <v>4.9999999999954525E-3</v>
      </c>
      <c r="BH9" s="187">
        <f t="shared" si="58"/>
        <v>-2.9999999999859028E-3</v>
      </c>
      <c r="BI9" s="187">
        <f t="shared" si="58"/>
        <v>-1.0000000000331966E-3</v>
      </c>
      <c r="BJ9" s="187">
        <f t="shared" si="58"/>
        <v>-1.714999999999975</v>
      </c>
      <c r="BK9" s="187">
        <f t="shared" si="58"/>
        <v>-2.0000000000095497E-3</v>
      </c>
      <c r="BL9" s="187">
        <f t="shared" si="58"/>
        <v>-1.0000000000331966E-3</v>
      </c>
      <c r="BM9" s="187">
        <f t="shared" si="58"/>
        <v>-7.9999999999813554E-3</v>
      </c>
      <c r="BN9" s="187">
        <f t="shared" si="58"/>
        <v>-4.0000000000190994E-3</v>
      </c>
      <c r="BO9" s="187">
        <f t="shared" si="58"/>
        <v>-2.0000000000095497E-3</v>
      </c>
      <c r="BP9" s="187">
        <f t="shared" si="58"/>
        <v>-4.0000000000190994E-3</v>
      </c>
      <c r="BQ9" s="187">
        <f t="shared" si="58"/>
        <v>2.0000000000095497E-3</v>
      </c>
      <c r="BR9" s="187">
        <f t="shared" si="58"/>
        <v>-2.0000000000095497E-3</v>
      </c>
      <c r="BS9" s="187">
        <f t="shared" si="58"/>
        <v>-1.6690000000000396</v>
      </c>
      <c r="BT9" s="187">
        <f t="shared" si="58"/>
        <v>-3.6230000000000473</v>
      </c>
      <c r="BU9" s="187">
        <f t="shared" si="58"/>
        <v>-1.3090000000000259</v>
      </c>
      <c r="BV9" s="187">
        <f t="shared" si="58"/>
        <v>-1.7849999999999682</v>
      </c>
      <c r="BW9" s="187">
        <f t="shared" si="58"/>
        <v>9.9999999999909051E-3</v>
      </c>
      <c r="BX9" s="187">
        <f t="shared" si="58"/>
        <v>1.0000000000047748E-2</v>
      </c>
      <c r="BY9" s="187">
        <f t="shared" si="58"/>
        <v>0</v>
      </c>
      <c r="BZ9" s="187">
        <f t="shared" si="58"/>
        <v>-1.0000000000047748E-2</v>
      </c>
      <c r="CA9" s="187">
        <f t="shared" si="58"/>
        <v>0</v>
      </c>
      <c r="CB9" s="187">
        <f t="shared" si="58"/>
        <v>0</v>
      </c>
      <c r="CC9" s="187">
        <f t="shared" si="58"/>
        <v>0</v>
      </c>
      <c r="CD9" s="187">
        <f t="shared" si="58"/>
        <v>0</v>
      </c>
      <c r="CE9" s="187">
        <f t="shared" si="58"/>
        <v>0</v>
      </c>
      <c r="CF9" s="187">
        <f t="shared" si="58"/>
        <v>0</v>
      </c>
      <c r="CG9" s="187">
        <f t="shared" si="58"/>
        <v>0</v>
      </c>
      <c r="CH9" s="187">
        <f t="shared" si="58"/>
        <v>0</v>
      </c>
      <c r="CI9" s="188">
        <f t="shared" si="58"/>
        <v>0</v>
      </c>
      <c r="CJ9" s="188">
        <f t="shared" si="58"/>
        <v>-0.12999999999999545</v>
      </c>
      <c r="CK9" s="188">
        <f>+CK8-CK26</f>
        <v>0</v>
      </c>
      <c r="CL9" s="188">
        <f>+CL8-CL26</f>
        <v>0</v>
      </c>
      <c r="CM9" s="214"/>
      <c r="CN9" s="214"/>
      <c r="CO9" s="214"/>
      <c r="CP9" s="214"/>
      <c r="CQ9" s="214"/>
      <c r="CR9" s="214"/>
      <c r="CS9" s="214"/>
      <c r="CT9" s="214"/>
      <c r="CU9" s="214"/>
      <c r="CV9" s="214"/>
      <c r="CW9" s="214"/>
      <c r="CX9" s="214"/>
      <c r="CY9" s="214"/>
      <c r="CZ9" s="214"/>
      <c r="DA9" s="214"/>
      <c r="DB9" s="214"/>
      <c r="DE9" s="117"/>
    </row>
    <row r="10" spans="1:110" s="109" customFormat="1" x14ac:dyDescent="0.2">
      <c r="A10" s="187"/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8"/>
      <c r="AB10" s="108"/>
      <c r="AC10" s="108"/>
      <c r="AD10" s="108"/>
      <c r="AE10" s="108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87"/>
      <c r="AV10" s="187"/>
      <c r="AW10" s="187"/>
      <c r="AX10" s="187"/>
      <c r="AY10" s="187"/>
      <c r="AZ10" s="187"/>
      <c r="BA10" s="187"/>
      <c r="BB10" s="187"/>
      <c r="BC10" s="187"/>
      <c r="BD10" s="187"/>
      <c r="BE10" s="187"/>
      <c r="BF10" s="187"/>
      <c r="BG10" s="187"/>
      <c r="BH10" s="187"/>
      <c r="BI10" s="187"/>
      <c r="BJ10" s="187"/>
      <c r="BK10" s="187"/>
      <c r="BL10" s="187"/>
      <c r="BM10" s="187"/>
      <c r="BN10" s="187"/>
      <c r="BO10" s="187"/>
      <c r="BP10" s="187"/>
      <c r="BQ10" s="187"/>
      <c r="BR10" s="187"/>
      <c r="BS10" s="187"/>
      <c r="BT10" s="187"/>
      <c r="BU10" s="187"/>
      <c r="BV10" s="187"/>
      <c r="BW10" s="187"/>
      <c r="BX10" s="187"/>
      <c r="BY10" s="187"/>
      <c r="BZ10" s="187"/>
      <c r="CA10" s="187"/>
      <c r="CB10" s="187"/>
      <c r="CC10" s="187"/>
      <c r="CD10" s="187"/>
      <c r="CE10" s="187"/>
      <c r="CF10" s="187"/>
      <c r="CG10" s="187"/>
      <c r="CH10" s="187"/>
      <c r="CI10" s="188"/>
      <c r="CJ10" s="188"/>
      <c r="CK10" s="188"/>
      <c r="CL10" s="155"/>
      <c r="CM10" s="155"/>
      <c r="CN10" s="155"/>
      <c r="CO10" s="155"/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5"/>
      <c r="DA10" s="155"/>
      <c r="DB10" s="155"/>
      <c r="DE10" s="117"/>
    </row>
    <row r="11" spans="1:110" s="210" customFormat="1" x14ac:dyDescent="0.2">
      <c r="A11" s="211" t="s">
        <v>533</v>
      </c>
      <c r="B11" s="209"/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  <c r="AA11" s="209"/>
      <c r="AB11" s="209"/>
      <c r="AC11" s="209"/>
      <c r="AD11" s="209"/>
      <c r="AE11" s="209"/>
      <c r="AI11" s="209"/>
      <c r="AJ11" s="209"/>
      <c r="AK11" s="209"/>
      <c r="AL11" s="209"/>
      <c r="AM11" s="209"/>
      <c r="AN11" s="209"/>
      <c r="AO11" s="209"/>
      <c r="AP11" s="209"/>
      <c r="AQ11" s="209"/>
      <c r="AR11" s="209"/>
      <c r="AS11" s="209"/>
      <c r="AT11" s="209"/>
      <c r="AU11" s="211"/>
      <c r="AV11" s="211"/>
      <c r="AW11" s="211"/>
      <c r="AX11" s="211"/>
      <c r="AY11" s="211"/>
      <c r="AZ11" s="211"/>
      <c r="BA11" s="211"/>
      <c r="BB11" s="211"/>
      <c r="BC11" s="211"/>
      <c r="BD11" s="211"/>
      <c r="BE11" s="211"/>
      <c r="BF11" s="211"/>
      <c r="BG11" s="211"/>
      <c r="BH11" s="211"/>
      <c r="BI11" s="211"/>
      <c r="BJ11" s="211"/>
      <c r="BK11" s="211"/>
      <c r="BL11" s="211"/>
      <c r="BM11" s="211"/>
      <c r="BN11" s="211"/>
      <c r="BO11" s="211"/>
      <c r="BP11" s="211"/>
      <c r="BQ11" s="211"/>
      <c r="BR11" s="211"/>
      <c r="BS11" s="211"/>
      <c r="BT11" s="211"/>
      <c r="BU11" s="211"/>
      <c r="BV11" s="211"/>
      <c r="BW11" s="211"/>
      <c r="BX11" s="211"/>
      <c r="BY11" s="211"/>
      <c r="BZ11" s="211"/>
      <c r="CA11" s="211"/>
      <c r="CB11" s="211"/>
      <c r="CC11" s="211"/>
      <c r="CD11" s="211"/>
      <c r="CE11" s="211"/>
      <c r="CF11" s="211"/>
      <c r="CG11" s="211"/>
      <c r="CH11" s="211"/>
      <c r="CI11" s="212"/>
      <c r="CJ11" s="212"/>
      <c r="CK11" s="212"/>
      <c r="CL11" s="209"/>
      <c r="CM11" s="209"/>
      <c r="CN11" s="209"/>
      <c r="CO11" s="209"/>
      <c r="CP11" s="209"/>
      <c r="CQ11" s="209"/>
      <c r="CR11" s="209"/>
      <c r="CS11" s="209"/>
      <c r="CT11" s="209"/>
      <c r="CU11" s="209"/>
      <c r="CV11" s="209"/>
      <c r="CW11" s="209"/>
      <c r="CX11" s="209"/>
      <c r="CY11" s="209"/>
      <c r="CZ11" s="209"/>
      <c r="DA11" s="209"/>
      <c r="DB11" s="209"/>
      <c r="DE11" s="209"/>
    </row>
    <row r="12" spans="1:110" s="109" customFormat="1" x14ac:dyDescent="0.2">
      <c r="A12" s="187" t="s">
        <v>534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84">
        <f t="shared" ref="R12:Y12" si="59">(R5/Q5)-1</f>
        <v>-0.32735150989933992</v>
      </c>
      <c r="S12" s="184">
        <f t="shared" si="59"/>
        <v>-0.24177435978752093</v>
      </c>
      <c r="T12" s="184">
        <f t="shared" si="59"/>
        <v>-9.7793694777016715E-2</v>
      </c>
      <c r="U12" s="184">
        <f t="shared" si="59"/>
        <v>0.70115608611247948</v>
      </c>
      <c r="V12" s="184">
        <f t="shared" si="59"/>
        <v>0.5422060226188854</v>
      </c>
      <c r="W12" s="184">
        <f t="shared" si="59"/>
        <v>0.17969871667439752</v>
      </c>
      <c r="X12" s="184">
        <f t="shared" si="59"/>
        <v>0.22960764672289979</v>
      </c>
      <c r="Y12" s="184">
        <f t="shared" si="59"/>
        <v>0.25201190775298254</v>
      </c>
      <c r="Z12" s="184">
        <f>(Z5/Y5)-1</f>
        <v>5.4146421556405588E-2</v>
      </c>
      <c r="AA12" s="185">
        <f t="shared" ref="AA12:AD12" si="60">(AA6/Z6)-1</f>
        <v>0.42552027396705094</v>
      </c>
      <c r="AB12" s="185">
        <f t="shared" si="60"/>
        <v>-1</v>
      </c>
      <c r="AC12" s="185" t="e">
        <f t="shared" si="60"/>
        <v>#DIV/0!</v>
      </c>
      <c r="AD12" s="185" t="e">
        <f t="shared" si="60"/>
        <v>#DIV/0!</v>
      </c>
      <c r="AE12" s="185" t="e">
        <f>(AE6/AD6)-1</f>
        <v>#DIV/0!</v>
      </c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87"/>
      <c r="AV12" s="187"/>
      <c r="AW12" s="189" t="e">
        <f>(AW5/AS5)-1</f>
        <v>#DIV/0!</v>
      </c>
      <c r="AX12" s="189" t="e">
        <f t="shared" ref="AX12:CI12" si="61">(AX5/AT5)-1</f>
        <v>#DIV/0!</v>
      </c>
      <c r="AY12" s="189">
        <f t="shared" si="61"/>
        <v>-0.55123299319727892</v>
      </c>
      <c r="AZ12" s="189">
        <f t="shared" si="61"/>
        <v>4.8072157795618908E-2</v>
      </c>
      <c r="BA12" s="189">
        <f t="shared" si="61"/>
        <v>-0.21047950789298153</v>
      </c>
      <c r="BB12" s="189">
        <f t="shared" si="61"/>
        <v>-0.36268285950869439</v>
      </c>
      <c r="BC12" s="189">
        <f t="shared" si="61"/>
        <v>-6.2411179535765027E-2</v>
      </c>
      <c r="BD12" s="189">
        <f t="shared" si="61"/>
        <v>-0.33308114242481557</v>
      </c>
      <c r="BE12" s="189">
        <f t="shared" si="61"/>
        <v>-0.14793954754529248</v>
      </c>
      <c r="BF12" s="189">
        <f t="shared" si="61"/>
        <v>-0.31629854193734652</v>
      </c>
      <c r="BG12" s="189">
        <f t="shared" si="61"/>
        <v>4.8629531388151959E-2</v>
      </c>
      <c r="BH12" s="189">
        <f t="shared" si="61"/>
        <v>0.3757799205899035</v>
      </c>
      <c r="BI12" s="189">
        <f t="shared" si="61"/>
        <v>-0.13484631486173837</v>
      </c>
      <c r="BJ12" s="189">
        <f t="shared" si="61"/>
        <v>-0.39076576576576583</v>
      </c>
      <c r="BK12" s="189">
        <f t="shared" si="61"/>
        <v>-0.13165502288605146</v>
      </c>
      <c r="BL12" s="189">
        <f t="shared" si="61"/>
        <v>-0.37641723356009071</v>
      </c>
      <c r="BM12" s="189">
        <f t="shared" si="61"/>
        <v>1.7648032599006749</v>
      </c>
      <c r="BN12" s="189">
        <f t="shared" si="61"/>
        <v>1.7427218114602585</v>
      </c>
      <c r="BO12" s="189">
        <f t="shared" si="61"/>
        <v>0.58413094742682747</v>
      </c>
      <c r="BP12" s="189">
        <f t="shared" si="61"/>
        <v>2.8064462809917354</v>
      </c>
      <c r="BQ12" s="189">
        <f t="shared" si="61"/>
        <v>0.22568165070007362</v>
      </c>
      <c r="BR12" s="189">
        <f t="shared" si="61"/>
        <v>0.24194431574070174</v>
      </c>
      <c r="BS12" s="189">
        <f t="shared" si="61"/>
        <v>1.3025394045534151</v>
      </c>
      <c r="BT12" s="189">
        <f t="shared" si="61"/>
        <v>0.13795648964349305</v>
      </c>
      <c r="BU12" s="189">
        <f t="shared" si="61"/>
        <v>-6.0198406733804388E-2</v>
      </c>
      <c r="BV12" s="189">
        <f t="shared" si="61"/>
        <v>-6.0708835000848893E-3</v>
      </c>
      <c r="BW12" s="189">
        <f t="shared" si="61"/>
        <v>8.374215630347992E-2</v>
      </c>
      <c r="BX12" s="189">
        <f t="shared" si="61"/>
        <v>0.27161718690376246</v>
      </c>
      <c r="BY12" s="189">
        <f t="shared" si="61"/>
        <v>0.3145541783286685</v>
      </c>
      <c r="BZ12" s="189">
        <f t="shared" si="61"/>
        <v>0.25042653381560087</v>
      </c>
      <c r="CA12" s="189">
        <f t="shared" si="61"/>
        <v>0.26588763729515374</v>
      </c>
      <c r="CB12" s="189">
        <f t="shared" si="61"/>
        <v>0.2688452766774696</v>
      </c>
      <c r="CC12" s="189">
        <f t="shared" si="61"/>
        <v>0.24260121057274087</v>
      </c>
      <c r="CD12" s="189">
        <f t="shared" si="61"/>
        <v>0.23435666530222399</v>
      </c>
      <c r="CE12" s="189">
        <f t="shared" si="61"/>
        <v>-7.3820480124189181E-2</v>
      </c>
      <c r="CF12" s="189">
        <f t="shared" si="61"/>
        <v>-5.9314618168058053E-2</v>
      </c>
      <c r="CG12" s="189">
        <f t="shared" si="61"/>
        <v>2.097765158005549E-2</v>
      </c>
      <c r="CH12" s="189">
        <f>(CH5/CD5)-1</f>
        <v>0.29222028165277569</v>
      </c>
      <c r="CI12" s="189">
        <f t="shared" si="61"/>
        <v>5.4263565891472743E-2</v>
      </c>
      <c r="CJ12" s="189">
        <f t="shared" ref="CJ12:CL13" si="62">(CJ5/CF5)-1</f>
        <v>0.1087366436203645</v>
      </c>
      <c r="CK12" s="189">
        <f t="shared" si="62"/>
        <v>2.884200431551176E-2</v>
      </c>
      <c r="CL12" s="189">
        <f t="shared" si="62"/>
        <v>-0.19265709739782044</v>
      </c>
      <c r="CM12" s="213"/>
      <c r="CN12" s="213"/>
      <c r="CO12" s="213"/>
      <c r="CP12" s="213"/>
      <c r="CQ12" s="213"/>
      <c r="CR12" s="213"/>
      <c r="CS12" s="213"/>
      <c r="CT12" s="213"/>
      <c r="CU12" s="213"/>
      <c r="CV12" s="213"/>
      <c r="CW12" s="213"/>
      <c r="CX12" s="213"/>
      <c r="CY12" s="213"/>
      <c r="CZ12" s="213"/>
      <c r="DA12" s="213"/>
      <c r="DB12" s="213"/>
      <c r="DE12" s="117"/>
      <c r="DF12" s="191">
        <v>0.11904953568616711</v>
      </c>
    </row>
    <row r="13" spans="1:110" s="109" customFormat="1" x14ac:dyDescent="0.2">
      <c r="A13" s="187" t="s">
        <v>535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84">
        <f>(R6/Q6)-1</f>
        <v>0.17965194888271818</v>
      </c>
      <c r="S13" s="184">
        <f t="shared" ref="S13:AE13" si="63">(S6/R6)-1</f>
        <v>-6.7044614246979384E-3</v>
      </c>
      <c r="T13" s="184">
        <f t="shared" si="63"/>
        <v>8.9384088540374274E-2</v>
      </c>
      <c r="U13" s="184">
        <f t="shared" si="63"/>
        <v>-0.43234624145785883</v>
      </c>
      <c r="V13" s="184">
        <f t="shared" si="63"/>
        <v>-0.72062600321027293</v>
      </c>
      <c r="W13" s="184">
        <f t="shared" si="63"/>
        <v>-2.7650100545820178E-2</v>
      </c>
      <c r="X13" s="184">
        <f t="shared" si="63"/>
        <v>0.59723760986778918</v>
      </c>
      <c r="Y13" s="184">
        <f t="shared" si="63"/>
        <v>0.35486705202312141</v>
      </c>
      <c r="Z13" s="184">
        <f t="shared" si="63"/>
        <v>0.68432369705450702</v>
      </c>
      <c r="AA13" s="185">
        <f t="shared" si="63"/>
        <v>0.42552027396705094</v>
      </c>
      <c r="AB13" s="185">
        <f t="shared" si="63"/>
        <v>-1</v>
      </c>
      <c r="AC13" s="185" t="e">
        <f t="shared" si="63"/>
        <v>#DIV/0!</v>
      </c>
      <c r="AD13" s="185" t="e">
        <f t="shared" si="63"/>
        <v>#DIV/0!</v>
      </c>
      <c r="AE13" s="185" t="e">
        <f t="shared" si="63"/>
        <v>#DIV/0!</v>
      </c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  <c r="AU13" s="187"/>
      <c r="AV13" s="187"/>
      <c r="AW13" s="189" t="e">
        <f>(AW6/AS6)-1</f>
        <v>#DIV/0!</v>
      </c>
      <c r="AX13" s="189" t="e">
        <f t="shared" ref="AX13:CI13" si="64">(AX6/AT6)-1</f>
        <v>#DIV/0!</v>
      </c>
      <c r="AY13" s="189">
        <f t="shared" si="64"/>
        <v>1.1410944818919226</v>
      </c>
      <c r="AZ13" s="189">
        <f t="shared" si="64"/>
        <v>-0.10330273293236247</v>
      </c>
      <c r="BA13" s="189">
        <f t="shared" si="64"/>
        <v>-4.6097481797523487E-2</v>
      </c>
      <c r="BB13" s="189">
        <f t="shared" si="64"/>
        <v>0.27269000153743672</v>
      </c>
      <c r="BC13" s="189">
        <f t="shared" si="64"/>
        <v>-0.1276345979403446</v>
      </c>
      <c r="BD13" s="189">
        <f t="shared" si="64"/>
        <v>5.3777359378677225E-2</v>
      </c>
      <c r="BE13" s="189">
        <f t="shared" si="64"/>
        <v>-0.18172978754436286</v>
      </c>
      <c r="BF13" s="189">
        <f t="shared" si="64"/>
        <v>0.188129177740195</v>
      </c>
      <c r="BG13" s="189">
        <f t="shared" si="64"/>
        <v>0.3485228454339715</v>
      </c>
      <c r="BH13" s="189">
        <f t="shared" si="64"/>
        <v>0.24924623115577904</v>
      </c>
      <c r="BI13" s="189">
        <f t="shared" si="64"/>
        <v>0.15328857465391255</v>
      </c>
      <c r="BJ13" s="189">
        <f t="shared" si="64"/>
        <v>-0.18769063919202877</v>
      </c>
      <c r="BK13" s="189">
        <f t="shared" si="64"/>
        <v>-9.6067492175806235E-2</v>
      </c>
      <c r="BL13" s="189">
        <f t="shared" si="64"/>
        <v>-8.0808080808080884E-2</v>
      </c>
      <c r="BM13" s="189">
        <f t="shared" si="64"/>
        <v>-0.67868734222863325</v>
      </c>
      <c r="BN13" s="189">
        <f t="shared" si="64"/>
        <v>-0.87032710280373826</v>
      </c>
      <c r="BO13" s="189">
        <f t="shared" si="64"/>
        <v>-0.89673340358271869</v>
      </c>
      <c r="BP13" s="189">
        <f t="shared" si="64"/>
        <v>-0.83779052805601473</v>
      </c>
      <c r="BQ13" s="189">
        <f t="shared" si="64"/>
        <v>-0.51867885201218533</v>
      </c>
      <c r="BR13" s="189">
        <f t="shared" si="64"/>
        <v>0.77863577863577871</v>
      </c>
      <c r="BS13" s="189">
        <f t="shared" si="64"/>
        <v>0.43780369290573384</v>
      </c>
      <c r="BT13" s="189">
        <f t="shared" si="64"/>
        <v>0.44904076738609122</v>
      </c>
      <c r="BU13" s="189">
        <f t="shared" si="64"/>
        <v>-0.30779480346435706</v>
      </c>
      <c r="BV13" s="189">
        <f t="shared" si="64"/>
        <v>-0.33646888567293776</v>
      </c>
      <c r="BW13" s="189">
        <f t="shared" si="64"/>
        <v>0.44508279824264951</v>
      </c>
      <c r="BX13" s="189">
        <f t="shared" si="64"/>
        <v>0.14522134877947868</v>
      </c>
      <c r="BY13" s="189">
        <f t="shared" si="64"/>
        <v>1.8897978825794031</v>
      </c>
      <c r="BZ13" s="189">
        <f t="shared" si="64"/>
        <v>0.58342420937840789</v>
      </c>
      <c r="CA13" s="189">
        <f t="shared" si="64"/>
        <v>0.25350795135640802</v>
      </c>
      <c r="CB13" s="189">
        <f t="shared" si="64"/>
        <v>0.12120664739884401</v>
      </c>
      <c r="CC13" s="189">
        <f t="shared" si="64"/>
        <v>8.2930890924229894E-2</v>
      </c>
      <c r="CD13" s="189">
        <f t="shared" si="64"/>
        <v>0.93336776859504145</v>
      </c>
      <c r="CE13" s="189">
        <f t="shared" si="64"/>
        <v>8.6753731343283569E-2</v>
      </c>
      <c r="CF13" s="189">
        <f t="shared" si="64"/>
        <v>0.77847591429031748</v>
      </c>
      <c r="CG13" s="189">
        <f t="shared" si="64"/>
        <v>0.71905274488697524</v>
      </c>
      <c r="CH13" s="189">
        <f>(CH6/CD6)-1</f>
        <v>0.89740849585893656</v>
      </c>
      <c r="CI13" s="189">
        <f t="shared" si="64"/>
        <v>1.3747639484978542</v>
      </c>
      <c r="CJ13" s="189">
        <f t="shared" si="62"/>
        <v>0.24105444333725878</v>
      </c>
      <c r="CK13" s="189">
        <f t="shared" si="62"/>
        <v>0.21424098756597187</v>
      </c>
      <c r="CL13" s="189">
        <f t="shared" si="62"/>
        <v>0.37243030132357102</v>
      </c>
      <c r="CM13" s="213"/>
      <c r="CN13" s="213"/>
      <c r="CO13" s="213"/>
      <c r="CP13" s="213"/>
      <c r="CQ13" s="213"/>
      <c r="CR13" s="213"/>
      <c r="CS13" s="213"/>
      <c r="CT13" s="213"/>
      <c r="CU13" s="213"/>
      <c r="CV13" s="213"/>
      <c r="CW13" s="213"/>
      <c r="CX13" s="213"/>
      <c r="CY13" s="213"/>
      <c r="CZ13" s="213"/>
      <c r="DA13" s="213"/>
      <c r="DB13" s="213"/>
      <c r="DE13" s="117"/>
      <c r="DF13" s="191">
        <v>0.80806990814525625</v>
      </c>
    </row>
    <row r="14" spans="1:110" s="109" customFormat="1" x14ac:dyDescent="0.2">
      <c r="A14" s="187"/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8"/>
      <c r="AB14" s="108"/>
      <c r="AC14" s="108"/>
      <c r="AD14" s="108"/>
      <c r="AE14" s="108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87"/>
      <c r="AV14" s="187"/>
      <c r="AW14" s="187"/>
      <c r="AX14" s="187"/>
      <c r="AY14" s="187"/>
      <c r="AZ14" s="187"/>
      <c r="BA14" s="187"/>
      <c r="BB14" s="187"/>
      <c r="BC14" s="187"/>
      <c r="BD14" s="187"/>
      <c r="BE14" s="187"/>
      <c r="BF14" s="187"/>
      <c r="BG14" s="187"/>
      <c r="BH14" s="187"/>
      <c r="BI14" s="187"/>
      <c r="BJ14" s="187"/>
      <c r="BK14" s="187"/>
      <c r="BL14" s="187"/>
      <c r="BM14" s="187"/>
      <c r="BN14" s="187"/>
      <c r="BO14" s="187"/>
      <c r="BP14" s="187"/>
      <c r="BQ14" s="187"/>
      <c r="BR14" s="187"/>
      <c r="BS14" s="187"/>
      <c r="BT14" s="187"/>
      <c r="BU14" s="187"/>
      <c r="BV14" s="187"/>
      <c r="BW14" s="187"/>
      <c r="BX14" s="187"/>
      <c r="BY14" s="187"/>
      <c r="BZ14" s="187"/>
      <c r="CA14" s="187"/>
      <c r="CB14" s="187"/>
      <c r="CC14" s="187"/>
      <c r="CD14" s="187"/>
      <c r="CE14" s="187"/>
      <c r="CF14" s="187"/>
      <c r="CG14" s="187"/>
      <c r="CH14" s="187"/>
      <c r="CI14" s="188"/>
      <c r="CJ14" s="188"/>
      <c r="CK14" s="188"/>
      <c r="CL14" s="108"/>
      <c r="CM14" s="108"/>
      <c r="CN14" s="108"/>
      <c r="CO14" s="108"/>
      <c r="CP14" s="108"/>
      <c r="CQ14" s="108"/>
      <c r="CR14" s="108"/>
      <c r="CS14" s="108"/>
      <c r="CT14" s="108"/>
      <c r="CU14" s="108"/>
      <c r="CV14" s="108"/>
      <c r="CW14" s="108"/>
      <c r="CX14" s="108"/>
      <c r="CY14" s="108"/>
      <c r="CZ14" s="108"/>
      <c r="DA14" s="108"/>
      <c r="DB14" s="108"/>
      <c r="DE14" s="117"/>
    </row>
    <row r="15" spans="1:110" s="109" customFormat="1" x14ac:dyDescent="0.2">
      <c r="A15" s="107"/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8"/>
      <c r="AB15" s="108"/>
      <c r="AC15" s="108"/>
      <c r="AD15" s="108"/>
      <c r="AE15" s="108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07"/>
      <c r="CF15" s="107"/>
      <c r="CG15" s="107"/>
      <c r="CH15" s="107"/>
      <c r="CI15" s="107"/>
      <c r="CJ15" s="107"/>
      <c r="CK15" s="107"/>
      <c r="CL15" s="108"/>
      <c r="CM15" s="108"/>
      <c r="CN15" s="108"/>
      <c r="CO15" s="108"/>
      <c r="CP15" s="108"/>
      <c r="CQ15" s="108"/>
      <c r="CR15" s="108"/>
      <c r="CS15" s="108"/>
      <c r="CT15" s="108"/>
      <c r="CU15" s="108"/>
      <c r="CV15" s="108"/>
      <c r="CW15" s="108"/>
      <c r="CX15" s="108"/>
      <c r="CY15" s="108"/>
      <c r="CZ15" s="108"/>
      <c r="DA15" s="108"/>
      <c r="DB15" s="108"/>
      <c r="DE15" s="117"/>
    </row>
    <row r="16" spans="1:110" s="210" customFormat="1" x14ac:dyDescent="0.2">
      <c r="A16" s="208" t="s">
        <v>539</v>
      </c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209"/>
      <c r="AA16" s="209"/>
      <c r="AB16" s="209"/>
      <c r="AC16" s="209"/>
      <c r="AD16" s="209"/>
      <c r="AE16" s="209"/>
      <c r="AI16" s="209"/>
      <c r="AJ16" s="209"/>
      <c r="AK16" s="209"/>
      <c r="AL16" s="209"/>
      <c r="AM16" s="209"/>
      <c r="AN16" s="209"/>
      <c r="AO16" s="209"/>
      <c r="AP16" s="209"/>
      <c r="AQ16" s="209"/>
      <c r="AR16" s="209"/>
      <c r="AS16" s="209"/>
      <c r="AT16" s="209"/>
      <c r="AU16" s="209"/>
      <c r="AV16" s="209"/>
      <c r="AW16" s="209"/>
      <c r="AX16" s="209"/>
      <c r="AY16" s="209"/>
      <c r="AZ16" s="209"/>
      <c r="BA16" s="209"/>
      <c r="BB16" s="209"/>
      <c r="BC16" s="209"/>
      <c r="BD16" s="209"/>
      <c r="BE16" s="209"/>
      <c r="BF16" s="209"/>
      <c r="BG16" s="209"/>
      <c r="BH16" s="209"/>
      <c r="BI16" s="209"/>
      <c r="BJ16" s="209"/>
      <c r="BK16" s="209"/>
      <c r="BL16" s="209"/>
      <c r="BM16" s="209"/>
      <c r="BN16" s="209"/>
      <c r="BO16" s="209"/>
      <c r="BP16" s="209"/>
      <c r="BQ16" s="209"/>
      <c r="BR16" s="209"/>
      <c r="BS16" s="209"/>
      <c r="BT16" s="209"/>
      <c r="BU16" s="209"/>
      <c r="BV16" s="209"/>
      <c r="BW16" s="209"/>
      <c r="BX16" s="209"/>
      <c r="BY16" s="209"/>
      <c r="BZ16" s="209"/>
      <c r="CA16" s="209"/>
      <c r="CB16" s="209"/>
      <c r="CC16" s="209"/>
      <c r="CD16" s="209"/>
      <c r="CE16" s="209"/>
      <c r="CF16" s="209"/>
      <c r="CG16" s="209"/>
      <c r="CH16" s="209"/>
      <c r="CI16" s="209"/>
      <c r="CJ16" s="209"/>
      <c r="CK16" s="209"/>
      <c r="CL16" s="209"/>
      <c r="CM16" s="209"/>
      <c r="CN16" s="209"/>
      <c r="CO16" s="209"/>
      <c r="CP16" s="209"/>
      <c r="CQ16" s="209"/>
      <c r="CR16" s="209"/>
      <c r="CS16" s="209"/>
      <c r="CT16" s="209"/>
      <c r="CU16" s="209"/>
      <c r="CV16" s="209"/>
      <c r="CW16" s="209"/>
      <c r="CX16" s="209"/>
      <c r="CY16" s="209"/>
      <c r="CZ16" s="209"/>
      <c r="DA16" s="209"/>
      <c r="DB16" s="209"/>
      <c r="DE16" s="209"/>
    </row>
    <row r="17" spans="1:110" s="109" customFormat="1" x14ac:dyDescent="0.2">
      <c r="A17" s="181" t="s">
        <v>523</v>
      </c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>
        <f>SUM(BC17:BF17)</f>
        <v>5173.869999999999</v>
      </c>
      <c r="T17" s="107">
        <f>SUM(BG17:BJ17)</f>
        <v>4978.8</v>
      </c>
      <c r="U17" s="107">
        <f>SUM(BK17:BN17)</f>
        <v>4770.630000000001</v>
      </c>
      <c r="V17" s="107">
        <f>SUM(BO17:BR17)</f>
        <v>4300.75</v>
      </c>
      <c r="W17" s="107">
        <f>SUM(BS17:BV17)</f>
        <v>1798</v>
      </c>
      <c r="X17" s="107">
        <f>SUM(BW17:BZ17)</f>
        <v>2355</v>
      </c>
      <c r="Y17" s="107">
        <f>SUM(CA17:CD17)</f>
        <v>3036</v>
      </c>
      <c r="Z17" s="107">
        <f>SUM(CE17:CH17)</f>
        <v>3814</v>
      </c>
      <c r="AA17" s="108">
        <f>SUM(CI17:CL17)</f>
        <v>4656</v>
      </c>
      <c r="AB17" s="108">
        <f>SUM(CM17:CP17)</f>
        <v>5959.8360463569225</v>
      </c>
      <c r="AC17" s="108">
        <f>SUM(CQ17:CT17)</f>
        <v>6611.3068719427765</v>
      </c>
      <c r="AD17" s="108">
        <f>SUM(CU17:CX17)</f>
        <v>7276.3125258458149</v>
      </c>
      <c r="AE17" s="108">
        <f>SUM(CY17:DB17)</f>
        <v>8004.3328315364352</v>
      </c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>
        <v>1600</v>
      </c>
      <c r="BA17" s="107">
        <v>1414.8000000000002</v>
      </c>
      <c r="BB17" s="107">
        <v>1257</v>
      </c>
      <c r="BC17" s="107">
        <v>1157.8</v>
      </c>
      <c r="BD17" s="107">
        <v>1362.6</v>
      </c>
      <c r="BE17" s="107">
        <v>1316.87</v>
      </c>
      <c r="BF17" s="107">
        <v>1336.6</v>
      </c>
      <c r="BG17" s="107">
        <v>1236.8000000000002</v>
      </c>
      <c r="BH17" s="107">
        <v>1312.6999999999998</v>
      </c>
      <c r="BI17" s="107">
        <v>1214.5900000000001</v>
      </c>
      <c r="BJ17" s="107">
        <v>1214.71</v>
      </c>
      <c r="BK17" s="107">
        <v>1120.3900000000001</v>
      </c>
      <c r="BL17" s="107">
        <v>1257.5</v>
      </c>
      <c r="BM17" s="107">
        <v>1252.1100000000001</v>
      </c>
      <c r="BN17" s="107">
        <v>1140.6300000000001</v>
      </c>
      <c r="BO17" s="107">
        <v>1122.82</v>
      </c>
      <c r="BP17" s="107">
        <v>1059.31</v>
      </c>
      <c r="BQ17" s="107">
        <v>1059.31</v>
      </c>
      <c r="BR17" s="107">
        <v>1059.31</v>
      </c>
      <c r="BS17" s="107">
        <v>473</v>
      </c>
      <c r="BT17" s="107">
        <v>502</v>
      </c>
      <c r="BU17" s="107">
        <v>412</v>
      </c>
      <c r="BV17" s="107">
        <v>411</v>
      </c>
      <c r="BW17" s="107">
        <v>537</v>
      </c>
      <c r="BX17" s="107">
        <v>384</v>
      </c>
      <c r="BY17" s="107">
        <v>714</v>
      </c>
      <c r="BZ17" s="107">
        <v>720</v>
      </c>
      <c r="CA17" s="107">
        <v>714</v>
      </c>
      <c r="CB17" s="107">
        <v>793</v>
      </c>
      <c r="CC17" s="107">
        <v>738</v>
      </c>
      <c r="CD17" s="107">
        <v>791</v>
      </c>
      <c r="CE17" s="107">
        <v>796</v>
      </c>
      <c r="CF17" s="107">
        <v>947</v>
      </c>
      <c r="CG17" s="107">
        <v>966</v>
      </c>
      <c r="CH17" s="107">
        <v>1105</v>
      </c>
      <c r="CI17" s="107">
        <v>948</v>
      </c>
      <c r="CJ17" s="107">
        <v>1110</v>
      </c>
      <c r="CK17" s="107">
        <f>CJ20</f>
        <v>1226</v>
      </c>
      <c r="CL17" s="108">
        <f>CK20</f>
        <v>1372</v>
      </c>
      <c r="CM17" s="108">
        <f t="shared" ref="CM17:DB17" si="65">CL20</f>
        <v>1432.262965064273</v>
      </c>
      <c r="CN17" s="108">
        <f t="shared" si="65"/>
        <v>1448.9963650053978</v>
      </c>
      <c r="CO17" s="108">
        <f t="shared" si="65"/>
        <v>1513.3898653475717</v>
      </c>
      <c r="CP17" s="108">
        <f t="shared" si="65"/>
        <v>1565.1868509396795</v>
      </c>
      <c r="CQ17" s="108">
        <f t="shared" si="65"/>
        <v>1591.1065820510628</v>
      </c>
      <c r="CR17" s="108">
        <f t="shared" si="65"/>
        <v>1615.5628902467843</v>
      </c>
      <c r="CS17" s="108">
        <f t="shared" si="65"/>
        <v>1682.0220962877615</v>
      </c>
      <c r="CT17" s="108">
        <f t="shared" si="65"/>
        <v>1722.6153033571672</v>
      </c>
      <c r="CU17" s="108">
        <f t="shared" si="65"/>
        <v>1750.0455167373361</v>
      </c>
      <c r="CV17" s="108">
        <f t="shared" si="65"/>
        <v>1780.1440085660579</v>
      </c>
      <c r="CW17" s="108">
        <f t="shared" si="65"/>
        <v>1851.9301186771909</v>
      </c>
      <c r="CX17" s="108">
        <f t="shared" si="65"/>
        <v>1894.1928818652304</v>
      </c>
      <c r="CY17" s="108">
        <f t="shared" si="65"/>
        <v>1924.9904405034549</v>
      </c>
      <c r="CZ17" s="108">
        <f t="shared" si="65"/>
        <v>1958.6847339956994</v>
      </c>
      <c r="DA17" s="108">
        <f t="shared" si="65"/>
        <v>2037.2351402595987</v>
      </c>
      <c r="DB17" s="108">
        <f t="shared" si="65"/>
        <v>2083.4225167776822</v>
      </c>
      <c r="DE17" s="117"/>
      <c r="DF17" s="109">
        <v>1226</v>
      </c>
    </row>
    <row r="18" spans="1:110" s="204" customFormat="1" x14ac:dyDescent="0.2">
      <c r="A18" s="182" t="s">
        <v>524</v>
      </c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>
        <f t="shared" ref="S18:S19" si="66">SUM(BC18:BF18)</f>
        <v>1267.5</v>
      </c>
      <c r="T18" s="203">
        <f t="shared" ref="T18:T20" si="67">SUM(BG18:BJ18)</f>
        <v>1106.7199999999998</v>
      </c>
      <c r="U18" s="203">
        <f t="shared" ref="U18:U20" si="68">SUM(BK18:BN18)</f>
        <v>1087.9499999999998</v>
      </c>
      <c r="V18" s="203">
        <f t="shared" ref="V18:V20" si="69">SUM(BO18:BR18)</f>
        <v>394.88</v>
      </c>
      <c r="W18" s="203">
        <f t="shared" ref="W18:W20" si="70">SUM(BS18:BV18)</f>
        <v>1267.56</v>
      </c>
      <c r="X18" s="203">
        <f t="shared" ref="X18:X20" si="71">SUM(BW18:BZ18)</f>
        <v>1706.6799999999998</v>
      </c>
      <c r="Y18" s="203">
        <f t="shared" ref="Y18:Y20" si="72">SUM(CA18:CD18)</f>
        <v>2019.42</v>
      </c>
      <c r="Z18" s="203">
        <f t="shared" ref="Z18:Z20" si="73">SUM(CE18:CH18)</f>
        <v>2378.96</v>
      </c>
      <c r="AA18" s="155">
        <f t="shared" ref="AA18:AA20" si="74">SUM(CI18:CL18)</f>
        <v>2749.067</v>
      </c>
      <c r="AB18" s="155">
        <f t="shared" ref="AB18:AB20" si="75">SUM(CM18:CP18)</f>
        <v>3023.9737000000005</v>
      </c>
      <c r="AC18" s="155">
        <f t="shared" ref="AC18:AC20" si="76">SUM(CQ18:CT18)</f>
        <v>3326.3710700000011</v>
      </c>
      <c r="AD18" s="155">
        <f t="shared" ref="AD18:AD20" si="77">SUM(CU18:CX18)</f>
        <v>3659.0081770000011</v>
      </c>
      <c r="AE18" s="155">
        <f t="shared" ref="AE18:AE20" si="78">SUM(CY18:DB18)</f>
        <v>4024.9089947000016</v>
      </c>
      <c r="AI18" s="203"/>
      <c r="AJ18" s="203"/>
      <c r="AK18" s="203"/>
      <c r="AL18" s="203"/>
      <c r="AM18" s="203"/>
      <c r="AN18" s="203"/>
      <c r="AO18" s="203"/>
      <c r="AP18" s="203"/>
      <c r="AQ18" s="203"/>
      <c r="AR18" s="203"/>
      <c r="AS18" s="203"/>
      <c r="AT18" s="203"/>
      <c r="AU18" s="203"/>
      <c r="AV18" s="203"/>
      <c r="AW18" s="203"/>
      <c r="AX18" s="203"/>
      <c r="AY18" s="203"/>
      <c r="AZ18" s="203">
        <v>90.500000000000227</v>
      </c>
      <c r="BA18" s="203">
        <v>154.41999999999985</v>
      </c>
      <c r="BB18" s="203">
        <v>356.94999999999982</v>
      </c>
      <c r="BC18" s="203">
        <v>447.46000000000004</v>
      </c>
      <c r="BD18" s="203">
        <v>203.88999999999987</v>
      </c>
      <c r="BE18" s="203">
        <v>278.80999999999995</v>
      </c>
      <c r="BF18" s="203">
        <v>337.34000000000015</v>
      </c>
      <c r="BG18" s="203">
        <v>379.38999999999965</v>
      </c>
      <c r="BH18" s="203">
        <v>222.65000000000032</v>
      </c>
      <c r="BI18" s="203">
        <v>272.75999999999976</v>
      </c>
      <c r="BJ18" s="203">
        <v>231.92000000000007</v>
      </c>
      <c r="BK18" s="203">
        <v>408.49</v>
      </c>
      <c r="BL18" s="203">
        <v>260.77</v>
      </c>
      <c r="BM18" s="203">
        <v>168.01</v>
      </c>
      <c r="BN18" s="203">
        <v>250.67999999999984</v>
      </c>
      <c r="BO18" s="203">
        <v>71.269999999999982</v>
      </c>
      <c r="BP18" s="203">
        <v>263.65000000000009</v>
      </c>
      <c r="BQ18" s="203">
        <v>296.13999999999987</v>
      </c>
      <c r="BR18" s="203">
        <v>-236.17999999999995</v>
      </c>
      <c r="BS18" s="203">
        <v>321.53999999999996</v>
      </c>
      <c r="BT18" s="203">
        <v>220.39999999999998</v>
      </c>
      <c r="BU18" s="203">
        <v>269.88</v>
      </c>
      <c r="BV18" s="203">
        <v>455.74</v>
      </c>
      <c r="BW18" s="203">
        <v>174.73000000000002</v>
      </c>
      <c r="BX18" s="203">
        <v>718.59999999999991</v>
      </c>
      <c r="BY18" s="203">
        <v>394.81999999999994</v>
      </c>
      <c r="BZ18" s="203">
        <v>418.53</v>
      </c>
      <c r="CA18" s="203">
        <v>493.34000000000015</v>
      </c>
      <c r="CB18" s="203">
        <v>429.90000000000009</v>
      </c>
      <c r="CC18" s="203">
        <v>526.55999999999995</v>
      </c>
      <c r="CD18" s="203">
        <v>569.61999999999989</v>
      </c>
      <c r="CE18" s="203">
        <v>543.36000000000013</v>
      </c>
      <c r="CF18" s="203">
        <v>527.13999999999987</v>
      </c>
      <c r="CG18" s="203">
        <v>667.88999999999987</v>
      </c>
      <c r="CH18" s="203">
        <v>640.56999999999994</v>
      </c>
      <c r="CI18" s="203">
        <v>652.57000000000016</v>
      </c>
      <c r="CJ18" s="203">
        <f>+CJ20+CJ19-CJ17</f>
        <v>694.13000000000011</v>
      </c>
      <c r="CK18" s="203">
        <f>+CK20+CK19-CK17</f>
        <v>697.74</v>
      </c>
      <c r="CL18" s="155">
        <f t="shared" ref="CL18:DB18" si="79">CH18*(1+CL21)</f>
        <v>704.62699999999995</v>
      </c>
      <c r="CM18" s="155">
        <f t="shared" si="79"/>
        <v>717.82700000000023</v>
      </c>
      <c r="CN18" s="155">
        <f t="shared" si="79"/>
        <v>763.54300000000023</v>
      </c>
      <c r="CO18" s="155">
        <f t="shared" si="79"/>
        <v>767.51400000000012</v>
      </c>
      <c r="CP18" s="155">
        <f t="shared" si="79"/>
        <v>775.08969999999999</v>
      </c>
      <c r="CQ18" s="155">
        <f t="shared" si="79"/>
        <v>789.60970000000032</v>
      </c>
      <c r="CR18" s="155">
        <f t="shared" si="79"/>
        <v>839.89730000000031</v>
      </c>
      <c r="CS18" s="155">
        <f t="shared" si="79"/>
        <v>844.26540000000023</v>
      </c>
      <c r="CT18" s="155">
        <f t="shared" si="79"/>
        <v>852.59867000000008</v>
      </c>
      <c r="CU18" s="155">
        <f t="shared" si="79"/>
        <v>868.5706700000004</v>
      </c>
      <c r="CV18" s="155">
        <f t="shared" si="79"/>
        <v>923.88703000000044</v>
      </c>
      <c r="CW18" s="155">
        <f t="shared" si="79"/>
        <v>928.69194000000027</v>
      </c>
      <c r="CX18" s="155">
        <f t="shared" si="79"/>
        <v>937.85853700000018</v>
      </c>
      <c r="CY18" s="155">
        <f t="shared" si="79"/>
        <v>955.42773700000055</v>
      </c>
      <c r="CZ18" s="155">
        <f t="shared" si="79"/>
        <v>1016.2757330000005</v>
      </c>
      <c r="DA18" s="155">
        <f t="shared" si="79"/>
        <v>1021.5611340000004</v>
      </c>
      <c r="DB18" s="155">
        <f t="shared" si="79"/>
        <v>1031.6443907000003</v>
      </c>
      <c r="DD18" s="205"/>
      <c r="DF18" s="204">
        <v>819.91639408991944</v>
      </c>
    </row>
    <row r="19" spans="1:110" s="204" customFormat="1" x14ac:dyDescent="0.2">
      <c r="A19" s="182" t="s">
        <v>525</v>
      </c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>
        <f t="shared" si="66"/>
        <v>1188.5</v>
      </c>
      <c r="T19" s="203">
        <f t="shared" si="67"/>
        <v>1223.1300000000001</v>
      </c>
      <c r="U19" s="203">
        <f t="shared" si="68"/>
        <v>1085.52</v>
      </c>
      <c r="V19" s="203">
        <f t="shared" si="69"/>
        <v>1044.6999999999998</v>
      </c>
      <c r="W19" s="203">
        <f t="shared" si="70"/>
        <v>1203.56</v>
      </c>
      <c r="X19" s="203">
        <f t="shared" si="71"/>
        <v>1529.68</v>
      </c>
      <c r="Y19" s="203">
        <f t="shared" si="72"/>
        <v>1937.42</v>
      </c>
      <c r="Z19" s="203">
        <f t="shared" si="73"/>
        <v>2226.96</v>
      </c>
      <c r="AA19" s="155">
        <f t="shared" si="74"/>
        <v>2264.804034935727</v>
      </c>
      <c r="AB19" s="155">
        <f t="shared" si="75"/>
        <v>2865.1300830132104</v>
      </c>
      <c r="AC19" s="155">
        <f t="shared" si="76"/>
        <v>3167.4321353137275</v>
      </c>
      <c r="AD19" s="155">
        <f t="shared" si="77"/>
        <v>3484.0632532338823</v>
      </c>
      <c r="AE19" s="155">
        <f t="shared" si="78"/>
        <v>3832.3829853830684</v>
      </c>
      <c r="AI19" s="203"/>
      <c r="AJ19" s="203"/>
      <c r="AK19" s="203"/>
      <c r="AL19" s="203"/>
      <c r="AM19" s="203"/>
      <c r="AN19" s="203"/>
      <c r="AO19" s="203"/>
      <c r="AP19" s="203"/>
      <c r="AQ19" s="203"/>
      <c r="AR19" s="203"/>
      <c r="AS19" s="203"/>
      <c r="AT19" s="203"/>
      <c r="AU19" s="203"/>
      <c r="AV19" s="203"/>
      <c r="AW19" s="203"/>
      <c r="AX19" s="203"/>
      <c r="AY19" s="203"/>
      <c r="AZ19" s="203">
        <v>275.7</v>
      </c>
      <c r="BA19" s="203">
        <v>312.22000000000003</v>
      </c>
      <c r="BB19" s="203">
        <v>456.15</v>
      </c>
      <c r="BC19" s="203">
        <v>242.66000000000003</v>
      </c>
      <c r="BD19" s="203">
        <v>249.62</v>
      </c>
      <c r="BE19" s="203">
        <v>259.08</v>
      </c>
      <c r="BF19" s="203">
        <v>437.14</v>
      </c>
      <c r="BG19" s="203">
        <v>303.49</v>
      </c>
      <c r="BH19" s="203">
        <v>320.76</v>
      </c>
      <c r="BI19" s="203">
        <v>272.64</v>
      </c>
      <c r="BJ19" s="203">
        <v>326.24</v>
      </c>
      <c r="BK19" s="203">
        <v>271.38</v>
      </c>
      <c r="BL19" s="203">
        <v>266.15999999999997</v>
      </c>
      <c r="BM19" s="203">
        <v>279.49</v>
      </c>
      <c r="BN19" s="203">
        <v>268.49</v>
      </c>
      <c r="BO19" s="203">
        <v>134.78</v>
      </c>
      <c r="BP19" s="203">
        <v>263.64999999999998</v>
      </c>
      <c r="BQ19" s="203">
        <v>296.14</v>
      </c>
      <c r="BR19" s="203">
        <v>350.13</v>
      </c>
      <c r="BS19" s="203">
        <v>292.53999999999996</v>
      </c>
      <c r="BT19" s="203">
        <v>310.39999999999998</v>
      </c>
      <c r="BU19" s="203">
        <v>270.88</v>
      </c>
      <c r="BV19" s="203">
        <v>329.74</v>
      </c>
      <c r="BW19" s="203">
        <v>327.73</v>
      </c>
      <c r="BX19" s="203">
        <v>388.6</v>
      </c>
      <c r="BY19" s="203">
        <v>388.82</v>
      </c>
      <c r="BZ19" s="203">
        <v>424.53</v>
      </c>
      <c r="CA19" s="203">
        <v>414.34000000000003</v>
      </c>
      <c r="CB19" s="203">
        <v>484.9</v>
      </c>
      <c r="CC19" s="203">
        <v>473.55999999999995</v>
      </c>
      <c r="CD19" s="203">
        <v>564.62</v>
      </c>
      <c r="CE19" s="203">
        <v>392.36</v>
      </c>
      <c r="CF19" s="203">
        <v>508.14</v>
      </c>
      <c r="CG19" s="203">
        <v>528.89</v>
      </c>
      <c r="CH19" s="203">
        <v>797.56999999999994</v>
      </c>
      <c r="CI19" s="203">
        <v>490.57000000000005</v>
      </c>
      <c r="CJ19" s="203">
        <f>+CJ26</f>
        <v>578.13</v>
      </c>
      <c r="CK19" s="203">
        <f>+CK26</f>
        <v>551.74</v>
      </c>
      <c r="CL19" s="155">
        <f>+CL22*CL17</f>
        <v>644.36403493572698</v>
      </c>
      <c r="CM19" s="155">
        <f t="shared" ref="CM19:DB19" si="80">+CM22*CM17</f>
        <v>701.09360005887538</v>
      </c>
      <c r="CN19" s="155">
        <f t="shared" si="80"/>
        <v>699.14949965782614</v>
      </c>
      <c r="CO19" s="155">
        <f t="shared" si="80"/>
        <v>715.71701440789229</v>
      </c>
      <c r="CP19" s="155">
        <f t="shared" si="80"/>
        <v>749.16996888861672</v>
      </c>
      <c r="CQ19" s="155">
        <f t="shared" si="80"/>
        <v>765.15339180427861</v>
      </c>
      <c r="CR19" s="155">
        <f t="shared" si="80"/>
        <v>773.43809395902315</v>
      </c>
      <c r="CS19" s="155">
        <f t="shared" si="80"/>
        <v>803.67219293059441</v>
      </c>
      <c r="CT19" s="155">
        <f t="shared" si="80"/>
        <v>825.16845661983143</v>
      </c>
      <c r="CU19" s="155">
        <f t="shared" si="80"/>
        <v>838.47217817127876</v>
      </c>
      <c r="CV19" s="155">
        <f t="shared" si="80"/>
        <v>852.10091988886722</v>
      </c>
      <c r="CW19" s="155">
        <f t="shared" si="80"/>
        <v>886.42917681196059</v>
      </c>
      <c r="CX19" s="155">
        <f t="shared" si="80"/>
        <v>907.0609783617756</v>
      </c>
      <c r="CY19" s="155">
        <f t="shared" si="80"/>
        <v>921.73344350775596</v>
      </c>
      <c r="CZ19" s="155">
        <f t="shared" si="80"/>
        <v>937.72532673610101</v>
      </c>
      <c r="DA19" s="155">
        <f t="shared" si="80"/>
        <v>975.3737574819171</v>
      </c>
      <c r="DB19" s="155">
        <f t="shared" si="80"/>
        <v>997.55045765729415</v>
      </c>
      <c r="DE19" s="205"/>
      <c r="DF19" s="204">
        <v>650.16506203564995</v>
      </c>
    </row>
    <row r="20" spans="1:110" s="109" customFormat="1" x14ac:dyDescent="0.2">
      <c r="A20" s="181" t="s">
        <v>526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>
        <f>SUM(BC20:BF20)</f>
        <v>5252.87</v>
      </c>
      <c r="T20" s="107">
        <f t="shared" si="67"/>
        <v>4862.3900000000003</v>
      </c>
      <c r="U20" s="107">
        <f t="shared" si="68"/>
        <v>4773.0600000000004</v>
      </c>
      <c r="V20" s="107">
        <f t="shared" si="69"/>
        <v>3650.93</v>
      </c>
      <c r="W20" s="107">
        <f t="shared" si="70"/>
        <v>1862</v>
      </c>
      <c r="X20" s="107">
        <f t="shared" si="71"/>
        <v>2532</v>
      </c>
      <c r="Y20" s="107">
        <f t="shared" si="72"/>
        <v>3118</v>
      </c>
      <c r="Z20" s="107">
        <f t="shared" si="73"/>
        <v>3966</v>
      </c>
      <c r="AA20" s="108">
        <f t="shared" si="74"/>
        <v>5140.262965064273</v>
      </c>
      <c r="AB20" s="108">
        <f t="shared" si="75"/>
        <v>6118.6796633437116</v>
      </c>
      <c r="AC20" s="108">
        <f t="shared" si="76"/>
        <v>6770.2458066290492</v>
      </c>
      <c r="AD20" s="108">
        <f t="shared" si="77"/>
        <v>7451.2574496119341</v>
      </c>
      <c r="AE20" s="108">
        <f t="shared" si="78"/>
        <v>8196.8588408533687</v>
      </c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>
        <v>1600</v>
      </c>
      <c r="AZ20" s="107">
        <v>1414.8000000000002</v>
      </c>
      <c r="BA20" s="107">
        <v>1257</v>
      </c>
      <c r="BB20" s="107">
        <v>1157.8</v>
      </c>
      <c r="BC20" s="107">
        <v>1362.6</v>
      </c>
      <c r="BD20" s="107">
        <v>1316.87</v>
      </c>
      <c r="BE20" s="107">
        <v>1336.6</v>
      </c>
      <c r="BF20" s="107">
        <v>1236.8000000000002</v>
      </c>
      <c r="BG20" s="107">
        <v>1312.6999999999998</v>
      </c>
      <c r="BH20" s="107">
        <v>1214.5900000000001</v>
      </c>
      <c r="BI20" s="107">
        <v>1214.71</v>
      </c>
      <c r="BJ20" s="107">
        <v>1120.3900000000001</v>
      </c>
      <c r="BK20" s="107">
        <v>1257.5</v>
      </c>
      <c r="BL20" s="107">
        <v>1252.1100000000001</v>
      </c>
      <c r="BM20" s="107">
        <v>1140.6300000000001</v>
      </c>
      <c r="BN20" s="107">
        <v>1122.82</v>
      </c>
      <c r="BO20" s="107">
        <v>1059.31</v>
      </c>
      <c r="BP20" s="107">
        <v>1059.31</v>
      </c>
      <c r="BQ20" s="107">
        <v>1059.31</v>
      </c>
      <c r="BR20" s="107">
        <v>473</v>
      </c>
      <c r="BS20" s="107">
        <v>502</v>
      </c>
      <c r="BT20" s="107">
        <v>412</v>
      </c>
      <c r="BU20" s="107">
        <v>411</v>
      </c>
      <c r="BV20" s="107">
        <v>537</v>
      </c>
      <c r="BW20" s="107">
        <v>384</v>
      </c>
      <c r="BX20" s="107">
        <v>714</v>
      </c>
      <c r="BY20" s="107">
        <v>720</v>
      </c>
      <c r="BZ20" s="107">
        <v>714</v>
      </c>
      <c r="CA20" s="107">
        <v>793</v>
      </c>
      <c r="CB20" s="107">
        <v>738</v>
      </c>
      <c r="CC20" s="107">
        <v>791</v>
      </c>
      <c r="CD20" s="107">
        <v>796</v>
      </c>
      <c r="CE20" s="107">
        <v>947</v>
      </c>
      <c r="CF20" s="107">
        <v>966</v>
      </c>
      <c r="CG20" s="107">
        <v>1105</v>
      </c>
      <c r="CH20" s="107">
        <v>948</v>
      </c>
      <c r="CI20" s="107">
        <v>1110</v>
      </c>
      <c r="CJ20" s="107">
        <v>1226</v>
      </c>
      <c r="CK20" s="107">
        <v>1372</v>
      </c>
      <c r="CL20" s="108">
        <f t="shared" ref="CL20:DB20" si="81">CL17+CL18-CL19</f>
        <v>1432.262965064273</v>
      </c>
      <c r="CM20" s="108">
        <f t="shared" si="81"/>
        <v>1448.9963650053978</v>
      </c>
      <c r="CN20" s="108">
        <f>CN17+CN18-CN19</f>
        <v>1513.3898653475717</v>
      </c>
      <c r="CO20" s="108">
        <f t="shared" si="81"/>
        <v>1565.1868509396795</v>
      </c>
      <c r="CP20" s="108">
        <f t="shared" si="81"/>
        <v>1591.1065820510628</v>
      </c>
      <c r="CQ20" s="108">
        <f t="shared" si="81"/>
        <v>1615.5628902467843</v>
      </c>
      <c r="CR20" s="108">
        <f>CR17+CR18-CR19</f>
        <v>1682.0220962877615</v>
      </c>
      <c r="CS20" s="108">
        <f t="shared" si="81"/>
        <v>1722.6153033571672</v>
      </c>
      <c r="CT20" s="108">
        <f t="shared" si="81"/>
        <v>1750.0455167373361</v>
      </c>
      <c r="CU20" s="108">
        <f t="shared" si="81"/>
        <v>1780.1440085660579</v>
      </c>
      <c r="CV20" s="108">
        <f t="shared" si="81"/>
        <v>1851.9301186771909</v>
      </c>
      <c r="CW20" s="108">
        <f t="shared" si="81"/>
        <v>1894.1928818652304</v>
      </c>
      <c r="CX20" s="108">
        <f t="shared" si="81"/>
        <v>1924.9904405034549</v>
      </c>
      <c r="CY20" s="108">
        <f t="shared" si="81"/>
        <v>1958.6847339956994</v>
      </c>
      <c r="CZ20" s="108">
        <f t="shared" si="81"/>
        <v>2037.2351402595987</v>
      </c>
      <c r="DA20" s="108">
        <f t="shared" si="81"/>
        <v>2083.4225167776822</v>
      </c>
      <c r="DB20" s="108">
        <f t="shared" si="81"/>
        <v>2117.5164498203885</v>
      </c>
      <c r="DE20" s="117"/>
      <c r="DF20" s="109">
        <v>1395.7513320542694</v>
      </c>
    </row>
    <row r="21" spans="1:110" s="109" customFormat="1" x14ac:dyDescent="0.2">
      <c r="A21" s="182" t="s">
        <v>527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206">
        <f t="shared" ref="T21:AE21" si="82">(T18/S18)-1</f>
        <v>-0.12684812623274178</v>
      </c>
      <c r="U21" s="206">
        <f t="shared" si="82"/>
        <v>-1.6960026022842301E-2</v>
      </c>
      <c r="V21" s="206">
        <f t="shared" si="82"/>
        <v>-0.63704214348085841</v>
      </c>
      <c r="W21" s="206">
        <f t="shared" si="82"/>
        <v>2.209987844408428</v>
      </c>
      <c r="X21" s="206">
        <f t="shared" si="82"/>
        <v>0.34642936034586125</v>
      </c>
      <c r="Y21" s="206">
        <f t="shared" si="82"/>
        <v>0.18324466215107704</v>
      </c>
      <c r="Z21" s="206">
        <f t="shared" si="82"/>
        <v>0.1780412197561676</v>
      </c>
      <c r="AA21" s="207">
        <f t="shared" si="82"/>
        <v>0.15557512526482165</v>
      </c>
      <c r="AB21" s="207">
        <f t="shared" si="82"/>
        <v>0.10000000000000009</v>
      </c>
      <c r="AC21" s="207">
        <f t="shared" si="82"/>
        <v>0.10000000000000009</v>
      </c>
      <c r="AD21" s="207">
        <f t="shared" si="82"/>
        <v>9.9999999999999867E-2</v>
      </c>
      <c r="AE21" s="207">
        <f t="shared" si="82"/>
        <v>0.10000000000000009</v>
      </c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84"/>
      <c r="BA21" s="206" t="s">
        <v>538</v>
      </c>
      <c r="BB21" s="206"/>
      <c r="BC21" s="206"/>
      <c r="BD21" s="206">
        <f t="shared" ref="BD21:CK21" si="83">(BD18/AZ18)-1</f>
        <v>1.2529281767955731</v>
      </c>
      <c r="BE21" s="206">
        <f t="shared" si="83"/>
        <v>0.80553037171351005</v>
      </c>
      <c r="BF21" s="206">
        <f t="shared" si="83"/>
        <v>-5.4937666339822666E-2</v>
      </c>
      <c r="BG21" s="206">
        <f t="shared" si="83"/>
        <v>-0.15212532963840431</v>
      </c>
      <c r="BH21" s="206">
        <f t="shared" si="83"/>
        <v>9.2010397763502061E-2</v>
      </c>
      <c r="BI21" s="206">
        <f t="shared" si="83"/>
        <v>-2.1699365159069561E-2</v>
      </c>
      <c r="BJ21" s="206">
        <f t="shared" si="83"/>
        <v>-0.31250370546036643</v>
      </c>
      <c r="BK21" s="206">
        <f t="shared" si="83"/>
        <v>7.6702074382562602E-2</v>
      </c>
      <c r="BL21" s="206">
        <f t="shared" si="83"/>
        <v>0.17121041994161068</v>
      </c>
      <c r="BM21" s="206">
        <f t="shared" si="83"/>
        <v>-0.38403724886346924</v>
      </c>
      <c r="BN21" s="206">
        <f t="shared" si="83"/>
        <v>8.0889962055880282E-2</v>
      </c>
      <c r="BO21" s="206">
        <f t="shared" si="83"/>
        <v>-0.82552816470415435</v>
      </c>
      <c r="BP21" s="206">
        <f t="shared" si="83"/>
        <v>1.1044215208805053E-2</v>
      </c>
      <c r="BQ21" s="206">
        <f t="shared" si="83"/>
        <v>0.76263317659663055</v>
      </c>
      <c r="BR21" s="206">
        <f t="shared" si="83"/>
        <v>-1.942157332056806</v>
      </c>
      <c r="BS21" s="206">
        <f t="shared" si="83"/>
        <v>3.5115756980496711</v>
      </c>
      <c r="BT21" s="206">
        <f t="shared" si="83"/>
        <v>-0.16404323914280339</v>
      </c>
      <c r="BU21" s="206">
        <f t="shared" si="83"/>
        <v>-8.8674275680421077E-2</v>
      </c>
      <c r="BV21" s="206">
        <f t="shared" si="83"/>
        <v>-2.9296299432636133</v>
      </c>
      <c r="BW21" s="206">
        <f t="shared" si="83"/>
        <v>-0.45658393978976164</v>
      </c>
      <c r="BX21" s="206">
        <f t="shared" si="83"/>
        <v>2.2604355716878404</v>
      </c>
      <c r="BY21" s="206">
        <f t="shared" si="83"/>
        <v>0.4629464947384021</v>
      </c>
      <c r="BZ21" s="206">
        <f t="shared" si="83"/>
        <v>-8.1647430552508116E-2</v>
      </c>
      <c r="CA21" s="206">
        <f t="shared" si="83"/>
        <v>1.8234418817604308</v>
      </c>
      <c r="CB21" s="206">
        <f t="shared" si="83"/>
        <v>-0.40175340940718041</v>
      </c>
      <c r="CC21" s="206">
        <f t="shared" si="83"/>
        <v>0.33367103996758019</v>
      </c>
      <c r="CD21" s="206">
        <f t="shared" si="83"/>
        <v>0.36100160084103861</v>
      </c>
      <c r="CE21" s="206">
        <f t="shared" si="83"/>
        <v>0.10139052174970598</v>
      </c>
      <c r="CF21" s="206">
        <f t="shared" si="83"/>
        <v>0.22619213770644286</v>
      </c>
      <c r="CG21" s="206">
        <f t="shared" si="83"/>
        <v>0.26840246125797629</v>
      </c>
      <c r="CH21" s="206">
        <f t="shared" si="83"/>
        <v>0.12455672202520995</v>
      </c>
      <c r="CI21" s="206">
        <f t="shared" si="83"/>
        <v>0.20099013545347466</v>
      </c>
      <c r="CJ21" s="206">
        <f t="shared" si="83"/>
        <v>0.316784914823387</v>
      </c>
      <c r="CK21" s="206">
        <f t="shared" si="83"/>
        <v>4.4692988366348052E-2</v>
      </c>
      <c r="CL21" s="207">
        <v>0.1</v>
      </c>
      <c r="CM21" s="207">
        <f>+CL21</f>
        <v>0.1</v>
      </c>
      <c r="CN21" s="207">
        <f t="shared" ref="CN21:DB21" si="84">+CM21</f>
        <v>0.1</v>
      </c>
      <c r="CO21" s="207">
        <f t="shared" si="84"/>
        <v>0.1</v>
      </c>
      <c r="CP21" s="207">
        <f t="shared" si="84"/>
        <v>0.1</v>
      </c>
      <c r="CQ21" s="207">
        <f t="shared" si="84"/>
        <v>0.1</v>
      </c>
      <c r="CR21" s="207">
        <f t="shared" si="84"/>
        <v>0.1</v>
      </c>
      <c r="CS21" s="207">
        <f t="shared" si="84"/>
        <v>0.1</v>
      </c>
      <c r="CT21" s="207">
        <f t="shared" si="84"/>
        <v>0.1</v>
      </c>
      <c r="CU21" s="207">
        <f t="shared" si="84"/>
        <v>0.1</v>
      </c>
      <c r="CV21" s="207">
        <f t="shared" si="84"/>
        <v>0.1</v>
      </c>
      <c r="CW21" s="207">
        <f t="shared" si="84"/>
        <v>0.1</v>
      </c>
      <c r="CX21" s="207">
        <f t="shared" si="84"/>
        <v>0.1</v>
      </c>
      <c r="CY21" s="207">
        <f t="shared" si="84"/>
        <v>0.1</v>
      </c>
      <c r="CZ21" s="207">
        <f t="shared" si="84"/>
        <v>0.1</v>
      </c>
      <c r="DA21" s="207">
        <f t="shared" si="84"/>
        <v>0.1</v>
      </c>
      <c r="DB21" s="207">
        <f t="shared" si="84"/>
        <v>0.1</v>
      </c>
      <c r="DE21" s="117"/>
      <c r="DF21" s="191">
        <v>0.22762190493931572</v>
      </c>
    </row>
    <row r="22" spans="1:110" s="109" customFormat="1" x14ac:dyDescent="0.2">
      <c r="A22" s="183" t="s">
        <v>528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206">
        <f t="shared" ref="T22:Y22" si="85">+T19/T17</f>
        <v>0.24566763075439865</v>
      </c>
      <c r="U22" s="206">
        <f t="shared" si="85"/>
        <v>0.22754227429081689</v>
      </c>
      <c r="V22" s="206">
        <f t="shared" si="85"/>
        <v>0.24291112015346156</v>
      </c>
      <c r="W22" s="206">
        <f t="shared" si="85"/>
        <v>0.66938820912124575</v>
      </c>
      <c r="X22" s="206">
        <f t="shared" si="85"/>
        <v>0.6495456475583864</v>
      </c>
      <c r="Y22" s="206">
        <f t="shared" si="85"/>
        <v>0.63814888010540183</v>
      </c>
      <c r="Z22" s="206">
        <f>+Z19/Z17</f>
        <v>0.58389092815941268</v>
      </c>
      <c r="AA22" s="207">
        <f t="shared" ref="AA22:AE22" si="86">+AA19/AA17</f>
        <v>0.48642698344839497</v>
      </c>
      <c r="AB22" s="207">
        <f t="shared" si="86"/>
        <v>0.4807397486654994</v>
      </c>
      <c r="AC22" s="207">
        <f t="shared" si="86"/>
        <v>0.47909319544003504</v>
      </c>
      <c r="AD22" s="207">
        <f t="shared" si="86"/>
        <v>0.4788226510142769</v>
      </c>
      <c r="AE22" s="207">
        <f t="shared" si="86"/>
        <v>0.47878855940170106</v>
      </c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84"/>
      <c r="BA22" s="206" t="e">
        <f>(BA19/AW19)-1</f>
        <v>#DIV/0!</v>
      </c>
      <c r="BB22" s="206"/>
      <c r="BC22" s="206"/>
      <c r="BD22" s="206">
        <f t="shared" ref="BD22:CJ22" si="87">+BD19/BD17</f>
        <v>0.18319389402612654</v>
      </c>
      <c r="BE22" s="206">
        <f t="shared" si="87"/>
        <v>0.19673923773796959</v>
      </c>
      <c r="BF22" s="206">
        <f t="shared" si="87"/>
        <v>0.32705371838994463</v>
      </c>
      <c r="BG22" s="206">
        <f t="shared" si="87"/>
        <v>0.2453832470892626</v>
      </c>
      <c r="BH22" s="206">
        <f t="shared" si="87"/>
        <v>0.24435133693913311</v>
      </c>
      <c r="BI22" s="206">
        <f t="shared" si="87"/>
        <v>0.22447080907960706</v>
      </c>
      <c r="BJ22" s="206">
        <f t="shared" si="87"/>
        <v>0.26857439224176965</v>
      </c>
      <c r="BK22" s="206">
        <f t="shared" si="87"/>
        <v>0.24221922723337408</v>
      </c>
      <c r="BL22" s="206">
        <f t="shared" si="87"/>
        <v>0.21165805168986082</v>
      </c>
      <c r="BM22" s="206">
        <f t="shared" si="87"/>
        <v>0.22321521272092706</v>
      </c>
      <c r="BN22" s="206">
        <f t="shared" si="87"/>
        <v>0.23538746131523805</v>
      </c>
      <c r="BO22" s="206">
        <f t="shared" si="87"/>
        <v>0.12003704957161433</v>
      </c>
      <c r="BP22" s="206">
        <f t="shared" si="87"/>
        <v>0.24888842737253494</v>
      </c>
      <c r="BQ22" s="206">
        <f t="shared" si="87"/>
        <v>0.27955933579405462</v>
      </c>
      <c r="BR22" s="206">
        <f t="shared" si="87"/>
        <v>0.33052647478075353</v>
      </c>
      <c r="BS22" s="206">
        <f t="shared" si="87"/>
        <v>0.61847780126849883</v>
      </c>
      <c r="BT22" s="206">
        <f t="shared" si="87"/>
        <v>0.61832669322709155</v>
      </c>
      <c r="BU22" s="206">
        <f t="shared" si="87"/>
        <v>0.65747572815533983</v>
      </c>
      <c r="BV22" s="206">
        <f t="shared" si="87"/>
        <v>0.80228710462287112</v>
      </c>
      <c r="BW22" s="206">
        <f t="shared" si="87"/>
        <v>0.61029795158286781</v>
      </c>
      <c r="BX22" s="206">
        <f t="shared" si="87"/>
        <v>1.0119791666666667</v>
      </c>
      <c r="BY22" s="206">
        <f t="shared" si="87"/>
        <v>0.54456582633053219</v>
      </c>
      <c r="BZ22" s="206">
        <f t="shared" si="87"/>
        <v>0.58962499999999995</v>
      </c>
      <c r="CA22" s="206">
        <f t="shared" si="87"/>
        <v>0.58030812324929981</v>
      </c>
      <c r="CB22" s="206">
        <f t="shared" si="87"/>
        <v>0.61147540983606552</v>
      </c>
      <c r="CC22" s="206">
        <f t="shared" si="87"/>
        <v>0.64168021680216791</v>
      </c>
      <c r="CD22" s="206">
        <f t="shared" si="87"/>
        <v>0.71380530973451328</v>
      </c>
      <c r="CE22" s="206">
        <f t="shared" si="87"/>
        <v>0.49291457286432161</v>
      </c>
      <c r="CF22" s="206">
        <f t="shared" si="87"/>
        <v>0.5365786694825766</v>
      </c>
      <c r="CG22" s="206">
        <f t="shared" si="87"/>
        <v>0.54750517598343684</v>
      </c>
      <c r="CH22" s="206">
        <f t="shared" si="87"/>
        <v>0.72178280542986417</v>
      </c>
      <c r="CI22" s="206">
        <f t="shared" si="87"/>
        <v>0.51747890295358656</v>
      </c>
      <c r="CJ22" s="206">
        <f t="shared" si="87"/>
        <v>0.52083783783783788</v>
      </c>
      <c r="CK22" s="206">
        <f>+CK19/CK17</f>
        <v>0.45003262642740621</v>
      </c>
      <c r="CL22" s="207">
        <f>+AVERAGE(CH22:CK22)*0.85</f>
        <v>0.46965308668784761</v>
      </c>
      <c r="CM22" s="207">
        <f t="shared" ref="CM22:DB22" si="88">+AVERAGE(CI22:CL22)</f>
        <v>0.48950061347666957</v>
      </c>
      <c r="CN22" s="207">
        <f t="shared" si="88"/>
        <v>0.48250604110744033</v>
      </c>
      <c r="CO22" s="207">
        <f t="shared" si="88"/>
        <v>0.47292309192484094</v>
      </c>
      <c r="CP22" s="207">
        <f t="shared" si="88"/>
        <v>0.47864570829919961</v>
      </c>
      <c r="CQ22" s="207">
        <f t="shared" si="88"/>
        <v>0.48089386370203757</v>
      </c>
      <c r="CR22" s="207">
        <f t="shared" si="88"/>
        <v>0.47874217625837956</v>
      </c>
      <c r="CS22" s="207">
        <f t="shared" si="88"/>
        <v>0.47780121004611442</v>
      </c>
      <c r="CT22" s="207">
        <f t="shared" si="88"/>
        <v>0.47902073957643282</v>
      </c>
      <c r="CU22" s="207">
        <f t="shared" si="88"/>
        <v>0.47911449739574108</v>
      </c>
      <c r="CV22" s="207">
        <f t="shared" si="88"/>
        <v>0.47866965581916698</v>
      </c>
      <c r="CW22" s="207">
        <f t="shared" si="88"/>
        <v>0.47865152570936381</v>
      </c>
      <c r="CX22" s="207">
        <f t="shared" si="88"/>
        <v>0.47886410462517615</v>
      </c>
      <c r="CY22" s="207">
        <f t="shared" si="88"/>
        <v>0.47882494588736202</v>
      </c>
      <c r="CZ22" s="207">
        <f t="shared" si="88"/>
        <v>0.47875255801026728</v>
      </c>
      <c r="DA22" s="207">
        <f t="shared" si="88"/>
        <v>0.47877328355804238</v>
      </c>
      <c r="DB22" s="207">
        <f t="shared" si="88"/>
        <v>0.4788037230202119</v>
      </c>
      <c r="DE22" s="117"/>
      <c r="DF22" s="191">
        <v>0.22930110615751853</v>
      </c>
    </row>
    <row r="23" spans="1:110" s="109" customFormat="1" x14ac:dyDescent="0.2">
      <c r="A23" s="107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84"/>
      <c r="U23" s="184"/>
      <c r="V23" s="184"/>
      <c r="W23" s="184"/>
      <c r="X23" s="184"/>
      <c r="Y23" s="184"/>
      <c r="Z23" s="184"/>
      <c r="AA23" s="185"/>
      <c r="AB23" s="185"/>
      <c r="AC23" s="185"/>
      <c r="AD23" s="185"/>
      <c r="AE23" s="185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84"/>
      <c r="BB23" s="184"/>
      <c r="BC23" s="184"/>
      <c r="BD23" s="184"/>
      <c r="BE23" s="184"/>
      <c r="BF23" s="184"/>
      <c r="BG23" s="184"/>
      <c r="BH23" s="184"/>
      <c r="BI23" s="184"/>
      <c r="BJ23" s="184"/>
      <c r="BK23" s="184"/>
      <c r="BL23" s="184"/>
      <c r="BM23" s="184"/>
      <c r="BN23" s="184"/>
      <c r="BO23" s="184"/>
      <c r="BP23" s="184"/>
      <c r="BQ23" s="184"/>
      <c r="BR23" s="184"/>
      <c r="BS23" s="184"/>
      <c r="BT23" s="184"/>
      <c r="BU23" s="184"/>
      <c r="BV23" s="184"/>
      <c r="BW23" s="184"/>
      <c r="BX23" s="184"/>
      <c r="BY23" s="184"/>
      <c r="BZ23" s="184"/>
      <c r="CA23" s="184"/>
      <c r="CB23" s="184"/>
      <c r="CC23" s="184"/>
      <c r="CD23" s="184"/>
      <c r="CE23" s="184"/>
      <c r="CF23" s="184"/>
      <c r="CG23" s="184"/>
      <c r="CH23" s="184"/>
      <c r="CI23" s="184"/>
      <c r="CJ23" s="184"/>
      <c r="CK23" s="184"/>
      <c r="CL23" s="185"/>
      <c r="CM23" s="185"/>
      <c r="CN23" s="185"/>
      <c r="CO23" s="185"/>
      <c r="CP23" s="185"/>
      <c r="CQ23" s="185"/>
      <c r="CR23" s="185"/>
      <c r="CS23" s="185"/>
      <c r="CT23" s="185"/>
      <c r="CU23" s="185"/>
      <c r="CV23" s="185"/>
      <c r="CW23" s="185"/>
      <c r="CX23" s="185"/>
      <c r="CY23" s="185"/>
      <c r="CZ23" s="185"/>
      <c r="DA23" s="185"/>
      <c r="DB23" s="185"/>
      <c r="DE23" s="117"/>
      <c r="DF23" s="191"/>
    </row>
    <row r="24" spans="1:110" s="106" customFormat="1" x14ac:dyDescent="0.2">
      <c r="A24" s="151" t="s">
        <v>500</v>
      </c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5"/>
      <c r="AB24" s="105"/>
      <c r="AC24" s="105"/>
      <c r="AD24" s="105"/>
      <c r="AE24" s="105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  <c r="BU24" s="104"/>
      <c r="BV24" s="104"/>
      <c r="BW24" s="104"/>
      <c r="BX24" s="104"/>
      <c r="BY24" s="104"/>
      <c r="BZ24" s="104"/>
      <c r="CA24" s="104"/>
      <c r="CB24" s="104"/>
      <c r="CC24" s="104"/>
      <c r="CD24" s="104"/>
      <c r="CE24" s="104"/>
      <c r="CF24" s="104"/>
      <c r="CG24" s="104"/>
      <c r="CH24" s="104"/>
      <c r="CI24" s="104"/>
      <c r="CJ24" s="104"/>
      <c r="CK24" s="104"/>
      <c r="CL24" s="105"/>
      <c r="CM24" s="105"/>
      <c r="CN24" s="105"/>
      <c r="CO24" s="105"/>
      <c r="CP24" s="105"/>
      <c r="CQ24" s="105"/>
      <c r="CR24" s="105"/>
      <c r="CS24" s="105"/>
      <c r="CT24" s="105"/>
      <c r="CU24" s="105"/>
      <c r="CV24" s="105"/>
      <c r="CW24" s="105"/>
      <c r="CX24" s="105"/>
      <c r="CY24" s="105"/>
      <c r="CZ24" s="105"/>
      <c r="DA24" s="105"/>
      <c r="DB24" s="105"/>
      <c r="DE24" s="118"/>
    </row>
    <row r="25" spans="1:110" s="106" customFormat="1" x14ac:dyDescent="0.2">
      <c r="A25" s="151" t="s">
        <v>485</v>
      </c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05"/>
      <c r="AC25" s="105"/>
      <c r="AD25" s="105"/>
      <c r="AE25" s="105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18"/>
      <c r="BG25" s="118"/>
      <c r="BH25" s="118"/>
      <c r="BI25" s="118"/>
      <c r="BJ25" s="118"/>
      <c r="BK25" s="118"/>
      <c r="BL25" s="118"/>
      <c r="BM25" s="118"/>
      <c r="BN25" s="118"/>
      <c r="BO25" s="118"/>
      <c r="BP25" s="118"/>
      <c r="BQ25" s="118"/>
      <c r="BR25" s="118"/>
      <c r="BS25" s="118"/>
      <c r="BT25" s="118"/>
      <c r="BU25" s="118"/>
      <c r="BV25" s="118"/>
      <c r="BW25" s="118"/>
      <c r="BX25" s="118"/>
      <c r="BY25" s="118"/>
      <c r="BZ25" s="118"/>
      <c r="CA25" s="118"/>
      <c r="CB25" s="118"/>
      <c r="CC25" s="118"/>
      <c r="CD25" s="118"/>
      <c r="CE25" s="118"/>
      <c r="CF25" s="118"/>
      <c r="CG25" s="118"/>
      <c r="CH25" s="118"/>
      <c r="CI25" s="118"/>
      <c r="CJ25" s="156"/>
      <c r="CK25" s="156"/>
      <c r="CL25" s="156"/>
      <c r="CM25" s="105"/>
      <c r="CN25" s="105"/>
      <c r="CO25" s="105"/>
      <c r="CP25" s="105"/>
      <c r="CQ25" s="105"/>
      <c r="CR25" s="105"/>
      <c r="CS25" s="105"/>
      <c r="CT25" s="105"/>
      <c r="CU25" s="105"/>
      <c r="CV25" s="105"/>
      <c r="CW25" s="105"/>
      <c r="CX25" s="105"/>
      <c r="CY25" s="105"/>
      <c r="CZ25" s="105"/>
      <c r="DA25" s="105"/>
      <c r="DB25" s="105"/>
      <c r="DE25" s="118"/>
    </row>
    <row r="26" spans="1:110" s="25" customFormat="1" outlineLevel="1" x14ac:dyDescent="0.2">
      <c r="A26" s="25" t="s">
        <v>430</v>
      </c>
      <c r="B26" s="25">
        <f>'Annual Raw'!C6</f>
        <v>142.37875349999999</v>
      </c>
      <c r="C26" s="25">
        <f>'Annual Raw'!D6</f>
        <v>143.7028349</v>
      </c>
      <c r="D26" s="25">
        <f>'Annual Raw'!E6</f>
        <v>174.76054160000001</v>
      </c>
      <c r="E26" s="25">
        <f>'Annual Raw'!F6</f>
        <v>187.68325730000001</v>
      </c>
      <c r="F26" s="25">
        <f>'Annual Raw'!G6</f>
        <v>322.57339999999999</v>
      </c>
      <c r="G26" s="25">
        <f>'Annual Raw'!H6</f>
        <v>507.74939999999998</v>
      </c>
      <c r="H26" s="25">
        <f>'Annual Raw'!I6</f>
        <v>839.46100000000001</v>
      </c>
      <c r="I26" s="25">
        <f>'Annual Raw'!J6</f>
        <v>950.38710000000003</v>
      </c>
      <c r="J26" s="25">
        <f>'Annual Raw'!K6</f>
        <v>1049.3083999999999</v>
      </c>
      <c r="K26" s="25">
        <f>'Annual Raw'!L6</f>
        <v>1129.9812999999999</v>
      </c>
      <c r="L26" s="25">
        <f>'Annual Raw'!M6</f>
        <v>1369.7743</v>
      </c>
      <c r="M26" s="25">
        <f>'Annual Raw'!N6</f>
        <v>1713.4603</v>
      </c>
      <c r="N26" s="25">
        <f>'Annual Raw'!O6</f>
        <v>1645.6133</v>
      </c>
      <c r="O26" s="25">
        <f>'Annual Raw'!P6</f>
        <v>1385.8887</v>
      </c>
      <c r="P26" s="25">
        <f>'Annual Raw'!Q6</f>
        <v>1402.7067</v>
      </c>
      <c r="Q26" s="25">
        <f>'Annual Raw'!R6</f>
        <v>1365.548</v>
      </c>
      <c r="R26" s="25">
        <f>'Annual Raw'!S6</f>
        <v>1274.6554000000001</v>
      </c>
      <c r="S26" s="25">
        <f>'Annual Raw'!T6</f>
        <v>1188.5006000000001</v>
      </c>
      <c r="T26" s="25">
        <f>'Annual Raw'!U6</f>
        <v>1224.8443</v>
      </c>
      <c r="U26" s="25">
        <f>'Annual Raw'!V6</f>
        <v>1088.4648999999999</v>
      </c>
      <c r="V26" s="25">
        <f>'Annual Raw'!W6</f>
        <v>1044.4395999999999</v>
      </c>
      <c r="W26" s="25">
        <f>'Annual Raw'!X6</f>
        <v>1211.9458</v>
      </c>
      <c r="X26" s="25">
        <f>'Annual Raw'!Y6</f>
        <v>1529.68</v>
      </c>
      <c r="Y26" s="25">
        <f>'Annual Raw'!Z6</f>
        <v>1937.42</v>
      </c>
      <c r="Z26" s="25">
        <f>'Annual Raw'!AA6</f>
        <v>2226.96</v>
      </c>
      <c r="AA26" s="25">
        <f>'Annual Raw'!AB6</f>
        <v>2366.0500000000002</v>
      </c>
      <c r="AB26" s="17">
        <f>+SUM(CM26:CP26)</f>
        <v>2865.1300830132104</v>
      </c>
      <c r="AC26" s="17">
        <f>+SUM(CQ26:CT26)</f>
        <v>3167.4321353137275</v>
      </c>
      <c r="AD26" s="17">
        <f>+SUM(CU26:CX26)</f>
        <v>3484.0632532338823</v>
      </c>
      <c r="AE26" s="17">
        <f>+SUM(CY26:DB26)</f>
        <v>3832.3829853830684</v>
      </c>
      <c r="AI26" s="25">
        <f>'QTR Raw'!C6+'QTR Raw'!C8</f>
        <v>235.77199999999999</v>
      </c>
      <c r="AJ26" s="25">
        <f>'QTR Raw'!D6+'QTR Raw'!D8</f>
        <v>329.68200000000002</v>
      </c>
      <c r="AK26" s="25">
        <f>'QTR Raw'!E6+'QTR Raw'!E8</f>
        <v>201.74</v>
      </c>
      <c r="AL26" s="25">
        <f>'QTR Raw'!F6+'QTR Raw'!F8</f>
        <v>181.43099999999998</v>
      </c>
      <c r="AM26" s="25">
        <f>'QTR Raw'!G6+'QTR Raw'!G8</f>
        <v>105.327</v>
      </c>
      <c r="AN26" s="25">
        <f>'QTR Raw'!H6+'QTR Raw'!H8</f>
        <v>120.631</v>
      </c>
      <c r="AO26" s="25">
        <f>'QTR Raw'!I6+'QTR Raw'!I8</f>
        <v>112.235</v>
      </c>
      <c r="AP26" s="25">
        <f>'QTR Raw'!J6+'QTR Raw'!J8</f>
        <v>163.03899999999999</v>
      </c>
      <c r="AQ26" s="25">
        <f>'QTR Raw'!K6+'QTR Raw'!K8</f>
        <v>267.85399999999998</v>
      </c>
      <c r="AR26" s="25">
        <f>'QTR Raw'!L6+'QTR Raw'!L8</f>
        <v>298.35300000000001</v>
      </c>
      <c r="AS26" s="25">
        <f>'QTR Raw'!M6+'QTR Raw'!M8</f>
        <v>304.95700000000005</v>
      </c>
      <c r="AT26" s="25">
        <f>'QTR Raw'!N6+'QTR Raw'!N8</f>
        <v>464.029</v>
      </c>
      <c r="AU26" s="25">
        <f>'QTR Raw'!O6+'QTR Raw'!O8</f>
        <v>260.48900000000003</v>
      </c>
      <c r="AV26" s="25">
        <f>'QTR Raw'!P6+'QTR Raw'!P8</f>
        <v>305.29000000000002</v>
      </c>
      <c r="AW26" s="25">
        <f>'QTR Raw'!Q6+'QTR Raw'!Q8</f>
        <v>348.517</v>
      </c>
      <c r="AX26" s="25">
        <f>'QTR Raw'!R6+'QTR Raw'!R8</f>
        <v>453.26600000000002</v>
      </c>
      <c r="AY26" s="25">
        <f>'QTR Raw'!S6+'QTR Raw'!S8</f>
        <v>263.23599999999999</v>
      </c>
      <c r="AZ26" s="25">
        <f>'QTR Raw'!T6+'QTR Raw'!T8</f>
        <v>259.79700000000003</v>
      </c>
      <c r="BA26" s="25">
        <f>'QTR Raw'!U6+'QTR Raw'!U8</f>
        <v>304.97699999999998</v>
      </c>
      <c r="BB26" s="25">
        <f>'QTR Raw'!V6+'QTR Raw'!V8</f>
        <v>446.64499999999998</v>
      </c>
      <c r="BC26" s="25">
        <f>'QTR Raw'!W6+'QTR Raw'!W8</f>
        <v>242.66</v>
      </c>
      <c r="BD26" s="25">
        <f>'QTR Raw'!X6+'QTR Raw'!X8</f>
        <v>249.61099999999999</v>
      </c>
      <c r="BE26" s="25">
        <f>'QTR Raw'!Y6+'QTR Raw'!Y8</f>
        <v>259.08600000000001</v>
      </c>
      <c r="BF26" s="25">
        <f>'QTR Raw'!Z6+'QTR Raw'!Z8</f>
        <v>437.14400000000001</v>
      </c>
      <c r="BG26" s="25">
        <f>'QTR Raw'!AA6+'QTR Raw'!AA8</f>
        <v>303.48500000000001</v>
      </c>
      <c r="BH26" s="25">
        <f>'QTR Raw'!AB6+'QTR Raw'!AB8</f>
        <v>320.76299999999998</v>
      </c>
      <c r="BI26" s="25">
        <f>'QTR Raw'!AC6+'QTR Raw'!AC8</f>
        <v>272.64100000000002</v>
      </c>
      <c r="BJ26" s="25">
        <f>'QTR Raw'!AD6+'QTR Raw'!AD8</f>
        <v>327.95499999999998</v>
      </c>
      <c r="BK26" s="25">
        <f>'QTR Raw'!AE6+'QTR Raw'!AE8</f>
        <v>271.38200000000001</v>
      </c>
      <c r="BL26" s="25">
        <f>'QTR Raw'!AF6+'QTR Raw'!AF8</f>
        <v>266.161</v>
      </c>
      <c r="BM26" s="25">
        <f>'QTR Raw'!AG6+'QTR Raw'!AG8</f>
        <v>279.49799999999999</v>
      </c>
      <c r="BN26" s="25">
        <f>'QTR Raw'!AH6+'QTR Raw'!AH8</f>
        <v>268.49400000000003</v>
      </c>
      <c r="BO26" s="25">
        <f>'QTR Raw'!AI6+'QTR Raw'!AI8</f>
        <v>134.78200000000001</v>
      </c>
      <c r="BP26" s="25">
        <f>'QTR Raw'!AJ6+'QTR Raw'!AJ8</f>
        <v>263.654</v>
      </c>
      <c r="BQ26" s="25">
        <f>'QTR Raw'!AK6+'QTR Raw'!AK8</f>
        <v>296.13799999999998</v>
      </c>
      <c r="BR26" s="25">
        <f>'QTR Raw'!AL6+'QTR Raw'!AL8</f>
        <v>350.13200000000001</v>
      </c>
      <c r="BS26" s="25">
        <f>'QTR Raw'!AM6+'QTR Raw'!AM8</f>
        <v>294.209</v>
      </c>
      <c r="BT26" s="25">
        <f>'QTR Raw'!AN6+'QTR Raw'!AN8</f>
        <v>314.02300000000002</v>
      </c>
      <c r="BU26" s="25">
        <f>'QTR Raw'!AO6+'QTR Raw'!AO8</f>
        <v>272.18900000000002</v>
      </c>
      <c r="BV26" s="25">
        <f>'QTR Raw'!AP6+'QTR Raw'!AP8</f>
        <v>331.52499999999998</v>
      </c>
      <c r="BW26" s="25">
        <f>'QTR Raw'!AQ6+'QTR Raw'!AQ8</f>
        <v>327.72</v>
      </c>
      <c r="BX26" s="25">
        <f>'QTR Raw'!AR6+'QTR Raw'!AR8</f>
        <v>388.59</v>
      </c>
      <c r="BY26" s="25">
        <f>'QTR Raw'!AS6+'QTR Raw'!AS8</f>
        <v>388.82</v>
      </c>
      <c r="BZ26" s="25">
        <f>'QTR Raw'!AT6+'QTR Raw'!AT8</f>
        <v>424.54</v>
      </c>
      <c r="CA26" s="25">
        <f>'QTR Raw'!AU6+'QTR Raw'!AU8</f>
        <v>414.34</v>
      </c>
      <c r="CB26" s="25">
        <f>'QTR Raw'!AV6+'QTR Raw'!AV8</f>
        <v>484.9</v>
      </c>
      <c r="CC26" s="25">
        <f>'QTR Raw'!AW6+'QTR Raw'!AW8</f>
        <v>473.56</v>
      </c>
      <c r="CD26" s="25">
        <f>'QTR Raw'!AX6+'QTR Raw'!AX8</f>
        <v>564.62</v>
      </c>
      <c r="CE26" s="25">
        <f>'QTR Raw'!AY6+'QTR Raw'!AY8</f>
        <v>392.36</v>
      </c>
      <c r="CF26" s="25">
        <f>'QTR Raw'!AZ6+'QTR Raw'!AZ8</f>
        <v>508.14</v>
      </c>
      <c r="CG26" s="25">
        <f>'QTR Raw'!BA6+'QTR Raw'!BA8</f>
        <v>528.89</v>
      </c>
      <c r="CH26" s="25">
        <f>'QTR Raw'!BB6+'QTR Raw'!BB8</f>
        <v>797.57</v>
      </c>
      <c r="CI26" s="25">
        <f>'QTR Raw'!BC6+'QTR Raw'!BC8</f>
        <v>490.57</v>
      </c>
      <c r="CJ26" s="25">
        <f>'QTR Raw'!BD6+'QTR Raw'!BD8</f>
        <v>578.13</v>
      </c>
      <c r="CK26" s="25">
        <f>'QTR Raw'!BE6+'QTR Raw'!BE8</f>
        <v>551.74</v>
      </c>
      <c r="CL26" s="25">
        <f>'QTR Raw'!BF6+'QTR Raw'!BF8</f>
        <v>745.61</v>
      </c>
      <c r="CM26" s="17">
        <f t="shared" ref="CM26:DB26" si="89">+CM19</f>
        <v>701.09360005887538</v>
      </c>
      <c r="CN26" s="17">
        <f t="shared" si="89"/>
        <v>699.14949965782614</v>
      </c>
      <c r="CO26" s="17">
        <f t="shared" si="89"/>
        <v>715.71701440789229</v>
      </c>
      <c r="CP26" s="17">
        <f t="shared" si="89"/>
        <v>749.16996888861672</v>
      </c>
      <c r="CQ26" s="17">
        <f t="shared" si="89"/>
        <v>765.15339180427861</v>
      </c>
      <c r="CR26" s="17">
        <f t="shared" si="89"/>
        <v>773.43809395902315</v>
      </c>
      <c r="CS26" s="17">
        <f t="shared" si="89"/>
        <v>803.67219293059441</v>
      </c>
      <c r="CT26" s="17">
        <f t="shared" si="89"/>
        <v>825.16845661983143</v>
      </c>
      <c r="CU26" s="17">
        <f t="shared" si="89"/>
        <v>838.47217817127876</v>
      </c>
      <c r="CV26" s="17">
        <f t="shared" si="89"/>
        <v>852.10091988886722</v>
      </c>
      <c r="CW26" s="17">
        <f t="shared" si="89"/>
        <v>886.42917681196059</v>
      </c>
      <c r="CX26" s="17">
        <f t="shared" si="89"/>
        <v>907.0609783617756</v>
      </c>
      <c r="CY26" s="17">
        <f t="shared" si="89"/>
        <v>921.73344350775596</v>
      </c>
      <c r="CZ26" s="17">
        <f t="shared" si="89"/>
        <v>937.72532673610101</v>
      </c>
      <c r="DA26" s="17">
        <f t="shared" si="89"/>
        <v>975.3737574819171</v>
      </c>
      <c r="DB26" s="17">
        <f t="shared" si="89"/>
        <v>997.55045765729415</v>
      </c>
      <c r="DE26" s="119"/>
      <c r="DF26" s="25">
        <v>2366.0500000000002</v>
      </c>
    </row>
    <row r="27" spans="1:110" s="92" customFormat="1" outlineLevel="1" x14ac:dyDescent="0.2">
      <c r="A27" s="92" t="s">
        <v>109</v>
      </c>
      <c r="B27" s="92">
        <f>'Annual Raw'!C7+'Annual Raw'!C8+'Annual Raw'!C9</f>
        <v>2.1717900999999999</v>
      </c>
      <c r="C27" s="92">
        <f>'Annual Raw'!D7+'Annual Raw'!D8+'Annual Raw'!D9</f>
        <v>7.1899075999999997</v>
      </c>
      <c r="D27" s="92">
        <f>'Annual Raw'!E7+'Annual Raw'!E8+'Annual Raw'!E9</f>
        <v>17.071817899999999</v>
      </c>
      <c r="E27" s="92">
        <f>'Annual Raw'!F7+'Annual Raw'!F8+'Annual Raw'!F9</f>
        <v>21.6401869</v>
      </c>
      <c r="F27" s="92">
        <f>'Annual Raw'!G7+'Annual Raw'!G8+'Annual Raw'!G9</f>
        <v>34.845599999999997</v>
      </c>
      <c r="G27" s="92">
        <f>'Annual Raw'!H7+'Annual Raw'!H8+'Annual Raw'!H9</f>
        <v>51.232999999999997</v>
      </c>
      <c r="H27" s="92">
        <f>'Annual Raw'!I7+'Annual Raw'!I8+'Annual Raw'!I9</f>
        <v>96.351399999999998</v>
      </c>
      <c r="I27" s="92">
        <f>'Annual Raw'!J7+'Annual Raw'!J8+'Annual Raw'!J9</f>
        <v>102.6463</v>
      </c>
      <c r="J27" s="92">
        <f>'Annual Raw'!K7+'Annual Raw'!K8+'Annual Raw'!K9</f>
        <v>74.275999999999996</v>
      </c>
      <c r="K27" s="92">
        <f>'Annual Raw'!L7+'Annual Raw'!L8+'Annual Raw'!L9</f>
        <v>64.256399999999999</v>
      </c>
      <c r="L27" s="92">
        <f>'Annual Raw'!M7+'Annual Raw'!M8+'Annual Raw'!M9</f>
        <v>87.210499999999996</v>
      </c>
      <c r="M27" s="92">
        <f>'Annual Raw'!N7+'Annual Raw'!N8+'Annual Raw'!N9</f>
        <v>100.24339999999999</v>
      </c>
      <c r="N27" s="92">
        <f>'Annual Raw'!O7+'Annual Raw'!O8+'Annual Raw'!O9</f>
        <v>118.7667</v>
      </c>
      <c r="O27" s="92">
        <f>'Annual Raw'!P7+'Annual Raw'!P8+'Annual Raw'!P9</f>
        <v>92.970799999999997</v>
      </c>
      <c r="P27" s="92">
        <f>'Annual Raw'!Q7+'Annual Raw'!Q8+'Annual Raw'!Q9</f>
        <v>73.816199999999995</v>
      </c>
      <c r="Q27" s="92">
        <f>'Annual Raw'!R7+'Annual Raw'!R8+'Annual Raw'!R9</f>
        <v>85.188599999999994</v>
      </c>
      <c r="R27" s="92">
        <f>'Annual Raw'!S7+'Annual Raw'!S8+'Annual Raw'!S9</f>
        <v>73.123099999999994</v>
      </c>
      <c r="S27" s="92">
        <f>'Annual Raw'!T7+'Annual Raw'!T8+'Annual Raw'!T9</f>
        <v>8.2706999999999997</v>
      </c>
      <c r="T27" s="92">
        <f>'Annual Raw'!U7+'Annual Raw'!U8+'Annual Raw'!U9</f>
        <v>0</v>
      </c>
      <c r="U27" s="92">
        <f>'Annual Raw'!V7+'Annual Raw'!V8+'Annual Raw'!V9</f>
        <v>0</v>
      </c>
      <c r="V27" s="92">
        <f>'Annual Raw'!W7+'Annual Raw'!W8+'Annual Raw'!W9</f>
        <v>0</v>
      </c>
      <c r="W27" s="92">
        <f>'Annual Raw'!X7+'Annual Raw'!X8+'Annual Raw'!X9</f>
        <v>0</v>
      </c>
      <c r="X27" s="92">
        <f>'Annual Raw'!Y7+'Annual Raw'!Y8+'Annual Raw'!Y9</f>
        <v>0</v>
      </c>
      <c r="Y27" s="92">
        <f>'Annual Raw'!Z7+'Annual Raw'!Z8+'Annual Raw'!Z9</f>
        <v>0</v>
      </c>
      <c r="Z27" s="92">
        <f>'Annual Raw'!AA7+'Annual Raw'!AA8+'Annual Raw'!AA9</f>
        <v>0</v>
      </c>
      <c r="AA27" s="92">
        <f>'Annual Raw'!AB7+'Annual Raw'!AB8+'Annual Raw'!AB9</f>
        <v>0</v>
      </c>
      <c r="AB27" s="76">
        <f>+SUM(CM27:CP27)</f>
        <v>0</v>
      </c>
      <c r="AC27" s="76">
        <f>+SUM(CQ27:CT27)</f>
        <v>0</v>
      </c>
      <c r="AD27" s="76">
        <f>+SUM(CU27:CX27)</f>
        <v>0</v>
      </c>
      <c r="AE27" s="76">
        <f>+SUM(CY27:DB27)</f>
        <v>0</v>
      </c>
      <c r="AI27" s="92">
        <f>+'QTR Raw'!C20+'QTR Raw'!C19+'QTR Raw'!C13+'QTR Raw'!C7</f>
        <v>0</v>
      </c>
      <c r="AJ27" s="92">
        <f>+'QTR Raw'!D20+'QTR Raw'!D19+'QTR Raw'!D13+'QTR Raw'!D7</f>
        <v>0</v>
      </c>
      <c r="AK27" s="92">
        <f>+'QTR Raw'!E20+'QTR Raw'!E19+'QTR Raw'!E13+'QTR Raw'!E7</f>
        <v>0</v>
      </c>
      <c r="AL27" s="92">
        <f>+'QTR Raw'!F20+'QTR Raw'!F19+'QTR Raw'!F13+'QTR Raw'!F7</f>
        <v>0</v>
      </c>
      <c r="AM27" s="92">
        <f>+'QTR Raw'!G20+'QTR Raw'!G19+'QTR Raw'!G13+'QTR Raw'!G7</f>
        <v>0</v>
      </c>
      <c r="AN27" s="92">
        <f>+'QTR Raw'!H20+'QTR Raw'!H19+'QTR Raw'!H13+'QTR Raw'!H7</f>
        <v>0</v>
      </c>
      <c r="AO27" s="92">
        <f>+'QTR Raw'!I20+'QTR Raw'!I19+'QTR Raw'!I13+'QTR Raw'!I7</f>
        <v>0</v>
      </c>
      <c r="AP27" s="92">
        <f>+'QTR Raw'!J20+'QTR Raw'!J19+'QTR Raw'!J13+'QTR Raw'!J7</f>
        <v>0</v>
      </c>
      <c r="AQ27" s="92">
        <f>+'QTR Raw'!K20+'QTR Raw'!K19+'QTR Raw'!K13+'QTR Raw'!K7</f>
        <v>0</v>
      </c>
      <c r="AR27" s="92">
        <f>+'QTR Raw'!L20+'QTR Raw'!L19+'QTR Raw'!L13+'QTR Raw'!L7</f>
        <v>0</v>
      </c>
      <c r="AS27" s="92">
        <f>+'QTR Raw'!M20+'QTR Raw'!M19+'QTR Raw'!M13+'QTR Raw'!M7</f>
        <v>0</v>
      </c>
      <c r="AT27" s="92">
        <f>+'QTR Raw'!N20+'QTR Raw'!N19+'QTR Raw'!N13+'QTR Raw'!N7</f>
        <v>0</v>
      </c>
      <c r="AU27" s="92">
        <f>+'QTR Raw'!O20+'QTR Raw'!O19+'QTR Raw'!O13+'QTR Raw'!O7</f>
        <v>0</v>
      </c>
      <c r="AV27" s="92">
        <f>+'QTR Raw'!P20+'QTR Raw'!P19+'QTR Raw'!P13+'QTR Raw'!P7</f>
        <v>19.213000000000001</v>
      </c>
      <c r="AW27" s="92">
        <f>+'QTR Raw'!Q20+'QTR Raw'!Q19+'QTR Raw'!Q13+'QTR Raw'!Q7</f>
        <v>17.28</v>
      </c>
      <c r="AX27" s="92">
        <f>+'QTR Raw'!R20+'QTR Raw'!R19+'QTR Raw'!R13+'QTR Raw'!R7</f>
        <v>33.22</v>
      </c>
      <c r="AY27" s="92">
        <f>+'QTR Raw'!S20+'QTR Raw'!S19+'QTR Raw'!S13+'QTR Raw'!S7</f>
        <v>14.993</v>
      </c>
      <c r="AZ27" s="92">
        <f>+'QTR Raw'!T20+'QTR Raw'!T19+'QTR Raw'!T13+'QTR Raw'!T7</f>
        <v>16.146000000000001</v>
      </c>
      <c r="BA27" s="92">
        <f>+'QTR Raw'!U20+'QTR Raw'!U19+'QTR Raw'!U13+'QTR Raw'!U7</f>
        <v>17.608000000000001</v>
      </c>
      <c r="BB27" s="92">
        <f>+'QTR Raw'!V20+'QTR Raw'!V19+'QTR Raw'!V13+'QTR Raw'!V7</f>
        <v>24.376999999999999</v>
      </c>
      <c r="BC27" s="92">
        <f>+'QTR Raw'!W20+'QTR Raw'!W19+'QTR Raw'!W13+'QTR Raw'!W7</f>
        <v>8.2710000000000008</v>
      </c>
      <c r="BD27" s="92">
        <f>+'QTR Raw'!X20+'QTR Raw'!X19+'QTR Raw'!X13+'QTR Raw'!X7</f>
        <v>0</v>
      </c>
      <c r="BE27" s="92">
        <f>+'QTR Raw'!Y20+'QTR Raw'!Y19+'QTR Raw'!Y13+'QTR Raw'!Y7</f>
        <v>0</v>
      </c>
      <c r="BF27" s="92">
        <f>+'QTR Raw'!Z20+'QTR Raw'!Z19+'QTR Raw'!Z13+'QTR Raw'!Z7</f>
        <v>0</v>
      </c>
      <c r="BG27" s="92">
        <f>+'QTR Raw'!AA20+'QTR Raw'!AA19+'QTR Raw'!AA13+'QTR Raw'!AA7</f>
        <v>0</v>
      </c>
      <c r="BH27" s="92">
        <f>+'QTR Raw'!AB20+'QTR Raw'!AB19+'QTR Raw'!AB13+'QTR Raw'!AB7</f>
        <v>0</v>
      </c>
      <c r="BI27" s="92">
        <f>+'QTR Raw'!AC20+'QTR Raw'!AC19+'QTR Raw'!AC13+'QTR Raw'!AC7</f>
        <v>0</v>
      </c>
      <c r="BJ27" s="92">
        <f>+'QTR Raw'!AD20+'QTR Raw'!AD19+'QTR Raw'!AD13+'QTR Raw'!AD7</f>
        <v>0</v>
      </c>
      <c r="BK27" s="92">
        <f>+'QTR Raw'!AE20+'QTR Raw'!AE19+'QTR Raw'!AE13+'QTR Raw'!AE7</f>
        <v>0</v>
      </c>
      <c r="BL27" s="92">
        <f>+'QTR Raw'!AF20+'QTR Raw'!AF19+'QTR Raw'!AF13+'QTR Raw'!AF7</f>
        <v>0</v>
      </c>
      <c r="BM27" s="92">
        <f>+'QTR Raw'!AG20+'QTR Raw'!AG19+'QTR Raw'!AG13+'QTR Raw'!AG7</f>
        <v>0</v>
      </c>
      <c r="BN27" s="92">
        <f>+'QTR Raw'!AH20+'QTR Raw'!AH19+'QTR Raw'!AH13+'QTR Raw'!AH7</f>
        <v>0</v>
      </c>
      <c r="BO27" s="92">
        <f>+'QTR Raw'!AI20+'QTR Raw'!AI19+'QTR Raw'!AI13+'QTR Raw'!AI7</f>
        <v>0</v>
      </c>
      <c r="BP27" s="92">
        <f>+'QTR Raw'!AJ20+'QTR Raw'!AJ19+'QTR Raw'!AJ13+'QTR Raw'!AJ7</f>
        <v>0</v>
      </c>
      <c r="BQ27" s="92">
        <f>+'QTR Raw'!AK20+'QTR Raw'!AK19+'QTR Raw'!AK13+'QTR Raw'!AK7</f>
        <v>0</v>
      </c>
      <c r="BR27" s="92">
        <f>+'QTR Raw'!AL20+'QTR Raw'!AL19+'QTR Raw'!AL13+'QTR Raw'!AL7</f>
        <v>0</v>
      </c>
      <c r="BS27" s="92">
        <f>+'QTR Raw'!AM20+'QTR Raw'!AM19+'QTR Raw'!AM13+'QTR Raw'!AM7</f>
        <v>0</v>
      </c>
      <c r="BT27" s="92">
        <f>+'QTR Raw'!AN20+'QTR Raw'!AN19+'QTR Raw'!AN13+'QTR Raw'!AN7</f>
        <v>0</v>
      </c>
      <c r="BU27" s="92">
        <f>+'QTR Raw'!AO20+'QTR Raw'!AO19+'QTR Raw'!AO13+'QTR Raw'!AO7</f>
        <v>0</v>
      </c>
      <c r="BV27" s="92">
        <f>+'QTR Raw'!AP20+'QTR Raw'!AP19+'QTR Raw'!AP13+'QTR Raw'!AP7</f>
        <v>0</v>
      </c>
      <c r="BW27" s="92">
        <f>+'QTR Raw'!AQ20+'QTR Raw'!AQ19+'QTR Raw'!AQ13+'QTR Raw'!AQ7</f>
        <v>0</v>
      </c>
      <c r="BX27" s="92">
        <f>+'QTR Raw'!AR20+'QTR Raw'!AR19+'QTR Raw'!AR13+'QTR Raw'!AR7</f>
        <v>0</v>
      </c>
      <c r="BY27" s="92">
        <f>+'QTR Raw'!AS20+'QTR Raw'!AS19+'QTR Raw'!AS13+'QTR Raw'!AS7</f>
        <v>0</v>
      </c>
      <c r="BZ27" s="92">
        <f>+'QTR Raw'!AT20+'QTR Raw'!AT19+'QTR Raw'!AT13+'QTR Raw'!AT7</f>
        <v>0</v>
      </c>
      <c r="CA27" s="92">
        <f>+'QTR Raw'!AU20+'QTR Raw'!AU19+'QTR Raw'!AU13+'QTR Raw'!AU7</f>
        <v>0</v>
      </c>
      <c r="CB27" s="92">
        <f>+'QTR Raw'!AV20+'QTR Raw'!AV19+'QTR Raw'!AV13+'QTR Raw'!AV7</f>
        <v>0</v>
      </c>
      <c r="CC27" s="92">
        <f>+'QTR Raw'!AW20+'QTR Raw'!AW19+'QTR Raw'!AW13+'QTR Raw'!AW7</f>
        <v>0</v>
      </c>
      <c r="CD27" s="92">
        <f>+'QTR Raw'!AX20+'QTR Raw'!AX19+'QTR Raw'!AX13+'QTR Raw'!AX7</f>
        <v>0</v>
      </c>
      <c r="CE27" s="92">
        <f>+'QTR Raw'!AY20+'QTR Raw'!AY19+'QTR Raw'!AY13+'QTR Raw'!AY7</f>
        <v>0</v>
      </c>
      <c r="CF27" s="92">
        <f>+'QTR Raw'!AZ20+'QTR Raw'!AZ19+'QTR Raw'!AZ13+'QTR Raw'!AZ7</f>
        <v>0</v>
      </c>
      <c r="CG27" s="92">
        <f>+'QTR Raw'!BA20+'QTR Raw'!BA19+'QTR Raw'!BA13+'QTR Raw'!BA7</f>
        <v>0</v>
      </c>
      <c r="CH27" s="92">
        <f>+'QTR Raw'!BB20+'QTR Raw'!BB19+'QTR Raw'!BB13+'QTR Raw'!BB7</f>
        <v>0</v>
      </c>
      <c r="CI27" s="92">
        <f>+'QTR Raw'!BC20+'QTR Raw'!BC19+'QTR Raw'!BC13+'QTR Raw'!BC7</f>
        <v>0</v>
      </c>
      <c r="CJ27" s="92">
        <f>+'QTR Raw'!BD20+'QTR Raw'!BD19+'QTR Raw'!BD13+'QTR Raw'!BD7</f>
        <v>0</v>
      </c>
      <c r="CK27" s="92">
        <f>+'QTR Raw'!BE20+'QTR Raw'!BE19+'QTR Raw'!BE13+'QTR Raw'!BE7</f>
        <v>0</v>
      </c>
      <c r="CL27" s="92">
        <f>+'QTR Raw'!BF20+'QTR Raw'!BF19+'QTR Raw'!BF13+'QTR Raw'!BF7</f>
        <v>0</v>
      </c>
      <c r="CM27" s="74"/>
      <c r="CN27" s="74"/>
      <c r="CO27" s="74"/>
      <c r="CP27" s="74"/>
      <c r="CQ27" s="74"/>
      <c r="CR27" s="74"/>
      <c r="CS27" s="74"/>
      <c r="CT27" s="74"/>
      <c r="CU27" s="74"/>
      <c r="CV27" s="74"/>
      <c r="CW27" s="74"/>
      <c r="CX27" s="74"/>
      <c r="CY27" s="74"/>
      <c r="CZ27" s="74"/>
      <c r="DA27" s="74"/>
      <c r="DB27" s="74"/>
      <c r="DE27" s="120"/>
      <c r="DF27" s="92">
        <v>0</v>
      </c>
    </row>
    <row r="28" spans="1:110" s="26" customFormat="1" x14ac:dyDescent="0.2">
      <c r="A28" s="26" t="s">
        <v>431</v>
      </c>
      <c r="B28" s="26">
        <f t="shared" ref="B28:AE28" si="90">+B26-B27</f>
        <v>140.20696339999998</v>
      </c>
      <c r="C28" s="26">
        <f t="shared" si="90"/>
        <v>136.5129273</v>
      </c>
      <c r="D28" s="26">
        <f t="shared" si="90"/>
        <v>157.68872370000003</v>
      </c>
      <c r="E28" s="26">
        <f t="shared" si="90"/>
        <v>166.0430704</v>
      </c>
      <c r="F28" s="26">
        <f t="shared" si="90"/>
        <v>287.7278</v>
      </c>
      <c r="G28" s="26">
        <f t="shared" si="90"/>
        <v>456.51639999999998</v>
      </c>
      <c r="H28" s="26">
        <f t="shared" si="90"/>
        <v>743.1096</v>
      </c>
      <c r="I28" s="26">
        <f t="shared" si="90"/>
        <v>847.74080000000004</v>
      </c>
      <c r="J28" s="26">
        <f t="shared" si="90"/>
        <v>975.03239999999994</v>
      </c>
      <c r="K28" s="26">
        <f t="shared" si="90"/>
        <v>1065.7248999999999</v>
      </c>
      <c r="L28" s="26">
        <f t="shared" si="90"/>
        <v>1282.5638000000001</v>
      </c>
      <c r="M28" s="26">
        <f t="shared" si="90"/>
        <v>1613.2168999999999</v>
      </c>
      <c r="N28" s="26">
        <f t="shared" si="90"/>
        <v>1526.8466000000001</v>
      </c>
      <c r="O28" s="26">
        <f t="shared" si="90"/>
        <v>1292.9178999999999</v>
      </c>
      <c r="P28" s="26">
        <f t="shared" si="90"/>
        <v>1328.8905</v>
      </c>
      <c r="Q28" s="26">
        <f t="shared" si="90"/>
        <v>1280.3594000000001</v>
      </c>
      <c r="R28" s="26">
        <f t="shared" si="90"/>
        <v>1201.5323000000001</v>
      </c>
      <c r="S28" s="26">
        <f t="shared" si="90"/>
        <v>1180.2299</v>
      </c>
      <c r="T28" s="26">
        <f t="shared" si="90"/>
        <v>1224.8443</v>
      </c>
      <c r="U28" s="26">
        <f t="shared" si="90"/>
        <v>1088.4648999999999</v>
      </c>
      <c r="V28" s="26">
        <f t="shared" si="90"/>
        <v>1044.4395999999999</v>
      </c>
      <c r="W28" s="26">
        <f t="shared" si="90"/>
        <v>1211.9458</v>
      </c>
      <c r="X28" s="26">
        <f t="shared" si="90"/>
        <v>1529.68</v>
      </c>
      <c r="Y28" s="26">
        <f t="shared" si="90"/>
        <v>1937.42</v>
      </c>
      <c r="Z28" s="26">
        <f t="shared" si="90"/>
        <v>2226.96</v>
      </c>
      <c r="AA28" s="26">
        <f t="shared" ref="AA28" si="91">+AA26-AA27</f>
        <v>2366.0500000000002</v>
      </c>
      <c r="AB28" s="27">
        <f t="shared" si="90"/>
        <v>2865.1300830132104</v>
      </c>
      <c r="AC28" s="27">
        <f t="shared" si="90"/>
        <v>3167.4321353137275</v>
      </c>
      <c r="AD28" s="27">
        <f t="shared" si="90"/>
        <v>3484.0632532338823</v>
      </c>
      <c r="AE28" s="27">
        <f t="shared" si="90"/>
        <v>3832.3829853830684</v>
      </c>
      <c r="AI28" s="26">
        <f t="shared" ref="AI28:BN28" si="92">+AI26-AI27</f>
        <v>235.77199999999999</v>
      </c>
      <c r="AJ28" s="26">
        <f t="shared" si="92"/>
        <v>329.68200000000002</v>
      </c>
      <c r="AK28" s="26">
        <f t="shared" si="92"/>
        <v>201.74</v>
      </c>
      <c r="AL28" s="26">
        <f t="shared" si="92"/>
        <v>181.43099999999998</v>
      </c>
      <c r="AM28" s="26">
        <f t="shared" si="92"/>
        <v>105.327</v>
      </c>
      <c r="AN28" s="26">
        <f t="shared" si="92"/>
        <v>120.631</v>
      </c>
      <c r="AO28" s="26">
        <f t="shared" si="92"/>
        <v>112.235</v>
      </c>
      <c r="AP28" s="26">
        <f t="shared" si="92"/>
        <v>163.03899999999999</v>
      </c>
      <c r="AQ28" s="26">
        <f t="shared" si="92"/>
        <v>267.85399999999998</v>
      </c>
      <c r="AR28" s="26">
        <f t="shared" si="92"/>
        <v>298.35300000000001</v>
      </c>
      <c r="AS28" s="26">
        <f t="shared" si="92"/>
        <v>304.95700000000005</v>
      </c>
      <c r="AT28" s="26">
        <f t="shared" si="92"/>
        <v>464.029</v>
      </c>
      <c r="AU28" s="26">
        <f t="shared" si="92"/>
        <v>260.48900000000003</v>
      </c>
      <c r="AV28" s="26">
        <f t="shared" si="92"/>
        <v>286.077</v>
      </c>
      <c r="AW28" s="26">
        <f t="shared" si="92"/>
        <v>331.23699999999997</v>
      </c>
      <c r="AX28" s="26">
        <f t="shared" si="92"/>
        <v>420.04600000000005</v>
      </c>
      <c r="AY28" s="26">
        <f t="shared" si="92"/>
        <v>248.24299999999999</v>
      </c>
      <c r="AZ28" s="26">
        <f t="shared" si="92"/>
        <v>243.65100000000001</v>
      </c>
      <c r="BA28" s="26">
        <f t="shared" si="92"/>
        <v>287.36899999999997</v>
      </c>
      <c r="BB28" s="26">
        <f t="shared" si="92"/>
        <v>422.26799999999997</v>
      </c>
      <c r="BC28" s="26">
        <f t="shared" si="92"/>
        <v>234.38900000000001</v>
      </c>
      <c r="BD28" s="26">
        <f t="shared" si="92"/>
        <v>249.61099999999999</v>
      </c>
      <c r="BE28" s="26">
        <f t="shared" si="92"/>
        <v>259.08600000000001</v>
      </c>
      <c r="BF28" s="26">
        <f t="shared" si="92"/>
        <v>437.14400000000001</v>
      </c>
      <c r="BG28" s="26">
        <f t="shared" si="92"/>
        <v>303.48500000000001</v>
      </c>
      <c r="BH28" s="26">
        <f t="shared" si="92"/>
        <v>320.76299999999998</v>
      </c>
      <c r="BI28" s="26">
        <f t="shared" si="92"/>
        <v>272.64100000000002</v>
      </c>
      <c r="BJ28" s="26">
        <f t="shared" si="92"/>
        <v>327.95499999999998</v>
      </c>
      <c r="BK28" s="26">
        <f t="shared" si="92"/>
        <v>271.38200000000001</v>
      </c>
      <c r="BL28" s="26">
        <f t="shared" si="92"/>
        <v>266.161</v>
      </c>
      <c r="BM28" s="26">
        <f t="shared" si="92"/>
        <v>279.49799999999999</v>
      </c>
      <c r="BN28" s="26">
        <f t="shared" si="92"/>
        <v>268.49400000000003</v>
      </c>
      <c r="BO28" s="26">
        <f t="shared" ref="BO28:CT28" si="93">+BO26-BO27</f>
        <v>134.78200000000001</v>
      </c>
      <c r="BP28" s="26">
        <f t="shared" si="93"/>
        <v>263.654</v>
      </c>
      <c r="BQ28" s="26">
        <f t="shared" si="93"/>
        <v>296.13799999999998</v>
      </c>
      <c r="BR28" s="26">
        <f t="shared" si="93"/>
        <v>350.13200000000001</v>
      </c>
      <c r="BS28" s="26">
        <f t="shared" si="93"/>
        <v>294.209</v>
      </c>
      <c r="BT28" s="26">
        <f t="shared" si="93"/>
        <v>314.02300000000002</v>
      </c>
      <c r="BU28" s="26">
        <f t="shared" si="93"/>
        <v>272.18900000000002</v>
      </c>
      <c r="BV28" s="26">
        <f t="shared" si="93"/>
        <v>331.52499999999998</v>
      </c>
      <c r="BW28" s="26">
        <f t="shared" si="93"/>
        <v>327.72</v>
      </c>
      <c r="BX28" s="26">
        <f t="shared" si="93"/>
        <v>388.59</v>
      </c>
      <c r="BY28" s="26">
        <f t="shared" si="93"/>
        <v>388.82</v>
      </c>
      <c r="BZ28" s="26">
        <f t="shared" si="93"/>
        <v>424.54</v>
      </c>
      <c r="CA28" s="26">
        <f t="shared" si="93"/>
        <v>414.34</v>
      </c>
      <c r="CB28" s="26">
        <f t="shared" si="93"/>
        <v>484.9</v>
      </c>
      <c r="CC28" s="26">
        <f t="shared" si="93"/>
        <v>473.56</v>
      </c>
      <c r="CD28" s="26">
        <f t="shared" si="93"/>
        <v>564.62</v>
      </c>
      <c r="CE28" s="26">
        <f t="shared" si="93"/>
        <v>392.36</v>
      </c>
      <c r="CF28" s="26">
        <f t="shared" si="93"/>
        <v>508.14</v>
      </c>
      <c r="CG28" s="26">
        <f t="shared" si="93"/>
        <v>528.89</v>
      </c>
      <c r="CH28" s="26">
        <f t="shared" si="93"/>
        <v>797.57</v>
      </c>
      <c r="CI28" s="26">
        <f t="shared" si="93"/>
        <v>490.57</v>
      </c>
      <c r="CJ28" s="26">
        <f t="shared" si="93"/>
        <v>578.13</v>
      </c>
      <c r="CK28" s="26">
        <f t="shared" si="93"/>
        <v>551.74</v>
      </c>
      <c r="CL28" s="26">
        <f t="shared" ref="CL28" si="94">+CL26-CL27</f>
        <v>745.61</v>
      </c>
      <c r="CM28" s="27">
        <f t="shared" si="93"/>
        <v>701.09360005887538</v>
      </c>
      <c r="CN28" s="27">
        <f t="shared" si="93"/>
        <v>699.14949965782614</v>
      </c>
      <c r="CO28" s="27">
        <f t="shared" si="93"/>
        <v>715.71701440789229</v>
      </c>
      <c r="CP28" s="27">
        <f t="shared" si="93"/>
        <v>749.16996888861672</v>
      </c>
      <c r="CQ28" s="27">
        <f t="shared" si="93"/>
        <v>765.15339180427861</v>
      </c>
      <c r="CR28" s="27">
        <f t="shared" si="93"/>
        <v>773.43809395902315</v>
      </c>
      <c r="CS28" s="27">
        <f t="shared" si="93"/>
        <v>803.67219293059441</v>
      </c>
      <c r="CT28" s="27">
        <f t="shared" si="93"/>
        <v>825.16845661983143</v>
      </c>
      <c r="CU28" s="27">
        <f t="shared" ref="CU28:DB28" si="95">+CU26-CU27</f>
        <v>838.47217817127876</v>
      </c>
      <c r="CV28" s="27">
        <f t="shared" si="95"/>
        <v>852.10091988886722</v>
      </c>
      <c r="CW28" s="27">
        <f t="shared" si="95"/>
        <v>886.42917681196059</v>
      </c>
      <c r="CX28" s="27">
        <f t="shared" si="95"/>
        <v>907.0609783617756</v>
      </c>
      <c r="CY28" s="27">
        <f t="shared" si="95"/>
        <v>921.73344350775596</v>
      </c>
      <c r="CZ28" s="27">
        <f t="shared" si="95"/>
        <v>937.72532673610101</v>
      </c>
      <c r="DA28" s="27">
        <f t="shared" si="95"/>
        <v>975.3737574819171</v>
      </c>
      <c r="DB28" s="27">
        <f t="shared" si="95"/>
        <v>997.55045765729415</v>
      </c>
      <c r="DE28" s="121"/>
      <c r="DF28" s="26">
        <v>2366.0500000000002</v>
      </c>
    </row>
    <row r="29" spans="1:110" s="39" customFormat="1" x14ac:dyDescent="0.2">
      <c r="A29" s="39" t="s">
        <v>484</v>
      </c>
      <c r="C29" s="39">
        <f t="shared" ref="C29" si="96">C28/B28-1</f>
        <v>-2.6347023075174669E-2</v>
      </c>
      <c r="D29" s="39">
        <f t="shared" ref="D29" si="97">D28/C28-1</f>
        <v>0.15511934890579426</v>
      </c>
      <c r="E29" s="39">
        <f t="shared" ref="E29" si="98">E28/D28-1</f>
        <v>5.2979988067466177E-2</v>
      </c>
      <c r="F29" s="39">
        <f t="shared" ref="F29:R29" si="99">F28/E28-1</f>
        <v>0.73285039421916154</v>
      </c>
      <c r="G29" s="39">
        <f t="shared" si="99"/>
        <v>0.58662597079600909</v>
      </c>
      <c r="H29" s="39">
        <f t="shared" si="99"/>
        <v>0.62778292302313798</v>
      </c>
      <c r="I29" s="39">
        <f t="shared" si="99"/>
        <v>0.1408018413434573</v>
      </c>
      <c r="J29" s="39">
        <f t="shared" si="99"/>
        <v>0.150153914970236</v>
      </c>
      <c r="K29" s="39">
        <f>K28/J28-1</f>
        <v>9.3014857762675485E-2</v>
      </c>
      <c r="L29" s="39">
        <f t="shared" si="99"/>
        <v>0.2034661102504034</v>
      </c>
      <c r="M29" s="39">
        <f t="shared" si="99"/>
        <v>0.25780635629977988</v>
      </c>
      <c r="N29" s="39">
        <f t="shared" si="99"/>
        <v>-5.3539173808555995E-2</v>
      </c>
      <c r="O29" s="39">
        <f t="shared" si="99"/>
        <v>-0.15321034870169681</v>
      </c>
      <c r="P29" s="39">
        <f t="shared" si="99"/>
        <v>2.7822802979214689E-2</v>
      </c>
      <c r="Q29" s="39">
        <f t="shared" si="99"/>
        <v>-3.6520014252491073E-2</v>
      </c>
      <c r="R29" s="39">
        <f t="shared" si="99"/>
        <v>-6.1566385188408845E-2</v>
      </c>
      <c r="S29" s="39">
        <f t="shared" ref="S29:AA29" si="100">S28/R28-1</f>
        <v>-1.7729361083343331E-2</v>
      </c>
      <c r="T29" s="39">
        <f t="shared" si="100"/>
        <v>3.7801448683853822E-2</v>
      </c>
      <c r="U29" s="39">
        <f t="shared" si="100"/>
        <v>-0.11134427453350604</v>
      </c>
      <c r="V29" s="39">
        <f t="shared" si="100"/>
        <v>-4.0447147170294628E-2</v>
      </c>
      <c r="W29" s="39">
        <f t="shared" si="100"/>
        <v>0.16037902048141417</v>
      </c>
      <c r="X29" s="39">
        <f t="shared" si="100"/>
        <v>0.26216865473687023</v>
      </c>
      <c r="Y29" s="39">
        <f t="shared" si="100"/>
        <v>0.26655248156477174</v>
      </c>
      <c r="Z29" s="39">
        <f t="shared" si="100"/>
        <v>0.14944617068059585</v>
      </c>
      <c r="AA29" s="39">
        <f t="shared" si="100"/>
        <v>6.2457340949096496E-2</v>
      </c>
      <c r="AB29" s="40">
        <f t="shared" ref="AB29" si="101">AB28/AA28-1</f>
        <v>0.2109338699576131</v>
      </c>
      <c r="AC29" s="40">
        <f t="shared" ref="AC29" si="102">AC28/AB28-1</f>
        <v>0.10551075991027647</v>
      </c>
      <c r="AD29" s="40">
        <f t="shared" ref="AD29" si="103">AD28/AC28-1</f>
        <v>9.9964609940661919E-2</v>
      </c>
      <c r="AE29" s="40">
        <f t="shared" ref="AE29" si="104">AE28/AD28-1</f>
        <v>9.9975145923621778E-2</v>
      </c>
      <c r="AM29" s="39">
        <f t="shared" ref="AM29:CI29" si="105">+IF(AI28&lt;0,1-AM28/AI28,AM28/AI28-1)</f>
        <v>-0.55326756357837237</v>
      </c>
      <c r="AN29" s="39">
        <f t="shared" si="105"/>
        <v>-0.63409891956491404</v>
      </c>
      <c r="AO29" s="39">
        <f t="shared" si="105"/>
        <v>-0.44366511351244176</v>
      </c>
      <c r="AP29" s="39">
        <f t="shared" si="105"/>
        <v>-0.10137187140014658</v>
      </c>
      <c r="AQ29" s="39">
        <f t="shared" si="105"/>
        <v>1.5430706276643216</v>
      </c>
      <c r="AR29" s="39">
        <f t="shared" si="105"/>
        <v>1.4732697233712728</v>
      </c>
      <c r="AS29" s="39">
        <f t="shared" si="105"/>
        <v>1.7171292377600573</v>
      </c>
      <c r="AT29" s="39">
        <f t="shared" si="105"/>
        <v>1.8461227068370145</v>
      </c>
      <c r="AU29" s="39">
        <f t="shared" si="105"/>
        <v>-2.7496322623518643E-2</v>
      </c>
      <c r="AV29" s="39">
        <f t="shared" si="105"/>
        <v>-4.1145890941267638E-2</v>
      </c>
      <c r="AW29" s="39">
        <f t="shared" si="105"/>
        <v>8.6176083841328133E-2</v>
      </c>
      <c r="AX29" s="39">
        <f t="shared" si="105"/>
        <v>-9.4785024211848756E-2</v>
      </c>
      <c r="AY29" s="39">
        <f t="shared" si="105"/>
        <v>-4.7011582062966295E-2</v>
      </c>
      <c r="AZ29" s="39">
        <f t="shared" si="105"/>
        <v>-0.14830272968466529</v>
      </c>
      <c r="BA29" s="39">
        <f t="shared" si="105"/>
        <v>-0.13243689563665895</v>
      </c>
      <c r="BB29" s="39">
        <f t="shared" si="105"/>
        <v>5.289896820824147E-3</v>
      </c>
      <c r="BC29" s="39">
        <f t="shared" si="105"/>
        <v>-5.5808220171364331E-2</v>
      </c>
      <c r="BD29" s="39">
        <f t="shared" si="105"/>
        <v>2.4461217068675989E-2</v>
      </c>
      <c r="BE29" s="39">
        <f t="shared" si="105"/>
        <v>-9.8420497687641939E-2</v>
      </c>
      <c r="BF29" s="39">
        <f t="shared" si="105"/>
        <v>3.5228812034063806E-2</v>
      </c>
      <c r="BG29" s="39">
        <f t="shared" si="105"/>
        <v>0.29479199109173204</v>
      </c>
      <c r="BH29" s="39">
        <f t="shared" si="105"/>
        <v>0.28505154019654588</v>
      </c>
      <c r="BI29" s="39">
        <f t="shared" si="105"/>
        <v>5.2318535158210056E-2</v>
      </c>
      <c r="BJ29" s="39">
        <f t="shared" si="105"/>
        <v>-0.24977810515528065</v>
      </c>
      <c r="BK29" s="39">
        <f t="shared" si="105"/>
        <v>-0.10578117534639275</v>
      </c>
      <c r="BL29" s="39">
        <f t="shared" si="105"/>
        <v>-0.17022536888606221</v>
      </c>
      <c r="BM29" s="39">
        <f t="shared" si="105"/>
        <v>2.5150289208152765E-2</v>
      </c>
      <c r="BN29" s="39">
        <f t="shared" si="105"/>
        <v>-0.18130841121495311</v>
      </c>
      <c r="BO29" s="39">
        <f t="shared" si="105"/>
        <v>-0.50334952207589301</v>
      </c>
      <c r="BP29" s="39">
        <f t="shared" si="105"/>
        <v>-9.4191109892133307E-3</v>
      </c>
      <c r="BQ29" s="39">
        <f t="shared" si="105"/>
        <v>5.9535309733879993E-2</v>
      </c>
      <c r="BR29" s="39">
        <f t="shared" si="105"/>
        <v>0.30405893614009982</v>
      </c>
      <c r="BS29" s="39">
        <f t="shared" si="105"/>
        <v>1.1828508257779227</v>
      </c>
      <c r="BT29" s="39">
        <f t="shared" si="105"/>
        <v>0.19104204753199272</v>
      </c>
      <c r="BU29" s="39">
        <f t="shared" si="105"/>
        <v>-8.0871080374690041E-2</v>
      </c>
      <c r="BV29" s="39">
        <f t="shared" si="105"/>
        <v>-5.3142814709880914E-2</v>
      </c>
      <c r="BW29" s="39">
        <f t="shared" si="105"/>
        <v>0.11390202203195687</v>
      </c>
      <c r="BX29" s="39">
        <f t="shared" si="105"/>
        <v>0.23745712893641535</v>
      </c>
      <c r="BY29" s="39">
        <f t="shared" si="105"/>
        <v>0.4284927017623783</v>
      </c>
      <c r="BZ29" s="39">
        <f t="shared" si="105"/>
        <v>0.28056707638941281</v>
      </c>
      <c r="CA29" s="39">
        <f t="shared" si="105"/>
        <v>0.26431099719272533</v>
      </c>
      <c r="CB29" s="39">
        <f t="shared" si="105"/>
        <v>0.24784477212486178</v>
      </c>
      <c r="CC29" s="39">
        <f t="shared" si="105"/>
        <v>0.21794146391646518</v>
      </c>
      <c r="CD29" s="39">
        <f t="shared" si="105"/>
        <v>0.32995713007019356</v>
      </c>
      <c r="CE29" s="39">
        <f t="shared" si="105"/>
        <v>-5.3048221267557927E-2</v>
      </c>
      <c r="CF29" s="39">
        <f t="shared" si="105"/>
        <v>4.7927407712930581E-2</v>
      </c>
      <c r="CG29" s="39">
        <f t="shared" si="105"/>
        <v>0.11683841540670659</v>
      </c>
      <c r="CH29" s="39">
        <f t="shared" si="105"/>
        <v>0.41257837129396768</v>
      </c>
      <c r="CI29" s="39">
        <f t="shared" si="105"/>
        <v>0.25030584157406466</v>
      </c>
      <c r="CJ29" s="39">
        <f>+IF(CF28&lt;0,1-CJ28/CF28,CJ28/CF28-1)</f>
        <v>0.1377376313614358</v>
      </c>
      <c r="CK29" s="39">
        <f>+IF(CG28&lt;0,1-CK28/CG28,CK28/CG28-1)</f>
        <v>4.3203690748548906E-2</v>
      </c>
      <c r="CL29" s="39">
        <f>+IF(CH28&lt;0,1-CL28/CH28,CL28/CH28-1)</f>
        <v>-6.5147886705869129E-2</v>
      </c>
      <c r="CM29" s="40">
        <f t="shared" ref="CM29:DB29" si="106">+IF(CI28&lt;0,1-CM28/CI28,CM28/CI28-1)</f>
        <v>0.42914079552128226</v>
      </c>
      <c r="CN29" s="40">
        <f t="shared" si="106"/>
        <v>0.20932921602031751</v>
      </c>
      <c r="CO29" s="40">
        <f t="shared" si="106"/>
        <v>0.29719979412022379</v>
      </c>
      <c r="CP29" s="40">
        <f t="shared" si="106"/>
        <v>4.7745723483010316E-3</v>
      </c>
      <c r="CQ29" s="40">
        <f t="shared" si="106"/>
        <v>9.1371240216746585E-2</v>
      </c>
      <c r="CR29" s="40">
        <f t="shared" si="106"/>
        <v>0.10625566397108899</v>
      </c>
      <c r="CS29" s="40">
        <f t="shared" si="106"/>
        <v>0.12289099847020801</v>
      </c>
      <c r="CT29" s="40">
        <f t="shared" si="106"/>
        <v>0.10144358541754883</v>
      </c>
      <c r="CU29" s="40">
        <f t="shared" si="106"/>
        <v>9.5822337262480017E-2</v>
      </c>
      <c r="CV29" s="40">
        <f t="shared" si="106"/>
        <v>0.10170539380493926</v>
      </c>
      <c r="CW29" s="40">
        <f t="shared" si="106"/>
        <v>0.10297355639442052</v>
      </c>
      <c r="CX29" s="40">
        <f t="shared" si="106"/>
        <v>9.9243398223683332E-2</v>
      </c>
      <c r="CY29" s="40">
        <f t="shared" si="106"/>
        <v>9.9301166459776047E-2</v>
      </c>
      <c r="CZ29" s="40">
        <f t="shared" si="106"/>
        <v>0.10048622745108782</v>
      </c>
      <c r="DA29" s="40">
        <f t="shared" si="106"/>
        <v>0.10034031256715337</v>
      </c>
      <c r="DB29" s="40">
        <f t="shared" si="106"/>
        <v>9.9761186352597564E-2</v>
      </c>
      <c r="DE29" s="122"/>
      <c r="DF29" s="39">
        <v>6.2457340949096496E-2</v>
      </c>
    </row>
    <row r="30" spans="1:110" s="39" customFormat="1" x14ac:dyDescent="0.2">
      <c r="A30" s="39" t="s">
        <v>446</v>
      </c>
      <c r="AB30" s="40"/>
      <c r="AC30" s="40"/>
      <c r="AD30" s="40"/>
      <c r="AE30" s="40"/>
      <c r="AJ30" s="39">
        <f t="shared" ref="AJ30:AL30" si="107">+IF(AI28&lt;0,1-AJ28/AI28,AJ28/AI28-1)</f>
        <v>0.39830853536467448</v>
      </c>
      <c r="AK30" s="39">
        <f t="shared" si="107"/>
        <v>-0.38807699540769591</v>
      </c>
      <c r="AL30" s="39">
        <f t="shared" si="107"/>
        <v>-0.10066917815009435</v>
      </c>
      <c r="AM30" s="39">
        <f t="shared" ref="AM30:CI30" si="108">+IF(AL28&lt;0,1-AM28/AL28,AM28/AL28-1)</f>
        <v>-0.41946525125254219</v>
      </c>
      <c r="AN30" s="39">
        <f t="shared" si="108"/>
        <v>0.14529987562543312</v>
      </c>
      <c r="AO30" s="39">
        <f t="shared" si="108"/>
        <v>-6.9600683074831471E-2</v>
      </c>
      <c r="AP30" s="39">
        <f t="shared" si="108"/>
        <v>0.45265737069541578</v>
      </c>
      <c r="AQ30" s="39">
        <f t="shared" si="108"/>
        <v>0.64288299118615799</v>
      </c>
      <c r="AR30" s="39">
        <f t="shared" si="108"/>
        <v>0.11386426934076033</v>
      </c>
      <c r="AS30" s="39">
        <f t="shared" si="108"/>
        <v>2.2134853680036981E-2</v>
      </c>
      <c r="AT30" s="39">
        <f t="shared" si="108"/>
        <v>0.52162108100486271</v>
      </c>
      <c r="AU30" s="39">
        <f t="shared" si="108"/>
        <v>-0.43863637832980262</v>
      </c>
      <c r="AV30" s="39">
        <f t="shared" si="108"/>
        <v>9.8230635458694815E-2</v>
      </c>
      <c r="AW30" s="39">
        <f t="shared" si="108"/>
        <v>0.15785959724130216</v>
      </c>
      <c r="AX30" s="39">
        <f t="shared" si="108"/>
        <v>0.26811316368642424</v>
      </c>
      <c r="AY30" s="39">
        <f t="shared" si="108"/>
        <v>-0.40900996557519897</v>
      </c>
      <c r="AZ30" s="39">
        <f t="shared" si="108"/>
        <v>-1.8498003971914589E-2</v>
      </c>
      <c r="BA30" s="39">
        <f t="shared" si="108"/>
        <v>0.1794287731222115</v>
      </c>
      <c r="BB30" s="39">
        <f t="shared" si="108"/>
        <v>0.46942780884507385</v>
      </c>
      <c r="BC30" s="39">
        <f t="shared" si="108"/>
        <v>-0.44492833934847054</v>
      </c>
      <c r="BD30" s="39">
        <f t="shared" si="108"/>
        <v>6.4943320718975572E-2</v>
      </c>
      <c r="BE30" s="39">
        <f t="shared" si="108"/>
        <v>3.7959064304057266E-2</v>
      </c>
      <c r="BF30" s="39">
        <f t="shared" si="108"/>
        <v>0.68725442517156465</v>
      </c>
      <c r="BG30" s="39">
        <f t="shared" si="108"/>
        <v>-0.30575508299324705</v>
      </c>
      <c r="BH30" s="39">
        <f t="shared" si="108"/>
        <v>5.693197357365265E-2</v>
      </c>
      <c r="BI30" s="39">
        <f t="shared" si="108"/>
        <v>-0.15002353762746934</v>
      </c>
      <c r="BJ30" s="39">
        <f t="shared" si="108"/>
        <v>0.20288217839576572</v>
      </c>
      <c r="BK30" s="39">
        <f t="shared" si="108"/>
        <v>-0.17250232501410245</v>
      </c>
      <c r="BL30" s="39">
        <f t="shared" si="108"/>
        <v>-1.9238564090470311E-2</v>
      </c>
      <c r="BM30" s="39">
        <f t="shared" si="108"/>
        <v>5.0108768752747279E-2</v>
      </c>
      <c r="BN30" s="39">
        <f t="shared" si="108"/>
        <v>-3.9370585836034477E-2</v>
      </c>
      <c r="BO30" s="39">
        <f t="shared" si="108"/>
        <v>-0.49800740426229262</v>
      </c>
      <c r="BP30" s="39">
        <f t="shared" si="108"/>
        <v>0.95615141487735733</v>
      </c>
      <c r="BQ30" s="39">
        <f t="shared" si="108"/>
        <v>0.12320693029500784</v>
      </c>
      <c r="BR30" s="39">
        <f t="shared" si="108"/>
        <v>0.18232715828431356</v>
      </c>
      <c r="BS30" s="39">
        <f t="shared" si="108"/>
        <v>-0.15971976283230327</v>
      </c>
      <c r="BT30" s="39">
        <f t="shared" si="108"/>
        <v>6.7346682120533519E-2</v>
      </c>
      <c r="BU30" s="39">
        <f t="shared" si="108"/>
        <v>-0.1332195412437942</v>
      </c>
      <c r="BV30" s="39">
        <f t="shared" si="108"/>
        <v>0.21799558395085761</v>
      </c>
      <c r="BW30" s="39">
        <f t="shared" si="108"/>
        <v>-1.1477264158057277E-2</v>
      </c>
      <c r="BX30" s="39">
        <f t="shared" si="108"/>
        <v>0.18573782497253744</v>
      </c>
      <c r="BY30" s="39">
        <f t="shared" si="108"/>
        <v>5.9188347615735104E-4</v>
      </c>
      <c r="BZ30" s="39">
        <f t="shared" si="108"/>
        <v>9.1867702278689345E-2</v>
      </c>
      <c r="CA30" s="39">
        <f t="shared" si="108"/>
        <v>-2.4026004616761742E-2</v>
      </c>
      <c r="CB30" s="39">
        <f t="shared" si="108"/>
        <v>0.17029492687165138</v>
      </c>
      <c r="CC30" s="39">
        <f t="shared" si="108"/>
        <v>-2.3386265209321411E-2</v>
      </c>
      <c r="CD30" s="39">
        <f t="shared" si="108"/>
        <v>0.19228820001689328</v>
      </c>
      <c r="CE30" s="39">
        <f t="shared" si="108"/>
        <v>-0.3050901491268464</v>
      </c>
      <c r="CF30" s="39">
        <f t="shared" si="108"/>
        <v>0.29508614537669486</v>
      </c>
      <c r="CG30" s="39">
        <f t="shared" si="108"/>
        <v>4.0835202896839506E-2</v>
      </c>
      <c r="CH30" s="39">
        <f t="shared" si="108"/>
        <v>0.50800733611904181</v>
      </c>
      <c r="CI30" s="39">
        <f t="shared" si="108"/>
        <v>-0.38491919204583924</v>
      </c>
      <c r="CJ30" s="39">
        <f>+IF(CI28&lt;0,1-CJ28/CI28,CJ28/CI28-1)</f>
        <v>0.17848625068797519</v>
      </c>
      <c r="CK30" s="39">
        <f>+IF(CJ28&lt;0,1-CK28/CJ28,CK28/CJ28-1)</f>
        <v>-4.5647172781208334E-2</v>
      </c>
      <c r="CL30" s="39">
        <f>+IF(CK28&lt;0,1-CL28/CK28,CL28/CK28-1)</f>
        <v>0.35137927284590575</v>
      </c>
      <c r="CM30" s="40">
        <f t="shared" ref="CM30:DB30" si="109">+IF(CL28&lt;0,1-CM28/CL28,CM28/CL28-1)</f>
        <v>-5.9704671263964615E-2</v>
      </c>
      <c r="CN30" s="40">
        <f t="shared" si="109"/>
        <v>-2.7729541403401781E-3</v>
      </c>
      <c r="CO30" s="40">
        <f t="shared" si="109"/>
        <v>2.369666967962436E-2</v>
      </c>
      <c r="CP30" s="40">
        <f t="shared" si="109"/>
        <v>4.6740476762872296E-2</v>
      </c>
      <c r="CQ30" s="40">
        <f t="shared" si="109"/>
        <v>2.133484199770197E-2</v>
      </c>
      <c r="CR30" s="40">
        <f t="shared" si="109"/>
        <v>1.0827504972837909E-2</v>
      </c>
      <c r="CS30" s="40">
        <f t="shared" si="109"/>
        <v>3.9090522186217891E-2</v>
      </c>
      <c r="CT30" s="40">
        <f t="shared" si="109"/>
        <v>2.6747551897809085E-2</v>
      </c>
      <c r="CU30" s="40">
        <f t="shared" si="109"/>
        <v>1.6122431056009967E-2</v>
      </c>
      <c r="CV30" s="40">
        <f t="shared" si="109"/>
        <v>1.6254256339564011E-2</v>
      </c>
      <c r="CW30" s="40">
        <f t="shared" si="109"/>
        <v>4.0286609393134443E-2</v>
      </c>
      <c r="CX30" s="40">
        <f t="shared" si="109"/>
        <v>2.3275183274107825E-2</v>
      </c>
      <c r="CY30" s="40">
        <f t="shared" si="109"/>
        <v>1.6175831058767409E-2</v>
      </c>
      <c r="CZ30" s="40">
        <f t="shared" si="109"/>
        <v>1.7349791678911153E-2</v>
      </c>
      <c r="DA30" s="40">
        <f t="shared" si="109"/>
        <v>4.0148676453964693E-2</v>
      </c>
      <c r="DB30" s="40">
        <f t="shared" si="109"/>
        <v>2.273661763530499E-2</v>
      </c>
      <c r="DE30" s="122"/>
    </row>
    <row r="31" spans="1:110" s="23" customFormat="1" outlineLevel="1" x14ac:dyDescent="0.2">
      <c r="A31" s="23" t="s">
        <v>2</v>
      </c>
      <c r="B31" s="23">
        <f>'Annual Raw'!C11</f>
        <v>-2.8237339000000001</v>
      </c>
      <c r="C31" s="23">
        <f>'Annual Raw'!D11</f>
        <v>-10.5604847</v>
      </c>
      <c r="D31" s="23">
        <f>'Annual Raw'!E11</f>
        <v>1.5575190999999999</v>
      </c>
      <c r="E31" s="23">
        <f>'Annual Raw'!F11</f>
        <v>-31.649834999999999</v>
      </c>
      <c r="F31" s="23">
        <f>'Annual Raw'!G11</f>
        <v>-4.8327999999999998</v>
      </c>
      <c r="G31" s="23">
        <f>'Annual Raw'!H11</f>
        <v>-17.589400000000001</v>
      </c>
      <c r="H31" s="23">
        <f>'Annual Raw'!I11</f>
        <v>-9.7043999999999997</v>
      </c>
      <c r="I31" s="23">
        <f>'Annual Raw'!J11</f>
        <v>-47.1</v>
      </c>
      <c r="J31" s="23">
        <f>'Annual Raw'!K11</f>
        <v>-105.49639999999999</v>
      </c>
      <c r="K31" s="23">
        <f>'Annual Raw'!L11</f>
        <v>34.665100000000002</v>
      </c>
      <c r="L31" s="23">
        <f>'Annual Raw'!M11</f>
        <v>-34.725200000000001</v>
      </c>
      <c r="M31" s="23">
        <f>'Annual Raw'!N11</f>
        <v>11.6496</v>
      </c>
      <c r="N31" s="23">
        <f>'Annual Raw'!O11</f>
        <v>14.5123</v>
      </c>
      <c r="O31" s="23">
        <f>'Annual Raw'!P11</f>
        <v>31.168600000000001</v>
      </c>
      <c r="P31" s="23">
        <f>'Annual Raw'!Q11</f>
        <v>29.643000000000001</v>
      </c>
      <c r="Q31" s="23">
        <f>'Annual Raw'!R11</f>
        <v>-31.443300000000001</v>
      </c>
      <c r="R31" s="23">
        <f>'Annual Raw'!S11</f>
        <v>9.7947000000000006</v>
      </c>
      <c r="S31" s="23">
        <f>'Annual Raw'!T11</f>
        <v>28.241800000000001</v>
      </c>
      <c r="T31" s="23">
        <f>'Annual Raw'!U11</f>
        <v>-13.101100000000001</v>
      </c>
      <c r="U31" s="23">
        <f>'Annual Raw'!V11</f>
        <v>6.5307000000000004</v>
      </c>
      <c r="V31" s="23">
        <f>'Annual Raw'!W11</f>
        <v>46.257300000000001</v>
      </c>
      <c r="W31" s="23">
        <f>'Annual Raw'!X11</f>
        <v>-35.731099999999998</v>
      </c>
      <c r="X31" s="23">
        <f>'Annual Raw'!Y11</f>
        <v>-5.01</v>
      </c>
      <c r="Y31" s="23">
        <f>'Annual Raw'!Z11</f>
        <v>21.94</v>
      </c>
      <c r="Z31" s="23">
        <f>'Annual Raw'!AA11</f>
        <v>12.85</v>
      </c>
      <c r="AA31" s="23">
        <f>'Annual Raw'!AB11</f>
        <v>-48.65</v>
      </c>
      <c r="AB31" s="76">
        <f>+SUM(CM31:CP31)</f>
        <v>0</v>
      </c>
      <c r="AC31" s="76">
        <f>+SUM(CQ31:CT31)</f>
        <v>0</v>
      </c>
      <c r="AD31" s="76">
        <f>+SUM(CU31:CX31)</f>
        <v>0</v>
      </c>
      <c r="AE31" s="76">
        <f>+SUM(CY31:DB31)</f>
        <v>0</v>
      </c>
      <c r="AI31" s="23">
        <f>'QTR Raw'!C10</f>
        <v>-11.478999999999999</v>
      </c>
      <c r="AJ31" s="23">
        <f>'QTR Raw'!D10</f>
        <v>23.067</v>
      </c>
      <c r="AK31" s="23">
        <f>'QTR Raw'!E10</f>
        <v>-27.082999999999998</v>
      </c>
      <c r="AL31" s="23">
        <f>'QTR Raw'!F10</f>
        <v>12.010999999999999</v>
      </c>
      <c r="AM31" s="23">
        <f>'QTR Raw'!G10</f>
        <v>-5.3410000000000002</v>
      </c>
      <c r="AN31" s="23">
        <f>'QTR Raw'!H10</f>
        <v>-1.601</v>
      </c>
      <c r="AO31" s="23">
        <f>'QTR Raw'!I10</f>
        <v>2.415</v>
      </c>
      <c r="AP31" s="23">
        <f>'QTR Raw'!J10</f>
        <v>31.501000000000001</v>
      </c>
      <c r="AQ31" s="23">
        <f>'QTR Raw'!K10</f>
        <v>-14.89</v>
      </c>
      <c r="AR31" s="23">
        <f>'QTR Raw'!L10</f>
        <v>10.345000000000001</v>
      </c>
      <c r="AS31" s="23">
        <f>'QTR Raw'!M10</f>
        <v>8.0530000000000008</v>
      </c>
      <c r="AT31" s="23">
        <f>'QTR Raw'!N10</f>
        <v>11.205</v>
      </c>
      <c r="AU31" s="23">
        <f>'QTR Raw'!O10</f>
        <v>-27.199000000000002</v>
      </c>
      <c r="AV31" s="23">
        <f>'QTR Raw'!P10</f>
        <v>-19.609000000000002</v>
      </c>
      <c r="AW31" s="23">
        <f>'QTR Raw'!Q10</f>
        <v>11.016999999999999</v>
      </c>
      <c r="AX31" s="23">
        <f>'QTR Raw'!R10</f>
        <v>4.3479999999999999</v>
      </c>
      <c r="AY31" s="23">
        <f>'QTR Raw'!S10</f>
        <v>-7.0579999999999998</v>
      </c>
      <c r="AZ31" s="23">
        <f>'QTR Raw'!T10</f>
        <v>-4.9720000000000004</v>
      </c>
      <c r="BA31" s="23">
        <f>'QTR Raw'!U10</f>
        <v>-9.4809999999999999</v>
      </c>
      <c r="BB31" s="23">
        <f>'QTR Raw'!V10</f>
        <v>31.305</v>
      </c>
      <c r="BC31" s="23">
        <f>'QTR Raw'!W10</f>
        <v>1.403</v>
      </c>
      <c r="BD31" s="23">
        <f>'QTR Raw'!X10</f>
        <v>0.998</v>
      </c>
      <c r="BE31" s="23">
        <f>'QTR Raw'!Y10</f>
        <v>2.6829999999999998</v>
      </c>
      <c r="BF31" s="23">
        <f>'QTR Raw'!Z10</f>
        <v>23.158000000000001</v>
      </c>
      <c r="BG31" s="23">
        <f>'QTR Raw'!AA10</f>
        <v>-15.48</v>
      </c>
      <c r="BH31" s="23">
        <f>'QTR Raw'!AB10</f>
        <v>6.1959999999999997</v>
      </c>
      <c r="BI31" s="23">
        <f>'QTR Raw'!AC10</f>
        <v>-25.561</v>
      </c>
      <c r="BJ31" s="23">
        <f>'QTR Raw'!AD10</f>
        <v>21.744</v>
      </c>
      <c r="BK31" s="23">
        <f>'QTR Raw'!AE10</f>
        <v>11.222</v>
      </c>
      <c r="BL31" s="23">
        <f>'QTR Raw'!AF10</f>
        <v>2.5289999999999999</v>
      </c>
      <c r="BM31" s="23">
        <f>'QTR Raw'!AG10</f>
        <v>-47.728000000000002</v>
      </c>
      <c r="BN31" s="23">
        <f>'QTR Raw'!AH10</f>
        <v>40.508000000000003</v>
      </c>
      <c r="BO31" s="23">
        <f>'QTR Raw'!AI10</f>
        <v>9.4350000000000005</v>
      </c>
      <c r="BP31" s="23">
        <f>'QTR Raw'!AJ10</f>
        <v>8.4670000000000005</v>
      </c>
      <c r="BQ31" s="23">
        <f>'QTR Raw'!AK10</f>
        <v>9.0540000000000003</v>
      </c>
      <c r="BR31" s="23">
        <f>'QTR Raw'!AL10</f>
        <v>19.302</v>
      </c>
      <c r="BS31" s="23">
        <f>'QTR Raw'!AM10</f>
        <v>-15.452999999999999</v>
      </c>
      <c r="BT31" s="23">
        <f>'QTR Raw'!AN10</f>
        <v>1.698</v>
      </c>
      <c r="BU31" s="23">
        <f>'QTR Raw'!AO10</f>
        <v>-21.039000000000001</v>
      </c>
      <c r="BV31" s="23">
        <f>'QTR Raw'!AP10</f>
        <v>-0.93600000000000005</v>
      </c>
      <c r="BW31" s="23">
        <f>'QTR Raw'!AQ10</f>
        <v>-1.25</v>
      </c>
      <c r="BX31" s="23">
        <f>'QTR Raw'!AR10</f>
        <v>-17.399999999999999</v>
      </c>
      <c r="BY31" s="23">
        <f>'QTR Raw'!AS10</f>
        <v>-3.06</v>
      </c>
      <c r="BZ31" s="23">
        <f>'QTR Raw'!AT10</f>
        <v>16.7</v>
      </c>
      <c r="CA31" s="23">
        <f>'QTR Raw'!AU10</f>
        <v>-13.46</v>
      </c>
      <c r="CB31" s="23">
        <f>'QTR Raw'!AV10</f>
        <v>19.190000000000001</v>
      </c>
      <c r="CC31" s="23">
        <f>'QTR Raw'!AW10</f>
        <v>-1.38</v>
      </c>
      <c r="CD31" s="23">
        <f>'QTR Raw'!AX10</f>
        <v>17.59</v>
      </c>
      <c r="CE31" s="23">
        <f>'QTR Raw'!AY10</f>
        <v>-6.88</v>
      </c>
      <c r="CF31" s="23">
        <f>'QTR Raw'!AZ10</f>
        <v>-3.32</v>
      </c>
      <c r="CG31" s="23">
        <f>'QTR Raw'!BA10</f>
        <v>-31.67</v>
      </c>
      <c r="CH31" s="23">
        <f>'QTR Raw'!BB10</f>
        <v>54.72</v>
      </c>
      <c r="CI31" s="23">
        <f>'QTR Raw'!BC10</f>
        <v>-16.12</v>
      </c>
      <c r="CJ31" s="23">
        <f>'QTR Raw'!BD10</f>
        <v>5.74</v>
      </c>
      <c r="CK31" s="23">
        <f>'QTR Raw'!BE10</f>
        <v>-19.079999999999998</v>
      </c>
      <c r="CL31" s="23">
        <f>'QTR Raw'!BF10</f>
        <v>-19.190000000000001</v>
      </c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E31" s="123"/>
      <c r="DF31" s="23">
        <v>-48.650000000000006</v>
      </c>
    </row>
    <row r="32" spans="1:110" s="23" customFormat="1" outlineLevel="1" x14ac:dyDescent="0.2">
      <c r="A32" s="23" t="s">
        <v>3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76">
        <f>+SUM(CM32:CP32)</f>
        <v>0</v>
      </c>
      <c r="AC32" s="76">
        <f>+SUM(CQ32:CT32)</f>
        <v>0</v>
      </c>
      <c r="AD32" s="76">
        <f>+SUM(CU32:CX32)</f>
        <v>0</v>
      </c>
      <c r="AE32" s="76">
        <f>+SUM(CY32:DB32)</f>
        <v>0</v>
      </c>
      <c r="AI32" s="23">
        <f>'QTR Raw'!C12</f>
        <v>0</v>
      </c>
      <c r="AJ32" s="23">
        <f>'QTR Raw'!D12</f>
        <v>0</v>
      </c>
      <c r="AK32" s="23">
        <f>'QTR Raw'!E12</f>
        <v>0</v>
      </c>
      <c r="AL32" s="23">
        <f>'QTR Raw'!F12</f>
        <v>0</v>
      </c>
      <c r="AM32" s="23">
        <f>'QTR Raw'!G12</f>
        <v>0</v>
      </c>
      <c r="AN32" s="23">
        <f>'QTR Raw'!H12</f>
        <v>0</v>
      </c>
      <c r="AO32" s="23">
        <f>'QTR Raw'!I12</f>
        <v>0</v>
      </c>
      <c r="AP32" s="23">
        <f>'QTR Raw'!J12</f>
        <v>0</v>
      </c>
      <c r="AQ32" s="23">
        <f>'QTR Raw'!K12</f>
        <v>1.9419999999999999</v>
      </c>
      <c r="AR32" s="23">
        <f>'QTR Raw'!L12</f>
        <v>6.2590000000000003</v>
      </c>
      <c r="AS32" s="23">
        <f>'QTR Raw'!M12</f>
        <v>-3.97</v>
      </c>
      <c r="AT32" s="23">
        <f>'QTR Raw'!N12</f>
        <v>8.4849999999999994</v>
      </c>
      <c r="AU32" s="23">
        <f>'QTR Raw'!O12</f>
        <v>1.9970000000000001</v>
      </c>
      <c r="AV32" s="23">
        <f>'QTR Raw'!P12</f>
        <v>0</v>
      </c>
      <c r="AW32" s="23">
        <f>'QTR Raw'!Q12</f>
        <v>0</v>
      </c>
      <c r="AX32" s="23">
        <f>'QTR Raw'!R12</f>
        <v>0</v>
      </c>
      <c r="AY32" s="23">
        <f>'QTR Raw'!S12</f>
        <v>0</v>
      </c>
      <c r="AZ32" s="23">
        <f>'QTR Raw'!T12</f>
        <v>0</v>
      </c>
      <c r="BA32" s="23">
        <f>'QTR Raw'!U12</f>
        <v>0</v>
      </c>
      <c r="BB32" s="23">
        <f>'QTR Raw'!V12</f>
        <v>0</v>
      </c>
      <c r="BC32" s="23">
        <f>'QTR Raw'!W12</f>
        <v>0</v>
      </c>
      <c r="BD32" s="23">
        <f>'QTR Raw'!X12</f>
        <v>0</v>
      </c>
      <c r="BE32" s="23">
        <f>'QTR Raw'!Y12</f>
        <v>0</v>
      </c>
      <c r="BF32" s="23">
        <f>'QTR Raw'!Z12</f>
        <v>0</v>
      </c>
      <c r="BG32" s="23">
        <f>'QTR Raw'!AA12</f>
        <v>0</v>
      </c>
      <c r="BH32" s="23">
        <f>'QTR Raw'!AB12</f>
        <v>0</v>
      </c>
      <c r="BI32" s="23">
        <f>'QTR Raw'!AC12</f>
        <v>0</v>
      </c>
      <c r="BJ32" s="23">
        <f>'QTR Raw'!AD12</f>
        <v>0</v>
      </c>
      <c r="BK32" s="23">
        <f>'QTR Raw'!AE12</f>
        <v>0</v>
      </c>
      <c r="BL32" s="23">
        <f>'QTR Raw'!AF12</f>
        <v>0</v>
      </c>
      <c r="BM32" s="23">
        <f>'QTR Raw'!AG12</f>
        <v>0</v>
      </c>
      <c r="BN32" s="23">
        <f>'QTR Raw'!AH12</f>
        <v>0</v>
      </c>
      <c r="BO32" s="23">
        <f>'QTR Raw'!AI12</f>
        <v>0</v>
      </c>
      <c r="BP32" s="23">
        <f>'QTR Raw'!AJ12</f>
        <v>0</v>
      </c>
      <c r="BQ32" s="23">
        <f>'QTR Raw'!AK12</f>
        <v>0</v>
      </c>
      <c r="BR32" s="23">
        <f>'QTR Raw'!AL12</f>
        <v>0</v>
      </c>
      <c r="BS32" s="23">
        <f>'QTR Raw'!AM12</f>
        <v>0</v>
      </c>
      <c r="BT32" s="23">
        <f>'QTR Raw'!AN12</f>
        <v>0</v>
      </c>
      <c r="BU32" s="23">
        <f>'QTR Raw'!AO12</f>
        <v>0</v>
      </c>
      <c r="BV32" s="23">
        <f>'QTR Raw'!AP12</f>
        <v>0</v>
      </c>
      <c r="BW32" s="23">
        <f>'QTR Raw'!AQ12</f>
        <v>0</v>
      </c>
      <c r="BX32" s="23">
        <f>'QTR Raw'!AR12</f>
        <v>0</v>
      </c>
      <c r="BY32" s="23">
        <f>'QTR Raw'!AS12</f>
        <v>0</v>
      </c>
      <c r="BZ32" s="23">
        <f>'QTR Raw'!AT12</f>
        <v>0</v>
      </c>
      <c r="CA32" s="23">
        <f>'QTR Raw'!AU12</f>
        <v>0</v>
      </c>
      <c r="CB32" s="23">
        <f>'QTR Raw'!AV12</f>
        <v>0</v>
      </c>
      <c r="CC32" s="23">
        <f>'QTR Raw'!AW12</f>
        <v>0</v>
      </c>
      <c r="CD32" s="23">
        <f>'QTR Raw'!AX12</f>
        <v>0</v>
      </c>
      <c r="CE32" s="23">
        <f>'QTR Raw'!AY12</f>
        <v>0</v>
      </c>
      <c r="CF32" s="23">
        <f>'QTR Raw'!AZ12</f>
        <v>0</v>
      </c>
      <c r="CG32" s="23">
        <f>'QTR Raw'!BA12</f>
        <v>0</v>
      </c>
      <c r="CH32" s="23">
        <f>'QTR Raw'!BB12</f>
        <v>0</v>
      </c>
      <c r="CI32" s="23">
        <f>'QTR Raw'!BC12</f>
        <v>0</v>
      </c>
      <c r="CJ32" s="23">
        <f>'QTR Raw'!BD12</f>
        <v>0</v>
      </c>
      <c r="CK32" s="23">
        <f>'QTR Raw'!BE12</f>
        <v>0</v>
      </c>
      <c r="CL32" s="23">
        <f>'QTR Raw'!BF12</f>
        <v>0</v>
      </c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E32" s="123"/>
      <c r="DF32" s="23">
        <v>0</v>
      </c>
    </row>
    <row r="33" spans="1:110" s="23" customFormat="1" outlineLevel="1" x14ac:dyDescent="0.2">
      <c r="A33" s="23" t="s">
        <v>4</v>
      </c>
      <c r="B33" s="23">
        <f>'Annual Raw'!C12</f>
        <v>79.278906199999994</v>
      </c>
      <c r="C33" s="23">
        <f>'Annual Raw'!D12</f>
        <v>80.146580400000005</v>
      </c>
      <c r="D33" s="23">
        <f>'Annual Raw'!E12</f>
        <v>81.164928500000002</v>
      </c>
      <c r="E33" s="23">
        <f>'Annual Raw'!F12</f>
        <v>117.9787984</v>
      </c>
      <c r="F33" s="23">
        <f>'Annual Raw'!G12</f>
        <v>170.6207</v>
      </c>
      <c r="G33" s="23">
        <f>'Annual Raw'!H12</f>
        <v>282.89960000000002</v>
      </c>
      <c r="H33" s="23">
        <f>'Annual Raw'!I12</f>
        <v>447.53030000000001</v>
      </c>
      <c r="I33" s="23">
        <f>'Annual Raw'!J12</f>
        <v>524.46209999999996</v>
      </c>
      <c r="J33" s="23">
        <f>'Annual Raw'!K12</f>
        <v>586.55280000000005</v>
      </c>
      <c r="K33" s="23">
        <f>'Annual Raw'!L12</f>
        <v>578.59709999999995</v>
      </c>
      <c r="L33" s="23">
        <f>'Annual Raw'!M12</f>
        <v>772.58939999999996</v>
      </c>
      <c r="M33" s="23">
        <f>'Annual Raw'!N12</f>
        <v>928.36389999999994</v>
      </c>
      <c r="N33" s="23">
        <f>'Annual Raw'!O12</f>
        <v>790.24270000000001</v>
      </c>
      <c r="O33" s="23">
        <f>'Annual Raw'!P12</f>
        <v>592.99869999999999</v>
      </c>
      <c r="P33" s="23">
        <f>'Annual Raw'!Q12</f>
        <v>646.99090000000001</v>
      </c>
      <c r="Q33" s="23">
        <f>'Annual Raw'!R12</f>
        <v>632.92060000000004</v>
      </c>
      <c r="R33" s="23">
        <f>'Annual Raw'!S12</f>
        <v>531.57320000000004</v>
      </c>
      <c r="S33" s="23">
        <f>'Annual Raw'!T12</f>
        <v>523.32159999999999</v>
      </c>
      <c r="T33" s="23">
        <f>'Annual Raw'!U12</f>
        <v>578.21860000000004</v>
      </c>
      <c r="U33" s="23">
        <f>'Annual Raw'!V12</f>
        <v>496.8895</v>
      </c>
      <c r="V33" s="23">
        <f>'Annual Raw'!W12</f>
        <v>439.10329999999999</v>
      </c>
      <c r="W33" s="23">
        <f>'Annual Raw'!X12</f>
        <v>607.43529999999998</v>
      </c>
      <c r="X33" s="23">
        <f>'Annual Raw'!Y12</f>
        <v>719.36</v>
      </c>
      <c r="Y33" s="23">
        <f>'Annual Raw'!Z12</f>
        <v>840.22</v>
      </c>
      <c r="Z33" s="23">
        <f>'Annual Raw'!AA12</f>
        <v>1013.46</v>
      </c>
      <c r="AA33" s="23">
        <f>'Annual Raw'!AB12</f>
        <v>1173.77</v>
      </c>
      <c r="AB33" s="24">
        <f>+SUM(CM33:CP33)</f>
        <v>1389.2629994896047</v>
      </c>
      <c r="AC33" s="24">
        <f>+SUM(CQ33:CT33)</f>
        <v>1543.7840763134045</v>
      </c>
      <c r="AD33" s="24">
        <f>+SUM(CU33:CX33)</f>
        <v>1699.4251912422299</v>
      </c>
      <c r="AE33" s="24">
        <f>+SUM(CY33:DB33)</f>
        <v>1869.5173782825627</v>
      </c>
      <c r="AI33" s="23">
        <f>'QTR Raw'!C11</f>
        <v>167.10300000000001</v>
      </c>
      <c r="AJ33" s="23">
        <f>'QTR Raw'!D11</f>
        <v>179.35300000000001</v>
      </c>
      <c r="AK33" s="23">
        <f>'QTR Raw'!E11</f>
        <v>148.47200000000001</v>
      </c>
      <c r="AL33" s="23">
        <f>'QTR Raw'!F11</f>
        <v>114.917</v>
      </c>
      <c r="AM33" s="23">
        <f>'QTR Raw'!G11</f>
        <v>63.845999999999997</v>
      </c>
      <c r="AN33" s="23">
        <f>'QTR Raw'!H11</f>
        <v>59.220999999999997</v>
      </c>
      <c r="AO33" s="23">
        <f>'QTR Raw'!I11</f>
        <v>55.390999999999998</v>
      </c>
      <c r="AP33" s="23">
        <f>'QTR Raw'!J11</f>
        <v>64.831000000000003</v>
      </c>
      <c r="AQ33" s="23">
        <f>'QTR Raw'!K11</f>
        <v>172.36799999999999</v>
      </c>
      <c r="AR33" s="23">
        <f>'QTR Raw'!L11</f>
        <v>176.44499999999999</v>
      </c>
      <c r="AS33" s="23">
        <f>'QTR Raw'!M11</f>
        <v>184.03700000000001</v>
      </c>
      <c r="AT33" s="23">
        <f>'QTR Raw'!N11</f>
        <v>266.80599999999998</v>
      </c>
      <c r="AU33" s="23">
        <f>'QTR Raw'!O11</f>
        <v>154.78800000000001</v>
      </c>
      <c r="AV33" s="23">
        <f>'QTR Raw'!P11</f>
        <v>145.82</v>
      </c>
      <c r="AW33" s="23">
        <f>'QTR Raw'!Q11</f>
        <v>152.19800000000001</v>
      </c>
      <c r="AX33" s="23">
        <f>'QTR Raw'!R11</f>
        <v>196.66900000000001</v>
      </c>
      <c r="AY33" s="23">
        <f>'QTR Raw'!S11</f>
        <v>111.503</v>
      </c>
      <c r="AZ33" s="23">
        <f>'QTR Raw'!T11</f>
        <v>106.428</v>
      </c>
      <c r="BA33" s="23">
        <f>'QTR Raw'!U11</f>
        <v>150.673</v>
      </c>
      <c r="BB33" s="23">
        <f>'QTR Raw'!V11</f>
        <v>162.97</v>
      </c>
      <c r="BC33" s="23">
        <f>'QTR Raw'!W11</f>
        <v>117.11199999999999</v>
      </c>
      <c r="BD33" s="23">
        <f>'QTR Raw'!X11</f>
        <v>126.492</v>
      </c>
      <c r="BE33" s="23">
        <f>'QTR Raw'!Y11</f>
        <v>123.729</v>
      </c>
      <c r="BF33" s="23">
        <f>'QTR Raw'!Z11</f>
        <v>155.988</v>
      </c>
      <c r="BG33" s="23">
        <f>'QTR Raw'!AA11</f>
        <v>152.95500000000001</v>
      </c>
      <c r="BH33" s="23">
        <f>'QTR Raw'!AB11</f>
        <v>137.09299999999999</v>
      </c>
      <c r="BI33" s="23">
        <f>'QTR Raw'!AC11</f>
        <v>150.78399999999999</v>
      </c>
      <c r="BJ33" s="23">
        <f>'QTR Raw'!AD11</f>
        <v>137.386</v>
      </c>
      <c r="BK33" s="23">
        <f>'QTR Raw'!AE11</f>
        <v>104.071</v>
      </c>
      <c r="BL33" s="23">
        <f>'QTR Raw'!AF11</f>
        <v>120.04900000000001</v>
      </c>
      <c r="BM33" s="23">
        <f>'QTR Raw'!AG11</f>
        <v>161.815</v>
      </c>
      <c r="BN33" s="23">
        <f>'QTR Raw'!AH11</f>
        <v>96.954999999999998</v>
      </c>
      <c r="BO33" s="23">
        <f>'QTR Raw'!AI11</f>
        <v>43.317999999999998</v>
      </c>
      <c r="BP33" s="23">
        <f>'QTR Raw'!AJ11</f>
        <v>114.387</v>
      </c>
      <c r="BQ33" s="23">
        <f>'QTR Raw'!AK11</f>
        <v>135.01499999999999</v>
      </c>
      <c r="BR33" s="23">
        <f>'QTR Raw'!AL11</f>
        <v>146.38399999999999</v>
      </c>
      <c r="BS33" s="23">
        <f>'QTR Raw'!AM11</f>
        <v>152.06800000000001</v>
      </c>
      <c r="BT33" s="23">
        <f>'QTR Raw'!AN11</f>
        <v>147.58500000000001</v>
      </c>
      <c r="BU33" s="23">
        <f>'QTR Raw'!AO11</f>
        <v>146.399</v>
      </c>
      <c r="BV33" s="23">
        <f>'QTR Raw'!AP11</f>
        <v>161.38399999999999</v>
      </c>
      <c r="BW33" s="23">
        <f>'QTR Raw'!AQ11</f>
        <v>144.69</v>
      </c>
      <c r="BX33" s="23">
        <f>'QTR Raw'!AR11</f>
        <v>198.66</v>
      </c>
      <c r="BY33" s="23">
        <f>'QTR Raw'!AS11</f>
        <v>177.04</v>
      </c>
      <c r="BZ33" s="23">
        <f>'QTR Raw'!AT11</f>
        <v>198.96</v>
      </c>
      <c r="CA33" s="23">
        <f>'QTR Raw'!AU11</f>
        <v>194.56</v>
      </c>
      <c r="CB33" s="23">
        <f>'QTR Raw'!AV11</f>
        <v>204.58</v>
      </c>
      <c r="CC33" s="23">
        <f>'QTR Raw'!AW11</f>
        <v>211.47</v>
      </c>
      <c r="CD33" s="23">
        <f>'QTR Raw'!AX11</f>
        <v>229.62</v>
      </c>
      <c r="CE33" s="23">
        <f>'QTR Raw'!AY11</f>
        <v>168.47</v>
      </c>
      <c r="CF33" s="23">
        <f>'QTR Raw'!AZ11</f>
        <v>243.78</v>
      </c>
      <c r="CG33" s="23">
        <f>'QTR Raw'!BA11</f>
        <v>257.61</v>
      </c>
      <c r="CH33" s="23">
        <f>'QTR Raw'!BB11</f>
        <v>346.01</v>
      </c>
      <c r="CI33" s="23">
        <f>'QTR Raw'!BC11</f>
        <v>206.02</v>
      </c>
      <c r="CJ33" s="23">
        <f>'QTR Raw'!BD11</f>
        <v>280.52</v>
      </c>
      <c r="CK33" s="23">
        <f>'QTR Raw'!BE11</f>
        <v>285.85000000000002</v>
      </c>
      <c r="CL33" s="23">
        <f>'QTR Raw'!BF11</f>
        <v>401.38</v>
      </c>
      <c r="CM33" s="24">
        <f t="shared" ref="CM33:DB33" si="110">+CM28-CM34</f>
        <v>329.22349444085762</v>
      </c>
      <c r="CN33" s="24">
        <f t="shared" si="110"/>
        <v>342.72789738473148</v>
      </c>
      <c r="CO33" s="24">
        <f t="shared" si="110"/>
        <v>349.96527003437967</v>
      </c>
      <c r="CP33" s="24">
        <f t="shared" si="110"/>
        <v>367.34633762963591</v>
      </c>
      <c r="CQ33" s="24">
        <f t="shared" si="110"/>
        <v>370.92759493764237</v>
      </c>
      <c r="CR33" s="24">
        <f t="shared" si="110"/>
        <v>377.88091147317601</v>
      </c>
      <c r="CS33" s="24">
        <f t="shared" si="110"/>
        <v>392.32418175420662</v>
      </c>
      <c r="CT33" s="24">
        <f t="shared" si="110"/>
        <v>402.65138814837957</v>
      </c>
      <c r="CU33" s="24">
        <f t="shared" si="110"/>
        <v>408.64523812454814</v>
      </c>
      <c r="CV33" s="24">
        <f t="shared" si="110"/>
        <v>415.83992229424018</v>
      </c>
      <c r="CW33" s="24">
        <f t="shared" si="110"/>
        <v>432.46955470140182</v>
      </c>
      <c r="CX33" s="24">
        <f t="shared" si="110"/>
        <v>442.4704761220396</v>
      </c>
      <c r="CY33" s="24">
        <f t="shared" si="110"/>
        <v>449.59188093871484</v>
      </c>
      <c r="CZ33" s="24">
        <f t="shared" si="110"/>
        <v>457.48572476714895</v>
      </c>
      <c r="DA33" s="24">
        <f t="shared" si="110"/>
        <v>475.81666643431998</v>
      </c>
      <c r="DB33" s="24">
        <f t="shared" si="110"/>
        <v>486.6231061423789</v>
      </c>
      <c r="DE33" s="123"/>
      <c r="DF33" s="23">
        <v>1173.77</v>
      </c>
    </row>
    <row r="34" spans="1:110" s="31" customFormat="1" x14ac:dyDescent="0.2">
      <c r="A34" s="31" t="s">
        <v>5</v>
      </c>
      <c r="B34" s="31">
        <f t="shared" ref="B34:T34" si="111">B28-B31-B33-B32</f>
        <v>63.751791099999991</v>
      </c>
      <c r="C34" s="31">
        <f t="shared" si="111"/>
        <v>66.926831599999986</v>
      </c>
      <c r="D34" s="31">
        <f t="shared" si="111"/>
        <v>74.966276100000016</v>
      </c>
      <c r="E34" s="31">
        <f t="shared" si="111"/>
        <v>79.714106999999998</v>
      </c>
      <c r="F34" s="31">
        <f t="shared" si="111"/>
        <v>121.93990000000002</v>
      </c>
      <c r="G34" s="31">
        <f t="shared" si="111"/>
        <v>191.20619999999997</v>
      </c>
      <c r="H34" s="31">
        <f t="shared" si="111"/>
        <v>305.28369999999995</v>
      </c>
      <c r="I34" s="31">
        <f t="shared" si="111"/>
        <v>370.37870000000009</v>
      </c>
      <c r="J34" s="31">
        <f t="shared" si="111"/>
        <v>493.976</v>
      </c>
      <c r="K34" s="31">
        <f t="shared" si="111"/>
        <v>452.46270000000004</v>
      </c>
      <c r="L34" s="31">
        <f t="shared" si="111"/>
        <v>544.69960000000026</v>
      </c>
      <c r="M34" s="31">
        <f t="shared" si="111"/>
        <v>673.20339999999999</v>
      </c>
      <c r="N34" s="31">
        <f t="shared" si="111"/>
        <v>722.09159999999997</v>
      </c>
      <c r="O34" s="31">
        <f t="shared" si="111"/>
        <v>668.75059999999996</v>
      </c>
      <c r="P34" s="31">
        <f t="shared" si="111"/>
        <v>652.25659999999993</v>
      </c>
      <c r="Q34" s="31">
        <f t="shared" si="111"/>
        <v>678.88209999999992</v>
      </c>
      <c r="R34" s="31">
        <f t="shared" si="111"/>
        <v>660.16440000000011</v>
      </c>
      <c r="S34" s="31">
        <f t="shared" si="111"/>
        <v>628.66650000000004</v>
      </c>
      <c r="T34" s="31">
        <f t="shared" si="111"/>
        <v>659.72680000000003</v>
      </c>
      <c r="U34" s="31">
        <f t="shared" ref="U34:Z34" si="112">U28-U31-U33-U32</f>
        <v>585.04469999999992</v>
      </c>
      <c r="V34" s="31">
        <f t="shared" si="112"/>
        <v>559.07899999999995</v>
      </c>
      <c r="W34" s="31">
        <f t="shared" si="112"/>
        <v>640.24159999999995</v>
      </c>
      <c r="X34" s="31">
        <f t="shared" si="112"/>
        <v>815.33</v>
      </c>
      <c r="Y34" s="31">
        <f t="shared" si="112"/>
        <v>1075.26</v>
      </c>
      <c r="Z34" s="31">
        <f t="shared" si="112"/>
        <v>1200.6500000000001</v>
      </c>
      <c r="AA34" s="31">
        <f t="shared" ref="AA34" si="113">AA28-AA31-AA33-AA32</f>
        <v>1240.9300000000003</v>
      </c>
      <c r="AB34" s="32">
        <f t="shared" ref="AB34:AD34" si="114">AB28-AB31-AB33-AB32</f>
        <v>1475.8670835236057</v>
      </c>
      <c r="AC34" s="32">
        <f t="shared" si="114"/>
        <v>1623.648059000323</v>
      </c>
      <c r="AD34" s="32">
        <f t="shared" si="114"/>
        <v>1784.6380619916524</v>
      </c>
      <c r="AE34" s="32">
        <f t="shared" ref="AE34" si="115">AE28-AE31-AE33-AE32</f>
        <v>1962.8656071005057</v>
      </c>
      <c r="AI34" s="31">
        <f t="shared" ref="AI34" si="116">AI28-AI31-AI33-AI32</f>
        <v>80.147999999999968</v>
      </c>
      <c r="AJ34" s="31">
        <f t="shared" ref="AJ34" si="117">AJ28-AJ31-AJ33-AJ32</f>
        <v>127.262</v>
      </c>
      <c r="AK34" s="31">
        <f t="shared" ref="AK34:AM34" si="118">AK28-AK31-AK33-AK32</f>
        <v>80.350999999999999</v>
      </c>
      <c r="AL34" s="31">
        <f t="shared" si="118"/>
        <v>54.502999999999986</v>
      </c>
      <c r="AM34" s="31">
        <f t="shared" si="118"/>
        <v>46.821999999999996</v>
      </c>
      <c r="AN34" s="31">
        <f t="shared" ref="AN34:AO34" si="119">AN28-AN31-AN33-AN32</f>
        <v>63.011000000000003</v>
      </c>
      <c r="AO34" s="31">
        <f t="shared" si="119"/>
        <v>54.428999999999995</v>
      </c>
      <c r="AP34" s="31">
        <f t="shared" ref="AP34:CD34" si="120">AP28-AP31-AP33-AP32</f>
        <v>66.706999999999979</v>
      </c>
      <c r="AQ34" s="31">
        <f t="shared" si="120"/>
        <v>108.43399999999998</v>
      </c>
      <c r="AR34" s="31">
        <f t="shared" si="120"/>
        <v>105.30399999999999</v>
      </c>
      <c r="AS34" s="31">
        <f t="shared" si="120"/>
        <v>116.83700000000005</v>
      </c>
      <c r="AT34" s="31">
        <f t="shared" si="120"/>
        <v>177.53300000000002</v>
      </c>
      <c r="AU34" s="31">
        <f t="shared" si="120"/>
        <v>130.90300000000002</v>
      </c>
      <c r="AV34" s="31">
        <f t="shared" si="120"/>
        <v>159.86599999999999</v>
      </c>
      <c r="AW34" s="31">
        <f t="shared" si="120"/>
        <v>168.02199999999996</v>
      </c>
      <c r="AX34" s="31">
        <f t="shared" si="120"/>
        <v>219.02900000000002</v>
      </c>
      <c r="AY34" s="31">
        <f t="shared" si="120"/>
        <v>143.798</v>
      </c>
      <c r="AZ34" s="31">
        <f t="shared" si="120"/>
        <v>142.19500000000002</v>
      </c>
      <c r="BA34" s="31">
        <f t="shared" si="120"/>
        <v>146.17699999999996</v>
      </c>
      <c r="BB34" s="31">
        <f t="shared" si="120"/>
        <v>227.99299999999997</v>
      </c>
      <c r="BC34" s="31">
        <f t="shared" si="120"/>
        <v>115.87400000000002</v>
      </c>
      <c r="BD34" s="31">
        <f t="shared" si="120"/>
        <v>122.121</v>
      </c>
      <c r="BE34" s="31">
        <f t="shared" si="120"/>
        <v>132.67400000000004</v>
      </c>
      <c r="BF34" s="31">
        <f t="shared" si="120"/>
        <v>257.99799999999999</v>
      </c>
      <c r="BG34" s="31">
        <f t="shared" si="120"/>
        <v>166.01000000000002</v>
      </c>
      <c r="BH34" s="31">
        <f t="shared" si="120"/>
        <v>177.47399999999996</v>
      </c>
      <c r="BI34" s="31">
        <f t="shared" si="120"/>
        <v>147.41800000000001</v>
      </c>
      <c r="BJ34" s="31">
        <f t="shared" si="120"/>
        <v>168.82500000000002</v>
      </c>
      <c r="BK34" s="31">
        <f t="shared" si="120"/>
        <v>156.08900000000003</v>
      </c>
      <c r="BL34" s="31">
        <f t="shared" si="120"/>
        <v>143.583</v>
      </c>
      <c r="BM34" s="31">
        <f t="shared" si="120"/>
        <v>165.411</v>
      </c>
      <c r="BN34" s="31">
        <f t="shared" si="120"/>
        <v>131.03100000000001</v>
      </c>
      <c r="BO34" s="31">
        <f t="shared" si="120"/>
        <v>82.029000000000011</v>
      </c>
      <c r="BP34" s="31">
        <f t="shared" si="120"/>
        <v>140.79999999999998</v>
      </c>
      <c r="BQ34" s="31">
        <f t="shared" si="120"/>
        <v>152.06900000000002</v>
      </c>
      <c r="BR34" s="31">
        <f t="shared" si="120"/>
        <v>184.446</v>
      </c>
      <c r="BS34" s="31">
        <f t="shared" si="120"/>
        <v>157.59399999999997</v>
      </c>
      <c r="BT34" s="31">
        <f t="shared" si="120"/>
        <v>164.74000000000004</v>
      </c>
      <c r="BU34" s="31">
        <f t="shared" si="120"/>
        <v>146.82900000000001</v>
      </c>
      <c r="BV34" s="31">
        <f t="shared" si="120"/>
        <v>171.07699999999997</v>
      </c>
      <c r="BW34" s="31">
        <f t="shared" si="120"/>
        <v>184.28000000000003</v>
      </c>
      <c r="BX34" s="31">
        <f t="shared" si="120"/>
        <v>207.32999999999996</v>
      </c>
      <c r="BY34" s="31">
        <f t="shared" si="120"/>
        <v>214.84</v>
      </c>
      <c r="BZ34" s="31">
        <f t="shared" si="120"/>
        <v>208.88000000000002</v>
      </c>
      <c r="CA34" s="31">
        <f t="shared" si="120"/>
        <v>233.23999999999995</v>
      </c>
      <c r="CB34" s="31">
        <f t="shared" si="120"/>
        <v>261.13</v>
      </c>
      <c r="CC34" s="31">
        <f t="shared" si="120"/>
        <v>263.47000000000003</v>
      </c>
      <c r="CD34" s="31">
        <f t="shared" si="120"/>
        <v>317.40999999999997</v>
      </c>
      <c r="CE34" s="31">
        <f t="shared" ref="CE34:CF34" si="121">CE28-CE31-CE33-CE32</f>
        <v>230.77</v>
      </c>
      <c r="CF34" s="31">
        <f t="shared" si="121"/>
        <v>267.67999999999995</v>
      </c>
      <c r="CG34" s="31">
        <f t="shared" ref="CG34:CH34" si="122">CG28-CG31-CG33-CG32</f>
        <v>302.94999999999993</v>
      </c>
      <c r="CH34" s="31">
        <f t="shared" si="122"/>
        <v>396.84000000000003</v>
      </c>
      <c r="CI34" s="31">
        <f t="shared" ref="CI34:CJ34" si="123">CI28-CI31-CI33-CI32</f>
        <v>300.66999999999996</v>
      </c>
      <c r="CJ34" s="31">
        <f t="shared" si="123"/>
        <v>291.87</v>
      </c>
      <c r="CK34" s="31">
        <f t="shared" ref="CK34:CL34" si="124">CK28-CK31-CK33-CK32</f>
        <v>284.97000000000003</v>
      </c>
      <c r="CL34" s="31">
        <f t="shared" si="124"/>
        <v>363.42000000000007</v>
      </c>
      <c r="CM34" s="32">
        <f t="shared" ref="CM34:DB34" si="125">+CM35*CM28</f>
        <v>371.87010561801776</v>
      </c>
      <c r="CN34" s="32">
        <f t="shared" si="125"/>
        <v>356.42160227309466</v>
      </c>
      <c r="CO34" s="32">
        <f t="shared" si="125"/>
        <v>365.75174437351262</v>
      </c>
      <c r="CP34" s="32">
        <f t="shared" si="125"/>
        <v>381.82363125898081</v>
      </c>
      <c r="CQ34" s="32">
        <f t="shared" si="125"/>
        <v>394.22579686663624</v>
      </c>
      <c r="CR34" s="32">
        <f t="shared" si="125"/>
        <v>395.55718248584714</v>
      </c>
      <c r="CS34" s="32">
        <f t="shared" si="125"/>
        <v>411.34801117638779</v>
      </c>
      <c r="CT34" s="32">
        <f t="shared" si="125"/>
        <v>422.51706847145186</v>
      </c>
      <c r="CU34" s="32">
        <f t="shared" si="125"/>
        <v>429.82694004673061</v>
      </c>
      <c r="CV34" s="32">
        <f t="shared" si="125"/>
        <v>436.26099759462704</v>
      </c>
      <c r="CW34" s="32">
        <f t="shared" si="125"/>
        <v>453.95962211055877</v>
      </c>
      <c r="CX34" s="32">
        <f t="shared" si="125"/>
        <v>464.590502239736</v>
      </c>
      <c r="CY34" s="32">
        <f t="shared" si="125"/>
        <v>472.14156256904113</v>
      </c>
      <c r="CZ34" s="32">
        <f t="shared" si="125"/>
        <v>480.23960196895206</v>
      </c>
      <c r="DA34" s="32">
        <f t="shared" si="125"/>
        <v>499.55709104759711</v>
      </c>
      <c r="DB34" s="32">
        <f t="shared" si="125"/>
        <v>510.92735151491524</v>
      </c>
      <c r="DE34" s="124"/>
      <c r="DF34" s="31">
        <v>1240.9300000000003</v>
      </c>
    </row>
    <row r="35" spans="1:110" s="41" customFormat="1" x14ac:dyDescent="0.2">
      <c r="A35" s="41" t="s">
        <v>6</v>
      </c>
      <c r="B35" s="41">
        <f>B34/B28</f>
        <v>0.45469775219452474</v>
      </c>
      <c r="C35" s="41">
        <f t="shared" ref="C35:U35" si="126">C34/C28</f>
        <v>0.49026002828964305</v>
      </c>
      <c r="D35" s="41">
        <f t="shared" si="126"/>
        <v>0.47540670214708575</v>
      </c>
      <c r="E35" s="41">
        <f t="shared" si="126"/>
        <v>0.48008090194891984</v>
      </c>
      <c r="F35" s="41">
        <f t="shared" si="126"/>
        <v>0.42380298323623933</v>
      </c>
      <c r="G35" s="41">
        <f t="shared" si="126"/>
        <v>0.41883752697602972</v>
      </c>
      <c r="H35" s="41">
        <f t="shared" si="126"/>
        <v>0.41081921159409052</v>
      </c>
      <c r="I35" s="41">
        <f t="shared" si="126"/>
        <v>0.4369008781929572</v>
      </c>
      <c r="J35" s="41">
        <f t="shared" si="126"/>
        <v>0.50662521573642072</v>
      </c>
      <c r="K35" s="41">
        <f t="shared" si="126"/>
        <v>0.42455862671501815</v>
      </c>
      <c r="L35" s="41">
        <f t="shared" si="126"/>
        <v>0.42469590986428918</v>
      </c>
      <c r="M35" s="41">
        <f t="shared" si="126"/>
        <v>0.41730495136766793</v>
      </c>
      <c r="N35" s="41">
        <f t="shared" si="126"/>
        <v>0.47293002453553612</v>
      </c>
      <c r="O35" s="41">
        <f t="shared" si="126"/>
        <v>0.5172413499728018</v>
      </c>
      <c r="P35" s="41">
        <f t="shared" si="126"/>
        <v>0.49082795008317087</v>
      </c>
      <c r="Q35" s="41">
        <f t="shared" si="126"/>
        <v>0.53022776261102933</v>
      </c>
      <c r="R35" s="41">
        <f t="shared" si="126"/>
        <v>0.54943541675908347</v>
      </c>
      <c r="S35" s="41">
        <f t="shared" si="126"/>
        <v>0.53266444105508592</v>
      </c>
      <c r="T35" s="41">
        <f t="shared" si="126"/>
        <v>0.53862094961784124</v>
      </c>
      <c r="U35" s="41">
        <f t="shared" si="126"/>
        <v>0.53749523755887763</v>
      </c>
      <c r="V35" s="41">
        <f t="shared" ref="V35:AA35" si="127">V34/V28</f>
        <v>0.53529088709390182</v>
      </c>
      <c r="W35" s="41">
        <f t="shared" si="127"/>
        <v>0.52827576942797272</v>
      </c>
      <c r="X35" s="41">
        <f t="shared" si="127"/>
        <v>0.53300690340463364</v>
      </c>
      <c r="Y35" s="41">
        <f t="shared" si="127"/>
        <v>0.55499581918221141</v>
      </c>
      <c r="Z35" s="41">
        <f t="shared" si="127"/>
        <v>0.53914304702374538</v>
      </c>
      <c r="AA35" s="41">
        <f t="shared" si="127"/>
        <v>0.52447327824855783</v>
      </c>
      <c r="AB35" s="42">
        <f t="shared" ref="AB35:AD35" si="128">AB34/AB28</f>
        <v>0.51511346457661022</v>
      </c>
      <c r="AC35" s="42">
        <f t="shared" si="128"/>
        <v>0.51260705506465543</v>
      </c>
      <c r="AD35" s="42">
        <f t="shared" si="128"/>
        <v>0.51222895001552116</v>
      </c>
      <c r="AE35" s="42">
        <f t="shared" ref="AE35" si="129">AE34/AE28</f>
        <v>0.51217887528125172</v>
      </c>
      <c r="AI35" s="41">
        <f t="shared" ref="AI35" si="130">AI34/AI28</f>
        <v>0.3399385847344043</v>
      </c>
      <c r="AJ35" s="41">
        <f t="shared" ref="AJ35" si="131">AJ34/AJ28</f>
        <v>0.38601440175684448</v>
      </c>
      <c r="AK35" s="41">
        <f t="shared" ref="AK35:AM35" si="132">AK34/AK28</f>
        <v>0.39828987806087041</v>
      </c>
      <c r="AL35" s="41">
        <f t="shared" si="132"/>
        <v>0.30040621503491682</v>
      </c>
      <c r="AM35" s="41">
        <f t="shared" si="132"/>
        <v>0.44453938686186822</v>
      </c>
      <c r="AN35" s="41">
        <f t="shared" ref="AN35:AO35" si="133">AN34/AN28</f>
        <v>0.52234500252837168</v>
      </c>
      <c r="AO35" s="41">
        <f t="shared" si="133"/>
        <v>0.48495567336392387</v>
      </c>
      <c r="AP35" s="41">
        <f t="shared" ref="AP35:CD35" si="134">AP34/AP28</f>
        <v>0.40914750458479249</v>
      </c>
      <c r="AQ35" s="41">
        <f t="shared" si="134"/>
        <v>0.40482501661352821</v>
      </c>
      <c r="AR35" s="41">
        <f t="shared" si="134"/>
        <v>0.35295103451280863</v>
      </c>
      <c r="AS35" s="41">
        <f t="shared" si="134"/>
        <v>0.3831261456533217</v>
      </c>
      <c r="AT35" s="41">
        <f t="shared" si="134"/>
        <v>0.38259031224341583</v>
      </c>
      <c r="AU35" s="41">
        <f t="shared" si="134"/>
        <v>0.50252793783998562</v>
      </c>
      <c r="AV35" s="41">
        <f t="shared" si="134"/>
        <v>0.55882157600925619</v>
      </c>
      <c r="AW35" s="41">
        <f t="shared" si="134"/>
        <v>0.50725613382562929</v>
      </c>
      <c r="AX35" s="41">
        <f t="shared" si="134"/>
        <v>0.52144050889664462</v>
      </c>
      <c r="AY35" s="41">
        <f t="shared" si="134"/>
        <v>0.5792630607912409</v>
      </c>
      <c r="AZ35" s="41">
        <f t="shared" si="134"/>
        <v>0.58360113440946282</v>
      </c>
      <c r="BA35" s="41">
        <f t="shared" si="134"/>
        <v>0.50867351732441557</v>
      </c>
      <c r="BB35" s="41">
        <f t="shared" si="134"/>
        <v>0.53992488182860165</v>
      </c>
      <c r="BC35" s="41">
        <f t="shared" si="134"/>
        <v>0.49436620319212943</v>
      </c>
      <c r="BD35" s="41">
        <f t="shared" si="134"/>
        <v>0.48924526563332543</v>
      </c>
      <c r="BE35" s="41">
        <f t="shared" si="134"/>
        <v>0.51208479037848442</v>
      </c>
      <c r="BF35" s="41">
        <f t="shared" si="134"/>
        <v>0.59018996028768544</v>
      </c>
      <c r="BG35" s="41">
        <f t="shared" si="134"/>
        <v>0.54701220818162355</v>
      </c>
      <c r="BH35" s="41">
        <f t="shared" si="134"/>
        <v>0.55328700629436678</v>
      </c>
      <c r="BI35" s="41">
        <f t="shared" si="134"/>
        <v>0.54070370927336675</v>
      </c>
      <c r="BJ35" s="41">
        <f t="shared" si="134"/>
        <v>0.51478099129453747</v>
      </c>
      <c r="BK35" s="41">
        <f t="shared" si="134"/>
        <v>0.57516342277675025</v>
      </c>
      <c r="BL35" s="41">
        <f t="shared" si="134"/>
        <v>0.53945919950706522</v>
      </c>
      <c r="BM35" s="41">
        <f t="shared" si="134"/>
        <v>0.59181461048021811</v>
      </c>
      <c r="BN35" s="41">
        <f t="shared" si="134"/>
        <v>0.48802207870566938</v>
      </c>
      <c r="BO35" s="41">
        <f t="shared" si="134"/>
        <v>0.60860500660325567</v>
      </c>
      <c r="BP35" s="41">
        <f t="shared" si="134"/>
        <v>0.5340332405349435</v>
      </c>
      <c r="BQ35" s="41">
        <f t="shared" si="134"/>
        <v>0.51350721623027107</v>
      </c>
      <c r="BR35" s="41">
        <f t="shared" si="134"/>
        <v>0.52678989638193596</v>
      </c>
      <c r="BS35" s="41">
        <f t="shared" si="134"/>
        <v>0.53565322610797073</v>
      </c>
      <c r="BT35" s="41">
        <f t="shared" si="134"/>
        <v>0.52461125458963209</v>
      </c>
      <c r="BU35" s="41">
        <f t="shared" si="134"/>
        <v>0.53943767014831601</v>
      </c>
      <c r="BV35" s="41">
        <f t="shared" si="134"/>
        <v>0.516030465274112</v>
      </c>
      <c r="BW35" s="41">
        <f t="shared" si="134"/>
        <v>0.56230928841694139</v>
      </c>
      <c r="BX35" s="41">
        <f t="shared" si="134"/>
        <v>0.53354435265961542</v>
      </c>
      <c r="BY35" s="41">
        <f t="shared" si="134"/>
        <v>0.55254359343655168</v>
      </c>
      <c r="BZ35" s="41">
        <f t="shared" si="134"/>
        <v>0.49201488670089982</v>
      </c>
      <c r="CA35" s="41">
        <f t="shared" si="134"/>
        <v>0.56291934160351398</v>
      </c>
      <c r="CB35" s="41">
        <f t="shared" si="134"/>
        <v>0.53852340688801814</v>
      </c>
      <c r="CC35" s="41">
        <f t="shared" si="134"/>
        <v>0.55636033448771016</v>
      </c>
      <c r="CD35" s="41">
        <f t="shared" si="134"/>
        <v>0.56216570436753921</v>
      </c>
      <c r="CE35" s="41">
        <f t="shared" ref="CE35:CF35" si="135">CE34/CE28</f>
        <v>0.58815883372413091</v>
      </c>
      <c r="CF35" s="41">
        <f t="shared" si="135"/>
        <v>0.52678395717715587</v>
      </c>
      <c r="CG35" s="41">
        <f t="shared" ref="CG35:CH35" si="136">CG34/CG28</f>
        <v>0.57280341848021321</v>
      </c>
      <c r="CH35" s="41">
        <f t="shared" si="136"/>
        <v>0.49756134257808093</v>
      </c>
      <c r="CI35" s="41">
        <f t="shared" ref="CI35:CJ35" si="137">CI34/CI28</f>
        <v>0.61289928042888875</v>
      </c>
      <c r="CJ35" s="41">
        <f t="shared" si="137"/>
        <v>0.50485184992994658</v>
      </c>
      <c r="CK35" s="41">
        <f t="shared" ref="CK35:CL35" si="138">CK34/CK28</f>
        <v>0.51649327581832027</v>
      </c>
      <c r="CL35" s="41">
        <f t="shared" si="138"/>
        <v>0.48741299070559685</v>
      </c>
      <c r="CM35" s="42">
        <f t="shared" ref="CM35:DB35" si="139">AVERAGE(CI35:CL35)</f>
        <v>0.53041434922068809</v>
      </c>
      <c r="CN35" s="42">
        <f t="shared" si="139"/>
        <v>0.509793116418638</v>
      </c>
      <c r="CO35" s="42">
        <f t="shared" si="139"/>
        <v>0.5110284330408108</v>
      </c>
      <c r="CP35" s="42">
        <f t="shared" si="139"/>
        <v>0.50966222234643344</v>
      </c>
      <c r="CQ35" s="42">
        <f t="shared" si="139"/>
        <v>0.51522453025664261</v>
      </c>
      <c r="CR35" s="42">
        <f t="shared" si="139"/>
        <v>0.51142707551563116</v>
      </c>
      <c r="CS35" s="42">
        <f t="shared" si="139"/>
        <v>0.51183556528987939</v>
      </c>
      <c r="CT35" s="42">
        <f t="shared" si="139"/>
        <v>0.51203734835214665</v>
      </c>
      <c r="CU35" s="42">
        <f t="shared" si="139"/>
        <v>0.51263112985357495</v>
      </c>
      <c r="CV35" s="42">
        <f t="shared" si="139"/>
        <v>0.51198277975280804</v>
      </c>
      <c r="CW35" s="42">
        <f t="shared" si="139"/>
        <v>0.51212170581210215</v>
      </c>
      <c r="CX35" s="42">
        <f t="shared" si="139"/>
        <v>0.51219324094265795</v>
      </c>
      <c r="CY35" s="42">
        <f t="shared" si="139"/>
        <v>0.51223221409028574</v>
      </c>
      <c r="CZ35" s="42">
        <f t="shared" si="139"/>
        <v>0.51213248514946352</v>
      </c>
      <c r="DA35" s="42">
        <f t="shared" si="139"/>
        <v>0.51216991149862734</v>
      </c>
      <c r="DB35" s="42">
        <f t="shared" si="139"/>
        <v>0.51218196292025864</v>
      </c>
      <c r="DE35" s="125"/>
      <c r="DF35" s="41">
        <v>0.52447327824855783</v>
      </c>
    </row>
    <row r="36" spans="1:110" s="39" customFormat="1" x14ac:dyDescent="0.2">
      <c r="A36" s="39" t="s">
        <v>447</v>
      </c>
      <c r="C36" s="39">
        <f t="shared" ref="C36:AE36" si="140">+IF(B34&lt;0,1-C34/B34,C34/B34-1)</f>
        <v>4.9803157608853343E-2</v>
      </c>
      <c r="D36" s="39">
        <f t="shared" si="140"/>
        <v>0.12012289104090845</v>
      </c>
      <c r="E36" s="39">
        <f t="shared" si="140"/>
        <v>6.3332889760546296E-2</v>
      </c>
      <c r="F36" s="39">
        <f t="shared" si="140"/>
        <v>0.5297154366917769</v>
      </c>
      <c r="G36" s="39">
        <f t="shared" si="140"/>
        <v>0.56803638513726784</v>
      </c>
      <c r="H36" s="39">
        <f t="shared" si="140"/>
        <v>0.59662029787737003</v>
      </c>
      <c r="I36" s="39">
        <f t="shared" si="140"/>
        <v>0.21322789261267516</v>
      </c>
      <c r="J36" s="39">
        <f t="shared" si="140"/>
        <v>0.33370520496993983</v>
      </c>
      <c r="K36" s="39">
        <f t="shared" si="140"/>
        <v>-8.4039103114321279E-2</v>
      </c>
      <c r="L36" s="39">
        <f t="shared" si="140"/>
        <v>0.20385525701897689</v>
      </c>
      <c r="M36" s="39">
        <f t="shared" si="140"/>
        <v>0.23591682461305208</v>
      </c>
      <c r="N36" s="39">
        <f t="shared" si="140"/>
        <v>7.26202511752021E-2</v>
      </c>
      <c r="O36" s="39">
        <f t="shared" si="140"/>
        <v>-7.3870129496036219E-2</v>
      </c>
      <c r="P36" s="39">
        <f t="shared" si="140"/>
        <v>-2.4663903105283214E-2</v>
      </c>
      <c r="Q36" s="39">
        <f t="shared" si="140"/>
        <v>4.0820591159982156E-2</v>
      </c>
      <c r="R36" s="39">
        <f t="shared" si="140"/>
        <v>-2.7571355909958184E-2</v>
      </c>
      <c r="S36" s="39">
        <f t="shared" si="140"/>
        <v>-4.7712206232265908E-2</v>
      </c>
      <c r="T36" s="39">
        <f t="shared" si="140"/>
        <v>4.9406640881930253E-2</v>
      </c>
      <c r="U36" s="39">
        <f t="shared" si="140"/>
        <v>-0.11320155555299571</v>
      </c>
      <c r="V36" s="39">
        <f t="shared" si="140"/>
        <v>-4.4382420693666602E-2</v>
      </c>
      <c r="W36" s="39">
        <f t="shared" si="140"/>
        <v>0.14517197032977447</v>
      </c>
      <c r="X36" s="39">
        <f t="shared" si="140"/>
        <v>0.27347238917308725</v>
      </c>
      <c r="Y36" s="39">
        <f t="shared" si="140"/>
        <v>0.31880342928630112</v>
      </c>
      <c r="Z36" s="39">
        <f t="shared" si="140"/>
        <v>0.11661365623198128</v>
      </c>
      <c r="AA36" s="39">
        <f t="shared" si="140"/>
        <v>3.3548494565443843E-2</v>
      </c>
      <c r="AB36" s="40">
        <f t="shared" si="140"/>
        <v>0.18932339739034876</v>
      </c>
      <c r="AC36" s="40">
        <f t="shared" si="140"/>
        <v>0.10013162914636786</v>
      </c>
      <c r="AD36" s="40">
        <f t="shared" si="140"/>
        <v>9.915326298634608E-2</v>
      </c>
      <c r="AE36" s="40">
        <f t="shared" si="140"/>
        <v>9.9867614002332683E-2</v>
      </c>
      <c r="AM36" s="39">
        <f>+IF(AI34&lt;0,1-AM34/AI34,AM34/AI34-1)</f>
        <v>-0.41580575934521113</v>
      </c>
      <c r="AN36" s="39">
        <f t="shared" ref="AN36" si="141">+IF(AJ34&lt;0,1-AN34/AJ34,AN34/AJ34-1)</f>
        <v>-0.50487183919787526</v>
      </c>
      <c r="AO36" s="39">
        <f t="shared" ref="AO36" si="142">+IF(AK34&lt;0,1-AO34/AK34,AO34/AK34-1)</f>
        <v>-0.32260955059675678</v>
      </c>
      <c r="AP36" s="39">
        <f t="shared" ref="AP36" si="143">+IF(AL34&lt;0,1-AP34/AL34,AP34/AL34-1)</f>
        <v>0.22391427994789281</v>
      </c>
      <c r="AQ36" s="39">
        <f t="shared" ref="AQ36" si="144">+IF(AM34&lt;0,1-AQ34/AM34,AQ34/AM34-1)</f>
        <v>1.3158771517662635</v>
      </c>
      <c r="AR36" s="39">
        <f t="shared" ref="AR36" si="145">+IF(AN34&lt;0,1-AR34/AN34,AR34/AN34-1)</f>
        <v>0.67120026662011378</v>
      </c>
      <c r="AS36" s="39">
        <f t="shared" ref="AS36" si="146">+IF(AO34&lt;0,1-AS34/AO34,AS34/AO34-1)</f>
        <v>1.1465946462363825</v>
      </c>
      <c r="AT36" s="39">
        <f t="shared" ref="AT36" si="147">+IF(AP34&lt;0,1-AT34/AP34,AT34/AP34-1)</f>
        <v>1.6613848621583953</v>
      </c>
      <c r="AU36" s="39">
        <f t="shared" ref="AU36" si="148">+IF(AQ34&lt;0,1-AU34/AQ34,AU34/AQ34-1)</f>
        <v>0.20721360458896698</v>
      </c>
      <c r="AV36" s="39">
        <f t="shared" ref="AV36" si="149">+IF(AR34&lt;0,1-AV34/AR34,AV34/AR34-1)</f>
        <v>0.51813796247056154</v>
      </c>
      <c r="AW36" s="39">
        <f t="shared" ref="AW36" si="150">+IF(AS34&lt;0,1-AW34/AS34,AW34/AS34-1)</f>
        <v>0.43808896154471522</v>
      </c>
      <c r="AX36" s="39">
        <f t="shared" ref="AX36" si="151">+IF(AT34&lt;0,1-AX34/AT34,AX34/AT34-1)</f>
        <v>0.23373682639283966</v>
      </c>
      <c r="AY36" s="39">
        <f t="shared" ref="AY36" si="152">+IF(AU34&lt;0,1-AY34/AU34,AY34/AU34-1)</f>
        <v>9.8508055583141463E-2</v>
      </c>
      <c r="AZ36" s="39">
        <f t="shared" ref="AZ36" si="153">+IF(AV34&lt;0,1-AZ34/AV34,AZ34/AV34-1)</f>
        <v>-0.11053632417149339</v>
      </c>
      <c r="BA36" s="39">
        <f t="shared" ref="BA36" si="154">+IF(AW34&lt;0,1-BA34/AW34,BA34/AW34-1)</f>
        <v>-0.13001273642737265</v>
      </c>
      <c r="BB36" s="39">
        <f t="shared" ref="BB36" si="155">+IF(AX34&lt;0,1-BB34/AX34,BB34/AX34-1)</f>
        <v>4.0926087413082124E-2</v>
      </c>
      <c r="BC36" s="39">
        <f t="shared" ref="BC36" si="156">+IF(AY34&lt;0,1-BC34/AY34,BC34/AY34-1)</f>
        <v>-0.19418907077984382</v>
      </c>
      <c r="BD36" s="39">
        <f t="shared" ref="BD36" si="157">+IF(AZ34&lt;0,1-BD34/AZ34,BD34/AZ34-1)</f>
        <v>-0.14117233376701022</v>
      </c>
      <c r="BE36" s="39">
        <f t="shared" ref="BE36" si="158">+IF(BA34&lt;0,1-BE34/BA34,BE34/BA34-1)</f>
        <v>-9.2374313332466373E-2</v>
      </c>
      <c r="BF36" s="39">
        <f t="shared" ref="BF36" si="159">+IF(BB34&lt;0,1-BF34/BB34,BF34/BB34-1)</f>
        <v>0.13160491769484173</v>
      </c>
      <c r="BG36" s="39">
        <f t="shared" ref="BG36" si="160">+IF(BC34&lt;0,1-BG34/BC34,BG34/BC34-1)</f>
        <v>0.43267687315532366</v>
      </c>
      <c r="BH36" s="39">
        <f t="shared" ref="BH36" si="161">+IF(BD34&lt;0,1-BH34/BD34,BH34/BD34-1)</f>
        <v>0.45326356646277022</v>
      </c>
      <c r="BI36" s="39">
        <f t="shared" ref="BI36" si="162">+IF(BE34&lt;0,1-BI34/BE34,BI34/BE34-1)</f>
        <v>0.11112953555331084</v>
      </c>
      <c r="BJ36" s="39">
        <f t="shared" ref="BJ36" si="163">+IF(BF34&lt;0,1-BJ34/BF34,BJ34/BF34-1)</f>
        <v>-0.34563446228265327</v>
      </c>
      <c r="BK36" s="39">
        <f t="shared" ref="BK36" si="164">+IF(BG34&lt;0,1-BK34/BG34,BK34/BG34-1)</f>
        <v>-5.9761460153002766E-2</v>
      </c>
      <c r="BL36" s="39">
        <f t="shared" ref="BL36" si="165">+IF(BH34&lt;0,1-BL34/BH34,BL34/BH34-1)</f>
        <v>-0.19096318333953122</v>
      </c>
      <c r="BM36" s="39">
        <f t="shared" ref="BM36" si="166">+IF(BI34&lt;0,1-BM34/BI34,BM34/BI34-1)</f>
        <v>0.12205429459089112</v>
      </c>
      <c r="BN36" s="39">
        <f t="shared" ref="BN36" si="167">+IF(BJ34&lt;0,1-BN34/BJ34,BN34/BJ34-1)</f>
        <v>-0.22386494891159492</v>
      </c>
      <c r="BO36" s="39">
        <f t="shared" ref="BO36" si="168">+IF(BK34&lt;0,1-BO34/BK34,BO34/BK34-1)</f>
        <v>-0.47447289687293792</v>
      </c>
      <c r="BP36" s="39">
        <f t="shared" ref="BP36" si="169">+IF(BL34&lt;0,1-BP34/BL34,BP34/BL34-1)</f>
        <v>-1.9382517428943591E-2</v>
      </c>
      <c r="BQ36" s="39">
        <f t="shared" ref="BQ36" si="170">+IF(BM34&lt;0,1-BQ34/BM34,BQ34/BM34-1)</f>
        <v>-8.0659690105252868E-2</v>
      </c>
      <c r="BR36" s="39">
        <f t="shared" ref="BR36" si="171">+IF(BN34&lt;0,1-BR34/BN34,BR34/BN34-1)</f>
        <v>0.40765162442475433</v>
      </c>
      <c r="BS36" s="39">
        <f t="shared" ref="BS36" si="172">+IF(BO34&lt;0,1-BS34/BO34,BS34/BO34-1)</f>
        <v>0.92119860049494617</v>
      </c>
      <c r="BT36" s="39">
        <f t="shared" ref="BT36" si="173">+IF(BP34&lt;0,1-BT34/BP34,BT34/BP34-1)</f>
        <v>0.17002840909090944</v>
      </c>
      <c r="BU36" s="39">
        <f t="shared" ref="BU36" si="174">+IF(BQ34&lt;0,1-BU34/BQ34,BU34/BQ34-1)</f>
        <v>-3.4458042073006401E-2</v>
      </c>
      <c r="BV36" s="39">
        <f t="shared" ref="BV36" si="175">+IF(BR34&lt;0,1-BV34/BR34,BV34/BR34-1)</f>
        <v>-7.2481918827190794E-2</v>
      </c>
      <c r="BW36" s="39">
        <f t="shared" ref="BW36" si="176">+IF(BS34&lt;0,1-BW34/BS34,BW34/BS34-1)</f>
        <v>0.16933385788799105</v>
      </c>
      <c r="BX36" s="39">
        <f t="shared" ref="BX36" si="177">+IF(BT34&lt;0,1-BX34/BT34,BX34/BT34-1)</f>
        <v>0.25852859050625177</v>
      </c>
      <c r="BY36" s="39">
        <f t="shared" ref="BY36" si="178">+IF(BU34&lt;0,1-BY34/BU34,BY34/BU34-1)</f>
        <v>0.46319868690789967</v>
      </c>
      <c r="BZ36" s="39">
        <f t="shared" ref="BZ36" si="179">+IF(BV34&lt;0,1-BZ34/BV34,BZ34/BV34-1)</f>
        <v>0.22097067402397785</v>
      </c>
      <c r="CA36" s="39">
        <f t="shared" ref="CA36" si="180">+IF(BW34&lt;0,1-CA34/BW34,CA34/BW34-1)</f>
        <v>0.26568265682656778</v>
      </c>
      <c r="CB36" s="39">
        <f t="shared" ref="CB36" si="181">+IF(BX34&lt;0,1-CB34/BX34,CB34/BX34-1)</f>
        <v>0.25948970240679126</v>
      </c>
      <c r="CC36" s="39">
        <f t="shared" ref="CC36" si="182">+IF(BY34&lt;0,1-CC34/BY34,CC34/BY34-1)</f>
        <v>0.22635449636939131</v>
      </c>
      <c r="CD36" s="39">
        <f t="shared" ref="CD36" si="183">+IF(BZ34&lt;0,1-CD34/BZ34,CD34/BZ34-1)</f>
        <v>0.51958062045193376</v>
      </c>
      <c r="CE36" s="39">
        <f t="shared" ref="CE36" si="184">+IF(CA34&lt;0,1-CE34/CA34,CE34/CA34-1)</f>
        <v>-1.0589950265820325E-2</v>
      </c>
      <c r="CF36" s="39">
        <f t="shared" ref="CF36" si="185">+IF(CB34&lt;0,1-CF34/CB34,CF34/CB34-1)</f>
        <v>2.5083291846972555E-2</v>
      </c>
      <c r="CG36" s="39">
        <f t="shared" ref="CG36" si="186">+IF(CC34&lt;0,1-CG34/CC34,CG34/CC34-1)</f>
        <v>0.14984628230918084</v>
      </c>
      <c r="CH36" s="39">
        <f t="shared" ref="CH36:CL36" si="187">+IF(CD34&lt;0,1-CH34/CD34,CH34/CD34-1)</f>
        <v>0.25024416369994662</v>
      </c>
      <c r="CI36" s="39">
        <f t="shared" si="187"/>
        <v>0.30289899033669854</v>
      </c>
      <c r="CJ36" s="39">
        <f t="shared" si="187"/>
        <v>9.0369097429767065E-2</v>
      </c>
      <c r="CK36" s="39">
        <f t="shared" si="187"/>
        <v>-5.9349727677834307E-2</v>
      </c>
      <c r="CL36" s="39">
        <f t="shared" si="187"/>
        <v>-8.4215300876927635E-2</v>
      </c>
      <c r="CM36" s="40">
        <f t="shared" ref="CM36" si="188">+CM34/CI34-1</f>
        <v>0.23680482129250602</v>
      </c>
      <c r="CN36" s="40">
        <f t="shared" ref="CN36" si="189">+CN34/CJ34-1</f>
        <v>0.22116559520709456</v>
      </c>
      <c r="CO36" s="40">
        <f t="shared" ref="CO36" si="190">+CO34/CK34-1</f>
        <v>0.28347455652704712</v>
      </c>
      <c r="CP36" s="40">
        <f t="shared" ref="CP36" si="191">+CP34/CL34-1</f>
        <v>5.0640116831711879E-2</v>
      </c>
      <c r="CQ36" s="40">
        <f t="shared" ref="CQ36" si="192">+CQ34/CM34-1</f>
        <v>6.0116935754932932E-2</v>
      </c>
      <c r="CR36" s="40">
        <f t="shared" ref="CR36" si="193">+CR34/CN34-1</f>
        <v>0.10980136995951861</v>
      </c>
      <c r="CS36" s="40">
        <f t="shared" ref="CS36" si="194">+CS34/CO34-1</f>
        <v>0.12466452314800547</v>
      </c>
      <c r="CT36" s="40">
        <f t="shared" ref="CT36" si="195">+CT34/CP34-1</f>
        <v>0.10657652874520429</v>
      </c>
      <c r="CU36" s="40">
        <f t="shared" ref="CU36" si="196">+CU34/CQ34-1</f>
        <v>9.0306477818187902E-2</v>
      </c>
      <c r="CV36" s="40">
        <f t="shared" ref="CV36" si="197">+CV34/CR34-1</f>
        <v>0.10290248012431502</v>
      </c>
      <c r="CW36" s="40">
        <f t="shared" ref="CW36" si="198">+CW34/CS34-1</f>
        <v>0.10359017128175418</v>
      </c>
      <c r="CX36" s="40">
        <f t="shared" ref="CX36" si="199">+CX34/CT34-1</f>
        <v>9.9578068929840002E-2</v>
      </c>
      <c r="CY36" s="40">
        <f t="shared" ref="CY36" si="200">+CY34/CU34-1</f>
        <v>9.8445719846480761E-2</v>
      </c>
      <c r="CZ36" s="40">
        <f t="shared" ref="CZ36" si="201">+CZ34/CV34-1</f>
        <v>0.10080801313160226</v>
      </c>
      <c r="DA36" s="40">
        <f t="shared" ref="DA36" si="202">+DA34/CW34-1</f>
        <v>0.10044388689250727</v>
      </c>
      <c r="DB36" s="40">
        <f t="shared" ref="DB36" si="203">+DB34/CX34-1</f>
        <v>9.9736970626379096E-2</v>
      </c>
      <c r="DE36" s="122"/>
      <c r="DF36" s="39">
        <v>3.5627253304847173E-2</v>
      </c>
    </row>
    <row r="37" spans="1:110" s="39" customFormat="1" x14ac:dyDescent="0.2">
      <c r="A37" s="39" t="s">
        <v>448</v>
      </c>
      <c r="AB37" s="40"/>
      <c r="AC37" s="40"/>
      <c r="AD37" s="40"/>
      <c r="AE37" s="40"/>
      <c r="AJ37" s="39">
        <f>+IF(AI34&lt;0,1-AJ34/AI34,AJ34/AI34-1)</f>
        <v>0.58783750062384654</v>
      </c>
      <c r="AK37" s="39">
        <f t="shared" ref="AK37" si="204">+IF(AJ34&lt;0,1-AK34/AJ34,AK34/AJ34-1)</f>
        <v>-0.36861749776052555</v>
      </c>
      <c r="AL37" s="39">
        <f t="shared" ref="AL37" si="205">+IF(AK34&lt;0,1-AL34/AK34,AL34/AK34-1)</f>
        <v>-0.32168859130564664</v>
      </c>
      <c r="AM37" s="39">
        <f t="shared" ref="AM37" si="206">+IF(AL34&lt;0,1-AM34/AL34,AM34/AL34-1)</f>
        <v>-0.14092802231069834</v>
      </c>
      <c r="AN37" s="39">
        <f t="shared" ref="AN37" si="207">+IF(AM34&lt;0,1-AN34/AM34,AN34/AM34-1)</f>
        <v>0.34575626842082796</v>
      </c>
      <c r="AO37" s="39">
        <f t="shared" ref="AO37" si="208">+IF(AN34&lt;0,1-AO34/AN34,AO34/AN34-1)</f>
        <v>-0.13619844154195315</v>
      </c>
      <c r="AP37" s="39">
        <f t="shared" ref="AP37" si="209">+IF(AO34&lt;0,1-AP34/AO34,AP34/AO34-1)</f>
        <v>0.22557827628653815</v>
      </c>
      <c r="AQ37" s="39">
        <f t="shared" ref="AQ37" si="210">+IF(AP34&lt;0,1-AQ34/AP34,AQ34/AP34-1)</f>
        <v>0.62552655643335808</v>
      </c>
      <c r="AR37" s="39">
        <f t="shared" ref="AR37" si="211">+IF(AQ34&lt;0,1-AR34/AQ34,AR34/AQ34-1)</f>
        <v>-2.8865484995481139E-2</v>
      </c>
      <c r="AS37" s="39">
        <f t="shared" ref="AS37" si="212">+IF(AR34&lt;0,1-AS34/AR34,AS34/AR34-1)</f>
        <v>0.1095210058497309</v>
      </c>
      <c r="AT37" s="39">
        <f t="shared" ref="AT37" si="213">+IF(AS34&lt;0,1-AT34/AS34,AT34/AS34-1)</f>
        <v>0.51949296883692608</v>
      </c>
      <c r="AU37" s="39">
        <f t="shared" ref="AU37" si="214">+IF(AT34&lt;0,1-AU34/AT34,AU34/AT34-1)</f>
        <v>-0.26265539364512513</v>
      </c>
      <c r="AV37" s="39">
        <f t="shared" ref="AV37" si="215">+IF(AU34&lt;0,1-AV34/AU34,AV34/AU34-1)</f>
        <v>0.22125543341252651</v>
      </c>
      <c r="AW37" s="39">
        <f t="shared" ref="AW37" si="216">+IF(AV34&lt;0,1-AW34/AV34,AW34/AV34-1)</f>
        <v>5.1017727346652775E-2</v>
      </c>
      <c r="AX37" s="39">
        <f t="shared" ref="AX37" si="217">+IF(AW34&lt;0,1-AX34/AW34,AX34/AW34-1)</f>
        <v>0.30357334158622118</v>
      </c>
      <c r="AY37" s="39">
        <f t="shared" ref="AY37" si="218">+IF(AX34&lt;0,1-AY34/AX34,AY34/AX34-1)</f>
        <v>-0.34347506494573787</v>
      </c>
      <c r="AZ37" s="39">
        <f t="shared" ref="AZ37" si="219">+IF(AY34&lt;0,1-AZ34/AY34,AZ34/AY34-1)</f>
        <v>-1.1147582024784608E-2</v>
      </c>
      <c r="BA37" s="39">
        <f t="shared" ref="BA37" si="220">+IF(AZ34&lt;0,1-BA34/AZ34,BA34/AZ34-1)</f>
        <v>2.8003797601884317E-2</v>
      </c>
      <c r="BB37" s="39">
        <f t="shared" ref="BB37" si="221">+IF(BA34&lt;0,1-BB34/BA34,BB34/BA34-1)</f>
        <v>0.55970501515286286</v>
      </c>
      <c r="BC37" s="39">
        <f t="shared" ref="BC37" si="222">+IF(BB34&lt;0,1-BC34/BB34,BC34/BB34-1)</f>
        <v>-0.49176509805125579</v>
      </c>
      <c r="BD37" s="39">
        <f t="shared" ref="BD37" si="223">+IF(BC34&lt;0,1-BD34/BC34,BD34/BC34-1)</f>
        <v>5.3912007870617895E-2</v>
      </c>
      <c r="BE37" s="39">
        <f t="shared" ref="BE37" si="224">+IF(BD34&lt;0,1-BE34/BD34,BE34/BD34-1)</f>
        <v>8.6414294019865778E-2</v>
      </c>
      <c r="BF37" s="39">
        <f t="shared" ref="BF37" si="225">+IF(BE34&lt;0,1-BF34/BE34,BF34/BE34-1)</f>
        <v>0.94460105220314405</v>
      </c>
      <c r="BG37" s="39">
        <f t="shared" ref="BG37" si="226">+IF(BF34&lt;0,1-BG34/BF34,BG34/BF34-1)</f>
        <v>-0.35654539957674081</v>
      </c>
      <c r="BH37" s="39">
        <f t="shared" ref="BH37" si="227">+IF(BG34&lt;0,1-BH34/BG34,BH34/BG34-1)</f>
        <v>6.9056080958977972E-2</v>
      </c>
      <c r="BI37" s="39">
        <f t="shared" ref="BI37" si="228">+IF(BH34&lt;0,1-BI34/BH34,BI34/BH34-1)</f>
        <v>-0.16935438430417959</v>
      </c>
      <c r="BJ37" s="39">
        <f t="shared" ref="BJ37" si="229">+IF(BI34&lt;0,1-BJ34/BI34,BJ34/BI34-1)</f>
        <v>0.14521293193504192</v>
      </c>
      <c r="BK37" s="39">
        <f t="shared" ref="BK37" si="230">+IF(BJ34&lt;0,1-BK34/BJ34,BK34/BJ34-1)</f>
        <v>-7.5439064119650512E-2</v>
      </c>
      <c r="BL37" s="39">
        <f t="shared" ref="BL37" si="231">+IF(BK34&lt;0,1-BL34/BK34,BL34/BK34-1)</f>
        <v>-8.0120956633715545E-2</v>
      </c>
      <c r="BM37" s="39">
        <f t="shared" ref="BM37" si="232">+IF(BL34&lt;0,1-BM34/BL34,BM34/BL34-1)</f>
        <v>0.15202356824972307</v>
      </c>
      <c r="BN37" s="39">
        <f t="shared" ref="BN37" si="233">+IF(BM34&lt;0,1-BN34/BM34,BN34/BM34-1)</f>
        <v>-0.2078459110941836</v>
      </c>
      <c r="BO37" s="39">
        <f t="shared" ref="BO37" si="234">+IF(BN34&lt;0,1-BO34/BN34,BO34/BN34-1)</f>
        <v>-0.37397257137623918</v>
      </c>
      <c r="BP37" s="39">
        <f t="shared" ref="BP37" si="235">+IF(BO34&lt;0,1-BP34/BO34,BP34/BO34-1)</f>
        <v>0.71646612783283925</v>
      </c>
      <c r="BQ37" s="39">
        <f t="shared" ref="BQ37" si="236">+IF(BP34&lt;0,1-BQ34/BP34,BQ34/BP34-1)</f>
        <v>8.0035511363636624E-2</v>
      </c>
      <c r="BR37" s="39">
        <f t="shared" ref="BR37" si="237">+IF(BQ34&lt;0,1-BR34/BQ34,BR34/BQ34-1)</f>
        <v>0.21290992904536732</v>
      </c>
      <c r="BS37" s="39">
        <f t="shared" ref="BS37" si="238">+IF(BR34&lt;0,1-BS34/BR34,BS34/BR34-1)</f>
        <v>-0.14558190473092414</v>
      </c>
      <c r="BT37" s="39">
        <f t="shared" ref="BT37" si="239">+IF(BS34&lt;0,1-BT34/BS34,BT34/BS34-1)</f>
        <v>4.5344365902255657E-2</v>
      </c>
      <c r="BU37" s="39">
        <f t="shared" ref="BU37" si="240">+IF(BT34&lt;0,1-BU34/BT34,BU34/BT34-1)</f>
        <v>-0.10872283598397492</v>
      </c>
      <c r="BV37" s="39">
        <f t="shared" ref="BV37" si="241">+IF(BU34&lt;0,1-BV34/BU34,BV34/BU34-1)</f>
        <v>0.16514448780554214</v>
      </c>
      <c r="BW37" s="39">
        <f t="shared" ref="BW37" si="242">+IF(BV34&lt;0,1-BW34/BV34,BW34/BV34-1)</f>
        <v>7.7175774651180751E-2</v>
      </c>
      <c r="BX37" s="39">
        <f t="shared" ref="BX37" si="243">+IF(BW34&lt;0,1-BX34/BW34,BX34/BW34-1)</f>
        <v>0.12508139787280181</v>
      </c>
      <c r="BY37" s="39">
        <f t="shared" ref="BY37" si="244">+IF(BX34&lt;0,1-BY34/BX34,BY34/BX34-1)</f>
        <v>3.6222447306226924E-2</v>
      </c>
      <c r="BZ37" s="39">
        <f t="shared" ref="BZ37" si="245">+IF(BY34&lt;0,1-BZ34/BY34,BZ34/BY34-1)</f>
        <v>-2.7741575125674878E-2</v>
      </c>
      <c r="CA37" s="39">
        <f t="shared" ref="CA37" si="246">+IF(BZ34&lt;0,1-CA34/BZ34,CA34/BZ34-1)</f>
        <v>0.11662198391420886</v>
      </c>
      <c r="CB37" s="39">
        <f t="shared" ref="CB37" si="247">+IF(CA34&lt;0,1-CB34/CA34,CB34/CA34-1)</f>
        <v>0.11957640198936748</v>
      </c>
      <c r="CC37" s="39">
        <f t="shared" ref="CC37" si="248">+IF(CB34&lt;0,1-CC34/CB34,CC34/CB34-1)</f>
        <v>8.9610538812088247E-3</v>
      </c>
      <c r="CD37" s="39">
        <f t="shared" ref="CD37" si="249">+IF(CC34&lt;0,1-CD34/CC34,CD34/CC34-1)</f>
        <v>0.20472919117926125</v>
      </c>
      <c r="CE37" s="39">
        <f t="shared" ref="CE37" si="250">+IF(CD34&lt;0,1-CE34/CD34,CE34/CD34-1)</f>
        <v>-0.2729592640433508</v>
      </c>
      <c r="CF37" s="39">
        <f t="shared" ref="CF37" si="251">+IF(CE34&lt;0,1-CF34/CE34,CF34/CE34-1)</f>
        <v>0.15994280019066576</v>
      </c>
      <c r="CG37" s="39">
        <f t="shared" ref="CG37" si="252">+IF(CF34&lt;0,1-CG34/CF34,CG34/CF34-1)</f>
        <v>0.13176180514046609</v>
      </c>
      <c r="CH37" s="39">
        <f t="shared" ref="CH37:CL37" si="253">+IF(CG34&lt;0,1-CH34/CG34,CH34/CG34-1)</f>
        <v>0.30991912856907122</v>
      </c>
      <c r="CI37" s="39">
        <f t="shared" si="253"/>
        <v>-0.242339481907066</v>
      </c>
      <c r="CJ37" s="39">
        <f t="shared" si="253"/>
        <v>-2.926796820434352E-2</v>
      </c>
      <c r="CK37" s="39">
        <f t="shared" si="253"/>
        <v>-2.3640661938534202E-2</v>
      </c>
      <c r="CL37" s="39">
        <f t="shared" si="253"/>
        <v>0.27529213601431746</v>
      </c>
      <c r="CM37" s="40">
        <f t="shared" ref="CM37" si="254">+CM34/CL34-1</f>
        <v>2.3251625166522683E-2</v>
      </c>
      <c r="CN37" s="40">
        <f t="shared" ref="CN37" si="255">+CN34/CM34-1</f>
        <v>-4.1542740627803165E-2</v>
      </c>
      <c r="CO37" s="40">
        <f t="shared" ref="CO37" si="256">+CO34/CN34-1</f>
        <v>2.6177263221181191E-2</v>
      </c>
      <c r="CP37" s="40">
        <f t="shared" ref="CP37" si="257">+CP34/CO34-1</f>
        <v>4.3942064891576482E-2</v>
      </c>
      <c r="CQ37" s="40">
        <f t="shared" ref="CQ37" si="258">+CQ34/CP34-1</f>
        <v>3.2481398720037191E-2</v>
      </c>
      <c r="CR37" s="40">
        <f t="shared" ref="CR37" si="259">+CR34/CQ34-1</f>
        <v>3.3772158742348957E-3</v>
      </c>
      <c r="CS37" s="40">
        <f t="shared" ref="CS37" si="260">+CS34/CR34-1</f>
        <v>3.9920470136086239E-2</v>
      </c>
      <c r="CT37" s="40">
        <f t="shared" ref="CT37" si="261">+CT34/CS34-1</f>
        <v>2.7152330852706408E-2</v>
      </c>
      <c r="CU37" s="40">
        <f t="shared" ref="CU37" si="262">+CU34/CT34-1</f>
        <v>1.7300772254535968E-2</v>
      </c>
      <c r="CV37" s="40">
        <f t="shared" ref="CV37" si="263">+CV34/CU34-1</f>
        <v>1.4968949008168142E-2</v>
      </c>
      <c r="CW37" s="40">
        <f t="shared" ref="CW37" si="264">+CW34/CV34-1</f>
        <v>4.0568890213690922E-2</v>
      </c>
      <c r="CX37" s="40">
        <f t="shared" ref="CX37" si="265">+CX34/CW34-1</f>
        <v>2.3418118289357803E-2</v>
      </c>
      <c r="CY37" s="40">
        <f t="shared" ref="CY37" si="266">+CY34/CX34-1</f>
        <v>1.6253152599767562E-2</v>
      </c>
      <c r="CZ37" s="40">
        <f t="shared" ref="CZ37" si="267">+CZ34/CY34-1</f>
        <v>1.7151718979891317E-2</v>
      </c>
      <c r="DA37" s="40">
        <f t="shared" ref="DA37" si="268">+DA34/CZ34-1</f>
        <v>4.0224689924455603E-2</v>
      </c>
      <c r="DB37" s="40">
        <f t="shared" ref="DB37" si="269">+DB34/DA34-1</f>
        <v>2.2760682754946249E-2</v>
      </c>
      <c r="DE37" s="122"/>
    </row>
    <row r="38" spans="1:110" s="23" customFormat="1" outlineLevel="1" x14ac:dyDescent="0.2">
      <c r="A38" s="23" t="s">
        <v>8</v>
      </c>
      <c r="B38" s="23">
        <f>'Annual Raw'!C14</f>
        <v>14.527117799999999</v>
      </c>
      <c r="C38" s="23">
        <f>'Annual Raw'!D14</f>
        <v>13.9650044</v>
      </c>
      <c r="D38" s="23">
        <f>'Annual Raw'!E14</f>
        <v>13.404496399999999</v>
      </c>
      <c r="E38" s="23">
        <f>'Annual Raw'!F14</f>
        <v>14.263827300000001</v>
      </c>
      <c r="F38" s="23">
        <f>'Annual Raw'!G14</f>
        <v>12.090299999999999</v>
      </c>
      <c r="G38" s="23">
        <f>'Annual Raw'!H14</f>
        <v>19.053699999999999</v>
      </c>
      <c r="H38" s="23">
        <f>'Annual Raw'!I14</f>
        <v>23.3432</v>
      </c>
      <c r="I38" s="23">
        <f>'Annual Raw'!J14</f>
        <v>30.139600000000002</v>
      </c>
      <c r="J38" s="23">
        <f>'Annual Raw'!K14</f>
        <v>40.4497</v>
      </c>
      <c r="K38" s="23">
        <f>'Annual Raw'!L14</f>
        <v>40.644199999999998</v>
      </c>
      <c r="L38" s="23">
        <f>'Annual Raw'!M14</f>
        <v>77.904399999999995</v>
      </c>
      <c r="M38" s="23">
        <f>'Annual Raw'!N14</f>
        <v>144.4522</v>
      </c>
      <c r="N38" s="23">
        <f>'Annual Raw'!O14</f>
        <v>184.71549999999999</v>
      </c>
      <c r="O38" s="23">
        <f>'Annual Raw'!P14</f>
        <v>174.01660000000001</v>
      </c>
      <c r="P38" s="23">
        <f>'Annual Raw'!Q14</f>
        <v>143.25829999999999</v>
      </c>
      <c r="Q38" s="23">
        <f>'Annual Raw'!R14</f>
        <v>150.9178</v>
      </c>
      <c r="R38" s="23">
        <f>'Annual Raw'!S14</f>
        <v>152.7764</v>
      </c>
      <c r="S38" s="23">
        <f>'Annual Raw'!T14</f>
        <v>137.51730000000001</v>
      </c>
      <c r="T38" s="23">
        <f>'Annual Raw'!U14</f>
        <v>138.87309999999999</v>
      </c>
      <c r="U38" s="23">
        <f>'Annual Raw'!V14</f>
        <v>133.91679999999999</v>
      </c>
      <c r="V38" s="23">
        <f>'Annual Raw'!W14</f>
        <v>117.9391</v>
      </c>
      <c r="W38" s="23">
        <f>'Annual Raw'!X14</f>
        <v>128.18719999999999</v>
      </c>
      <c r="X38" s="23">
        <f>'Annual Raw'!Y14</f>
        <v>149.72999999999999</v>
      </c>
      <c r="Y38" s="23">
        <f>'Annual Raw'!Z14</f>
        <v>188.48</v>
      </c>
      <c r="Z38" s="23">
        <f>'Annual Raw'!AA14</f>
        <v>208.72</v>
      </c>
      <c r="AA38" s="23">
        <f>'Annual Raw'!AB14</f>
        <v>241.3</v>
      </c>
      <c r="AB38" s="76">
        <f t="shared" ref="AB38:AB43" si="270">+SUM(CM38:CP38)</f>
        <v>258.19100000000003</v>
      </c>
      <c r="AC38" s="76">
        <f t="shared" ref="AC38:AC43" si="271">+SUM(CQ38:CT38)</f>
        <v>276.26437000000004</v>
      </c>
      <c r="AD38" s="76">
        <f t="shared" ref="AD38:AD43" si="272">+SUM(CU38:CX38)</f>
        <v>295.60287590000002</v>
      </c>
      <c r="AE38" s="76">
        <f t="shared" ref="AE38:AE43" si="273">+SUM(CY38:DB38)</f>
        <v>316.29507721300001</v>
      </c>
      <c r="AI38" s="23">
        <f>'QTR Raw'!C16</f>
        <v>17.992999999999999</v>
      </c>
      <c r="AJ38" s="23">
        <f>'QTR Raw'!D16</f>
        <v>21.821000000000002</v>
      </c>
      <c r="AK38" s="23">
        <f>'QTR Raw'!E16</f>
        <v>19.361000000000001</v>
      </c>
      <c r="AL38" s="23">
        <f>'QTR Raw'!F16</f>
        <v>9.6199999999999992</v>
      </c>
      <c r="AM38" s="23">
        <f>'QTR Raw'!G16</f>
        <v>12.779</v>
      </c>
      <c r="AN38" s="23">
        <f>'QTR Raw'!H16</f>
        <v>12.887</v>
      </c>
      <c r="AO38" s="23">
        <f>'QTR Raw'!I16</f>
        <v>10.760999999999999</v>
      </c>
      <c r="AP38" s="23">
        <f>'QTR Raw'!J16</f>
        <v>6.7919999999999998</v>
      </c>
      <c r="AQ38" s="23">
        <f>'QTR Raw'!K16</f>
        <v>38.896000000000001</v>
      </c>
      <c r="AR38" s="23">
        <f>'QTR Raw'!L16</f>
        <v>36.523000000000003</v>
      </c>
      <c r="AS38" s="23">
        <f>'QTR Raw'!M16</f>
        <v>35.531999999999996</v>
      </c>
      <c r="AT38" s="23">
        <f>'QTR Raw'!N16</f>
        <v>32.33</v>
      </c>
      <c r="AU38" s="23">
        <f>'QTR Raw'!O16</f>
        <v>34.789000000000001</v>
      </c>
      <c r="AV38" s="23">
        <f>'QTR Raw'!P16</f>
        <v>38.566000000000003</v>
      </c>
      <c r="AW38" s="23">
        <f>'QTR Raw'!Q16</f>
        <v>38.305</v>
      </c>
      <c r="AX38" s="23">
        <f>'QTR Raw'!R16</f>
        <v>39.258000000000003</v>
      </c>
      <c r="AY38" s="23">
        <f>'QTR Raw'!S16</f>
        <v>39.052</v>
      </c>
      <c r="AZ38" s="23">
        <f>'QTR Raw'!T16</f>
        <v>37.973999999999997</v>
      </c>
      <c r="BA38" s="23">
        <f>'QTR Raw'!U16</f>
        <v>38.99</v>
      </c>
      <c r="BB38" s="23">
        <f>'QTR Raw'!V16</f>
        <v>36.762</v>
      </c>
      <c r="BC38" s="23">
        <f>'QTR Raw'!W16</f>
        <v>37.533999999999999</v>
      </c>
      <c r="BD38" s="23">
        <f>'QTR Raw'!X16</f>
        <v>34.539000000000001</v>
      </c>
      <c r="BE38" s="23">
        <f>'QTR Raw'!Y16</f>
        <v>34.982999999999997</v>
      </c>
      <c r="BF38" s="23">
        <f>'QTR Raw'!Z16</f>
        <v>29.663</v>
      </c>
      <c r="BG38" s="23">
        <f>'QTR Raw'!AA16</f>
        <v>35.834000000000003</v>
      </c>
      <c r="BH38" s="23">
        <f>'QTR Raw'!AB16</f>
        <v>34.136000000000003</v>
      </c>
      <c r="BI38" s="23">
        <f>'QTR Raw'!AC16</f>
        <v>38.771999999999998</v>
      </c>
      <c r="BJ38" s="23">
        <f>'QTR Raw'!AD16</f>
        <v>32.021000000000001</v>
      </c>
      <c r="BK38" s="23">
        <f>'QTR Raw'!AE16</f>
        <v>34.061999999999998</v>
      </c>
      <c r="BL38" s="23">
        <f>'QTR Raw'!AF16</f>
        <v>31.344999999999999</v>
      </c>
      <c r="BM38" s="23">
        <f>'QTR Raw'!AG16</f>
        <v>34.322000000000003</v>
      </c>
      <c r="BN38" s="23">
        <f>'QTR Raw'!AH16</f>
        <v>34.188000000000002</v>
      </c>
      <c r="BO38" s="23">
        <f>'QTR Raw'!AI16</f>
        <v>32.414000000000001</v>
      </c>
      <c r="BP38" s="23">
        <f>'QTR Raw'!AJ16</f>
        <v>25.315000000000001</v>
      </c>
      <c r="BQ38" s="23">
        <f>'QTR Raw'!AK16</f>
        <v>25.38</v>
      </c>
      <c r="BR38" s="23">
        <f>'QTR Raw'!AL16</f>
        <v>34.83</v>
      </c>
      <c r="BS38" s="23">
        <f>'QTR Raw'!AM16</f>
        <v>33.012999999999998</v>
      </c>
      <c r="BT38" s="23">
        <f>'QTR Raw'!AN16</f>
        <v>30.262</v>
      </c>
      <c r="BU38" s="23">
        <f>'QTR Raw'!AO16</f>
        <v>30.431000000000001</v>
      </c>
      <c r="BV38" s="23">
        <f>'QTR Raw'!AP16</f>
        <v>34.481000000000002</v>
      </c>
      <c r="BW38" s="23">
        <f>'QTR Raw'!AQ16</f>
        <v>41.36</v>
      </c>
      <c r="BX38" s="23">
        <f>'QTR Raw'!AR16</f>
        <v>37.06</v>
      </c>
      <c r="BY38" s="23">
        <f>'QTR Raw'!AS16</f>
        <v>40.049999999999997</v>
      </c>
      <c r="BZ38" s="23">
        <f>'QTR Raw'!AT16</f>
        <v>31.26</v>
      </c>
      <c r="CA38" s="23">
        <f>'QTR Raw'!AU16</f>
        <v>45.89</v>
      </c>
      <c r="CB38" s="23">
        <f>'QTR Raw'!AV16</f>
        <v>43.7</v>
      </c>
      <c r="CC38" s="23">
        <f>'QTR Raw'!AW16</f>
        <v>43.41</v>
      </c>
      <c r="CD38" s="23">
        <f>'QTR Raw'!AX16</f>
        <v>55.47</v>
      </c>
      <c r="CE38" s="23">
        <f>'QTR Raw'!AY16</f>
        <v>47.04</v>
      </c>
      <c r="CF38" s="23">
        <f>'QTR Raw'!AZ16</f>
        <v>46.34</v>
      </c>
      <c r="CG38" s="23">
        <f>'QTR Raw'!BA16</f>
        <v>47.86</v>
      </c>
      <c r="CH38" s="23">
        <f>'QTR Raw'!BB16</f>
        <v>67.319999999999993</v>
      </c>
      <c r="CI38" s="23">
        <f>'QTR Raw'!BC16</f>
        <v>59.3</v>
      </c>
      <c r="CJ38" s="23">
        <f>'QTR Raw'!BD16</f>
        <v>57.7</v>
      </c>
      <c r="CK38" s="23">
        <f>'QTR Raw'!BE16</f>
        <v>58.67</v>
      </c>
      <c r="CL38" s="23">
        <f>'QTR Raw'!BF16</f>
        <v>65.63</v>
      </c>
      <c r="CM38" s="24">
        <f t="shared" ref="CM38:DB38" si="274">CI38*107%</f>
        <v>63.451000000000001</v>
      </c>
      <c r="CN38" s="24">
        <f t="shared" si="274"/>
        <v>61.739000000000004</v>
      </c>
      <c r="CO38" s="24">
        <f t="shared" si="274"/>
        <v>62.776900000000005</v>
      </c>
      <c r="CP38" s="24">
        <f t="shared" si="274"/>
        <v>70.224099999999993</v>
      </c>
      <c r="CQ38" s="24">
        <f t="shared" si="274"/>
        <v>67.892570000000006</v>
      </c>
      <c r="CR38" s="24">
        <f t="shared" si="274"/>
        <v>66.060730000000007</v>
      </c>
      <c r="CS38" s="24">
        <f t="shared" si="274"/>
        <v>67.171283000000003</v>
      </c>
      <c r="CT38" s="24">
        <f t="shared" si="274"/>
        <v>75.139786999999998</v>
      </c>
      <c r="CU38" s="24">
        <f t="shared" si="274"/>
        <v>72.645049900000018</v>
      </c>
      <c r="CV38" s="24">
        <f t="shared" si="274"/>
        <v>70.684981100000016</v>
      </c>
      <c r="CW38" s="24">
        <f t="shared" si="274"/>
        <v>71.873272810000003</v>
      </c>
      <c r="CX38" s="24">
        <f t="shared" si="274"/>
        <v>80.399572090000007</v>
      </c>
      <c r="CY38" s="24">
        <f t="shared" si="274"/>
        <v>77.730203393000025</v>
      </c>
      <c r="CZ38" s="24">
        <f t="shared" si="274"/>
        <v>75.632929777000015</v>
      </c>
      <c r="DA38" s="24">
        <f t="shared" si="274"/>
        <v>76.904401906700002</v>
      </c>
      <c r="DB38" s="24">
        <f t="shared" si="274"/>
        <v>86.027542136300013</v>
      </c>
      <c r="DE38" s="123"/>
      <c r="DF38" s="23">
        <v>241.3</v>
      </c>
    </row>
    <row r="39" spans="1:110" s="23" customFormat="1" outlineLevel="1" x14ac:dyDescent="0.2">
      <c r="A39" s="23" t="s">
        <v>10</v>
      </c>
      <c r="B39" s="23">
        <f>'Annual Raw'!C17</f>
        <v>7.1402156999999997</v>
      </c>
      <c r="C39" s="23">
        <f>'Annual Raw'!D17</f>
        <v>8.3765032999999995</v>
      </c>
      <c r="D39" s="23">
        <f>'Annual Raw'!E17</f>
        <v>9.4014006999999999</v>
      </c>
      <c r="E39" s="23">
        <f>'Annual Raw'!F17</f>
        <v>9.4534371000000004</v>
      </c>
      <c r="F39" s="23">
        <f>'Annual Raw'!G17</f>
        <v>10.9297</v>
      </c>
      <c r="G39" s="23">
        <f>'Annual Raw'!H17</f>
        <v>17.091000000000001</v>
      </c>
      <c r="H39" s="23">
        <f>'Annual Raw'!I17</f>
        <v>20.2911</v>
      </c>
      <c r="I39" s="23">
        <f>'Annual Raw'!J17</f>
        <v>23.8628</v>
      </c>
      <c r="J39" s="23">
        <f>'Annual Raw'!K17</f>
        <v>29.571100000000001</v>
      </c>
      <c r="K39" s="23">
        <f>'Annual Raw'!L17</f>
        <v>24.9239</v>
      </c>
      <c r="L39" s="23">
        <f>'Annual Raw'!M17</f>
        <v>38.426900000000003</v>
      </c>
      <c r="M39" s="23">
        <f>'Annual Raw'!N17</f>
        <v>68.010800000000003</v>
      </c>
      <c r="N39" s="23">
        <f>'Annual Raw'!O17</f>
        <v>91.091999999999999</v>
      </c>
      <c r="O39" s="23">
        <f>'Annual Raw'!P17</f>
        <v>101.0056</v>
      </c>
      <c r="P39" s="23">
        <f>'Annual Raw'!Q17</f>
        <v>90.753500000000003</v>
      </c>
      <c r="Q39" s="23">
        <f>'Annual Raw'!R17</f>
        <v>77.389200000000002</v>
      </c>
      <c r="R39" s="23">
        <f>'Annual Raw'!S17</f>
        <v>97.096400000000003</v>
      </c>
      <c r="S39" s="23">
        <f>'Annual Raw'!T17</f>
        <v>72.077299999999994</v>
      </c>
      <c r="T39" s="23">
        <f>'Annual Raw'!U17</f>
        <v>69.891199999999998</v>
      </c>
      <c r="U39" s="23">
        <f>'Annual Raw'!V17</f>
        <v>78.879000000000005</v>
      </c>
      <c r="V39" s="23">
        <f>'Annual Raw'!W17</f>
        <v>54.429200000000002</v>
      </c>
      <c r="W39" s="23">
        <f>'Annual Raw'!X17</f>
        <v>51.529600000000002</v>
      </c>
      <c r="X39" s="23">
        <f>'Annual Raw'!Y17</f>
        <v>64.13</v>
      </c>
      <c r="Y39" s="23">
        <f>'Annual Raw'!Z17</f>
        <v>75.849999999999994</v>
      </c>
      <c r="Z39" s="23">
        <f>'Annual Raw'!AA17</f>
        <v>76.88</v>
      </c>
      <c r="AA39" s="23">
        <f>'Annual Raw'!AB17</f>
        <v>89.53</v>
      </c>
      <c r="AB39" s="76">
        <f t="shared" si="270"/>
        <v>0</v>
      </c>
      <c r="AC39" s="76">
        <f t="shared" si="271"/>
        <v>0</v>
      </c>
      <c r="AD39" s="76">
        <f t="shared" si="272"/>
        <v>0</v>
      </c>
      <c r="AE39" s="76">
        <f t="shared" si="273"/>
        <v>0</v>
      </c>
      <c r="AI39" s="23">
        <f>'QTR Raw'!C17</f>
        <v>0</v>
      </c>
      <c r="AJ39" s="23">
        <f>'QTR Raw'!D17</f>
        <v>0</v>
      </c>
      <c r="AK39" s="23">
        <f>'QTR Raw'!E17</f>
        <v>0</v>
      </c>
      <c r="AL39" s="23">
        <f>'QTR Raw'!F17</f>
        <v>0</v>
      </c>
      <c r="AM39" s="23">
        <f>'QTR Raw'!G17</f>
        <v>0</v>
      </c>
      <c r="AN39" s="23">
        <f>'QTR Raw'!H17</f>
        <v>0</v>
      </c>
      <c r="AO39" s="23">
        <f>'QTR Raw'!I17</f>
        <v>0</v>
      </c>
      <c r="AP39" s="23">
        <f>'QTR Raw'!J17</f>
        <v>0</v>
      </c>
      <c r="AQ39" s="23">
        <f>'QTR Raw'!K17</f>
        <v>0</v>
      </c>
      <c r="AR39" s="23">
        <f>'QTR Raw'!L17</f>
        <v>0</v>
      </c>
      <c r="AS39" s="23">
        <f>'QTR Raw'!M17</f>
        <v>0</v>
      </c>
      <c r="AT39" s="23">
        <f>'QTR Raw'!N17</f>
        <v>0</v>
      </c>
      <c r="AU39" s="23">
        <f>'QTR Raw'!O17</f>
        <v>0</v>
      </c>
      <c r="AV39" s="23">
        <f>'QTR Raw'!P17</f>
        <v>0</v>
      </c>
      <c r="AW39" s="23">
        <f>'QTR Raw'!Q17</f>
        <v>0</v>
      </c>
      <c r="AX39" s="23">
        <f>'QTR Raw'!R17</f>
        <v>0</v>
      </c>
      <c r="AY39" s="23">
        <f>'QTR Raw'!S17</f>
        <v>0</v>
      </c>
      <c r="AZ39" s="23">
        <f>'QTR Raw'!T17</f>
        <v>0</v>
      </c>
      <c r="BA39" s="23">
        <f>'QTR Raw'!U17</f>
        <v>0</v>
      </c>
      <c r="BB39" s="23">
        <f>'QTR Raw'!V17</f>
        <v>0</v>
      </c>
      <c r="BC39" s="23">
        <f>'QTR Raw'!W17</f>
        <v>0</v>
      </c>
      <c r="BD39" s="23">
        <f>'QTR Raw'!X17</f>
        <v>0</v>
      </c>
      <c r="BE39" s="23">
        <f>'QTR Raw'!Y17</f>
        <v>0</v>
      </c>
      <c r="BF39" s="23">
        <f>'QTR Raw'!Z17</f>
        <v>0</v>
      </c>
      <c r="BG39" s="23">
        <f>'QTR Raw'!AA17</f>
        <v>0</v>
      </c>
      <c r="BH39" s="23">
        <f>'QTR Raw'!AB17</f>
        <v>0</v>
      </c>
      <c r="BI39" s="23">
        <f>'QTR Raw'!AC17</f>
        <v>0</v>
      </c>
      <c r="BJ39" s="23">
        <f>'QTR Raw'!AD17</f>
        <v>0</v>
      </c>
      <c r="BK39" s="23">
        <f>'QTR Raw'!AE17</f>
        <v>0</v>
      </c>
      <c r="BL39" s="23">
        <f>'QTR Raw'!AF17</f>
        <v>0</v>
      </c>
      <c r="BM39" s="23">
        <f>'QTR Raw'!AG17</f>
        <v>0</v>
      </c>
      <c r="BN39" s="23">
        <f>'QTR Raw'!AH17</f>
        <v>0</v>
      </c>
      <c r="BO39" s="23">
        <f>'QTR Raw'!AI17</f>
        <v>0</v>
      </c>
      <c r="BP39" s="23">
        <f>'QTR Raw'!AJ17</f>
        <v>0</v>
      </c>
      <c r="BQ39" s="23">
        <f>'QTR Raw'!AK17</f>
        <v>0</v>
      </c>
      <c r="BR39" s="23">
        <f>'QTR Raw'!AL17</f>
        <v>0</v>
      </c>
      <c r="BS39" s="23">
        <f>'QTR Raw'!AM17</f>
        <v>0</v>
      </c>
      <c r="BT39" s="23">
        <f>'QTR Raw'!AN17</f>
        <v>0</v>
      </c>
      <c r="BU39" s="23">
        <f>'QTR Raw'!AO17</f>
        <v>0</v>
      </c>
      <c r="BV39" s="23">
        <f>'QTR Raw'!AP17</f>
        <v>0</v>
      </c>
      <c r="BW39" s="23">
        <f>'QTR Raw'!AQ17</f>
        <v>0</v>
      </c>
      <c r="BX39" s="23">
        <f>'QTR Raw'!AR17</f>
        <v>0</v>
      </c>
      <c r="BY39" s="23">
        <f>'QTR Raw'!AS17</f>
        <v>0</v>
      </c>
      <c r="BZ39" s="23">
        <f>'QTR Raw'!AT17</f>
        <v>0</v>
      </c>
      <c r="CA39" s="23">
        <f>'QTR Raw'!AU17</f>
        <v>0</v>
      </c>
      <c r="CB39" s="23">
        <f>'QTR Raw'!AV17</f>
        <v>0</v>
      </c>
      <c r="CC39" s="23">
        <f>'QTR Raw'!AW17</f>
        <v>0</v>
      </c>
      <c r="CD39" s="23">
        <f>'QTR Raw'!AX17</f>
        <v>0</v>
      </c>
      <c r="CE39" s="23">
        <f>'QTR Raw'!AY17</f>
        <v>0</v>
      </c>
      <c r="CF39" s="23">
        <f>'QTR Raw'!AZ17</f>
        <v>0</v>
      </c>
      <c r="CG39" s="23">
        <f>'QTR Raw'!BA17</f>
        <v>0</v>
      </c>
      <c r="CH39" s="23">
        <f>'QTR Raw'!BB17</f>
        <v>0</v>
      </c>
      <c r="CI39" s="23">
        <f>'QTR Raw'!BC17</f>
        <v>0</v>
      </c>
      <c r="CJ39" s="23">
        <f>'QTR Raw'!BD17</f>
        <v>0</v>
      </c>
      <c r="CK39" s="23">
        <f>'QTR Raw'!BE17</f>
        <v>0</v>
      </c>
      <c r="CL39" s="23">
        <f>'QTR Raw'!BF17</f>
        <v>0</v>
      </c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E39" s="123"/>
      <c r="DF39" s="23">
        <v>0</v>
      </c>
    </row>
    <row r="40" spans="1:110" s="23" customFormat="1" outlineLevel="1" x14ac:dyDescent="0.2">
      <c r="A40" s="23" t="s">
        <v>12</v>
      </c>
      <c r="B40" s="23">
        <f>'Annual Raw'!C19-'Annual Raw'!C20</f>
        <v>0.1391076</v>
      </c>
      <c r="C40" s="23">
        <f>'Annual Raw'!D19-'Annual Raw'!D20</f>
        <v>6.4143999999999998E-3</v>
      </c>
      <c r="D40" s="23">
        <f>'Annual Raw'!E19-'Annual Raw'!E20</f>
        <v>3.3348900000000001E-2</v>
      </c>
      <c r="E40" s="23">
        <f>'Annual Raw'!F19-'Annual Raw'!F20</f>
        <v>1.8973462000000001</v>
      </c>
      <c r="F40" s="23">
        <f>'Annual Raw'!G19-'Annual Raw'!G20</f>
        <v>3.5301999999999998</v>
      </c>
      <c r="G40" s="23">
        <f>'Annual Raw'!H19-'Annual Raw'!H20</f>
        <v>7.8776999999999999</v>
      </c>
      <c r="H40" s="23">
        <f>'Annual Raw'!I19-'Annual Raw'!I20</f>
        <v>13.921200000000001</v>
      </c>
      <c r="I40" s="23">
        <f>'Annual Raw'!J19-'Annual Raw'!J20</f>
        <v>17.2911</v>
      </c>
      <c r="J40" s="23">
        <f>'Annual Raw'!K19-'Annual Raw'!K20</f>
        <v>28.186800000000002</v>
      </c>
      <c r="K40" s="23">
        <f>'Annual Raw'!L19-'Annual Raw'!L20</f>
        <v>13.685600000000001</v>
      </c>
      <c r="L40" s="23">
        <f>'Annual Raw'!M19-'Annual Raw'!M20</f>
        <v>21.571899999999999</v>
      </c>
      <c r="M40" s="23">
        <f>'Annual Raw'!N19-'Annual Raw'!N20</f>
        <v>32.128300000000003</v>
      </c>
      <c r="N40" s="23">
        <f>'Annual Raw'!O19-'Annual Raw'!O20</f>
        <v>15.8963</v>
      </c>
      <c r="O40" s="23">
        <f>'Annual Raw'!P19-'Annual Raw'!P20</f>
        <v>5.8940999999999999</v>
      </c>
      <c r="P40" s="23">
        <f>'Annual Raw'!Q19-'Annual Raw'!Q20</f>
        <v>14.7379</v>
      </c>
      <c r="Q40" s="23">
        <f>'Annual Raw'!R19-'Annual Raw'!R20</f>
        <v>13.3589</v>
      </c>
      <c r="R40" s="23">
        <f>'Annual Raw'!S19-'Annual Raw'!S20</f>
        <v>4.7237999999999998</v>
      </c>
      <c r="S40" s="23">
        <f>'Annual Raw'!T19-'Annual Raw'!T20</f>
        <v>13.133699999999999</v>
      </c>
      <c r="T40" s="23">
        <f>'Annual Raw'!U19-'Annual Raw'!U20</f>
        <v>51.0824</v>
      </c>
      <c r="U40" s="23">
        <f>'Annual Raw'!V19-'Annual Raw'!V20</f>
        <v>42.327599999999997</v>
      </c>
      <c r="V40" s="23">
        <f>'Annual Raw'!W19-'Annual Raw'!W20</f>
        <v>121.4701</v>
      </c>
      <c r="W40" s="23">
        <f>'Annual Raw'!X19-'Annual Raw'!X20</f>
        <v>33.957500000000003</v>
      </c>
      <c r="X40" s="23">
        <f>'Annual Raw'!Y19-'Annual Raw'!Y20</f>
        <v>31.04</v>
      </c>
      <c r="Y40" s="23">
        <f>'Annual Raw'!Z19-'Annual Raw'!Z20</f>
        <v>37.22</v>
      </c>
      <c r="Z40" s="23">
        <f>'Annual Raw'!AA19-'Annual Raw'!AA20</f>
        <v>27</v>
      </c>
      <c r="AA40" s="23">
        <f>'Annual Raw'!AB19-'Annual Raw'!AB20</f>
        <v>35.43</v>
      </c>
      <c r="AB40" s="76">
        <f t="shared" si="270"/>
        <v>0</v>
      </c>
      <c r="AC40" s="76">
        <f t="shared" si="271"/>
        <v>0</v>
      </c>
      <c r="AD40" s="76">
        <f t="shared" si="272"/>
        <v>0</v>
      </c>
      <c r="AE40" s="76">
        <f t="shared" si="273"/>
        <v>0</v>
      </c>
      <c r="AI40" s="23">
        <f>+'QTR Raw'!C21</f>
        <v>0</v>
      </c>
      <c r="AJ40" s="23">
        <f>+'QTR Raw'!D21</f>
        <v>0</v>
      </c>
      <c r="AK40" s="23">
        <f>+'QTR Raw'!E21</f>
        <v>0</v>
      </c>
      <c r="AL40" s="23">
        <f>+'QTR Raw'!F21</f>
        <v>0</v>
      </c>
      <c r="AM40" s="23">
        <f>+'QTR Raw'!G21</f>
        <v>0</v>
      </c>
      <c r="AN40" s="23">
        <f>+'QTR Raw'!H21</f>
        <v>0</v>
      </c>
      <c r="AO40" s="23">
        <f>+'QTR Raw'!I21</f>
        <v>0</v>
      </c>
      <c r="AP40" s="23">
        <f>+'QTR Raw'!J21</f>
        <v>0</v>
      </c>
      <c r="AQ40" s="23">
        <f>+'QTR Raw'!K21</f>
        <v>0</v>
      </c>
      <c r="AR40" s="23">
        <f>+'QTR Raw'!L21</f>
        <v>0</v>
      </c>
      <c r="AS40" s="23">
        <f>+'QTR Raw'!M21</f>
        <v>0</v>
      </c>
      <c r="AT40" s="23">
        <f>+'QTR Raw'!N21</f>
        <v>0</v>
      </c>
      <c r="AU40" s="23">
        <f>+'QTR Raw'!O21</f>
        <v>0</v>
      </c>
      <c r="AV40" s="23">
        <f>+'QTR Raw'!P21</f>
        <v>0</v>
      </c>
      <c r="AW40" s="23">
        <f>+'QTR Raw'!Q21</f>
        <v>0</v>
      </c>
      <c r="AX40" s="23">
        <f>+'QTR Raw'!R21</f>
        <v>0</v>
      </c>
      <c r="AY40" s="23">
        <f>+'QTR Raw'!S21</f>
        <v>0</v>
      </c>
      <c r="AZ40" s="23">
        <f>+'QTR Raw'!T21</f>
        <v>0</v>
      </c>
      <c r="BA40" s="23">
        <f>+'QTR Raw'!U21</f>
        <v>0</v>
      </c>
      <c r="BB40" s="23">
        <f>+'QTR Raw'!V21</f>
        <v>0</v>
      </c>
      <c r="BC40" s="23">
        <f>+'QTR Raw'!W21</f>
        <v>0</v>
      </c>
      <c r="BD40" s="23">
        <f>+'QTR Raw'!X21</f>
        <v>0</v>
      </c>
      <c r="BE40" s="23">
        <f>+'QTR Raw'!Y21</f>
        <v>0</v>
      </c>
      <c r="BF40" s="23">
        <f>+'QTR Raw'!Z21</f>
        <v>0</v>
      </c>
      <c r="BG40" s="23">
        <f>+'QTR Raw'!AA21</f>
        <v>0</v>
      </c>
      <c r="BH40" s="23">
        <f>+'QTR Raw'!AB21</f>
        <v>0</v>
      </c>
      <c r="BI40" s="23">
        <f>+'QTR Raw'!AC21</f>
        <v>0</v>
      </c>
      <c r="BJ40" s="23">
        <f>+'QTR Raw'!AD21</f>
        <v>0</v>
      </c>
      <c r="BK40" s="23">
        <f>+'QTR Raw'!AE21</f>
        <v>0</v>
      </c>
      <c r="BL40" s="23">
        <f>+'QTR Raw'!AF21</f>
        <v>0</v>
      </c>
      <c r="BM40" s="23">
        <f>+'QTR Raw'!AG21</f>
        <v>0</v>
      </c>
      <c r="BN40" s="23">
        <f>+'QTR Raw'!AH21</f>
        <v>0</v>
      </c>
      <c r="BO40" s="23">
        <f>+'QTR Raw'!AI21</f>
        <v>0</v>
      </c>
      <c r="BP40" s="23">
        <f>+'QTR Raw'!AJ21</f>
        <v>0</v>
      </c>
      <c r="BQ40" s="23">
        <f>+'QTR Raw'!AK21</f>
        <v>0</v>
      </c>
      <c r="BR40" s="23">
        <f>+'QTR Raw'!AL21</f>
        <v>0</v>
      </c>
      <c r="BS40" s="23">
        <f>+'QTR Raw'!AM21</f>
        <v>0</v>
      </c>
      <c r="BT40" s="23">
        <f>+'QTR Raw'!AN21</f>
        <v>0</v>
      </c>
      <c r="BU40" s="23">
        <f>+'QTR Raw'!AO21</f>
        <v>0</v>
      </c>
      <c r="BV40" s="23">
        <f>+'QTR Raw'!AP21</f>
        <v>0</v>
      </c>
      <c r="BW40" s="23">
        <f>+'QTR Raw'!AQ21</f>
        <v>0</v>
      </c>
      <c r="BX40" s="23">
        <f>+'QTR Raw'!AR21</f>
        <v>0</v>
      </c>
      <c r="BY40" s="23">
        <f>+'QTR Raw'!AS21</f>
        <v>0</v>
      </c>
      <c r="BZ40" s="23">
        <f>+'QTR Raw'!AT21</f>
        <v>0</v>
      </c>
      <c r="CA40" s="23">
        <f>+'QTR Raw'!AU21</f>
        <v>0</v>
      </c>
      <c r="CB40" s="23">
        <f>+'QTR Raw'!AV21</f>
        <v>0</v>
      </c>
      <c r="CC40" s="23">
        <f>+'QTR Raw'!AW21</f>
        <v>0</v>
      </c>
      <c r="CD40" s="23">
        <f>+'QTR Raw'!AX21</f>
        <v>0</v>
      </c>
      <c r="CE40" s="23">
        <f>+'QTR Raw'!AY21</f>
        <v>0</v>
      </c>
      <c r="CF40" s="23">
        <f>+'QTR Raw'!AZ21</f>
        <v>0</v>
      </c>
      <c r="CG40" s="23">
        <f>+'QTR Raw'!BA21</f>
        <v>0</v>
      </c>
      <c r="CH40" s="23">
        <f>+'QTR Raw'!BB21</f>
        <v>0</v>
      </c>
      <c r="CI40" s="23">
        <f>+'QTR Raw'!BC21</f>
        <v>0</v>
      </c>
      <c r="CJ40" s="23">
        <f>+'QTR Raw'!BD21</f>
        <v>0</v>
      </c>
      <c r="CK40" s="23">
        <f>+'QTR Raw'!BE21</f>
        <v>0</v>
      </c>
      <c r="CL40" s="23">
        <f>+'QTR Raw'!BF21</f>
        <v>0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E40" s="123"/>
      <c r="DF40" s="23">
        <v>0</v>
      </c>
    </row>
    <row r="41" spans="1:110" s="23" customFormat="1" outlineLevel="1" x14ac:dyDescent="0.2">
      <c r="A41" s="23" t="s">
        <v>9</v>
      </c>
      <c r="B41" s="23">
        <f>'Annual Raw'!C15+'Annual Raw'!C16</f>
        <v>17.480999400000002</v>
      </c>
      <c r="C41" s="23">
        <f>'Annual Raw'!D15+'Annual Raw'!D16</f>
        <v>20.5023436</v>
      </c>
      <c r="D41" s="23">
        <f>'Annual Raw'!E15+'Annual Raw'!E16</f>
        <v>23.937121900000001</v>
      </c>
      <c r="E41" s="23">
        <f>'Annual Raw'!F15+'Annual Raw'!F16</f>
        <v>13.973368000000001</v>
      </c>
      <c r="F41" s="23">
        <f>'Annual Raw'!G15+'Annual Raw'!G16</f>
        <v>14.2822</v>
      </c>
      <c r="G41" s="23">
        <f>'Annual Raw'!H15+'Annual Raw'!H16</f>
        <v>34.182699999999997</v>
      </c>
      <c r="H41" s="23">
        <f>'Annual Raw'!I15+'Annual Raw'!I16</f>
        <v>59.1723</v>
      </c>
      <c r="I41" s="23">
        <f>'Annual Raw'!J15+'Annual Raw'!J16</f>
        <v>83.746600000000001</v>
      </c>
      <c r="J41" s="23">
        <f>'Annual Raw'!K15+'Annual Raw'!K16</f>
        <v>159.76439999999999</v>
      </c>
      <c r="K41" s="23">
        <f>'Annual Raw'!L15+'Annual Raw'!L16</f>
        <v>125.12609999999999</v>
      </c>
      <c r="L41" s="23">
        <f>'Annual Raw'!M15+'Annual Raw'!M16</f>
        <v>123.4984</v>
      </c>
      <c r="M41" s="23">
        <f>'Annual Raw'!N15+'Annual Raw'!N16</f>
        <v>109.6904</v>
      </c>
      <c r="N41" s="23">
        <f>'Annual Raw'!O15+'Annual Raw'!O16</f>
        <v>146.37350000000001</v>
      </c>
      <c r="O41" s="23">
        <f>'Annual Raw'!P15+'Annual Raw'!P16</f>
        <v>162.38579999999999</v>
      </c>
      <c r="P41" s="23">
        <f>'Annual Raw'!Q15+'Annual Raw'!Q16</f>
        <v>164.15690000000001</v>
      </c>
      <c r="Q41" s="23">
        <f>'Annual Raw'!R15+'Annual Raw'!R16</f>
        <v>200.08760000000001</v>
      </c>
      <c r="R41" s="23">
        <f>'Annual Raw'!S15+'Annual Raw'!S16</f>
        <v>165.35319999999999</v>
      </c>
      <c r="S41" s="23">
        <f>'Annual Raw'!T15+'Annual Raw'!T16</f>
        <v>215.75139999999999</v>
      </c>
      <c r="T41" s="23">
        <f>'Annual Raw'!U15+'Annual Raw'!U16</f>
        <v>219.83</v>
      </c>
      <c r="U41" s="23">
        <f>'Annual Raw'!V15+'Annual Raw'!V16</f>
        <v>150.50540000000001</v>
      </c>
      <c r="V41" s="23">
        <f>'Annual Raw'!W15+'Annual Raw'!W16</f>
        <v>85.473200000000006</v>
      </c>
      <c r="W41" s="23">
        <f>'Annual Raw'!X15+'Annual Raw'!X16</f>
        <v>94.81</v>
      </c>
      <c r="X41" s="23">
        <f>'Annual Raw'!Y15+'Annual Raw'!Y16</f>
        <v>132.80000000000001</v>
      </c>
      <c r="Y41" s="23">
        <f>'Annual Raw'!Z15+'Annual Raw'!Z16</f>
        <v>169.79</v>
      </c>
      <c r="Z41" s="23">
        <f>'Annual Raw'!AA15+'Annual Raw'!AA16</f>
        <v>183.91</v>
      </c>
      <c r="AA41" s="23">
        <f>'Annual Raw'!AB15+'Annual Raw'!AB16</f>
        <v>191.66</v>
      </c>
      <c r="AB41" s="76">
        <f t="shared" si="270"/>
        <v>612.91568768698301</v>
      </c>
      <c r="AC41" s="76">
        <f t="shared" si="271"/>
        <v>697.53392096684365</v>
      </c>
      <c r="AD41" s="76">
        <f t="shared" si="272"/>
        <v>776.19902679395125</v>
      </c>
      <c r="AE41" s="76">
        <f t="shared" si="273"/>
        <v>862.86568586079193</v>
      </c>
      <c r="AI41" s="23">
        <f>'QTR Raw'!C14</f>
        <v>30.602</v>
      </c>
      <c r="AJ41" s="23">
        <f>'QTR Raw'!D14</f>
        <v>44.963000000000001</v>
      </c>
      <c r="AK41" s="23">
        <f>'QTR Raw'!E14</f>
        <v>29.225999999999999</v>
      </c>
      <c r="AL41" s="23">
        <f>'QTR Raw'!F14</f>
        <v>20.236000000000001</v>
      </c>
      <c r="AM41" s="23">
        <f>'QTR Raw'!G14</f>
        <v>16.466000000000001</v>
      </c>
      <c r="AN41" s="23">
        <f>'QTR Raw'!H14</f>
        <v>25.614000000000001</v>
      </c>
      <c r="AO41" s="23">
        <f>'QTR Raw'!I14</f>
        <v>19.047999999999998</v>
      </c>
      <c r="AP41" s="23">
        <f>'QTR Raw'!J14</f>
        <v>26.553000000000001</v>
      </c>
      <c r="AQ41" s="23">
        <f>'QTR Raw'!K14</f>
        <v>43.475000000000001</v>
      </c>
      <c r="AR41" s="23">
        <f>'QTR Raw'!L14</f>
        <v>43.805</v>
      </c>
      <c r="AS41" s="23">
        <f>'QTR Raw'!M14</f>
        <v>43.125999999999998</v>
      </c>
      <c r="AT41" s="23">
        <f>'QTR Raw'!N14</f>
        <v>61.015000000000001</v>
      </c>
      <c r="AU41" s="23">
        <f>'QTR Raw'!O14</f>
        <v>70.718999999999994</v>
      </c>
      <c r="AV41" s="23">
        <f>'QTR Raw'!P14</f>
        <v>78.486999999999995</v>
      </c>
      <c r="AW41" s="23">
        <f>'QTR Raw'!Q14</f>
        <v>110.105</v>
      </c>
      <c r="AX41" s="23">
        <f>'QTR Raw'!R14</f>
        <v>103.788</v>
      </c>
      <c r="AY41" s="23">
        <f>'QTR Raw'!S14</f>
        <v>70.427000000000007</v>
      </c>
      <c r="AZ41" s="23">
        <f>'QTR Raw'!T14</f>
        <v>89.47</v>
      </c>
      <c r="BA41" s="23">
        <f>'QTR Raw'!U14</f>
        <v>80.706999999999994</v>
      </c>
      <c r="BB41" s="23">
        <f>'QTR Raw'!V14</f>
        <v>103.652</v>
      </c>
      <c r="BC41" s="23">
        <f>'QTR Raw'!W14</f>
        <v>87.727000000000004</v>
      </c>
      <c r="BD41" s="23">
        <f>'QTR Raw'!X14</f>
        <v>65.534999999999997</v>
      </c>
      <c r="BE41" s="23">
        <f>'QTR Raw'!Y14</f>
        <v>71.067999999999998</v>
      </c>
      <c r="BF41" s="23">
        <f>'QTR Raw'!Z14</f>
        <v>149.66200000000001</v>
      </c>
      <c r="BG41" s="23">
        <f>'QTR Raw'!AA14</f>
        <v>94.671999999999997</v>
      </c>
      <c r="BH41" s="23">
        <f>'QTR Raw'!AB14</f>
        <v>110.188</v>
      </c>
      <c r="BI41" s="23">
        <f>'QTR Raw'!AC14</f>
        <v>83.844999999999999</v>
      </c>
      <c r="BJ41" s="23">
        <f>'QTR Raw'!AD14</f>
        <v>88.727999999999994</v>
      </c>
      <c r="BK41" s="23">
        <f>'QTR Raw'!AE14</f>
        <v>90.311000000000007</v>
      </c>
      <c r="BL41" s="23">
        <f>'QTR Raw'!AF14</f>
        <v>72.203000000000003</v>
      </c>
      <c r="BM41" s="23">
        <f>'QTR Raw'!AG14</f>
        <v>93.659000000000006</v>
      </c>
      <c r="BN41" s="23">
        <f>'QTR Raw'!AH14</f>
        <v>68.578000000000003</v>
      </c>
      <c r="BO41" s="23">
        <f>'QTR Raw'!AI14</f>
        <v>52.27</v>
      </c>
      <c r="BP41" s="23">
        <f>'QTR Raw'!AJ14</f>
        <v>56.69</v>
      </c>
      <c r="BQ41" s="23">
        <f>'QTR Raw'!AK14</f>
        <v>70.733000000000004</v>
      </c>
      <c r="BR41" s="23">
        <f>'QTR Raw'!AL14</f>
        <v>76.105000000000004</v>
      </c>
      <c r="BS41" s="23">
        <f>'QTR Raw'!AM14</f>
        <v>65.712999999999994</v>
      </c>
      <c r="BT41" s="23">
        <f>'QTR Raw'!AN14</f>
        <v>67.804000000000002</v>
      </c>
      <c r="BU41" s="23">
        <f>'QTR Raw'!AO14</f>
        <v>64.051000000000002</v>
      </c>
      <c r="BV41" s="23">
        <f>'QTR Raw'!AP14</f>
        <v>68.046999999999997</v>
      </c>
      <c r="BW41" s="23">
        <f>'QTR Raw'!AQ14</f>
        <v>78.03</v>
      </c>
      <c r="BX41" s="23">
        <f>'QTR Raw'!AR14</f>
        <v>77.680000000000007</v>
      </c>
      <c r="BY41" s="23">
        <f>'QTR Raw'!AS14</f>
        <v>86.25</v>
      </c>
      <c r="BZ41" s="23">
        <f>'QTR Raw'!AT14</f>
        <v>84.77</v>
      </c>
      <c r="CA41" s="23">
        <f>'QTR Raw'!AU14</f>
        <v>87.38</v>
      </c>
      <c r="CB41" s="23">
        <f>'QTR Raw'!AV14</f>
        <v>98.69</v>
      </c>
      <c r="CC41" s="23">
        <f>'QTR Raw'!AW14</f>
        <v>99.67</v>
      </c>
      <c r="CD41" s="23">
        <f>'QTR Raw'!AX14</f>
        <v>126.58</v>
      </c>
      <c r="CE41" s="23">
        <f>'QTR Raw'!AY14</f>
        <v>91.35</v>
      </c>
      <c r="CF41" s="23">
        <f>'QTR Raw'!AZ14</f>
        <v>109.04</v>
      </c>
      <c r="CG41" s="23">
        <f>'QTR Raw'!BA14</f>
        <v>112.51</v>
      </c>
      <c r="CH41" s="23">
        <f>'QTR Raw'!BB14</f>
        <v>134.19</v>
      </c>
      <c r="CI41" s="23">
        <f>'QTR Raw'!BC14</f>
        <v>111.07</v>
      </c>
      <c r="CJ41" s="23">
        <f>'QTR Raw'!BD14</f>
        <v>108.53</v>
      </c>
      <c r="CK41" s="23">
        <f>'QTR Raw'!BE14</f>
        <v>117.12</v>
      </c>
      <c r="CL41" s="23">
        <f>'QTR Raw'!BF14</f>
        <v>139.77000000000001</v>
      </c>
      <c r="CM41" s="24">
        <f t="shared" ref="CM41:DB41" si="275">CM44-CM38-CM39-CM40-CM42-CM43</f>
        <v>154.09813790727762</v>
      </c>
      <c r="CN41" s="24">
        <f t="shared" si="275"/>
        <v>148.67681325778187</v>
      </c>
      <c r="CO41" s="24">
        <f t="shared" si="275"/>
        <v>155.05197257756257</v>
      </c>
      <c r="CP41" s="24">
        <f t="shared" si="275"/>
        <v>155.08876394436092</v>
      </c>
      <c r="CQ41" s="24">
        <f t="shared" si="275"/>
        <v>167.1096688933489</v>
      </c>
      <c r="CR41" s="24">
        <f t="shared" si="275"/>
        <v>170.86714801677138</v>
      </c>
      <c r="CS41" s="24">
        <f t="shared" si="275"/>
        <v>180.10816653924377</v>
      </c>
      <c r="CT41" s="24">
        <f t="shared" si="275"/>
        <v>179.44893751747969</v>
      </c>
      <c r="CU41" s="24">
        <f t="shared" si="275"/>
        <v>185.11764653639835</v>
      </c>
      <c r="CV41" s="24">
        <f t="shared" si="275"/>
        <v>191.32893807375876</v>
      </c>
      <c r="CW41" s="24">
        <f t="shared" si="275"/>
        <v>200.95356114461737</v>
      </c>
      <c r="CX41" s="24">
        <f t="shared" si="275"/>
        <v>198.79888103917676</v>
      </c>
      <c r="CY41" s="24">
        <f t="shared" si="275"/>
        <v>205.81773141069522</v>
      </c>
      <c r="CZ41" s="24">
        <f t="shared" si="275"/>
        <v>212.88259833168325</v>
      </c>
      <c r="DA41" s="24">
        <f t="shared" si="275"/>
        <v>223.23958206642442</v>
      </c>
      <c r="DB41" s="24">
        <f t="shared" si="275"/>
        <v>220.92577405198901</v>
      </c>
      <c r="DE41" s="123"/>
      <c r="DF41" s="23">
        <v>476.49</v>
      </c>
    </row>
    <row r="42" spans="1:110" s="23" customFormat="1" outlineLevel="1" x14ac:dyDescent="0.2">
      <c r="A42" s="23" t="s">
        <v>7</v>
      </c>
      <c r="B42" s="23">
        <f>'Annual Raw'!C13</f>
        <v>5.2813658999999999</v>
      </c>
      <c r="C42" s="23">
        <f>'Annual Raw'!D13</f>
        <v>4.5133147999999998</v>
      </c>
      <c r="D42" s="23">
        <f>'Annual Raw'!E13</f>
        <v>3.9835763000000002</v>
      </c>
      <c r="E42" s="23">
        <f>'Annual Raw'!F13</f>
        <v>4.5552397999999998</v>
      </c>
      <c r="F42" s="23">
        <f>'Annual Raw'!G13</f>
        <v>4.6809000000000003</v>
      </c>
      <c r="G42" s="23">
        <f>'Annual Raw'!H13</f>
        <v>5.0254000000000003</v>
      </c>
      <c r="H42" s="23">
        <f>'Annual Raw'!I13</f>
        <v>6.2427999999999999</v>
      </c>
      <c r="I42" s="23">
        <f>'Annual Raw'!J13</f>
        <v>6.7763999999999998</v>
      </c>
      <c r="J42" s="23">
        <f>'Annual Raw'!K13</f>
        <v>7.0590000000000002</v>
      </c>
      <c r="K42" s="23">
        <f>'Annual Raw'!L13</f>
        <v>7.8220000000000001</v>
      </c>
      <c r="L42" s="23">
        <f>'Annual Raw'!M13</f>
        <v>6.0922000000000001</v>
      </c>
      <c r="M42" s="23">
        <f>'Annual Raw'!N13</f>
        <v>4.9025999999999996</v>
      </c>
      <c r="N42" s="23">
        <f>'Annual Raw'!O13</f>
        <v>13.7921</v>
      </c>
      <c r="O42" s="23">
        <f>'Annual Raw'!P13</f>
        <v>8.9077000000000002</v>
      </c>
      <c r="P42" s="23">
        <f>'Annual Raw'!Q13</f>
        <v>9.9795999999999996</v>
      </c>
      <c r="Q42" s="23">
        <f>'Annual Raw'!R13</f>
        <v>11.712</v>
      </c>
      <c r="R42" s="23">
        <f>'Annual Raw'!S13</f>
        <v>10.575100000000001</v>
      </c>
      <c r="S42" s="23">
        <f>'Annual Raw'!T13</f>
        <v>9.7264999999999997</v>
      </c>
      <c r="T42" s="23">
        <f>'Annual Raw'!U13</f>
        <v>9.7452000000000005</v>
      </c>
      <c r="U42" s="23">
        <f>'Annual Raw'!V13</f>
        <v>8.7021999999999995</v>
      </c>
      <c r="V42" s="23">
        <f>'Annual Raw'!W13</f>
        <v>7.8282999999999996</v>
      </c>
      <c r="W42" s="23">
        <f>'Annual Raw'!X13</f>
        <v>16.413499999999999</v>
      </c>
      <c r="X42" s="23">
        <f>'Annual Raw'!Y13</f>
        <v>22.1</v>
      </c>
      <c r="Y42" s="23">
        <f>'Annual Raw'!Z13</f>
        <v>26.96</v>
      </c>
      <c r="Z42" s="23">
        <f>'Annual Raw'!AA13</f>
        <v>27.15</v>
      </c>
      <c r="AA42" s="23">
        <f>'Annual Raw'!AB13</f>
        <v>28.02</v>
      </c>
      <c r="AB42" s="76">
        <f t="shared" si="270"/>
        <v>0</v>
      </c>
      <c r="AC42" s="76">
        <f t="shared" si="271"/>
        <v>0</v>
      </c>
      <c r="AD42" s="76">
        <f t="shared" si="272"/>
        <v>0</v>
      </c>
      <c r="AE42" s="76">
        <f t="shared" si="273"/>
        <v>0</v>
      </c>
      <c r="AI42" s="23">
        <f>'QTR Raw'!C15</f>
        <v>0</v>
      </c>
      <c r="AJ42" s="23">
        <f>'QTR Raw'!D15</f>
        <v>0</v>
      </c>
      <c r="AK42" s="23">
        <f>'QTR Raw'!E15</f>
        <v>0</v>
      </c>
      <c r="AL42" s="23">
        <f>'QTR Raw'!F15</f>
        <v>0</v>
      </c>
      <c r="AM42" s="23">
        <f>'QTR Raw'!G15</f>
        <v>0</v>
      </c>
      <c r="AN42" s="23">
        <f>'QTR Raw'!H15</f>
        <v>0</v>
      </c>
      <c r="AO42" s="23">
        <f>'QTR Raw'!I15</f>
        <v>0</v>
      </c>
      <c r="AP42" s="23">
        <f>'QTR Raw'!J15</f>
        <v>0</v>
      </c>
      <c r="AQ42" s="23">
        <f>'QTR Raw'!K15</f>
        <v>0</v>
      </c>
      <c r="AR42" s="23">
        <f>'QTR Raw'!L15</f>
        <v>0</v>
      </c>
      <c r="AS42" s="23">
        <f>'QTR Raw'!M15</f>
        <v>0</v>
      </c>
      <c r="AT42" s="23">
        <f>'QTR Raw'!N15</f>
        <v>0</v>
      </c>
      <c r="AU42" s="23">
        <f>'QTR Raw'!O15</f>
        <v>0</v>
      </c>
      <c r="AV42" s="23">
        <f>'QTR Raw'!P15</f>
        <v>0</v>
      </c>
      <c r="AW42" s="23">
        <f>'QTR Raw'!Q15</f>
        <v>0</v>
      </c>
      <c r="AX42" s="23">
        <f>'QTR Raw'!R15</f>
        <v>0</v>
      </c>
      <c r="AY42" s="23">
        <f>'QTR Raw'!S15</f>
        <v>0</v>
      </c>
      <c r="AZ42" s="23">
        <f>'QTR Raw'!T15</f>
        <v>0</v>
      </c>
      <c r="BA42" s="23">
        <f>'QTR Raw'!U15</f>
        <v>0</v>
      </c>
      <c r="BB42" s="23">
        <f>'QTR Raw'!V15</f>
        <v>0</v>
      </c>
      <c r="BC42" s="23">
        <f>'QTR Raw'!W15</f>
        <v>0</v>
      </c>
      <c r="BD42" s="23">
        <f>'QTR Raw'!X15</f>
        <v>0</v>
      </c>
      <c r="BE42" s="23">
        <f>'QTR Raw'!Y15</f>
        <v>0</v>
      </c>
      <c r="BF42" s="23">
        <f>'QTR Raw'!Z15</f>
        <v>0</v>
      </c>
      <c r="BG42" s="23">
        <f>'QTR Raw'!AA15</f>
        <v>0</v>
      </c>
      <c r="BH42" s="23">
        <f>'QTR Raw'!AB15</f>
        <v>0</v>
      </c>
      <c r="BI42" s="23">
        <f>'QTR Raw'!AC15</f>
        <v>0</v>
      </c>
      <c r="BJ42" s="23">
        <f>'QTR Raw'!AD15</f>
        <v>0</v>
      </c>
      <c r="BK42" s="23">
        <f>'QTR Raw'!AE15</f>
        <v>0</v>
      </c>
      <c r="BL42" s="23">
        <f>'QTR Raw'!AF15</f>
        <v>0</v>
      </c>
      <c r="BM42" s="23">
        <f>'QTR Raw'!AG15</f>
        <v>0</v>
      </c>
      <c r="BN42" s="23">
        <f>'QTR Raw'!AH15</f>
        <v>0</v>
      </c>
      <c r="BO42" s="23">
        <f>'QTR Raw'!AI15</f>
        <v>0</v>
      </c>
      <c r="BP42" s="23">
        <f>'QTR Raw'!AJ15</f>
        <v>0</v>
      </c>
      <c r="BQ42" s="23">
        <f>'QTR Raw'!AK15</f>
        <v>0</v>
      </c>
      <c r="BR42" s="23">
        <f>'QTR Raw'!AL15</f>
        <v>0</v>
      </c>
      <c r="BS42" s="23">
        <f>'QTR Raw'!AM15</f>
        <v>0</v>
      </c>
      <c r="BT42" s="23">
        <f>'QTR Raw'!AN15</f>
        <v>0</v>
      </c>
      <c r="BU42" s="23">
        <f>'QTR Raw'!AO15</f>
        <v>0</v>
      </c>
      <c r="BV42" s="23">
        <f>'QTR Raw'!AP15</f>
        <v>0</v>
      </c>
      <c r="BW42" s="23">
        <f>'QTR Raw'!AQ15</f>
        <v>0</v>
      </c>
      <c r="BX42" s="23">
        <f>'QTR Raw'!AR15</f>
        <v>0</v>
      </c>
      <c r="BY42" s="23">
        <f>'QTR Raw'!AS15</f>
        <v>0</v>
      </c>
      <c r="BZ42" s="23">
        <f>'QTR Raw'!AT15</f>
        <v>0</v>
      </c>
      <c r="CA42" s="23">
        <f>'QTR Raw'!AU15</f>
        <v>0</v>
      </c>
      <c r="CB42" s="23">
        <f>'QTR Raw'!AV15</f>
        <v>0</v>
      </c>
      <c r="CC42" s="23">
        <f>'QTR Raw'!AW15</f>
        <v>0</v>
      </c>
      <c r="CD42" s="23">
        <f>'QTR Raw'!AX15</f>
        <v>0</v>
      </c>
      <c r="CE42" s="23">
        <f>'QTR Raw'!AY15</f>
        <v>0</v>
      </c>
      <c r="CF42" s="23">
        <f>'QTR Raw'!AZ15</f>
        <v>0</v>
      </c>
      <c r="CG42" s="23">
        <f>'QTR Raw'!BA15</f>
        <v>0</v>
      </c>
      <c r="CH42" s="23">
        <f>'QTR Raw'!BB15</f>
        <v>0</v>
      </c>
      <c r="CI42" s="23">
        <f>'QTR Raw'!BC15</f>
        <v>0</v>
      </c>
      <c r="CJ42" s="23">
        <f>'QTR Raw'!BD15</f>
        <v>0</v>
      </c>
      <c r="CK42" s="23">
        <f>'QTR Raw'!BE15</f>
        <v>0</v>
      </c>
      <c r="CL42" s="23">
        <f>'QTR Raw'!BF15</f>
        <v>0</v>
      </c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E42" s="123"/>
      <c r="DF42" s="23">
        <v>0</v>
      </c>
    </row>
    <row r="43" spans="1:110" s="23" customFormat="1" outlineLevel="1" x14ac:dyDescent="0.2">
      <c r="A43" s="23" t="s">
        <v>11</v>
      </c>
      <c r="B43" s="23">
        <f>'Annual Raw'!C18</f>
        <v>6.9409915</v>
      </c>
      <c r="C43" s="23">
        <f>'Annual Raw'!D18</f>
        <v>8.0639047999999995</v>
      </c>
      <c r="D43" s="23">
        <f>'Annual Raw'!E18</f>
        <v>12.3576988</v>
      </c>
      <c r="E43" s="23">
        <f>'Annual Raw'!F18</f>
        <v>19.9028457</v>
      </c>
      <c r="F43" s="23">
        <f>'Annual Raw'!G18</f>
        <v>35.525399999999998</v>
      </c>
      <c r="G43" s="23">
        <f>'Annual Raw'!H18</f>
        <v>44.101700000000001</v>
      </c>
      <c r="H43" s="23">
        <f>'Annual Raw'!I18</f>
        <v>67.052099999999996</v>
      </c>
      <c r="I43" s="23">
        <f>'Annual Raw'!J18</f>
        <v>71.989599999999996</v>
      </c>
      <c r="J43" s="23">
        <f>'Annual Raw'!K18</f>
        <v>70.780900000000003</v>
      </c>
      <c r="K43" s="23">
        <f>'Annual Raw'!L18</f>
        <v>83.342500000000001</v>
      </c>
      <c r="L43" s="23">
        <f>'Annual Raw'!M18</f>
        <v>81.298599999999993</v>
      </c>
      <c r="M43" s="23">
        <f>'Annual Raw'!N18</f>
        <v>99.505200000000002</v>
      </c>
      <c r="N43" s="23">
        <f>'Annual Raw'!O18</f>
        <v>53.887500000000003</v>
      </c>
      <c r="O43" s="23">
        <f>'Annual Raw'!P18</f>
        <v>59.887099999999997</v>
      </c>
      <c r="P43" s="23">
        <f>'Annual Raw'!Q18</f>
        <v>53.417499999999997</v>
      </c>
      <c r="Q43" s="23">
        <f>'Annual Raw'!R18</f>
        <v>53.459000000000003</v>
      </c>
      <c r="R43" s="23">
        <f>'Annual Raw'!S18</f>
        <v>55.392000000000003</v>
      </c>
      <c r="S43" s="23">
        <f>'Annual Raw'!T18</f>
        <v>54.840800000000002</v>
      </c>
      <c r="T43" s="23">
        <f>'Annual Raw'!U18</f>
        <v>63.759900000000002</v>
      </c>
      <c r="U43" s="23">
        <f>'Annual Raw'!V18</f>
        <v>58.3369</v>
      </c>
      <c r="V43" s="23">
        <f>'Annual Raw'!W18</f>
        <v>59.698500000000003</v>
      </c>
      <c r="W43" s="23">
        <f>'Annual Raw'!X18</f>
        <v>75.558599999999998</v>
      </c>
      <c r="X43" s="23">
        <f>'Annual Raw'!Y18</f>
        <v>82.25</v>
      </c>
      <c r="Y43" s="23">
        <f>'Annual Raw'!Z18</f>
        <v>102.24</v>
      </c>
      <c r="Z43" s="23">
        <f>'Annual Raw'!AA18</f>
        <v>130.29</v>
      </c>
      <c r="AA43" s="23">
        <f>'Annual Raw'!AB18</f>
        <v>134.62</v>
      </c>
      <c r="AB43" s="76">
        <f t="shared" si="270"/>
        <v>0</v>
      </c>
      <c r="AC43" s="76">
        <f t="shared" si="271"/>
        <v>0</v>
      </c>
      <c r="AD43" s="76">
        <f t="shared" si="272"/>
        <v>0</v>
      </c>
      <c r="AE43" s="76">
        <f t="shared" si="273"/>
        <v>0</v>
      </c>
      <c r="AI43" s="23">
        <f>'QTR Raw'!C18</f>
        <v>0</v>
      </c>
      <c r="AJ43" s="23">
        <f>'QTR Raw'!D18</f>
        <v>0</v>
      </c>
      <c r="AK43" s="23">
        <f>'QTR Raw'!E18</f>
        <v>0</v>
      </c>
      <c r="AL43" s="23">
        <f>'QTR Raw'!F18</f>
        <v>0</v>
      </c>
      <c r="AM43" s="23">
        <f>'QTR Raw'!G18</f>
        <v>0</v>
      </c>
      <c r="AN43" s="23">
        <f>'QTR Raw'!H18</f>
        <v>0</v>
      </c>
      <c r="AO43" s="23">
        <f>'QTR Raw'!I18</f>
        <v>0</v>
      </c>
      <c r="AP43" s="23">
        <f>'QTR Raw'!J18</f>
        <v>0</v>
      </c>
      <c r="AQ43" s="23">
        <f>'QTR Raw'!K18</f>
        <v>0</v>
      </c>
      <c r="AR43" s="23">
        <f>'QTR Raw'!L18</f>
        <v>0</v>
      </c>
      <c r="AS43" s="23">
        <f>'QTR Raw'!M18</f>
        <v>0</v>
      </c>
      <c r="AT43" s="23">
        <f>'QTR Raw'!N18</f>
        <v>0</v>
      </c>
      <c r="AU43" s="23">
        <f>'QTR Raw'!O18</f>
        <v>0</v>
      </c>
      <c r="AV43" s="23">
        <f>'QTR Raw'!P18</f>
        <v>0</v>
      </c>
      <c r="AW43" s="23">
        <f>'QTR Raw'!Q18</f>
        <v>0</v>
      </c>
      <c r="AX43" s="23">
        <f>'QTR Raw'!R18</f>
        <v>0</v>
      </c>
      <c r="AY43" s="23">
        <f>'QTR Raw'!S18</f>
        <v>0</v>
      </c>
      <c r="AZ43" s="23">
        <f>'QTR Raw'!T18</f>
        <v>0</v>
      </c>
      <c r="BA43" s="23">
        <f>'QTR Raw'!U18</f>
        <v>0</v>
      </c>
      <c r="BB43" s="23">
        <f>'QTR Raw'!V18</f>
        <v>0</v>
      </c>
      <c r="BC43" s="23">
        <f>'QTR Raw'!W18</f>
        <v>0</v>
      </c>
      <c r="BD43" s="23">
        <f>'QTR Raw'!X18</f>
        <v>0</v>
      </c>
      <c r="BE43" s="23">
        <f>'QTR Raw'!Y18</f>
        <v>0</v>
      </c>
      <c r="BF43" s="23">
        <f>'QTR Raw'!Z18</f>
        <v>0</v>
      </c>
      <c r="BG43" s="23">
        <f>'QTR Raw'!AA18</f>
        <v>0</v>
      </c>
      <c r="BH43" s="23">
        <f>'QTR Raw'!AB18</f>
        <v>0</v>
      </c>
      <c r="BI43" s="23">
        <f>'QTR Raw'!AC18</f>
        <v>0</v>
      </c>
      <c r="BJ43" s="23">
        <f>'QTR Raw'!AD18</f>
        <v>0</v>
      </c>
      <c r="BK43" s="23">
        <f>'QTR Raw'!AE18</f>
        <v>0</v>
      </c>
      <c r="BL43" s="23">
        <f>'QTR Raw'!AF18</f>
        <v>0</v>
      </c>
      <c r="BM43" s="23">
        <f>'QTR Raw'!AG18</f>
        <v>0</v>
      </c>
      <c r="BN43" s="23">
        <f>'QTR Raw'!AH18</f>
        <v>0</v>
      </c>
      <c r="BO43" s="23">
        <f>'QTR Raw'!AI18</f>
        <v>0</v>
      </c>
      <c r="BP43" s="23">
        <f>'QTR Raw'!AJ18</f>
        <v>0</v>
      </c>
      <c r="BQ43" s="23">
        <f>'QTR Raw'!AK18</f>
        <v>0</v>
      </c>
      <c r="BR43" s="23">
        <f>'QTR Raw'!AL18</f>
        <v>0</v>
      </c>
      <c r="BS43" s="23">
        <f>'QTR Raw'!AM18</f>
        <v>0</v>
      </c>
      <c r="BT43" s="23">
        <f>'QTR Raw'!AN18</f>
        <v>0</v>
      </c>
      <c r="BU43" s="23">
        <f>'QTR Raw'!AO18</f>
        <v>0</v>
      </c>
      <c r="BV43" s="23">
        <f>'QTR Raw'!AP18</f>
        <v>0</v>
      </c>
      <c r="BW43" s="23">
        <f>'QTR Raw'!AQ18</f>
        <v>0</v>
      </c>
      <c r="BX43" s="23">
        <f>'QTR Raw'!AR18</f>
        <v>0</v>
      </c>
      <c r="BY43" s="23">
        <f>'QTR Raw'!AS18</f>
        <v>0</v>
      </c>
      <c r="BZ43" s="23">
        <f>'QTR Raw'!AT18</f>
        <v>0</v>
      </c>
      <c r="CA43" s="23">
        <f>'QTR Raw'!AU18</f>
        <v>0</v>
      </c>
      <c r="CB43" s="23">
        <f>'QTR Raw'!AV18</f>
        <v>0</v>
      </c>
      <c r="CC43" s="23">
        <f>'QTR Raw'!AW18</f>
        <v>0</v>
      </c>
      <c r="CD43" s="23">
        <f>'QTR Raw'!AX18</f>
        <v>0</v>
      </c>
      <c r="CE43" s="23">
        <f>'QTR Raw'!AY18</f>
        <v>0</v>
      </c>
      <c r="CF43" s="23">
        <f>'QTR Raw'!AZ18</f>
        <v>0</v>
      </c>
      <c r="CG43" s="23">
        <f>'QTR Raw'!BA18</f>
        <v>0</v>
      </c>
      <c r="CH43" s="23">
        <f>'QTR Raw'!BB18</f>
        <v>0</v>
      </c>
      <c r="CI43" s="23">
        <f>'QTR Raw'!BC18</f>
        <v>0</v>
      </c>
      <c r="CJ43" s="23">
        <f>'QTR Raw'!BD18</f>
        <v>0</v>
      </c>
      <c r="CK43" s="23">
        <f>'QTR Raw'!BE18</f>
        <v>0</v>
      </c>
      <c r="CL43" s="23">
        <f>'QTR Raw'!BF18</f>
        <v>0</v>
      </c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E43" s="123"/>
      <c r="DF43" s="23">
        <v>0</v>
      </c>
    </row>
    <row r="44" spans="1:110" s="22" customFormat="1" x14ac:dyDescent="0.2">
      <c r="A44" s="33" t="s">
        <v>348</v>
      </c>
      <c r="B44" s="22">
        <f t="shared" ref="B44:E44" si="276">+SUM(B38:B43)</f>
        <v>51.509797900000002</v>
      </c>
      <c r="C44" s="22">
        <f t="shared" si="276"/>
        <v>55.427485300000001</v>
      </c>
      <c r="D44" s="22">
        <f t="shared" si="276"/>
        <v>63.117643000000001</v>
      </c>
      <c r="E44" s="22">
        <f t="shared" si="276"/>
        <v>64.046064099999995</v>
      </c>
      <c r="F44" s="22">
        <f t="shared" ref="F44:AE44" si="277">+SUM(F38:F43)</f>
        <v>81.038700000000006</v>
      </c>
      <c r="G44" s="22">
        <f t="shared" si="277"/>
        <v>127.3322</v>
      </c>
      <c r="H44" s="22">
        <f t="shared" si="277"/>
        <v>190.02269999999999</v>
      </c>
      <c r="I44" s="22">
        <f t="shared" si="277"/>
        <v>233.80609999999999</v>
      </c>
      <c r="J44" s="22">
        <f t="shared" si="277"/>
        <v>335.81190000000004</v>
      </c>
      <c r="K44" s="22">
        <f t="shared" si="277"/>
        <v>295.54430000000002</v>
      </c>
      <c r="L44" s="22">
        <f t="shared" si="277"/>
        <v>348.79240000000004</v>
      </c>
      <c r="M44" s="22">
        <f t="shared" si="277"/>
        <v>458.68950000000001</v>
      </c>
      <c r="N44" s="22">
        <f t="shared" si="277"/>
        <v>505.75690000000003</v>
      </c>
      <c r="O44" s="22">
        <f t="shared" si="277"/>
        <v>512.09690000000001</v>
      </c>
      <c r="P44" s="22">
        <f t="shared" si="277"/>
        <v>476.30370000000005</v>
      </c>
      <c r="Q44" s="22">
        <f t="shared" si="277"/>
        <v>506.92450000000002</v>
      </c>
      <c r="R44" s="22">
        <f t="shared" si="277"/>
        <v>485.9169</v>
      </c>
      <c r="S44" s="22">
        <f t="shared" si="277"/>
        <v>503.04699999999997</v>
      </c>
      <c r="T44" s="22">
        <f t="shared" si="277"/>
        <v>553.18179999999995</v>
      </c>
      <c r="U44" s="22">
        <f t="shared" si="277"/>
        <v>472.66789999999997</v>
      </c>
      <c r="V44" s="22">
        <f t="shared" si="277"/>
        <v>446.83840000000004</v>
      </c>
      <c r="W44" s="22">
        <f t="shared" si="277"/>
        <v>400.45639999999997</v>
      </c>
      <c r="X44" s="22">
        <f t="shared" si="277"/>
        <v>482.05</v>
      </c>
      <c r="Y44" s="22">
        <f t="shared" si="277"/>
        <v>600.53999999999985</v>
      </c>
      <c r="Z44" s="22">
        <f t="shared" ref="Z44:AA44" si="278">+SUM(Z38:Z43)</f>
        <v>653.94999999999993</v>
      </c>
      <c r="AA44" s="22">
        <f t="shared" ref="AA44" si="279">+SUM(AA38:AA43)</f>
        <v>720.56000000000006</v>
      </c>
      <c r="AB44" s="21">
        <f t="shared" si="277"/>
        <v>871.10668768698304</v>
      </c>
      <c r="AC44" s="21">
        <f t="shared" si="277"/>
        <v>973.79829096684375</v>
      </c>
      <c r="AD44" s="21">
        <f t="shared" si="277"/>
        <v>1071.8019026939512</v>
      </c>
      <c r="AE44" s="21">
        <f t="shared" si="277"/>
        <v>1179.1607630737919</v>
      </c>
      <c r="AI44" s="22">
        <f t="shared" ref="AI44:BN44" si="280">+SUM(AI38:AI43)</f>
        <v>48.594999999999999</v>
      </c>
      <c r="AJ44" s="22">
        <f t="shared" si="280"/>
        <v>66.784000000000006</v>
      </c>
      <c r="AK44" s="22">
        <f t="shared" si="280"/>
        <v>48.587000000000003</v>
      </c>
      <c r="AL44" s="22">
        <f t="shared" si="280"/>
        <v>29.856000000000002</v>
      </c>
      <c r="AM44" s="22">
        <f t="shared" si="280"/>
        <v>29.245000000000001</v>
      </c>
      <c r="AN44" s="22">
        <f t="shared" si="280"/>
        <v>38.501000000000005</v>
      </c>
      <c r="AO44" s="22">
        <f t="shared" si="280"/>
        <v>29.808999999999997</v>
      </c>
      <c r="AP44" s="22">
        <f t="shared" si="280"/>
        <v>33.344999999999999</v>
      </c>
      <c r="AQ44" s="22">
        <f t="shared" si="280"/>
        <v>82.371000000000009</v>
      </c>
      <c r="AR44" s="22">
        <f t="shared" si="280"/>
        <v>80.328000000000003</v>
      </c>
      <c r="AS44" s="22">
        <f t="shared" si="280"/>
        <v>78.657999999999987</v>
      </c>
      <c r="AT44" s="22">
        <f t="shared" si="280"/>
        <v>93.344999999999999</v>
      </c>
      <c r="AU44" s="22">
        <f t="shared" si="280"/>
        <v>105.508</v>
      </c>
      <c r="AV44" s="22">
        <f t="shared" si="280"/>
        <v>117.053</v>
      </c>
      <c r="AW44" s="22">
        <f t="shared" si="280"/>
        <v>148.41</v>
      </c>
      <c r="AX44" s="22">
        <f t="shared" si="280"/>
        <v>143.04599999999999</v>
      </c>
      <c r="AY44" s="22">
        <f t="shared" si="280"/>
        <v>109.47900000000001</v>
      </c>
      <c r="AZ44" s="22">
        <f t="shared" si="280"/>
        <v>127.44399999999999</v>
      </c>
      <c r="BA44" s="22">
        <f t="shared" si="280"/>
        <v>119.697</v>
      </c>
      <c r="BB44" s="22">
        <f t="shared" si="280"/>
        <v>140.41399999999999</v>
      </c>
      <c r="BC44" s="22">
        <f t="shared" si="280"/>
        <v>125.261</v>
      </c>
      <c r="BD44" s="22">
        <f t="shared" si="280"/>
        <v>100.074</v>
      </c>
      <c r="BE44" s="22">
        <f t="shared" si="280"/>
        <v>106.05099999999999</v>
      </c>
      <c r="BF44" s="22">
        <f t="shared" si="280"/>
        <v>179.32500000000002</v>
      </c>
      <c r="BG44" s="22">
        <f t="shared" si="280"/>
        <v>130.506</v>
      </c>
      <c r="BH44" s="22">
        <f t="shared" si="280"/>
        <v>144.32400000000001</v>
      </c>
      <c r="BI44" s="22">
        <f t="shared" si="280"/>
        <v>122.61699999999999</v>
      </c>
      <c r="BJ44" s="22">
        <f t="shared" si="280"/>
        <v>120.749</v>
      </c>
      <c r="BK44" s="22">
        <f t="shared" si="280"/>
        <v>124.373</v>
      </c>
      <c r="BL44" s="22">
        <f t="shared" si="280"/>
        <v>103.548</v>
      </c>
      <c r="BM44" s="22">
        <f t="shared" si="280"/>
        <v>127.98100000000001</v>
      </c>
      <c r="BN44" s="22">
        <f t="shared" si="280"/>
        <v>102.76600000000001</v>
      </c>
      <c r="BO44" s="22">
        <f t="shared" ref="BO44:CH44" si="281">+SUM(BO38:BO43)</f>
        <v>84.683999999999997</v>
      </c>
      <c r="BP44" s="22">
        <f t="shared" si="281"/>
        <v>82.004999999999995</v>
      </c>
      <c r="BQ44" s="22">
        <f t="shared" si="281"/>
        <v>96.113</v>
      </c>
      <c r="BR44" s="22">
        <f t="shared" si="281"/>
        <v>110.935</v>
      </c>
      <c r="BS44" s="22">
        <f t="shared" si="281"/>
        <v>98.725999999999999</v>
      </c>
      <c r="BT44" s="22">
        <f t="shared" si="281"/>
        <v>98.066000000000003</v>
      </c>
      <c r="BU44" s="22">
        <f t="shared" si="281"/>
        <v>94.481999999999999</v>
      </c>
      <c r="BV44" s="22">
        <f t="shared" si="281"/>
        <v>102.52799999999999</v>
      </c>
      <c r="BW44" s="22">
        <f t="shared" si="281"/>
        <v>119.39</v>
      </c>
      <c r="BX44" s="22">
        <f t="shared" si="281"/>
        <v>114.74000000000001</v>
      </c>
      <c r="BY44" s="22">
        <f t="shared" si="281"/>
        <v>126.3</v>
      </c>
      <c r="BZ44" s="22">
        <f t="shared" si="281"/>
        <v>116.03</v>
      </c>
      <c r="CA44" s="22">
        <f t="shared" si="281"/>
        <v>133.26999999999998</v>
      </c>
      <c r="CB44" s="22">
        <f t="shared" si="281"/>
        <v>142.38999999999999</v>
      </c>
      <c r="CC44" s="22">
        <f t="shared" si="281"/>
        <v>143.07999999999998</v>
      </c>
      <c r="CD44" s="22">
        <f t="shared" si="281"/>
        <v>182.05</v>
      </c>
      <c r="CE44" s="22">
        <f t="shared" si="281"/>
        <v>138.38999999999999</v>
      </c>
      <c r="CF44" s="22">
        <f t="shared" si="281"/>
        <v>155.38</v>
      </c>
      <c r="CG44" s="22">
        <f t="shared" si="281"/>
        <v>160.37</v>
      </c>
      <c r="CH44" s="22">
        <f t="shared" si="281"/>
        <v>201.51</v>
      </c>
      <c r="CI44" s="22">
        <f t="shared" ref="CI44:CJ44" si="282">+SUM(CI38:CI43)</f>
        <v>170.37</v>
      </c>
      <c r="CJ44" s="22">
        <f t="shared" si="282"/>
        <v>166.23000000000002</v>
      </c>
      <c r="CK44" s="22">
        <f t="shared" ref="CK44:CL44" si="283">+SUM(CK38:CK43)</f>
        <v>175.79000000000002</v>
      </c>
      <c r="CL44" s="22">
        <f t="shared" si="283"/>
        <v>205.4</v>
      </c>
      <c r="CM44" s="21">
        <f t="shared" ref="CM44:DB44" si="284">CM45*CM28</f>
        <v>217.54913790727761</v>
      </c>
      <c r="CN44" s="21">
        <f t="shared" si="284"/>
        <v>210.41581325778188</v>
      </c>
      <c r="CO44" s="21">
        <f t="shared" si="284"/>
        <v>217.82887257756258</v>
      </c>
      <c r="CP44" s="21">
        <f t="shared" si="284"/>
        <v>225.31286394436091</v>
      </c>
      <c r="CQ44" s="21">
        <f t="shared" si="284"/>
        <v>235.0022388933489</v>
      </c>
      <c r="CR44" s="21">
        <f t="shared" si="284"/>
        <v>236.92787801677139</v>
      </c>
      <c r="CS44" s="21">
        <f t="shared" si="284"/>
        <v>247.27944953924379</v>
      </c>
      <c r="CT44" s="21">
        <f t="shared" si="284"/>
        <v>254.5887245174797</v>
      </c>
      <c r="CU44" s="21">
        <f t="shared" si="284"/>
        <v>257.76269643639836</v>
      </c>
      <c r="CV44" s="21">
        <f t="shared" si="284"/>
        <v>262.01391917375878</v>
      </c>
      <c r="CW44" s="21">
        <f t="shared" si="284"/>
        <v>272.82683395461737</v>
      </c>
      <c r="CX44" s="21">
        <f t="shared" si="284"/>
        <v>279.19845312917676</v>
      </c>
      <c r="CY44" s="21">
        <f t="shared" si="284"/>
        <v>283.54793480369523</v>
      </c>
      <c r="CZ44" s="21">
        <f t="shared" si="284"/>
        <v>288.51552810868327</v>
      </c>
      <c r="DA44" s="21">
        <f t="shared" si="284"/>
        <v>300.14398397312442</v>
      </c>
      <c r="DB44" s="21">
        <f t="shared" si="284"/>
        <v>306.95331618828902</v>
      </c>
      <c r="DE44" s="126"/>
      <c r="DF44" s="22">
        <v>717.79</v>
      </c>
    </row>
    <row r="45" spans="1:110" s="44" customFormat="1" x14ac:dyDescent="0.2">
      <c r="A45" s="43" t="s">
        <v>349</v>
      </c>
      <c r="B45" s="44">
        <f t="shared" ref="B45:E45" si="285">B44/B28</f>
        <v>0.36738402038596618</v>
      </c>
      <c r="C45" s="44">
        <f t="shared" si="285"/>
        <v>0.40602371069366117</v>
      </c>
      <c r="D45" s="44">
        <f t="shared" si="285"/>
        <v>0.40026732108048629</v>
      </c>
      <c r="E45" s="44">
        <f t="shared" si="285"/>
        <v>0.38571958435671033</v>
      </c>
      <c r="F45" s="44">
        <f t="shared" ref="F45:AE45" si="286">F44/F28</f>
        <v>0.28165057391048071</v>
      </c>
      <c r="G45" s="44">
        <f t="shared" si="286"/>
        <v>0.27892141443330404</v>
      </c>
      <c r="H45" s="44">
        <f t="shared" si="286"/>
        <v>0.25571288542093923</v>
      </c>
      <c r="I45" s="44">
        <f t="shared" si="286"/>
        <v>0.27579904140510869</v>
      </c>
      <c r="J45" s="44">
        <f t="shared" si="286"/>
        <v>0.34441101649545192</v>
      </c>
      <c r="K45" s="44">
        <f t="shared" si="286"/>
        <v>0.27731762671586263</v>
      </c>
      <c r="L45" s="44">
        <f t="shared" si="286"/>
        <v>0.27194935643747314</v>
      </c>
      <c r="M45" s="44">
        <f t="shared" si="286"/>
        <v>0.28433219364364459</v>
      </c>
      <c r="N45" s="44">
        <f t="shared" si="286"/>
        <v>0.33124277186719348</v>
      </c>
      <c r="O45" s="44">
        <f t="shared" si="286"/>
        <v>0.39607843622553301</v>
      </c>
      <c r="P45" s="44">
        <f t="shared" si="286"/>
        <v>0.35842208218058602</v>
      </c>
      <c r="Q45" s="44">
        <f t="shared" si="286"/>
        <v>0.39592359770233265</v>
      </c>
      <c r="R45" s="44">
        <f t="shared" si="286"/>
        <v>0.40441434658061209</v>
      </c>
      <c r="S45" s="44">
        <f t="shared" si="286"/>
        <v>0.42622797473610857</v>
      </c>
      <c r="T45" s="44">
        <f t="shared" si="286"/>
        <v>0.4516343832436498</v>
      </c>
      <c r="U45" s="44">
        <f t="shared" si="286"/>
        <v>0.43425185322925891</v>
      </c>
      <c r="V45" s="44">
        <f t="shared" si="286"/>
        <v>0.42782598438435315</v>
      </c>
      <c r="W45" s="44">
        <f t="shared" si="286"/>
        <v>0.33042434735942811</v>
      </c>
      <c r="X45" s="44">
        <f t="shared" si="286"/>
        <v>0.31513126928507923</v>
      </c>
      <c r="Y45" s="44">
        <f t="shared" si="286"/>
        <v>0.3099689277492747</v>
      </c>
      <c r="Z45" s="44">
        <f t="shared" ref="Z45:AA45" si="287">Z44/Z28</f>
        <v>0.29365143514028086</v>
      </c>
      <c r="AA45" s="44">
        <f t="shared" ref="AA45" si="288">AA44/AA28</f>
        <v>0.30454132414784135</v>
      </c>
      <c r="AB45" s="52">
        <f t="shared" si="286"/>
        <v>0.30403739531814011</v>
      </c>
      <c r="AC45" s="52">
        <f t="shared" si="286"/>
        <v>0.30744093302267106</v>
      </c>
      <c r="AD45" s="52">
        <f t="shared" si="286"/>
        <v>0.30762986340707577</v>
      </c>
      <c r="AE45" s="52">
        <f t="shared" si="286"/>
        <v>0.30768343549462035</v>
      </c>
      <c r="AI45" s="44">
        <f t="shared" ref="AI45:BN45" si="289">AI44/AI28</f>
        <v>0.20611014030504046</v>
      </c>
      <c r="AJ45" s="44">
        <f t="shared" si="289"/>
        <v>0.20257096232126717</v>
      </c>
      <c r="AK45" s="44">
        <f t="shared" si="289"/>
        <v>0.24083969465648855</v>
      </c>
      <c r="AL45" s="44">
        <f t="shared" si="289"/>
        <v>0.16455842717065994</v>
      </c>
      <c r="AM45" s="44">
        <f t="shared" si="289"/>
        <v>0.27765909975599801</v>
      </c>
      <c r="AN45" s="44">
        <f t="shared" si="289"/>
        <v>0.31916339912626113</v>
      </c>
      <c r="AO45" s="44">
        <f t="shared" si="289"/>
        <v>0.26559451151601549</v>
      </c>
      <c r="AP45" s="44">
        <f t="shared" si="289"/>
        <v>0.20452161752709475</v>
      </c>
      <c r="AQ45" s="44">
        <f t="shared" si="289"/>
        <v>0.30752200825823028</v>
      </c>
      <c r="AR45" s="44">
        <f t="shared" si="289"/>
        <v>0.26923811726377817</v>
      </c>
      <c r="AS45" s="44">
        <f t="shared" si="289"/>
        <v>0.25793144607272495</v>
      </c>
      <c r="AT45" s="44">
        <f t="shared" si="289"/>
        <v>0.20116199634074594</v>
      </c>
      <c r="AU45" s="44">
        <f t="shared" si="289"/>
        <v>0.40503821658496131</v>
      </c>
      <c r="AV45" s="44">
        <f t="shared" si="289"/>
        <v>0.40916606368215552</v>
      </c>
      <c r="AW45" s="44">
        <f t="shared" si="289"/>
        <v>0.44804777244088073</v>
      </c>
      <c r="AX45" s="44">
        <f t="shared" si="289"/>
        <v>0.34054841612585285</v>
      </c>
      <c r="AY45" s="44">
        <f t="shared" si="289"/>
        <v>0.44101545662919001</v>
      </c>
      <c r="AZ45" s="44">
        <f t="shared" si="289"/>
        <v>0.52305962216448931</v>
      </c>
      <c r="BA45" s="44">
        <f t="shared" si="289"/>
        <v>0.41652718282069401</v>
      </c>
      <c r="BB45" s="44">
        <f t="shared" si="289"/>
        <v>0.33252342114486533</v>
      </c>
      <c r="BC45" s="44">
        <f t="shared" si="289"/>
        <v>0.53441501094334631</v>
      </c>
      <c r="BD45" s="44">
        <f t="shared" si="289"/>
        <v>0.40091983125743658</v>
      </c>
      <c r="BE45" s="44">
        <f t="shared" si="289"/>
        <v>0.4093274047999505</v>
      </c>
      <c r="BF45" s="44">
        <f t="shared" si="289"/>
        <v>0.41021951576597188</v>
      </c>
      <c r="BG45" s="44">
        <f t="shared" si="289"/>
        <v>0.43002454816547769</v>
      </c>
      <c r="BH45" s="44">
        <f t="shared" si="289"/>
        <v>0.449939675087214</v>
      </c>
      <c r="BI45" s="44">
        <f t="shared" si="289"/>
        <v>0.44973793376638138</v>
      </c>
      <c r="BJ45" s="44">
        <f t="shared" si="289"/>
        <v>0.36818770867954448</v>
      </c>
      <c r="BK45" s="44">
        <f t="shared" si="289"/>
        <v>0.45829494955450251</v>
      </c>
      <c r="BL45" s="44">
        <f t="shared" si="289"/>
        <v>0.38904272226208947</v>
      </c>
      <c r="BM45" s="44">
        <f t="shared" si="289"/>
        <v>0.45789594201031852</v>
      </c>
      <c r="BN45" s="44">
        <f t="shared" si="289"/>
        <v>0.38274970762847582</v>
      </c>
      <c r="BO45" s="44">
        <f t="shared" ref="BO45:CH45" si="290">BO44/BO28</f>
        <v>0.62830348266088942</v>
      </c>
      <c r="BP45" s="44">
        <f t="shared" si="290"/>
        <v>0.31103264126468777</v>
      </c>
      <c r="BQ45" s="44">
        <f t="shared" si="290"/>
        <v>0.32455476838500974</v>
      </c>
      <c r="BR45" s="44">
        <f t="shared" si="290"/>
        <v>0.3168376498006466</v>
      </c>
      <c r="BS45" s="44">
        <f t="shared" si="290"/>
        <v>0.33556417376762776</v>
      </c>
      <c r="BT45" s="44">
        <f t="shared" si="290"/>
        <v>0.31228922722220981</v>
      </c>
      <c r="BU45" s="44">
        <f t="shared" si="290"/>
        <v>0.34711909739188573</v>
      </c>
      <c r="BV45" s="44">
        <f t="shared" si="290"/>
        <v>0.30926174496644293</v>
      </c>
      <c r="BW45" s="44">
        <f t="shared" si="290"/>
        <v>0.36430489442206759</v>
      </c>
      <c r="BX45" s="44">
        <f t="shared" si="290"/>
        <v>0.29527265240999517</v>
      </c>
      <c r="BY45" s="44">
        <f t="shared" si="290"/>
        <v>0.32482896970320457</v>
      </c>
      <c r="BZ45" s="44">
        <f t="shared" si="290"/>
        <v>0.27330757996890753</v>
      </c>
      <c r="CA45" s="44">
        <f t="shared" si="290"/>
        <v>0.32164406043346044</v>
      </c>
      <c r="CB45" s="44">
        <f t="shared" si="290"/>
        <v>0.29364817488141881</v>
      </c>
      <c r="CC45" s="44">
        <f t="shared" si="290"/>
        <v>0.30213700481459577</v>
      </c>
      <c r="CD45" s="44">
        <f t="shared" si="290"/>
        <v>0.32242924444759308</v>
      </c>
      <c r="CE45" s="44">
        <f t="shared" si="290"/>
        <v>0.35271179529003971</v>
      </c>
      <c r="CF45" s="44">
        <f t="shared" si="290"/>
        <v>0.30578187113787536</v>
      </c>
      <c r="CG45" s="44">
        <f t="shared" si="290"/>
        <v>0.30321995121858991</v>
      </c>
      <c r="CH45" s="44">
        <f t="shared" si="290"/>
        <v>0.25265493937836175</v>
      </c>
      <c r="CI45" s="44">
        <f t="shared" ref="CI45:CJ45" si="291">CI44/CI28</f>
        <v>0.34728988727398741</v>
      </c>
      <c r="CJ45" s="44">
        <f t="shared" si="291"/>
        <v>0.2875304862228219</v>
      </c>
      <c r="CK45" s="44">
        <f t="shared" ref="CK45:CL45" si="292">CK44/CK28</f>
        <v>0.31861021495632003</v>
      </c>
      <c r="CL45" s="44">
        <f t="shared" si="292"/>
        <v>0.27547913788709916</v>
      </c>
      <c r="CM45" s="52">
        <f t="shared" ref="CM45:CT45" si="293">AVERAGE(CI45:CL45)*1.01</f>
        <v>0.31029970590090766</v>
      </c>
      <c r="CN45" s="52">
        <f t="shared" si="293"/>
        <v>0.30095968510420507</v>
      </c>
      <c r="CO45" s="52">
        <f t="shared" si="293"/>
        <v>0.3043505578217543</v>
      </c>
      <c r="CP45" s="52">
        <f t="shared" si="293"/>
        <v>0.30074999439527644</v>
      </c>
      <c r="CQ45" s="52">
        <f t="shared" si="293"/>
        <v>0.3071308856635912</v>
      </c>
      <c r="CR45" s="52">
        <f t="shared" si="293"/>
        <v>0.30633075855366887</v>
      </c>
      <c r="CS45" s="52">
        <f t="shared" si="293"/>
        <v>0.3076869545996585</v>
      </c>
      <c r="CT45" s="52">
        <f t="shared" si="293"/>
        <v>0.30852939478607927</v>
      </c>
      <c r="CU45" s="52">
        <f t="shared" ref="CU45:DB45" si="294">AVERAGE(CQ45:CT45)</f>
        <v>0.30741949840074945</v>
      </c>
      <c r="CV45" s="52">
        <f t="shared" si="294"/>
        <v>0.30749165158503899</v>
      </c>
      <c r="CW45" s="52">
        <f t="shared" si="294"/>
        <v>0.30778187484288155</v>
      </c>
      <c r="CX45" s="52">
        <f t="shared" si="294"/>
        <v>0.3078056049036873</v>
      </c>
      <c r="CY45" s="52">
        <f t="shared" si="294"/>
        <v>0.30762465743308931</v>
      </c>
      <c r="CZ45" s="52">
        <f t="shared" si="294"/>
        <v>0.3076759471911743</v>
      </c>
      <c r="DA45" s="52">
        <f t="shared" si="294"/>
        <v>0.30772202109270808</v>
      </c>
      <c r="DB45" s="52">
        <f t="shared" si="294"/>
        <v>0.30770705765516476</v>
      </c>
      <c r="DE45" s="128"/>
      <c r="DF45" s="44">
        <v>0.30337059656389337</v>
      </c>
    </row>
    <row r="46" spans="1:110" s="26" customFormat="1" x14ac:dyDescent="0.2">
      <c r="A46" s="34" t="s">
        <v>13</v>
      </c>
      <c r="B46" s="26">
        <f t="shared" ref="B46:E46" si="295">B34-B44</f>
        <v>12.241993199999989</v>
      </c>
      <c r="C46" s="26">
        <f t="shared" si="295"/>
        <v>11.499346299999985</v>
      </c>
      <c r="D46" s="26">
        <f t="shared" si="295"/>
        <v>11.848633100000015</v>
      </c>
      <c r="E46" s="26">
        <f t="shared" si="295"/>
        <v>15.668042900000003</v>
      </c>
      <c r="F46" s="26">
        <f t="shared" ref="F46:AE46" si="296">F34-F44</f>
        <v>40.901200000000017</v>
      </c>
      <c r="G46" s="26">
        <f t="shared" si="296"/>
        <v>63.873999999999967</v>
      </c>
      <c r="H46" s="26">
        <f t="shared" si="296"/>
        <v>115.26099999999997</v>
      </c>
      <c r="I46" s="26">
        <f t="shared" si="296"/>
        <v>136.57260000000011</v>
      </c>
      <c r="J46" s="26">
        <f t="shared" si="296"/>
        <v>158.16409999999996</v>
      </c>
      <c r="K46" s="26">
        <f t="shared" si="296"/>
        <v>156.91840000000002</v>
      </c>
      <c r="L46" s="26">
        <f t="shared" si="296"/>
        <v>195.90720000000022</v>
      </c>
      <c r="M46" s="26">
        <f t="shared" si="296"/>
        <v>214.51389999999998</v>
      </c>
      <c r="N46" s="26">
        <f t="shared" si="296"/>
        <v>216.33469999999994</v>
      </c>
      <c r="O46" s="26">
        <f t="shared" si="296"/>
        <v>156.65369999999996</v>
      </c>
      <c r="P46" s="26">
        <f t="shared" si="296"/>
        <v>175.95289999999989</v>
      </c>
      <c r="Q46" s="26">
        <f t="shared" si="296"/>
        <v>171.9575999999999</v>
      </c>
      <c r="R46" s="26">
        <f t="shared" si="296"/>
        <v>174.24750000000012</v>
      </c>
      <c r="S46" s="26">
        <f t="shared" si="296"/>
        <v>125.61950000000007</v>
      </c>
      <c r="T46" s="26">
        <f t="shared" si="296"/>
        <v>106.54500000000007</v>
      </c>
      <c r="U46" s="26">
        <f t="shared" si="296"/>
        <v>112.37679999999995</v>
      </c>
      <c r="V46" s="26">
        <f t="shared" si="296"/>
        <v>112.24059999999992</v>
      </c>
      <c r="W46" s="26">
        <f t="shared" si="296"/>
        <v>239.78519999999997</v>
      </c>
      <c r="X46" s="26">
        <f t="shared" si="296"/>
        <v>333.28000000000003</v>
      </c>
      <c r="Y46" s="26">
        <f t="shared" si="296"/>
        <v>474.72000000000014</v>
      </c>
      <c r="Z46" s="26">
        <f t="shared" ref="Z46:AA46" si="297">Z34-Z44</f>
        <v>546.70000000000016</v>
      </c>
      <c r="AA46" s="26">
        <f t="shared" ref="AA46" si="298">AA34-AA44</f>
        <v>520.37000000000023</v>
      </c>
      <c r="AB46" s="27">
        <f t="shared" si="296"/>
        <v>604.76039583662271</v>
      </c>
      <c r="AC46" s="27">
        <f t="shared" si="296"/>
        <v>649.84976803347922</v>
      </c>
      <c r="AD46" s="27">
        <f t="shared" si="296"/>
        <v>712.83615929770122</v>
      </c>
      <c r="AE46" s="27">
        <f t="shared" si="296"/>
        <v>783.70484402671377</v>
      </c>
      <c r="AI46" s="26">
        <f t="shared" ref="AI46:BN46" si="299">AI34-AI44</f>
        <v>31.552999999999969</v>
      </c>
      <c r="AJ46" s="26">
        <f t="shared" si="299"/>
        <v>60.477999999999994</v>
      </c>
      <c r="AK46" s="26">
        <f t="shared" si="299"/>
        <v>31.763999999999996</v>
      </c>
      <c r="AL46" s="26">
        <f t="shared" si="299"/>
        <v>24.646999999999984</v>
      </c>
      <c r="AM46" s="26">
        <f t="shared" si="299"/>
        <v>17.576999999999995</v>
      </c>
      <c r="AN46" s="26">
        <f t="shared" si="299"/>
        <v>24.509999999999998</v>
      </c>
      <c r="AO46" s="26">
        <f t="shared" si="299"/>
        <v>24.619999999999997</v>
      </c>
      <c r="AP46" s="26">
        <f t="shared" si="299"/>
        <v>33.361999999999981</v>
      </c>
      <c r="AQ46" s="26">
        <f t="shared" si="299"/>
        <v>26.062999999999974</v>
      </c>
      <c r="AR46" s="26">
        <f t="shared" si="299"/>
        <v>24.975999999999985</v>
      </c>
      <c r="AS46" s="26">
        <f t="shared" si="299"/>
        <v>38.179000000000059</v>
      </c>
      <c r="AT46" s="26">
        <f t="shared" si="299"/>
        <v>84.188000000000017</v>
      </c>
      <c r="AU46" s="26">
        <f t="shared" si="299"/>
        <v>25.395000000000024</v>
      </c>
      <c r="AV46" s="26">
        <f t="shared" si="299"/>
        <v>42.812999999999988</v>
      </c>
      <c r="AW46" s="26">
        <f t="shared" si="299"/>
        <v>19.611999999999966</v>
      </c>
      <c r="AX46" s="26">
        <f t="shared" si="299"/>
        <v>75.983000000000033</v>
      </c>
      <c r="AY46" s="26">
        <f t="shared" si="299"/>
        <v>34.318999999999988</v>
      </c>
      <c r="AZ46" s="26">
        <f t="shared" si="299"/>
        <v>14.751000000000033</v>
      </c>
      <c r="BA46" s="26">
        <f t="shared" si="299"/>
        <v>26.479999999999961</v>
      </c>
      <c r="BB46" s="26">
        <f t="shared" si="299"/>
        <v>87.578999999999979</v>
      </c>
      <c r="BC46" s="26">
        <f t="shared" si="299"/>
        <v>-9.386999999999972</v>
      </c>
      <c r="BD46" s="26">
        <f t="shared" si="299"/>
        <v>22.046999999999997</v>
      </c>
      <c r="BE46" s="26">
        <f t="shared" si="299"/>
        <v>26.623000000000047</v>
      </c>
      <c r="BF46" s="26">
        <f t="shared" si="299"/>
        <v>78.672999999999973</v>
      </c>
      <c r="BG46" s="26">
        <f t="shared" si="299"/>
        <v>35.504000000000019</v>
      </c>
      <c r="BH46" s="26">
        <f t="shared" si="299"/>
        <v>33.149999999999949</v>
      </c>
      <c r="BI46" s="26">
        <f t="shared" si="299"/>
        <v>24.801000000000016</v>
      </c>
      <c r="BJ46" s="26">
        <f t="shared" si="299"/>
        <v>48.076000000000022</v>
      </c>
      <c r="BK46" s="26">
        <f t="shared" si="299"/>
        <v>31.716000000000022</v>
      </c>
      <c r="BL46" s="26">
        <f t="shared" si="299"/>
        <v>40.034999999999997</v>
      </c>
      <c r="BM46" s="26">
        <f t="shared" si="299"/>
        <v>37.429999999999993</v>
      </c>
      <c r="BN46" s="26">
        <f t="shared" si="299"/>
        <v>28.265000000000001</v>
      </c>
      <c r="BO46" s="26">
        <f t="shared" ref="BO46:CT46" si="300">BO34-BO44</f>
        <v>-2.6549999999999869</v>
      </c>
      <c r="BP46" s="26">
        <f t="shared" si="300"/>
        <v>58.794999999999987</v>
      </c>
      <c r="BQ46" s="26">
        <f t="shared" si="300"/>
        <v>55.956000000000017</v>
      </c>
      <c r="BR46" s="26">
        <f t="shared" si="300"/>
        <v>73.510999999999996</v>
      </c>
      <c r="BS46" s="26">
        <f t="shared" si="300"/>
        <v>58.867999999999967</v>
      </c>
      <c r="BT46" s="26">
        <f t="shared" si="300"/>
        <v>66.674000000000035</v>
      </c>
      <c r="BU46" s="26">
        <f t="shared" si="300"/>
        <v>52.347000000000008</v>
      </c>
      <c r="BV46" s="26">
        <f t="shared" si="300"/>
        <v>68.548999999999978</v>
      </c>
      <c r="BW46" s="26">
        <f t="shared" si="300"/>
        <v>64.890000000000029</v>
      </c>
      <c r="BX46" s="26">
        <f t="shared" si="300"/>
        <v>92.589999999999947</v>
      </c>
      <c r="BY46" s="26">
        <f t="shared" si="300"/>
        <v>88.54</v>
      </c>
      <c r="BZ46" s="26">
        <f t="shared" si="300"/>
        <v>92.850000000000023</v>
      </c>
      <c r="CA46" s="26">
        <f t="shared" si="300"/>
        <v>99.96999999999997</v>
      </c>
      <c r="CB46" s="26">
        <f t="shared" si="300"/>
        <v>118.74000000000001</v>
      </c>
      <c r="CC46" s="26">
        <f t="shared" si="300"/>
        <v>120.39000000000004</v>
      </c>
      <c r="CD46" s="26">
        <f t="shared" si="300"/>
        <v>135.35999999999996</v>
      </c>
      <c r="CE46" s="26">
        <f t="shared" si="300"/>
        <v>92.380000000000024</v>
      </c>
      <c r="CF46" s="26">
        <f t="shared" si="300"/>
        <v>112.29999999999995</v>
      </c>
      <c r="CG46" s="26">
        <f t="shared" si="300"/>
        <v>142.57999999999993</v>
      </c>
      <c r="CH46" s="26">
        <f t="shared" si="300"/>
        <v>195.33000000000004</v>
      </c>
      <c r="CI46" s="26">
        <f t="shared" ref="CI46:CJ46" si="301">CI34-CI44</f>
        <v>130.29999999999995</v>
      </c>
      <c r="CJ46" s="26">
        <f t="shared" si="301"/>
        <v>125.63999999999999</v>
      </c>
      <c r="CK46" s="26">
        <f t="shared" ref="CK46:CL46" si="302">CK34-CK44</f>
        <v>109.18</v>
      </c>
      <c r="CL46" s="26">
        <f t="shared" si="302"/>
        <v>158.02000000000007</v>
      </c>
      <c r="CM46" s="27">
        <f t="shared" si="300"/>
        <v>154.32096771074015</v>
      </c>
      <c r="CN46" s="27">
        <f t="shared" si="300"/>
        <v>146.00578901531279</v>
      </c>
      <c r="CO46" s="27">
        <f t="shared" si="300"/>
        <v>147.92287179595004</v>
      </c>
      <c r="CP46" s="27">
        <f t="shared" si="300"/>
        <v>156.5107673146199</v>
      </c>
      <c r="CQ46" s="27">
        <f t="shared" si="300"/>
        <v>159.22355797328734</v>
      </c>
      <c r="CR46" s="27">
        <f t="shared" si="300"/>
        <v>158.62930446907575</v>
      </c>
      <c r="CS46" s="27">
        <f t="shared" si="300"/>
        <v>164.068561637144</v>
      </c>
      <c r="CT46" s="27">
        <f t="shared" si="300"/>
        <v>167.92834395397216</v>
      </c>
      <c r="CU46" s="27">
        <f t="shared" ref="CU46:DB46" si="303">CU34-CU44</f>
        <v>172.06424361033226</v>
      </c>
      <c r="CV46" s="27">
        <f t="shared" si="303"/>
        <v>174.24707842086826</v>
      </c>
      <c r="CW46" s="27">
        <f t="shared" si="303"/>
        <v>181.1327881559414</v>
      </c>
      <c r="CX46" s="27">
        <f t="shared" si="303"/>
        <v>185.39204911055924</v>
      </c>
      <c r="CY46" s="27">
        <f t="shared" si="303"/>
        <v>188.5936277653459</v>
      </c>
      <c r="CZ46" s="27">
        <f t="shared" si="303"/>
        <v>191.72407386026879</v>
      </c>
      <c r="DA46" s="27">
        <f t="shared" si="303"/>
        <v>199.41310707447269</v>
      </c>
      <c r="DB46" s="27">
        <f t="shared" si="303"/>
        <v>203.97403532662622</v>
      </c>
      <c r="DE46" s="121"/>
      <c r="DF46" s="26">
        <v>523.14000000000033</v>
      </c>
    </row>
    <row r="47" spans="1:110" s="164" customFormat="1" x14ac:dyDescent="0.2">
      <c r="A47" s="161" t="s">
        <v>14</v>
      </c>
      <c r="B47" s="162">
        <f t="shared" ref="B47:E47" si="304">B46/B28</f>
        <v>8.7313731808558601E-2</v>
      </c>
      <c r="C47" s="162">
        <f t="shared" si="304"/>
        <v>8.423631759598188E-2</v>
      </c>
      <c r="D47" s="162">
        <f t="shared" si="304"/>
        <v>7.5139381066599453E-2</v>
      </c>
      <c r="E47" s="162">
        <f t="shared" si="304"/>
        <v>9.4361317592209518E-2</v>
      </c>
      <c r="F47" s="162">
        <f t="shared" ref="F47:AE47" si="305">F46/F28</f>
        <v>0.14215240932575865</v>
      </c>
      <c r="G47" s="162">
        <f t="shared" si="305"/>
        <v>0.13991611254272568</v>
      </c>
      <c r="H47" s="162">
        <f t="shared" si="305"/>
        <v>0.15510632617315126</v>
      </c>
      <c r="I47" s="162">
        <f t="shared" si="305"/>
        <v>0.16110183678784848</v>
      </c>
      <c r="J47" s="162">
        <f t="shared" si="305"/>
        <v>0.16221419924096878</v>
      </c>
      <c r="K47" s="162">
        <f t="shared" si="305"/>
        <v>0.14724099999915552</v>
      </c>
      <c r="L47" s="162">
        <f t="shared" si="305"/>
        <v>0.15274655342681603</v>
      </c>
      <c r="M47" s="162">
        <f t="shared" si="305"/>
        <v>0.13297275772402334</v>
      </c>
      <c r="N47" s="162">
        <f t="shared" si="305"/>
        <v>0.14168725266834267</v>
      </c>
      <c r="O47" s="162">
        <f t="shared" si="305"/>
        <v>0.12116291374726884</v>
      </c>
      <c r="P47" s="162">
        <f t="shared" si="305"/>
        <v>0.13240586790258482</v>
      </c>
      <c r="Q47" s="162">
        <f t="shared" si="305"/>
        <v>0.13430416490869665</v>
      </c>
      <c r="R47" s="162">
        <f t="shared" si="305"/>
        <v>0.14502107017847135</v>
      </c>
      <c r="S47" s="162">
        <f t="shared" si="305"/>
        <v>0.10643646631897741</v>
      </c>
      <c r="T47" s="162">
        <f t="shared" si="305"/>
        <v>8.6986566374191457E-2</v>
      </c>
      <c r="U47" s="162">
        <f t="shared" si="305"/>
        <v>0.10324338432961867</v>
      </c>
      <c r="V47" s="162">
        <f t="shared" si="305"/>
        <v>0.10746490270954867</v>
      </c>
      <c r="W47" s="162">
        <f t="shared" si="305"/>
        <v>0.19785142206854464</v>
      </c>
      <c r="X47" s="162">
        <f t="shared" si="305"/>
        <v>0.21787563411955443</v>
      </c>
      <c r="Y47" s="162">
        <f t="shared" si="305"/>
        <v>0.24502689143293666</v>
      </c>
      <c r="Z47" s="162">
        <f t="shared" ref="Z47:AA47" si="306">Z46/Z28</f>
        <v>0.24549161188346452</v>
      </c>
      <c r="AA47" s="162">
        <f t="shared" ref="AA47" si="307">AA46/AA28</f>
        <v>0.21993195410071648</v>
      </c>
      <c r="AB47" s="163">
        <f t="shared" si="305"/>
        <v>0.21107606925847014</v>
      </c>
      <c r="AC47" s="163">
        <f t="shared" si="305"/>
        <v>0.20516612204198431</v>
      </c>
      <c r="AD47" s="163">
        <f t="shared" si="305"/>
        <v>0.20459908660844542</v>
      </c>
      <c r="AE47" s="163">
        <f t="shared" si="305"/>
        <v>0.20449543978663134</v>
      </c>
      <c r="AI47" s="162">
        <f t="shared" ref="AI47:BN47" si="308">AI46/AI28</f>
        <v>0.13382844442936384</v>
      </c>
      <c r="AJ47" s="162">
        <f t="shared" si="308"/>
        <v>0.18344343943557728</v>
      </c>
      <c r="AK47" s="162">
        <f t="shared" si="308"/>
        <v>0.15745018340438185</v>
      </c>
      <c r="AL47" s="162">
        <f t="shared" si="308"/>
        <v>0.13584778786425686</v>
      </c>
      <c r="AM47" s="162">
        <f t="shared" si="308"/>
        <v>0.16688028710587025</v>
      </c>
      <c r="AN47" s="162">
        <f t="shared" si="308"/>
        <v>0.20318160340211056</v>
      </c>
      <c r="AO47" s="162">
        <f t="shared" si="308"/>
        <v>0.21936116184790838</v>
      </c>
      <c r="AP47" s="162">
        <f t="shared" si="308"/>
        <v>0.20462588705769774</v>
      </c>
      <c r="AQ47" s="162">
        <f t="shared" si="308"/>
        <v>9.730300835529794E-2</v>
      </c>
      <c r="AR47" s="162">
        <f t="shared" si="308"/>
        <v>8.3712917249030461E-2</v>
      </c>
      <c r="AS47" s="162">
        <f t="shared" si="308"/>
        <v>0.12519469958059679</v>
      </c>
      <c r="AT47" s="162">
        <f t="shared" si="308"/>
        <v>0.18142831590266992</v>
      </c>
      <c r="AU47" s="162">
        <f t="shared" si="308"/>
        <v>9.7489721255024281E-2</v>
      </c>
      <c r="AV47" s="162">
        <f t="shared" si="308"/>
        <v>0.1496555123271007</v>
      </c>
      <c r="AW47" s="162">
        <f t="shared" si="308"/>
        <v>5.9208361384748588E-2</v>
      </c>
      <c r="AX47" s="162">
        <f t="shared" si="308"/>
        <v>0.18089209277079182</v>
      </c>
      <c r="AY47" s="162">
        <f t="shared" si="308"/>
        <v>0.13824760416205084</v>
      </c>
      <c r="AZ47" s="162">
        <f t="shared" si="308"/>
        <v>6.0541512244973478E-2</v>
      </c>
      <c r="BA47" s="162">
        <f t="shared" si="308"/>
        <v>9.2146334503721575E-2</v>
      </c>
      <c r="BB47" s="162">
        <f t="shared" si="308"/>
        <v>0.20740146068373636</v>
      </c>
      <c r="BC47" s="162">
        <f t="shared" si="308"/>
        <v>-4.0048807751216872E-2</v>
      </c>
      <c r="BD47" s="162">
        <f t="shared" si="308"/>
        <v>8.832543437588887E-2</v>
      </c>
      <c r="BE47" s="162">
        <f t="shared" si="308"/>
        <v>0.10275738557853395</v>
      </c>
      <c r="BF47" s="162">
        <f t="shared" si="308"/>
        <v>0.1799704445217136</v>
      </c>
      <c r="BG47" s="162">
        <f t="shared" si="308"/>
        <v>0.11698766001614583</v>
      </c>
      <c r="BH47" s="162">
        <f t="shared" si="308"/>
        <v>0.1033473312071528</v>
      </c>
      <c r="BI47" s="162">
        <f t="shared" si="308"/>
        <v>9.0965775506985425E-2</v>
      </c>
      <c r="BJ47" s="162">
        <f t="shared" si="308"/>
        <v>0.14659328261499299</v>
      </c>
      <c r="BK47" s="162">
        <f t="shared" si="308"/>
        <v>0.11686847322224769</v>
      </c>
      <c r="BL47" s="162">
        <f t="shared" si="308"/>
        <v>0.15041647724497578</v>
      </c>
      <c r="BM47" s="162">
        <f t="shared" si="308"/>
        <v>0.13391866846989958</v>
      </c>
      <c r="BN47" s="162">
        <f t="shared" si="308"/>
        <v>0.10527237107719352</v>
      </c>
      <c r="BO47" s="162">
        <f t="shared" ref="BO47:CT47" si="309">BO46/BO28</f>
        <v>-1.969847605763371E-2</v>
      </c>
      <c r="BP47" s="162">
        <f t="shared" si="309"/>
        <v>0.22300059927025567</v>
      </c>
      <c r="BQ47" s="162">
        <f t="shared" si="309"/>
        <v>0.18895244784526141</v>
      </c>
      <c r="BR47" s="162">
        <f t="shared" si="309"/>
        <v>0.20995224658128933</v>
      </c>
      <c r="BS47" s="162">
        <f t="shared" si="309"/>
        <v>0.20008905234034297</v>
      </c>
      <c r="BT47" s="162">
        <f t="shared" si="309"/>
        <v>0.21232202736742223</v>
      </c>
      <c r="BU47" s="162">
        <f t="shared" si="309"/>
        <v>0.1923185727564303</v>
      </c>
      <c r="BV47" s="162">
        <f t="shared" si="309"/>
        <v>0.20676872030766905</v>
      </c>
      <c r="BW47" s="162">
        <f t="shared" si="309"/>
        <v>0.19800439399487374</v>
      </c>
      <c r="BX47" s="162">
        <f t="shared" si="309"/>
        <v>0.2382717002496203</v>
      </c>
      <c r="BY47" s="162">
        <f t="shared" si="309"/>
        <v>0.22771462373334708</v>
      </c>
      <c r="BZ47" s="162">
        <f t="shared" si="309"/>
        <v>0.21870730673199232</v>
      </c>
      <c r="CA47" s="162">
        <f t="shared" si="309"/>
        <v>0.24127528117005353</v>
      </c>
      <c r="CB47" s="162">
        <f t="shared" si="309"/>
        <v>0.24487523200659933</v>
      </c>
      <c r="CC47" s="162">
        <f t="shared" si="309"/>
        <v>0.2542233296731144</v>
      </c>
      <c r="CD47" s="162">
        <f t="shared" si="309"/>
        <v>0.23973645991994608</v>
      </c>
      <c r="CE47" s="162">
        <f t="shared" si="309"/>
        <v>0.2354470384340912</v>
      </c>
      <c r="CF47" s="162">
        <f t="shared" si="309"/>
        <v>0.22100208603928043</v>
      </c>
      <c r="CG47" s="162">
        <f t="shared" si="309"/>
        <v>0.26958346726162324</v>
      </c>
      <c r="CH47" s="162">
        <f t="shared" si="309"/>
        <v>0.24490640319971918</v>
      </c>
      <c r="CI47" s="162">
        <f t="shared" ref="CI47:CJ47" si="310">CI46/CI28</f>
        <v>0.26560939315490134</v>
      </c>
      <c r="CJ47" s="162">
        <f t="shared" si="310"/>
        <v>0.21732136370712468</v>
      </c>
      <c r="CK47" s="162">
        <f t="shared" ref="CK47:CL47" si="311">CK46/CK28</f>
        <v>0.19788306086200022</v>
      </c>
      <c r="CL47" s="162">
        <f t="shared" si="311"/>
        <v>0.21193385281849769</v>
      </c>
      <c r="CM47" s="163">
        <f t="shared" si="309"/>
        <v>0.22011464331978042</v>
      </c>
      <c r="CN47" s="163">
        <f t="shared" si="309"/>
        <v>0.20883343131443294</v>
      </c>
      <c r="CO47" s="163">
        <f t="shared" si="309"/>
        <v>0.20667787521905653</v>
      </c>
      <c r="CP47" s="163">
        <f t="shared" si="309"/>
        <v>0.20891222795115699</v>
      </c>
      <c r="CQ47" s="163">
        <f t="shared" si="309"/>
        <v>0.20809364459305138</v>
      </c>
      <c r="CR47" s="163">
        <f t="shared" si="309"/>
        <v>0.20509631696196223</v>
      </c>
      <c r="CS47" s="163">
        <f t="shared" si="309"/>
        <v>0.20414861069022089</v>
      </c>
      <c r="CT47" s="163">
        <f t="shared" si="309"/>
        <v>0.20350795356606741</v>
      </c>
      <c r="CU47" s="163">
        <f t="shared" ref="CU47:DB47" si="312">CU46/CU28</f>
        <v>0.20521163145282545</v>
      </c>
      <c r="CV47" s="163">
        <f t="shared" si="312"/>
        <v>0.20449112816776907</v>
      </c>
      <c r="CW47" s="163">
        <f t="shared" si="312"/>
        <v>0.20433983096922062</v>
      </c>
      <c r="CX47" s="163">
        <f t="shared" si="312"/>
        <v>0.20438763603897067</v>
      </c>
      <c r="CY47" s="163">
        <f t="shared" si="312"/>
        <v>0.20460755665719638</v>
      </c>
      <c r="CZ47" s="163">
        <f t="shared" si="312"/>
        <v>0.20445653795828922</v>
      </c>
      <c r="DA47" s="163">
        <f t="shared" si="312"/>
        <v>0.20444789040591929</v>
      </c>
      <c r="DB47" s="163">
        <f t="shared" si="312"/>
        <v>0.20447490526509385</v>
      </c>
      <c r="DE47" s="165"/>
      <c r="DF47" s="164">
        <v>0.22110268168466443</v>
      </c>
    </row>
    <row r="48" spans="1:110" s="38" customFormat="1" x14ac:dyDescent="0.2">
      <c r="A48" s="39" t="s">
        <v>449</v>
      </c>
      <c r="B48" s="39"/>
      <c r="C48" s="39">
        <f t="shared" ref="C48:E48" si="313">+IF(B46&lt;0,1-C46/B46,C46/B46-1)</f>
        <v>-6.0663887642087966E-2</v>
      </c>
      <c r="D48" s="39">
        <f t="shared" si="313"/>
        <v>3.0374491809158854E-2</v>
      </c>
      <c r="E48" s="39">
        <f t="shared" si="313"/>
        <v>0.32235024646007338</v>
      </c>
      <c r="F48" s="39">
        <f t="shared" ref="F48:Y48" si="314">+IF(E46&lt;0,1-F46/E46,F46/E46-1)</f>
        <v>1.6104855763447015</v>
      </c>
      <c r="G48" s="39">
        <f t="shared" si="314"/>
        <v>0.56166567240080822</v>
      </c>
      <c r="H48" s="39">
        <f t="shared" si="314"/>
        <v>0.80450574568682143</v>
      </c>
      <c r="I48" s="39">
        <f t="shared" si="314"/>
        <v>0.1848986213897168</v>
      </c>
      <c r="J48" s="39">
        <f t="shared" si="314"/>
        <v>0.15809540127375366</v>
      </c>
      <c r="K48" s="39">
        <f t="shared" si="314"/>
        <v>-7.8759971447373012E-3</v>
      </c>
      <c r="L48" s="39">
        <f t="shared" si="314"/>
        <v>0.24846544446030672</v>
      </c>
      <c r="M48" s="39">
        <f t="shared" si="314"/>
        <v>9.4977111612027265E-2</v>
      </c>
      <c r="N48" s="39">
        <f t="shared" si="314"/>
        <v>8.4880280485317705E-3</v>
      </c>
      <c r="O48" s="39">
        <f t="shared" si="314"/>
        <v>-0.27587344979792883</v>
      </c>
      <c r="P48" s="39">
        <f t="shared" si="314"/>
        <v>0.12319657946157636</v>
      </c>
      <c r="Q48" s="39">
        <f t="shared" si="314"/>
        <v>-2.2706644789599828E-2</v>
      </c>
      <c r="R48" s="39">
        <f t="shared" si="314"/>
        <v>1.3316654803278372E-2</v>
      </c>
      <c r="S48" s="39">
        <f t="shared" si="314"/>
        <v>-0.2790743052267608</v>
      </c>
      <c r="T48" s="39">
        <f t="shared" si="314"/>
        <v>-0.1518434637934396</v>
      </c>
      <c r="U48" s="39">
        <f t="shared" si="314"/>
        <v>5.4735557745552388E-2</v>
      </c>
      <c r="V48" s="39">
        <f t="shared" si="314"/>
        <v>-1.2119939346914022E-3</v>
      </c>
      <c r="W48" s="39">
        <f t="shared" si="314"/>
        <v>1.1363499482362012</v>
      </c>
      <c r="X48" s="39">
        <f t="shared" si="314"/>
        <v>0.38991063668650128</v>
      </c>
      <c r="Y48" s="39">
        <f t="shared" si="314"/>
        <v>0.42438790206433064</v>
      </c>
      <c r="Z48" s="39">
        <f t="shared" ref="Z48:AE48" si="315">+IF(Y46&lt;0,1-Z46/Y46,Z46/Y46-1)</f>
        <v>0.15162622177283458</v>
      </c>
      <c r="AA48" s="39">
        <f t="shared" si="315"/>
        <v>-4.8161697457472008E-2</v>
      </c>
      <c r="AB48" s="40">
        <f t="shared" si="315"/>
        <v>0.16217382984534545</v>
      </c>
      <c r="AC48" s="40">
        <f t="shared" si="315"/>
        <v>7.4557415643066616E-2</v>
      </c>
      <c r="AD48" s="40">
        <f t="shared" si="315"/>
        <v>9.6924542198154606E-2</v>
      </c>
      <c r="AE48" s="40">
        <f t="shared" si="315"/>
        <v>9.9417915049137884E-2</v>
      </c>
      <c r="AI48" s="39"/>
      <c r="AJ48" s="39"/>
      <c r="AK48" s="39"/>
      <c r="AL48" s="39"/>
      <c r="AM48" s="39">
        <f>+IF(AI46&lt;0,1-AM46/AI46,AM46/AI46-1)</f>
        <v>-0.4429372801318413</v>
      </c>
      <c r="AN48" s="39">
        <f t="shared" ref="AN48" si="316">+IF(AJ46&lt;0,1-AN46/AJ46,AN46/AJ46-1)</f>
        <v>-0.59472866166209193</v>
      </c>
      <c r="AO48" s="39">
        <f t="shared" ref="AO48" si="317">+IF(AK46&lt;0,1-AO46/AK46,AO46/AK46-1)</f>
        <v>-0.224908701674852</v>
      </c>
      <c r="AP48" s="39">
        <f t="shared" ref="AP48" si="318">+IF(AL46&lt;0,1-AP46/AL46,AP46/AL46-1)</f>
        <v>0.35359272933825636</v>
      </c>
      <c r="AQ48" s="39">
        <f t="shared" ref="AQ48" si="319">+IF(AM46&lt;0,1-AQ46/AM46,AQ46/AM46-1)</f>
        <v>0.48279000967172903</v>
      </c>
      <c r="AR48" s="39">
        <f t="shared" ref="AR48" si="320">+IF(AN46&lt;0,1-AR46/AN46,AR46/AN46-1)</f>
        <v>1.9012647898816182E-2</v>
      </c>
      <c r="AS48" s="39">
        <f t="shared" ref="AS48" si="321">+IF(AO46&lt;0,1-AS46/AO46,AS46/AO46-1)</f>
        <v>0.55073111291633081</v>
      </c>
      <c r="AT48" s="39">
        <f t="shared" ref="AT48" si="322">+IF(AP46&lt;0,1-AT46/AP46,AT46/AP46-1)</f>
        <v>1.5234698159582778</v>
      </c>
      <c r="AU48" s="39">
        <f t="shared" ref="AU48" si="323">+IF(AQ46&lt;0,1-AU46/AQ46,AU46/AQ46-1)</f>
        <v>-2.563020373709668E-2</v>
      </c>
      <c r="AV48" s="39">
        <f t="shared" ref="AV48" si="324">+IF(AR46&lt;0,1-AV46/AR46,AV46/AR46-1)</f>
        <v>0.71416559897501664</v>
      </c>
      <c r="AW48" s="39">
        <f t="shared" ref="AW48" si="325">+IF(AS46&lt;0,1-AW46/AS46,AW46/AS46-1)</f>
        <v>-0.48631446606773521</v>
      </c>
      <c r="AX48" s="39">
        <f t="shared" ref="AX48" si="326">+IF(AT46&lt;0,1-AX46/AT46,AX46/AT46-1)</f>
        <v>-9.74604456692163E-2</v>
      </c>
      <c r="AY48" s="39">
        <f t="shared" ref="AY48" si="327">+IF(AU46&lt;0,1-AY46/AU46,AY46/AU46-1)</f>
        <v>0.35140775743256381</v>
      </c>
      <c r="AZ48" s="39">
        <f t="shared" ref="AZ48" si="328">+IF(AV46&lt;0,1-AZ46/AV46,AZ46/AV46-1)</f>
        <v>-0.65545511877233464</v>
      </c>
      <c r="BA48" s="39">
        <f t="shared" ref="BA48" si="329">+IF(AW46&lt;0,1-BA46/AW46,BA46/AW46-1)</f>
        <v>0.35019375892310856</v>
      </c>
      <c r="BB48" s="39">
        <f t="shared" ref="BB48" si="330">+IF(AX46&lt;0,1-BB46/AX46,BB46/AX46-1)</f>
        <v>0.15261308450574385</v>
      </c>
      <c r="BC48" s="39">
        <f t="shared" ref="BC48" si="331">+IF(AY46&lt;0,1-BC46/AY46,BC46/AY46-1)</f>
        <v>-1.2735219557679414</v>
      </c>
      <c r="BD48" s="39">
        <f t="shared" ref="BD48" si="332">+IF(AZ46&lt;0,1-BD46/AZ46,BD46/AZ46-1)</f>
        <v>0.49461053487898776</v>
      </c>
      <c r="BE48" s="39">
        <f t="shared" ref="BE48" si="333">+IF(BA46&lt;0,1-BE46/BA46,BE46/BA46-1)</f>
        <v>5.4003021148067987E-3</v>
      </c>
      <c r="BF48" s="39">
        <f t="shared" ref="BF48" si="334">+IF(BB46&lt;0,1-BF46/BB46,BF46/BB46-1)</f>
        <v>-0.10169104465682421</v>
      </c>
      <c r="BG48" s="39">
        <f t="shared" ref="BG48" si="335">+IF(BC46&lt;0,1-BG46/BC46,BG46/BC46-1)</f>
        <v>4.7822520507084398</v>
      </c>
      <c r="BH48" s="39">
        <f t="shared" ref="BH48" si="336">+IF(BD46&lt;0,1-BH46/BD46,BH46/BD46-1)</f>
        <v>0.50360593277996801</v>
      </c>
      <c r="BI48" s="39">
        <f t="shared" ref="BI48" si="337">+IF(BE46&lt;0,1-BI46/BE46,BI46/BE46-1)</f>
        <v>-6.8437065695076682E-2</v>
      </c>
      <c r="BJ48" s="39">
        <f t="shared" ref="BJ48" si="338">+IF(BF46&lt;0,1-BJ46/BF46,BJ46/BF46-1)</f>
        <v>-0.38891360441320355</v>
      </c>
      <c r="BK48" s="39">
        <f t="shared" ref="BK48" si="339">+IF(BG46&lt;0,1-BK46/BG46,BK46/BG46-1)</f>
        <v>-0.10669220369535815</v>
      </c>
      <c r="BL48" s="39">
        <f t="shared" ref="BL48" si="340">+IF(BH46&lt;0,1-BL46/BH46,BL46/BH46-1)</f>
        <v>0.2076923076923094</v>
      </c>
      <c r="BM48" s="39">
        <f t="shared" ref="BM48" si="341">+IF(BI46&lt;0,1-BM46/BI46,BM46/BI46-1)</f>
        <v>0.50921333817184666</v>
      </c>
      <c r="BN48" s="39">
        <f t="shared" ref="BN48" si="342">+IF(BJ46&lt;0,1-BN46/BJ46,BN46/BJ46-1)</f>
        <v>-0.41207671187286821</v>
      </c>
      <c r="BO48" s="39">
        <f t="shared" ref="BO48" si="343">+IF(BK46&lt;0,1-BO46/BK46,BO46/BK46-1)</f>
        <v>-1.0837116912599314</v>
      </c>
      <c r="BP48" s="39">
        <f t="shared" ref="BP48" si="344">+IF(BL46&lt;0,1-BP46/BL46,BP46/BL46-1)</f>
        <v>0.46858998376420624</v>
      </c>
      <c r="BQ48" s="39">
        <f t="shared" ref="BQ48" si="345">+IF(BM46&lt;0,1-BQ46/BM46,BQ46/BM46-1)</f>
        <v>0.49495057440555779</v>
      </c>
      <c r="BR48" s="39">
        <f t="shared" ref="BR48" si="346">+IF(BN46&lt;0,1-BR46/BN46,BR46/BN46-1)</f>
        <v>1.6007783477799395</v>
      </c>
      <c r="BS48" s="39">
        <f t="shared" ref="BS48" si="347">+IF(BO46&lt;0,1-BS46/BO46,BS46/BO46-1)</f>
        <v>23.172504708098025</v>
      </c>
      <c r="BT48" s="39">
        <f t="shared" ref="BT48" si="348">+IF(BP46&lt;0,1-BT46/BP46,BT46/BP46-1)</f>
        <v>0.13400799387703111</v>
      </c>
      <c r="BU48" s="39">
        <f t="shared" ref="BU48" si="349">+IF(BQ46&lt;0,1-BU46/BQ46,BU46/BQ46-1)</f>
        <v>-6.4497104868110777E-2</v>
      </c>
      <c r="BV48" s="39">
        <f t="shared" ref="BV48" si="350">+IF(BR46&lt;0,1-BV46/BR46,BV46/BR46-1)</f>
        <v>-6.7500102025547459E-2</v>
      </c>
      <c r="BW48" s="39">
        <f t="shared" ref="BW48" si="351">+IF(BS46&lt;0,1-BW46/BS46,BW46/BS46-1)</f>
        <v>0.10229666372222712</v>
      </c>
      <c r="BX48" s="39">
        <f t="shared" ref="BX48" si="352">+IF(BT46&lt;0,1-BX46/BT46,BX46/BT46-1)</f>
        <v>0.38869724330323518</v>
      </c>
      <c r="BY48" s="39">
        <f t="shared" ref="BY48" si="353">+IF(BU46&lt;0,1-BY46/BU46,BY46/BU46-1)</f>
        <v>0.69140542915544323</v>
      </c>
      <c r="BZ48" s="39">
        <f t="shared" ref="BZ48" si="354">+IF(BV46&lt;0,1-BZ46/BV46,BZ46/BV46-1)</f>
        <v>0.35450553618579494</v>
      </c>
      <c r="CA48" s="39">
        <f t="shared" ref="CA48" si="355">+IF(BW46&lt;0,1-CA46/BW46,CA46/BW46-1)</f>
        <v>0.54060718138387931</v>
      </c>
      <c r="CB48" s="39">
        <f t="shared" ref="CB48" si="356">+IF(BX46&lt;0,1-CB46/BX46,CB46/BX46-1)</f>
        <v>0.28242790798142425</v>
      </c>
      <c r="CC48" s="39">
        <f t="shared" ref="CC48" si="357">+IF(BY46&lt;0,1-CC46/BY46,CC46/BY46-1)</f>
        <v>0.35972441834199276</v>
      </c>
      <c r="CD48" s="39">
        <f t="shared" ref="CD48" si="358">+IF(BZ46&lt;0,1-CD46/BZ46,CD46/BZ46-1)</f>
        <v>0.45783521809369865</v>
      </c>
      <c r="CE48" s="39">
        <f t="shared" ref="CE48" si="359">+IF(CA46&lt;0,1-CE46/CA46,CE46/CA46-1)</f>
        <v>-7.5922776833049377E-2</v>
      </c>
      <c r="CF48" s="39">
        <f t="shared" ref="CF48" si="360">+IF(CB46&lt;0,1-CF46/CB46,CF46/CB46-1)</f>
        <v>-5.4236146201785851E-2</v>
      </c>
      <c r="CG48" s="39">
        <f t="shared" ref="CG48" si="361">+IF(CC46&lt;0,1-CG46/CC46,CG46/CC46-1)</f>
        <v>0.18431763435501192</v>
      </c>
      <c r="CH48" s="39">
        <f t="shared" ref="CH48:CL48" si="362">+IF(CD46&lt;0,1-CH46/CD46,CH46/CD46-1)</f>
        <v>0.44304078014184478</v>
      </c>
      <c r="CI48" s="39">
        <f t="shared" si="362"/>
        <v>0.41047845854080878</v>
      </c>
      <c r="CJ48" s="39">
        <f t="shared" si="362"/>
        <v>0.11878895814781876</v>
      </c>
      <c r="CK48" s="39">
        <f t="shared" si="362"/>
        <v>-0.23425445364006126</v>
      </c>
      <c r="CL48" s="39">
        <f t="shared" si="362"/>
        <v>-0.19101008549633935</v>
      </c>
      <c r="CM48" s="40">
        <f t="shared" ref="CM48" si="363">+CM46/CI46-1</f>
        <v>0.18435124873937214</v>
      </c>
      <c r="CN48" s="40">
        <f t="shared" ref="CN48" si="364">+CN46/CJ46-1</f>
        <v>0.16209637866374393</v>
      </c>
      <c r="CO48" s="40">
        <f t="shared" ref="CO48" si="365">+CO46/CK46-1</f>
        <v>0.35485319468721399</v>
      </c>
      <c r="CP48" s="40">
        <f t="shared" ref="CP48" si="366">+CP46/CL46-1</f>
        <v>-9.5508966294151065E-3</v>
      </c>
      <c r="CQ48" s="40">
        <f t="shared" ref="CQ48" si="367">+CQ46/CM46-1</f>
        <v>3.1768789006926257E-2</v>
      </c>
      <c r="CR48" s="40">
        <f t="shared" ref="CR48" si="368">+CR46/CN46-1</f>
        <v>8.6459006446922615E-2</v>
      </c>
      <c r="CS48" s="40">
        <f t="shared" ref="CS48" si="369">+CS46/CO46-1</f>
        <v>0.10914938065470969</v>
      </c>
      <c r="CT48" s="40">
        <f t="shared" ref="CT48" si="370">+CT46/CP46-1</f>
        <v>7.2950742209323627E-2</v>
      </c>
      <c r="CU48" s="40">
        <f t="shared" ref="CU48" si="371">+CU46/CQ46-1</f>
        <v>8.0645639379564482E-2</v>
      </c>
      <c r="CV48" s="40">
        <f t="shared" ref="CV48" si="372">+CV46/CR46-1</f>
        <v>9.8454532118541493E-2</v>
      </c>
      <c r="CW48" s="40">
        <f t="shared" ref="CW48" si="373">+CW46/CS46-1</f>
        <v>0.10400668079565945</v>
      </c>
      <c r="CX48" s="40">
        <f t="shared" ref="CX48" si="374">+CX46/CT46-1</f>
        <v>0.10399498229657844</v>
      </c>
      <c r="CY48" s="40">
        <f t="shared" ref="CY48" si="375">+CY46/CU46-1</f>
        <v>9.6065189421034702E-2</v>
      </c>
      <c r="CZ48" s="40">
        <f t="shared" ref="CZ48" si="376">+CZ46/CV46-1</f>
        <v>0.10030007732575807</v>
      </c>
      <c r="DA48" s="40">
        <f t="shared" ref="DA48" si="377">+DA46/CW46-1</f>
        <v>0.10092219693981264</v>
      </c>
      <c r="DB48" s="40">
        <f t="shared" ref="DB48" si="378">+DB46/CX46-1</f>
        <v>0.10023076127167418</v>
      </c>
      <c r="DE48" s="122"/>
      <c r="DF48" s="38">
        <v>-3.6361626878868236E-2</v>
      </c>
    </row>
    <row r="49" spans="1:110" s="38" customFormat="1" x14ac:dyDescent="0.2">
      <c r="A49" s="39" t="s">
        <v>450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40"/>
      <c r="AC49" s="40"/>
      <c r="AD49" s="40"/>
      <c r="AE49" s="40"/>
      <c r="AI49" s="39"/>
      <c r="AJ49" s="39">
        <f>+IF(AI46&lt;0,1-AJ46/AI46,AJ46/AI46-1)</f>
        <v>0.91671156466897141</v>
      </c>
      <c r="AK49" s="39">
        <f t="shared" ref="AK49:AM49" si="379">+IF(AJ46&lt;0,1-AK46/AJ46,AK46/AJ46-1)</f>
        <v>-0.4747842190548629</v>
      </c>
      <c r="AL49" s="39">
        <f t="shared" si="379"/>
        <v>-0.22405868278554375</v>
      </c>
      <c r="AM49" s="39">
        <f t="shared" si="379"/>
        <v>-0.2868503266117578</v>
      </c>
      <c r="AN49" s="39">
        <f t="shared" ref="AN49" si="380">+IF(AM46&lt;0,1-AN46/AM46,AN46/AM46-1)</f>
        <v>0.39443591056494309</v>
      </c>
      <c r="AO49" s="39">
        <f t="shared" ref="AO49" si="381">+IF(AN46&lt;0,1-AO46/AN46,AO46/AN46-1)</f>
        <v>4.4879640962871559E-3</v>
      </c>
      <c r="AP49" s="39">
        <f t="shared" ref="AP49" si="382">+IF(AO46&lt;0,1-AP46/AO46,AP46/AO46-1)</f>
        <v>0.35507717303005615</v>
      </c>
      <c r="AQ49" s="39">
        <f t="shared" ref="AQ49" si="383">+IF(AP46&lt;0,1-AQ46/AP46,AQ46/AP46-1)</f>
        <v>-0.21878184761105479</v>
      </c>
      <c r="AR49" s="39">
        <f t="shared" ref="AR49" si="384">+IF(AQ46&lt;0,1-AR46/AQ46,AR46/AQ46-1)</f>
        <v>-4.1706633925487901E-2</v>
      </c>
      <c r="AS49" s="39">
        <f t="shared" ref="AS49" si="385">+IF(AR46&lt;0,1-AS46/AR46,AS46/AR46-1)</f>
        <v>0.52862748238309099</v>
      </c>
      <c r="AT49" s="39">
        <f t="shared" ref="AT49" si="386">+IF(AS46&lt;0,1-AT46/AS46,AT46/AS46-1)</f>
        <v>1.2050865659131955</v>
      </c>
      <c r="AU49" s="39">
        <f t="shared" ref="AU49" si="387">+IF(AT46&lt;0,1-AU46/AT46,AU46/AT46-1)</f>
        <v>-0.69835368461063307</v>
      </c>
      <c r="AV49" s="39">
        <f t="shared" ref="AV49" si="388">+IF(AU46&lt;0,1-AV46/AU46,AV46/AU46-1)</f>
        <v>0.68588304784406162</v>
      </c>
      <c r="AW49" s="39">
        <f t="shared" ref="AW49" si="389">+IF(AV46&lt;0,1-AW46/AV46,AW46/AV46-1)</f>
        <v>-0.54191483895078663</v>
      </c>
      <c r="AX49" s="39">
        <f t="shared" ref="AX49" si="390">+IF(AW46&lt;0,1-AX46/AW46,AX46/AW46-1)</f>
        <v>2.8743116459310709</v>
      </c>
      <c r="AY49" s="39">
        <f t="shared" ref="AY49" si="391">+IF(AX46&lt;0,1-AY46/AX46,AY46/AX46-1)</f>
        <v>-0.54833317979021656</v>
      </c>
      <c r="AZ49" s="39">
        <f t="shared" ref="AZ49" si="392">+IF(AY46&lt;0,1-AZ46/AY46,AZ46/AY46-1)</f>
        <v>-0.57017978379323297</v>
      </c>
      <c r="BA49" s="39">
        <f t="shared" ref="BA49" si="393">+IF(AZ46&lt;0,1-BA46/AZ46,BA46/AZ46-1)</f>
        <v>0.79513253338756029</v>
      </c>
      <c r="BB49" s="39">
        <f t="shared" ref="BB49" si="394">+IF(BA46&lt;0,1-BB46/BA46,BB46/BA46-1)</f>
        <v>2.3073640483383726</v>
      </c>
      <c r="BC49" s="39">
        <f t="shared" ref="BC49" si="395">+IF(BB46&lt;0,1-BC46/BB46,BC46/BB46-1)</f>
        <v>-1.1071832288562324</v>
      </c>
      <c r="BD49" s="39">
        <f t="shared" ref="BD49" si="396">+IF(BC46&lt;0,1-BD46/BC46,BD46/BC46-1)</f>
        <v>3.3486736976669929</v>
      </c>
      <c r="BE49" s="39">
        <f t="shared" ref="BE49" si="397">+IF(BD46&lt;0,1-BE46/BD46,BE46/BD46-1)</f>
        <v>0.20755658366217866</v>
      </c>
      <c r="BF49" s="39">
        <f t="shared" ref="BF49" si="398">+IF(BE46&lt;0,1-BF46/BE46,BF46/BE46-1)</f>
        <v>1.9550764376666727</v>
      </c>
      <c r="BG49" s="39">
        <f t="shared" ref="BG49" si="399">+IF(BF46&lt;0,1-BG46/BF46,BG46/BF46-1)</f>
        <v>-0.54871429842512631</v>
      </c>
      <c r="BH49" s="39">
        <f t="shared" ref="BH49" si="400">+IF(BG46&lt;0,1-BH46/BG46,BH46/BG46-1)</f>
        <v>-6.6302388463273743E-2</v>
      </c>
      <c r="BI49" s="39">
        <f t="shared" ref="BI49" si="401">+IF(BH46&lt;0,1-BI46/BH46,BI46/BH46-1)</f>
        <v>-0.25185520361990787</v>
      </c>
      <c r="BJ49" s="39">
        <f t="shared" ref="BJ49" si="402">+IF(BI46&lt;0,1-BJ46/BI46,BJ46/BI46-1)</f>
        <v>0.93847022297487959</v>
      </c>
      <c r="BK49" s="39">
        <f t="shared" ref="BK49" si="403">+IF(BJ46&lt;0,1-BK46/BJ46,BK46/BJ46-1)</f>
        <v>-0.34029453365504603</v>
      </c>
      <c r="BL49" s="39">
        <f t="shared" ref="BL49" si="404">+IF(BK46&lt;0,1-BL46/BK46,BL46/BK46-1)</f>
        <v>0.26229663261445224</v>
      </c>
      <c r="BM49" s="39">
        <f t="shared" ref="BM49" si="405">+IF(BL46&lt;0,1-BM46/BL46,BM46/BL46-1)</f>
        <v>-6.5068065442737688E-2</v>
      </c>
      <c r="BN49" s="39">
        <f t="shared" ref="BN49" si="406">+IF(BM46&lt;0,1-BN46/BM46,BN46/BM46-1)</f>
        <v>-0.24485706652417827</v>
      </c>
      <c r="BO49" s="39">
        <f t="shared" ref="BO49" si="407">+IF(BN46&lt;0,1-BO46/BN46,BO46/BN46-1)</f>
        <v>-1.093932425260923</v>
      </c>
      <c r="BP49" s="39">
        <f t="shared" ref="BP49" si="408">+IF(BO46&lt;0,1-BP46/BO46,BP46/BO46-1)</f>
        <v>23.145009416195961</v>
      </c>
      <c r="BQ49" s="39">
        <f t="shared" ref="BQ49" si="409">+IF(BP46&lt;0,1-BQ46/BP46,BQ46/BP46-1)</f>
        <v>-4.8286418913172424E-2</v>
      </c>
      <c r="BR49" s="39">
        <f t="shared" ref="BR49" si="410">+IF(BQ46&lt;0,1-BR46/BQ46,BR46/BQ46-1)</f>
        <v>0.31372864393451949</v>
      </c>
      <c r="BS49" s="39">
        <f t="shared" ref="BS49" si="411">+IF(BR46&lt;0,1-BS46/BR46,BS46/BR46-1)</f>
        <v>-0.19919467834745863</v>
      </c>
      <c r="BT49" s="39">
        <f t="shared" ref="BT49" si="412">+IF(BS46&lt;0,1-BT46/BS46,BT46/BS46-1)</f>
        <v>0.13260175307467681</v>
      </c>
      <c r="BU49" s="39">
        <f t="shared" ref="BU49" si="413">+IF(BT46&lt;0,1-BU46/BT46,BU46/BT46-1)</f>
        <v>-0.21488136305006478</v>
      </c>
      <c r="BV49" s="39">
        <f t="shared" ref="BV49" si="414">+IF(BU46&lt;0,1-BV46/BU46,BV46/BU46-1)</f>
        <v>0.30951152883641786</v>
      </c>
      <c r="BW49" s="39">
        <f t="shared" ref="BW49" si="415">+IF(BV46&lt;0,1-BW46/BV46,BW46/BV46-1)</f>
        <v>-5.3377875680169717E-2</v>
      </c>
      <c r="BX49" s="39">
        <f t="shared" ref="BX49" si="416">+IF(BW46&lt;0,1-BX46/BW46,BX46/BW46-1)</f>
        <v>0.42687625211896907</v>
      </c>
      <c r="BY49" s="39">
        <f t="shared" ref="BY49" si="417">+IF(BX46&lt;0,1-BY46/BX46,BY46/BX46-1)</f>
        <v>-4.374122475429254E-2</v>
      </c>
      <c r="BZ49" s="39">
        <f t="shared" ref="BZ49" si="418">+IF(BY46&lt;0,1-BZ46/BY46,BZ46/BY46-1)</f>
        <v>4.8678563361192806E-2</v>
      </c>
      <c r="CA49" s="39">
        <f t="shared" ref="CA49" si="419">+IF(BZ46&lt;0,1-CA46/BZ46,CA46/BZ46-1)</f>
        <v>7.6682821755519104E-2</v>
      </c>
      <c r="CB49" s="39">
        <f t="shared" ref="CB49" si="420">+IF(CA46&lt;0,1-CB46/CA46,CB46/CA46-1)</f>
        <v>0.18775632689806976</v>
      </c>
      <c r="CC49" s="39">
        <f t="shared" ref="CC49" si="421">+IF(CB46&lt;0,1-CC46/CB46,CC46/CB46-1)</f>
        <v>1.3895907023749654E-2</v>
      </c>
      <c r="CD49" s="39">
        <f t="shared" ref="CD49" si="422">+IF(CC46&lt;0,1-CD46/CC46,CD46/CC46-1)</f>
        <v>0.12434587590331336</v>
      </c>
      <c r="CE49" s="39">
        <f t="shared" ref="CE49" si="423">+IF(CD46&lt;0,1-CE46/CD46,CE46/CD46-1)</f>
        <v>-0.31752364066193817</v>
      </c>
      <c r="CF49" s="39">
        <f t="shared" ref="CF49" si="424">+IF(CE46&lt;0,1-CF46/CE46,CF46/CE46-1)</f>
        <v>0.21563108898029792</v>
      </c>
      <c r="CG49" s="39">
        <f t="shared" ref="CG49" si="425">+IF(CF46&lt;0,1-CG46/CF46,CG46/CF46-1)</f>
        <v>0.26963490650044508</v>
      </c>
      <c r="CH49" s="39">
        <f t="shared" ref="CH49:CI49" si="426">+IF(CG46&lt;0,1-CH46/CG46,CH46/CG46-1)</f>
        <v>0.36996773741057742</v>
      </c>
      <c r="CI49" s="39">
        <f t="shared" si="426"/>
        <v>-0.33292377003020568</v>
      </c>
      <c r="CJ49" s="39">
        <f>+IF(CI46&gt;1,CJ46/CI46-1,1-CJ46/CI46)</f>
        <v>-3.5763622409823226E-2</v>
      </c>
      <c r="CK49" s="39">
        <f>+IF(CJ46&gt;1,CK46/CJ46-1,1-CK46/CJ46)</f>
        <v>-0.13100923272843024</v>
      </c>
      <c r="CL49" s="39">
        <f>+IF(CK46&gt;1,CL46/CK46-1,1-CL46/CK46)</f>
        <v>0.44733467668071136</v>
      </c>
      <c r="CM49" s="40">
        <f t="shared" ref="CM49" si="427">+CM46/CL46-1</f>
        <v>-2.3408633649284361E-2</v>
      </c>
      <c r="CN49" s="40">
        <f t="shared" ref="CN49" si="428">+CN46/CM46-1</f>
        <v>-5.3882364909824565E-2</v>
      </c>
      <c r="CO49" s="40">
        <f t="shared" ref="CO49" si="429">+CO46/CN46-1</f>
        <v>1.3130183354827185E-2</v>
      </c>
      <c r="CP49" s="40">
        <f t="shared" ref="CP49" si="430">+CP46/CO46-1</f>
        <v>5.8056576473963339E-2</v>
      </c>
      <c r="CQ49" s="40">
        <f t="shared" ref="CQ49" si="431">+CQ46/CP46-1</f>
        <v>1.7332933095996816E-2</v>
      </c>
      <c r="CR49" s="40">
        <f t="shared" ref="CR49" si="432">+CR46/CQ46-1</f>
        <v>-3.7321958620676332E-3</v>
      </c>
      <c r="CS49" s="40">
        <f t="shared" ref="CS49" si="433">+CS46/CR46-1</f>
        <v>3.4289106834787919E-2</v>
      </c>
      <c r="CT49" s="40">
        <f t="shared" ref="CT49" si="434">+CT46/CS46-1</f>
        <v>2.3525423020191338E-2</v>
      </c>
      <c r="CU49" s="40">
        <f t="shared" ref="CU49" si="435">+CU46/CT46-1</f>
        <v>2.4628955178011669E-2</v>
      </c>
      <c r="CV49" s="40">
        <f t="shared" ref="CV49" si="436">+CV46/CU46-1</f>
        <v>1.268616166110248E-2</v>
      </c>
      <c r="CW49" s="40">
        <f t="shared" ref="CW49" si="437">+CW46/CV46-1</f>
        <v>3.9516930771382741E-2</v>
      </c>
      <c r="CX49" s="40">
        <f t="shared" ref="CX49" si="438">+CX46/CW46-1</f>
        <v>2.3514577332906406E-2</v>
      </c>
      <c r="CY49" s="40">
        <f t="shared" ref="CY49" si="439">+CY46/CX46-1</f>
        <v>1.7269233875706114E-2</v>
      </c>
      <c r="CZ49" s="40">
        <f t="shared" ref="CZ49" si="440">+CZ46/CY46-1</f>
        <v>1.6598896431526677E-2</v>
      </c>
      <c r="DA49" s="40">
        <f t="shared" ref="DA49" si="441">+DA46/CZ46-1</f>
        <v>4.010468304469561E-2</v>
      </c>
      <c r="DB49" s="40">
        <f t="shared" ref="DB49" si="442">+DB46/DA46-1</f>
        <v>2.2871757624488565E-2</v>
      </c>
      <c r="DE49" s="122"/>
    </row>
    <row r="50" spans="1:110" s="23" customFormat="1" x14ac:dyDescent="0.2">
      <c r="A50" s="23" t="s">
        <v>15</v>
      </c>
      <c r="B50" s="23">
        <f>'Annual Raw'!C27</f>
        <v>7.7900296000000004</v>
      </c>
      <c r="C50" s="23">
        <f>'Annual Raw'!D27</f>
        <v>7.4983586999999998</v>
      </c>
      <c r="D50" s="23">
        <f>'Annual Raw'!E27</f>
        <v>8.0777785000000009</v>
      </c>
      <c r="E50" s="23">
        <f>'Annual Raw'!F27</f>
        <v>7.8435405999999999</v>
      </c>
      <c r="F50" s="23">
        <f>'Annual Raw'!G27</f>
        <v>8.2318999999999996</v>
      </c>
      <c r="G50" s="23">
        <f>'Annual Raw'!H27</f>
        <v>9.4300999999999995</v>
      </c>
      <c r="H50" s="23">
        <f>'Annual Raw'!I27</f>
        <v>12.223000000000001</v>
      </c>
      <c r="I50" s="23">
        <f>'Annual Raw'!J27</f>
        <v>14.198</v>
      </c>
      <c r="J50" s="23">
        <f>'Annual Raw'!K27</f>
        <v>22.147099999999998</v>
      </c>
      <c r="K50" s="23">
        <f>'Annual Raw'!L27</f>
        <v>33.1203</v>
      </c>
      <c r="L50" s="23">
        <f>'Annual Raw'!M27</f>
        <v>41.65</v>
      </c>
      <c r="M50" s="23">
        <f>'Annual Raw'!N27</f>
        <v>48.647100000000002</v>
      </c>
      <c r="N50" s="23">
        <f>'Annual Raw'!O27</f>
        <v>57.0899</v>
      </c>
      <c r="O50" s="23">
        <f>'Annual Raw'!P27</f>
        <v>61.623600000000003</v>
      </c>
      <c r="P50" s="23">
        <f>'Annual Raw'!Q27</f>
        <v>71.578699999999998</v>
      </c>
      <c r="Q50" s="23">
        <f>'Annual Raw'!R27</f>
        <v>62.122599999999998</v>
      </c>
      <c r="R50" s="23">
        <f>'Annual Raw'!S27</f>
        <v>53.238199999999999</v>
      </c>
      <c r="S50" s="23">
        <f>'Annual Raw'!T27</f>
        <v>52.923200000000001</v>
      </c>
      <c r="T50" s="23">
        <f>'Annual Raw'!U27</f>
        <v>47.892499999999998</v>
      </c>
      <c r="U50" s="23">
        <f>'Annual Raw'!V27</f>
        <v>53.258099999999999</v>
      </c>
      <c r="V50" s="23">
        <f>'Annual Raw'!W27</f>
        <v>52.112299999999998</v>
      </c>
      <c r="W50" s="23">
        <f>'Annual Raw'!X27</f>
        <v>48.5764</v>
      </c>
      <c r="X50" s="23">
        <f>'Annual Raw'!Y27</f>
        <v>49.04</v>
      </c>
      <c r="Y50" s="23">
        <f>'Annual Raw'!Z27</f>
        <v>50.92</v>
      </c>
      <c r="Z50" s="23">
        <f>'Annual Raw'!AA27</f>
        <v>60.76</v>
      </c>
      <c r="AA50" s="23">
        <f>'Annual Raw'!AB27</f>
        <v>104.24</v>
      </c>
      <c r="AB50" s="76">
        <f>+SUM(CM50:CP50)</f>
        <v>108.85593453111491</v>
      </c>
      <c r="AC50" s="76">
        <f>+SUM(CQ50:CT50)</f>
        <v>89.433521020801223</v>
      </c>
      <c r="AD50" s="76">
        <f>+SUM(CU50:CX50)</f>
        <v>73.476514777353529</v>
      </c>
      <c r="AE50" s="76">
        <f>+SUM(CY50:DB50)</f>
        <v>60.366607086519082</v>
      </c>
      <c r="AI50" s="23">
        <f>'QTR Raw'!C28</f>
        <v>11.411</v>
      </c>
      <c r="AJ50" s="23">
        <f>'QTR Raw'!D28</f>
        <v>12.071999999999999</v>
      </c>
      <c r="AK50" s="23">
        <f>'QTR Raw'!E28</f>
        <v>12.038</v>
      </c>
      <c r="AL50" s="23">
        <f>'QTR Raw'!F28</f>
        <v>12.108000000000001</v>
      </c>
      <c r="AM50" s="23">
        <f>'QTR Raw'!G28</f>
        <v>11.378</v>
      </c>
      <c r="AN50" s="23">
        <f>'QTR Raw'!H28</f>
        <v>11.351000000000001</v>
      </c>
      <c r="AO50" s="23">
        <f>'QTR Raw'!I28</f>
        <v>11.484</v>
      </c>
      <c r="AP50" s="23">
        <f>'QTR Raw'!J28</f>
        <v>11.21</v>
      </c>
      <c r="AQ50" s="23">
        <f>'QTR Raw'!K28</f>
        <v>19.446999999999999</v>
      </c>
      <c r="AR50" s="23">
        <f>'QTR Raw'!L28</f>
        <v>15.053000000000001</v>
      </c>
      <c r="AS50" s="23">
        <f>'QTR Raw'!M28</f>
        <v>16.89</v>
      </c>
      <c r="AT50" s="23">
        <f>'QTR Raw'!N28</f>
        <v>20.189</v>
      </c>
      <c r="AU50" s="23">
        <f>'QTR Raw'!O28</f>
        <v>15.686999999999999</v>
      </c>
      <c r="AV50" s="23">
        <f>'QTR Raw'!P28</f>
        <v>15.909000000000001</v>
      </c>
      <c r="AW50" s="23">
        <f>'QTR Raw'!Q28</f>
        <v>16.013999999999999</v>
      </c>
      <c r="AX50" s="23">
        <f>'QTR Raw'!R28</f>
        <v>14.513</v>
      </c>
      <c r="AY50" s="23">
        <f>'QTR Raw'!S28</f>
        <v>14.317</v>
      </c>
      <c r="AZ50" s="23">
        <f>'QTR Raw'!T28</f>
        <v>14.307</v>
      </c>
      <c r="BA50" s="23">
        <f>'QTR Raw'!U28</f>
        <v>14.156000000000001</v>
      </c>
      <c r="BB50" s="23">
        <f>'QTR Raw'!V28</f>
        <v>10.459</v>
      </c>
      <c r="BC50" s="23">
        <f>'QTR Raw'!W28</f>
        <v>12.304</v>
      </c>
      <c r="BD50" s="23">
        <f>'QTR Raw'!X28</f>
        <v>12.936999999999999</v>
      </c>
      <c r="BE50" s="23">
        <f>'QTR Raw'!Y28</f>
        <v>13.038</v>
      </c>
      <c r="BF50" s="23">
        <f>'QTR Raw'!Z28</f>
        <v>14.644</v>
      </c>
      <c r="BG50" s="23">
        <f>'QTR Raw'!AA28</f>
        <v>11.988</v>
      </c>
      <c r="BH50" s="23">
        <f>'QTR Raw'!AB28</f>
        <v>12.163</v>
      </c>
      <c r="BI50" s="23">
        <f>'QTR Raw'!AC28</f>
        <v>11.994999999999999</v>
      </c>
      <c r="BJ50" s="23">
        <f>'QTR Raw'!AD28</f>
        <v>11.747</v>
      </c>
      <c r="BK50" s="23">
        <f>'QTR Raw'!AE28</f>
        <v>12.063000000000001</v>
      </c>
      <c r="BL50" s="23">
        <f>'QTR Raw'!AF28</f>
        <v>12.645</v>
      </c>
      <c r="BM50" s="23">
        <f>'QTR Raw'!AG28</f>
        <v>12.52</v>
      </c>
      <c r="BN50" s="23">
        <f>'QTR Raw'!AH28</f>
        <v>16.030999999999999</v>
      </c>
      <c r="BO50" s="23">
        <f>'QTR Raw'!AI28</f>
        <v>13.13</v>
      </c>
      <c r="BP50" s="23">
        <f>'QTR Raw'!AJ28</f>
        <v>13.217000000000001</v>
      </c>
      <c r="BQ50" s="23">
        <f>'QTR Raw'!AK28</f>
        <v>12.801</v>
      </c>
      <c r="BR50" s="23">
        <f>'QTR Raw'!AL28</f>
        <v>12.964</v>
      </c>
      <c r="BS50" s="23">
        <f>'QTR Raw'!AM28</f>
        <v>12.241</v>
      </c>
      <c r="BT50" s="23">
        <f>'QTR Raw'!AN28</f>
        <v>12.359</v>
      </c>
      <c r="BU50" s="23">
        <f>'QTR Raw'!AO28</f>
        <v>12.055</v>
      </c>
      <c r="BV50" s="23">
        <f>'QTR Raw'!AP28</f>
        <v>11.920999999999999</v>
      </c>
      <c r="BW50" s="23">
        <f>'QTR Raw'!AQ28</f>
        <v>11.42</v>
      </c>
      <c r="BX50" s="23">
        <f>'QTR Raw'!AR28</f>
        <v>11.9</v>
      </c>
      <c r="BY50" s="23">
        <f>'QTR Raw'!AS28</f>
        <v>12.11</v>
      </c>
      <c r="BZ50" s="23">
        <f>'QTR Raw'!AT28</f>
        <v>13.6</v>
      </c>
      <c r="CA50" s="23">
        <f>'QTR Raw'!AU28</f>
        <v>12.42</v>
      </c>
      <c r="CB50" s="23">
        <f>'QTR Raw'!AV28</f>
        <v>13.28</v>
      </c>
      <c r="CC50" s="23">
        <f>'QTR Raw'!AW28</f>
        <v>12.64</v>
      </c>
      <c r="CD50" s="23">
        <f>'QTR Raw'!AX28</f>
        <v>12.58</v>
      </c>
      <c r="CE50" s="23">
        <f>'QTR Raw'!AY28</f>
        <v>12.83</v>
      </c>
      <c r="CF50" s="23">
        <f>'QTR Raw'!AZ28</f>
        <v>13.13</v>
      </c>
      <c r="CG50" s="23">
        <f>'QTR Raw'!BA28</f>
        <v>15.54</v>
      </c>
      <c r="CH50" s="23">
        <f>'QTR Raw'!BB28</f>
        <v>19.260000000000002</v>
      </c>
      <c r="CI50" s="23">
        <f>'QTR Raw'!BC28</f>
        <v>24.54</v>
      </c>
      <c r="CJ50" s="23">
        <f>'QTR Raw'!BD28</f>
        <v>25.28</v>
      </c>
      <c r="CK50" s="23">
        <f>'QTR Raw'!BE28</f>
        <v>27.24</v>
      </c>
      <c r="CL50" s="23">
        <f>'QTR Raw'!BF28</f>
        <v>27.18</v>
      </c>
      <c r="CM50" s="24">
        <f t="shared" ref="CM50:DB50" si="443">CM51*CL152</f>
        <v>29.25122243781972</v>
      </c>
      <c r="CN50" s="24">
        <f t="shared" si="443"/>
        <v>27.848773635808886</v>
      </c>
      <c r="CO50" s="24">
        <f t="shared" si="443"/>
        <v>26.513565190895697</v>
      </c>
      <c r="CP50" s="24">
        <f t="shared" si="443"/>
        <v>25.242373266590622</v>
      </c>
      <c r="CQ50" s="24">
        <f t="shared" si="443"/>
        <v>24.032128593128046</v>
      </c>
      <c r="CR50" s="24">
        <f t="shared" si="443"/>
        <v>22.879909056770277</v>
      </c>
      <c r="CS50" s="24">
        <f t="shared" si="443"/>
        <v>21.782932644417098</v>
      </c>
      <c r="CT50" s="24">
        <f t="shared" si="443"/>
        <v>20.738550726485794</v>
      </c>
      <c r="CU50" s="24">
        <f t="shared" si="443"/>
        <v>19.744241661843205</v>
      </c>
      <c r="CV50" s="24">
        <f t="shared" si="443"/>
        <v>18.797604709349116</v>
      </c>
      <c r="CW50" s="24">
        <f t="shared" si="443"/>
        <v>17.896354231310468</v>
      </c>
      <c r="CX50" s="24">
        <f t="shared" si="443"/>
        <v>17.03831417485074</v>
      </c>
      <c r="CY50" s="24">
        <f t="shared" si="443"/>
        <v>16.221412817869894</v>
      </c>
      <c r="CZ50" s="24">
        <f t="shared" si="443"/>
        <v>15.443677766909046</v>
      </c>
      <c r="DA50" s="24">
        <f t="shared" si="443"/>
        <v>14.703231194842392</v>
      </c>
      <c r="DB50" s="24">
        <f t="shared" si="443"/>
        <v>13.998285306897753</v>
      </c>
      <c r="DE50" s="123"/>
      <c r="DF50" s="23">
        <v>104.24000000000001</v>
      </c>
    </row>
    <row r="51" spans="1:110" s="46" customFormat="1" x14ac:dyDescent="0.2">
      <c r="A51" s="46" t="s">
        <v>483</v>
      </c>
      <c r="B51" s="46">
        <f t="shared" ref="B51:D51" si="444">+B50/B152</f>
        <v>0.14254520687405708</v>
      </c>
      <c r="C51" s="46">
        <f t="shared" si="444"/>
        <v>0.15440608649642523</v>
      </c>
      <c r="D51" s="46">
        <f t="shared" si="444"/>
        <v>0.17040275457889223</v>
      </c>
      <c r="E51" s="46">
        <f t="shared" ref="E51:AE51" si="445">+E50/E152</f>
        <v>0.17216761803078351</v>
      </c>
      <c r="F51" s="46">
        <f t="shared" si="445"/>
        <v>0.13423969055353346</v>
      </c>
      <c r="G51" s="46">
        <f t="shared" si="445"/>
        <v>0.11152543415220281</v>
      </c>
      <c r="H51" s="46">
        <f t="shared" si="445"/>
        <v>9.9966059138883567E-2</v>
      </c>
      <c r="I51" s="46">
        <f t="shared" si="445"/>
        <v>8.0145908680629444E-2</v>
      </c>
      <c r="J51" s="46">
        <f t="shared" si="445"/>
        <v>7.8284389462637188E-2</v>
      </c>
      <c r="K51" s="46">
        <f t="shared" si="445"/>
        <v>9.6183646372643219E-2</v>
      </c>
      <c r="L51" s="46">
        <f t="shared" si="445"/>
        <v>0.10536064328427719</v>
      </c>
      <c r="M51" s="46">
        <f t="shared" si="445"/>
        <v>0.10917744423370708</v>
      </c>
      <c r="N51" s="46">
        <f t="shared" si="445"/>
        <v>0.10486896683221505</v>
      </c>
      <c r="O51" s="46">
        <f t="shared" si="445"/>
        <v>0.12119934317805764</v>
      </c>
      <c r="P51" s="46">
        <f t="shared" si="445"/>
        <v>0.16284833693973791</v>
      </c>
      <c r="Q51" s="46">
        <f t="shared" si="445"/>
        <v>7.6273631619671295E-2</v>
      </c>
      <c r="R51" s="46">
        <f t="shared" si="445"/>
        <v>6.8749380149921074E-2</v>
      </c>
      <c r="S51" s="46">
        <f t="shared" si="445"/>
        <v>7.2219843999831349E-2</v>
      </c>
      <c r="T51" s="46">
        <f t="shared" si="445"/>
        <v>6.8425706548908408E-2</v>
      </c>
      <c r="U51" s="46">
        <f t="shared" si="445"/>
        <v>7.8965078723993845E-2</v>
      </c>
      <c r="V51" s="46">
        <f t="shared" si="445"/>
        <v>8.3336771563057591E-2</v>
      </c>
      <c r="W51" s="46">
        <f t="shared" si="445"/>
        <v>7.9872234416237531E-2</v>
      </c>
      <c r="X51" s="46">
        <f t="shared" si="445"/>
        <v>7.8346167364284097E-2</v>
      </c>
      <c r="Y51" s="46">
        <f t="shared" si="445"/>
        <v>7.9356668640713154E-2</v>
      </c>
      <c r="Z51" s="46">
        <f t="shared" si="445"/>
        <v>7.7190842797977471E-2</v>
      </c>
      <c r="AA51" s="46">
        <f t="shared" ref="AA51" si="446">+AA50/AA152</f>
        <v>0.11521669448343705</v>
      </c>
      <c r="AB51" s="110">
        <f t="shared" si="445"/>
        <v>0.21717151788976588</v>
      </c>
      <c r="AC51" s="110">
        <f t="shared" si="445"/>
        <v>0.21717151788976588</v>
      </c>
      <c r="AD51" s="110">
        <f t="shared" si="445"/>
        <v>0.21717151788976588</v>
      </c>
      <c r="AE51" s="110">
        <f t="shared" si="445"/>
        <v>0.21717151788976582</v>
      </c>
      <c r="AI51" s="46" t="e">
        <f t="shared" ref="AI51:BN51" si="447">+AI50/AH152</f>
        <v>#DIV/0!</v>
      </c>
      <c r="AJ51" s="46" t="e">
        <f t="shared" si="447"/>
        <v>#DIV/0!</v>
      </c>
      <c r="AK51" s="46">
        <f t="shared" si="447"/>
        <v>2.4251728021241918E-2</v>
      </c>
      <c r="AL51" s="46">
        <f t="shared" si="447"/>
        <v>2.4392749865525597E-2</v>
      </c>
      <c r="AM51" s="46">
        <f t="shared" si="447"/>
        <v>1.9527616353906724E-2</v>
      </c>
      <c r="AN51" s="46">
        <f t="shared" si="447"/>
        <v>1.9481277310001339E-2</v>
      </c>
      <c r="AO51" s="46">
        <f t="shared" si="447"/>
        <v>2.8671293753432865E-2</v>
      </c>
      <c r="AP51" s="46">
        <f t="shared" si="447"/>
        <v>2.7987217256703452E-2</v>
      </c>
      <c r="AQ51" s="46">
        <f t="shared" si="447"/>
        <v>3.5360496323395711E-2</v>
      </c>
      <c r="AR51" s="46">
        <f t="shared" si="447"/>
        <v>2.737088245776087E-2</v>
      </c>
      <c r="AS51" s="46">
        <f t="shared" si="447"/>
        <v>4.6546107929648965E-2</v>
      </c>
      <c r="AT51" s="46">
        <f t="shared" si="447"/>
        <v>5.5637618294356594E-2</v>
      </c>
      <c r="AU51" s="46">
        <f t="shared" si="447"/>
        <v>3.3075747193084183E-2</v>
      </c>
      <c r="AV51" s="46">
        <f t="shared" si="447"/>
        <v>3.354383005640188E-2</v>
      </c>
      <c r="AW51" s="46">
        <f t="shared" si="447"/>
        <v>3.5714843270849825E-2</v>
      </c>
      <c r="AX51" s="46">
        <f t="shared" si="447"/>
        <v>3.23672736599128E-2</v>
      </c>
      <c r="AY51" s="46">
        <f t="shared" si="447"/>
        <v>1.7479388435059379E-2</v>
      </c>
      <c r="AZ51" s="46">
        <f t="shared" si="447"/>
        <v>1.7467179600502519E-2</v>
      </c>
      <c r="BA51" s="46">
        <f t="shared" si="447"/>
        <v>1.7695309667919188E-2</v>
      </c>
      <c r="BB51" s="46">
        <f t="shared" si="447"/>
        <v>1.3073978794628906E-2</v>
      </c>
      <c r="BC51" s="46">
        <f t="shared" si="447"/>
        <v>1.5875494012497566E-2</v>
      </c>
      <c r="BD51" s="46">
        <f t="shared" si="447"/>
        <v>1.6692235536384995E-2</v>
      </c>
      <c r="BE51" s="46">
        <f t="shared" si="447"/>
        <v>1.7219974007586403E-2</v>
      </c>
      <c r="BF51" s="46">
        <f t="shared" si="447"/>
        <v>1.9341102881354141E-2</v>
      </c>
      <c r="BG51" s="46">
        <f t="shared" si="447"/>
        <v>1.6353568851280469E-2</v>
      </c>
      <c r="BH51" s="46">
        <f t="shared" si="447"/>
        <v>1.659229712530233E-2</v>
      </c>
      <c r="BI51" s="46">
        <f t="shared" si="447"/>
        <v>1.6650818659466812E-2</v>
      </c>
      <c r="BJ51" s="46">
        <f t="shared" si="447"/>
        <v>1.6306558298687508E-2</v>
      </c>
      <c r="BK51" s="46">
        <f t="shared" si="447"/>
        <v>1.7228796069497905E-2</v>
      </c>
      <c r="BL51" s="46">
        <f t="shared" si="447"/>
        <v>1.8060028707518942E-2</v>
      </c>
      <c r="BM51" s="46">
        <f t="shared" si="447"/>
        <v>1.8167808442806955E-2</v>
      </c>
      <c r="BN51" s="46">
        <f t="shared" si="447"/>
        <v>2.3262630762511047E-2</v>
      </c>
      <c r="BO51" s="46">
        <f t="shared" ref="BO51:CL51" si="448">+BO50/BN152</f>
        <v>2.1558093561797678E-2</v>
      </c>
      <c r="BP51" s="46">
        <f t="shared" si="448"/>
        <v>2.1700938507713628E-2</v>
      </c>
      <c r="BQ51" s="46">
        <f t="shared" si="448"/>
        <v>2.177051923734305E-2</v>
      </c>
      <c r="BR51" s="46">
        <f t="shared" si="448"/>
        <v>2.2047731536045254E-2</v>
      </c>
      <c r="BS51" s="46">
        <f t="shared" si="448"/>
        <v>2.1614949825275769E-2</v>
      </c>
      <c r="BT51" s="46">
        <f t="shared" si="448"/>
        <v>2.1823312220454475E-2</v>
      </c>
      <c r="BU51" s="46">
        <f t="shared" si="448"/>
        <v>2.1702889157737066E-2</v>
      </c>
      <c r="BV51" s="46">
        <f t="shared" si="448"/>
        <v>2.1461645926950108E-2</v>
      </c>
      <c r="BW51" s="46">
        <f t="shared" si="448"/>
        <v>2.1229133360597834E-2</v>
      </c>
      <c r="BX51" s="46">
        <f t="shared" si="448"/>
        <v>2.2121426181358515E-2</v>
      </c>
      <c r="BY51" s="46">
        <f t="shared" si="448"/>
        <v>2.3096009596954608E-2</v>
      </c>
      <c r="BZ51" s="46">
        <f t="shared" si="448"/>
        <v>2.5937715154300798E-2</v>
      </c>
      <c r="CA51" s="46">
        <f t="shared" si="448"/>
        <v>2.2822072361772108E-2</v>
      </c>
      <c r="CB51" s="46">
        <f t="shared" si="448"/>
        <v>2.4402344683118648E-2</v>
      </c>
      <c r="CC51" s="46">
        <f t="shared" si="448"/>
        <v>2.3044247142258119E-2</v>
      </c>
      <c r="CD51" s="46">
        <f t="shared" si="448"/>
        <v>2.293485989316512E-2</v>
      </c>
      <c r="CE51" s="46">
        <f t="shared" si="448"/>
        <v>2.3938353608478243E-2</v>
      </c>
      <c r="CF51" s="46">
        <f t="shared" si="448"/>
        <v>2.4498096872900964E-2</v>
      </c>
      <c r="CG51" s="46">
        <f t="shared" si="448"/>
        <v>2.9375070885788817E-2</v>
      </c>
      <c r="CH51" s="46">
        <f t="shared" si="448"/>
        <v>3.6406941136440968E-2</v>
      </c>
      <c r="CI51" s="46">
        <f t="shared" si="448"/>
        <v>3.1176156719262132E-2</v>
      </c>
      <c r="CJ51" s="46">
        <f t="shared" si="448"/>
        <v>3.3149750852347226E-2</v>
      </c>
      <c r="CK51" s="46">
        <f t="shared" si="448"/>
        <v>4.5847779984515433E-2</v>
      </c>
      <c r="CL51" s="46">
        <f t="shared" si="448"/>
        <v>4.7944963838419473E-2</v>
      </c>
      <c r="CM51" s="47">
        <f t="shared" ref="CM51" si="449">CL51</f>
        <v>4.7944963838419473E-2</v>
      </c>
      <c r="CN51" s="47">
        <f t="shared" ref="CN51" si="450">CM51</f>
        <v>4.7944963838419473E-2</v>
      </c>
      <c r="CO51" s="47">
        <f t="shared" ref="CO51" si="451">CN51</f>
        <v>4.7944963838419473E-2</v>
      </c>
      <c r="CP51" s="47">
        <f t="shared" ref="CP51" si="452">CO51</f>
        <v>4.7944963838419473E-2</v>
      </c>
      <c r="CQ51" s="47">
        <f t="shared" ref="CQ51" si="453">CP51</f>
        <v>4.7944963838419473E-2</v>
      </c>
      <c r="CR51" s="47">
        <f t="shared" ref="CR51" si="454">CQ51</f>
        <v>4.7944963838419473E-2</v>
      </c>
      <c r="CS51" s="47">
        <f t="shared" ref="CS51" si="455">CR51</f>
        <v>4.7944963838419473E-2</v>
      </c>
      <c r="CT51" s="47">
        <f t="shared" ref="CT51" si="456">CS51</f>
        <v>4.7944963838419473E-2</v>
      </c>
      <c r="CU51" s="47">
        <f t="shared" ref="CU51" si="457">CT51</f>
        <v>4.7944963838419473E-2</v>
      </c>
      <c r="CV51" s="47">
        <f t="shared" ref="CV51" si="458">CU51</f>
        <v>4.7944963838419473E-2</v>
      </c>
      <c r="CW51" s="47">
        <f t="shared" ref="CW51" si="459">CV51</f>
        <v>4.7944963838419473E-2</v>
      </c>
      <c r="CX51" s="47">
        <f t="shared" ref="CX51" si="460">CW51</f>
        <v>4.7944963838419473E-2</v>
      </c>
      <c r="CY51" s="47">
        <f t="shared" ref="CY51" si="461">CX51</f>
        <v>4.7944963838419473E-2</v>
      </c>
      <c r="CZ51" s="47">
        <f t="shared" ref="CZ51" si="462">CY51</f>
        <v>4.7944963838419473E-2</v>
      </c>
      <c r="DA51" s="47">
        <f t="shared" ref="DA51" si="463">CZ51</f>
        <v>4.7944963838419473E-2</v>
      </c>
      <c r="DB51" s="47">
        <f t="shared" ref="DB51" si="464">DA51</f>
        <v>4.7944963838419473E-2</v>
      </c>
      <c r="DE51" s="130"/>
      <c r="DF51" s="46">
        <v>0.17085723651860349</v>
      </c>
    </row>
    <row r="52" spans="1:110" s="26" customFormat="1" x14ac:dyDescent="0.2">
      <c r="A52" s="34" t="s">
        <v>16</v>
      </c>
      <c r="B52" s="26">
        <f>B46-B50</f>
        <v>4.4519635999999885</v>
      </c>
      <c r="C52" s="26">
        <f t="shared" ref="C52:T52" si="465">C46-C50</f>
        <v>4.0009875999999851</v>
      </c>
      <c r="D52" s="26">
        <f>D46-D50</f>
        <v>3.770854600000014</v>
      </c>
      <c r="E52" s="26">
        <f t="shared" si="465"/>
        <v>7.8245023000000034</v>
      </c>
      <c r="F52" s="26">
        <f t="shared" si="465"/>
        <v>32.669300000000021</v>
      </c>
      <c r="G52" s="26">
        <f t="shared" si="465"/>
        <v>54.443899999999971</v>
      </c>
      <c r="H52" s="26">
        <f t="shared" si="465"/>
        <v>103.03799999999997</v>
      </c>
      <c r="I52" s="26">
        <f t="shared" si="465"/>
        <v>122.3746000000001</v>
      </c>
      <c r="J52" s="26">
        <f t="shared" si="465"/>
        <v>136.01699999999997</v>
      </c>
      <c r="K52" s="26">
        <f t="shared" si="465"/>
        <v>123.79810000000002</v>
      </c>
      <c r="L52" s="26">
        <f t="shared" si="465"/>
        <v>154.25720000000021</v>
      </c>
      <c r="M52" s="26">
        <f t="shared" si="465"/>
        <v>165.86679999999998</v>
      </c>
      <c r="N52" s="26">
        <f t="shared" si="465"/>
        <v>159.24479999999994</v>
      </c>
      <c r="O52" s="26">
        <f t="shared" si="465"/>
        <v>95.030099999999948</v>
      </c>
      <c r="P52" s="26">
        <f t="shared" si="465"/>
        <v>104.37419999999989</v>
      </c>
      <c r="Q52" s="26">
        <f t="shared" si="465"/>
        <v>109.83499999999989</v>
      </c>
      <c r="R52" s="26">
        <f t="shared" si="465"/>
        <v>121.00930000000011</v>
      </c>
      <c r="S52" s="26">
        <f t="shared" si="465"/>
        <v>72.696300000000065</v>
      </c>
      <c r="T52" s="26">
        <f t="shared" si="465"/>
        <v>58.652500000000074</v>
      </c>
      <c r="U52" s="26">
        <f t="shared" ref="U52:Z52" si="466">U46-U50</f>
        <v>59.118699999999947</v>
      </c>
      <c r="V52" s="26">
        <f t="shared" si="466"/>
        <v>60.128299999999918</v>
      </c>
      <c r="W52" s="26">
        <f t="shared" si="466"/>
        <v>191.20879999999997</v>
      </c>
      <c r="X52" s="26">
        <f t="shared" si="466"/>
        <v>284.24</v>
      </c>
      <c r="Y52" s="26">
        <f t="shared" si="466"/>
        <v>423.80000000000013</v>
      </c>
      <c r="Z52" s="26">
        <f t="shared" si="466"/>
        <v>485.94000000000017</v>
      </c>
      <c r="AA52" s="26">
        <f t="shared" ref="AA52" si="467">AA46-AA50</f>
        <v>416.13000000000022</v>
      </c>
      <c r="AB52" s="27">
        <f t="shared" ref="AB52:AD52" si="468">AB46-AB50</f>
        <v>495.90446130550777</v>
      </c>
      <c r="AC52" s="27">
        <f t="shared" si="468"/>
        <v>560.41624701267801</v>
      </c>
      <c r="AD52" s="27">
        <f t="shared" si="468"/>
        <v>639.35964452034773</v>
      </c>
      <c r="AE52" s="27">
        <f t="shared" ref="AE52" si="469">AE46-AE50</f>
        <v>723.33823694019475</v>
      </c>
      <c r="AI52" s="26">
        <f t="shared" ref="AI52" si="470">AI46-AI50</f>
        <v>20.141999999999967</v>
      </c>
      <c r="AJ52" s="26">
        <f t="shared" ref="AJ52" si="471">AJ46-AJ50</f>
        <v>48.405999999999992</v>
      </c>
      <c r="AK52" s="26">
        <f t="shared" ref="AK52:AM52" si="472">AK46-AK50</f>
        <v>19.725999999999996</v>
      </c>
      <c r="AL52" s="26">
        <f t="shared" si="472"/>
        <v>12.538999999999984</v>
      </c>
      <c r="AM52" s="26">
        <f t="shared" si="472"/>
        <v>6.1989999999999945</v>
      </c>
      <c r="AN52" s="26">
        <f t="shared" ref="AN52:AO52" si="473">AN46-AN50</f>
        <v>13.158999999999997</v>
      </c>
      <c r="AO52" s="26">
        <f t="shared" si="473"/>
        <v>13.135999999999997</v>
      </c>
      <c r="AP52" s="26">
        <f t="shared" ref="AP52:CD52" si="474">AP46-AP50</f>
        <v>22.15199999999998</v>
      </c>
      <c r="AQ52" s="26">
        <f t="shared" si="474"/>
        <v>6.6159999999999748</v>
      </c>
      <c r="AR52" s="26">
        <f t="shared" si="474"/>
        <v>9.9229999999999841</v>
      </c>
      <c r="AS52" s="26">
        <f t="shared" si="474"/>
        <v>21.289000000000058</v>
      </c>
      <c r="AT52" s="26">
        <f t="shared" si="474"/>
        <v>63.999000000000017</v>
      </c>
      <c r="AU52" s="26">
        <f t="shared" si="474"/>
        <v>9.7080000000000251</v>
      </c>
      <c r="AV52" s="26">
        <f t="shared" si="474"/>
        <v>26.903999999999989</v>
      </c>
      <c r="AW52" s="26">
        <f t="shared" si="474"/>
        <v>3.597999999999967</v>
      </c>
      <c r="AX52" s="26">
        <f t="shared" si="474"/>
        <v>61.470000000000034</v>
      </c>
      <c r="AY52" s="26">
        <f t="shared" si="474"/>
        <v>20.001999999999988</v>
      </c>
      <c r="AZ52" s="26">
        <f t="shared" si="474"/>
        <v>0.44400000000003281</v>
      </c>
      <c r="BA52" s="26">
        <f t="shared" si="474"/>
        <v>12.323999999999961</v>
      </c>
      <c r="BB52" s="26">
        <f t="shared" si="474"/>
        <v>77.119999999999976</v>
      </c>
      <c r="BC52" s="26">
        <f t="shared" si="474"/>
        <v>-21.690999999999974</v>
      </c>
      <c r="BD52" s="26">
        <f t="shared" si="474"/>
        <v>9.1099999999999977</v>
      </c>
      <c r="BE52" s="26">
        <f t="shared" si="474"/>
        <v>13.585000000000047</v>
      </c>
      <c r="BF52" s="26">
        <f t="shared" si="474"/>
        <v>64.028999999999968</v>
      </c>
      <c r="BG52" s="26">
        <f t="shared" si="474"/>
        <v>23.51600000000002</v>
      </c>
      <c r="BH52" s="26">
        <f t="shared" si="474"/>
        <v>20.986999999999949</v>
      </c>
      <c r="BI52" s="26">
        <f t="shared" si="474"/>
        <v>12.806000000000017</v>
      </c>
      <c r="BJ52" s="26">
        <f t="shared" si="474"/>
        <v>36.329000000000022</v>
      </c>
      <c r="BK52" s="26">
        <f t="shared" si="474"/>
        <v>19.65300000000002</v>
      </c>
      <c r="BL52" s="26">
        <f t="shared" si="474"/>
        <v>27.389999999999997</v>
      </c>
      <c r="BM52" s="26">
        <f t="shared" si="474"/>
        <v>24.909999999999993</v>
      </c>
      <c r="BN52" s="26">
        <f t="shared" si="474"/>
        <v>12.234000000000002</v>
      </c>
      <c r="BO52" s="26">
        <f t="shared" si="474"/>
        <v>-15.784999999999988</v>
      </c>
      <c r="BP52" s="26">
        <f t="shared" si="474"/>
        <v>45.577999999999989</v>
      </c>
      <c r="BQ52" s="26">
        <f t="shared" si="474"/>
        <v>43.155000000000015</v>
      </c>
      <c r="BR52" s="26">
        <f t="shared" si="474"/>
        <v>60.546999999999997</v>
      </c>
      <c r="BS52" s="26">
        <f t="shared" si="474"/>
        <v>46.626999999999967</v>
      </c>
      <c r="BT52" s="26">
        <f t="shared" si="474"/>
        <v>54.315000000000033</v>
      </c>
      <c r="BU52" s="26">
        <f t="shared" si="474"/>
        <v>40.292000000000009</v>
      </c>
      <c r="BV52" s="26">
        <f t="shared" si="474"/>
        <v>56.627999999999979</v>
      </c>
      <c r="BW52" s="26">
        <f t="shared" si="474"/>
        <v>53.470000000000027</v>
      </c>
      <c r="BX52" s="26">
        <f t="shared" si="474"/>
        <v>80.689999999999941</v>
      </c>
      <c r="BY52" s="26">
        <f t="shared" si="474"/>
        <v>76.430000000000007</v>
      </c>
      <c r="BZ52" s="26">
        <f t="shared" si="474"/>
        <v>79.250000000000028</v>
      </c>
      <c r="CA52" s="26">
        <f t="shared" si="474"/>
        <v>87.549999999999969</v>
      </c>
      <c r="CB52" s="26">
        <f t="shared" si="474"/>
        <v>105.46000000000001</v>
      </c>
      <c r="CC52" s="26">
        <f t="shared" si="474"/>
        <v>107.75000000000004</v>
      </c>
      <c r="CD52" s="26">
        <f t="shared" si="474"/>
        <v>122.77999999999996</v>
      </c>
      <c r="CE52" s="26">
        <f t="shared" ref="CE52:CF52" si="475">CE46-CE50</f>
        <v>79.550000000000026</v>
      </c>
      <c r="CF52" s="26">
        <f t="shared" si="475"/>
        <v>99.169999999999959</v>
      </c>
      <c r="CG52" s="26">
        <f t="shared" ref="CG52:CH52" si="476">CG46-CG50</f>
        <v>127.03999999999994</v>
      </c>
      <c r="CH52" s="26">
        <f t="shared" si="476"/>
        <v>176.07000000000005</v>
      </c>
      <c r="CI52" s="26">
        <f t="shared" ref="CI52:CJ52" si="477">CI46-CI50</f>
        <v>105.75999999999996</v>
      </c>
      <c r="CJ52" s="26">
        <f t="shared" si="477"/>
        <v>100.35999999999999</v>
      </c>
      <c r="CK52" s="26">
        <f t="shared" ref="CK52:CL52" si="478">CK46-CK50</f>
        <v>81.940000000000012</v>
      </c>
      <c r="CL52" s="26">
        <f t="shared" si="478"/>
        <v>130.84000000000006</v>
      </c>
      <c r="CM52" s="27">
        <f t="shared" ref="CM52:DB52" si="479">CM46-CM50</f>
        <v>125.06974527292043</v>
      </c>
      <c r="CN52" s="27">
        <f t="shared" si="479"/>
        <v>118.1570153795039</v>
      </c>
      <c r="CO52" s="27">
        <f t="shared" si="479"/>
        <v>121.40930660505435</v>
      </c>
      <c r="CP52" s="27">
        <f t="shared" si="479"/>
        <v>131.26839404802928</v>
      </c>
      <c r="CQ52" s="27">
        <f t="shared" si="479"/>
        <v>135.19142938015929</v>
      </c>
      <c r="CR52" s="27">
        <f t="shared" si="479"/>
        <v>135.74939541230546</v>
      </c>
      <c r="CS52" s="27">
        <f t="shared" si="479"/>
        <v>142.28562899272691</v>
      </c>
      <c r="CT52" s="27">
        <f t="shared" si="479"/>
        <v>147.18979322748638</v>
      </c>
      <c r="CU52" s="27">
        <f t="shared" si="479"/>
        <v>152.32000194848905</v>
      </c>
      <c r="CV52" s="27">
        <f t="shared" si="479"/>
        <v>155.44947371151915</v>
      </c>
      <c r="CW52" s="27">
        <f t="shared" si="479"/>
        <v>163.23643392463094</v>
      </c>
      <c r="CX52" s="27">
        <f t="shared" si="479"/>
        <v>168.3537349357085</v>
      </c>
      <c r="CY52" s="27">
        <f t="shared" si="479"/>
        <v>172.37221494747601</v>
      </c>
      <c r="CZ52" s="27">
        <f t="shared" si="479"/>
        <v>176.28039609335974</v>
      </c>
      <c r="DA52" s="27">
        <f t="shared" si="479"/>
        <v>184.70987587963029</v>
      </c>
      <c r="DB52" s="27">
        <f t="shared" si="479"/>
        <v>189.97575001972848</v>
      </c>
      <c r="DE52" s="121"/>
      <c r="DF52" s="26">
        <v>418.90000000000032</v>
      </c>
    </row>
    <row r="53" spans="1:110" s="23" customFormat="1" x14ac:dyDescent="0.2">
      <c r="A53" s="23" t="s">
        <v>17</v>
      </c>
      <c r="B53" s="23">
        <f>'Annual Raw'!C23</f>
        <v>3.1730839999999998</v>
      </c>
      <c r="C53" s="23">
        <f>'Annual Raw'!D23</f>
        <v>2.2787480000000002</v>
      </c>
      <c r="D53" s="23">
        <f>'Annual Raw'!E23</f>
        <v>5.4723036</v>
      </c>
      <c r="E53" s="23">
        <f>'Annual Raw'!F23</f>
        <v>3.4814408000000001</v>
      </c>
      <c r="F53" s="23">
        <f>'Annual Raw'!G23</f>
        <v>3.0575000000000001</v>
      </c>
      <c r="G53" s="23">
        <f>'Annual Raw'!H23</f>
        <v>8.2929999999999993</v>
      </c>
      <c r="H53" s="23">
        <f>'Annual Raw'!I23</f>
        <v>8.2364999999999995</v>
      </c>
      <c r="I53" s="23">
        <f>'Annual Raw'!J23</f>
        <v>9.7866</v>
      </c>
      <c r="J53" s="23">
        <f>'Annual Raw'!K23</f>
        <v>9.5771999999999995</v>
      </c>
      <c r="K53" s="23">
        <f>'Annual Raw'!L23</f>
        <v>24.771799999999999</v>
      </c>
      <c r="L53" s="23">
        <f>'Annual Raw'!M23</f>
        <v>28.5977</v>
      </c>
      <c r="M53" s="23">
        <f>'Annual Raw'!N23</f>
        <v>7.9808000000000003</v>
      </c>
      <c r="N53" s="23">
        <f>'Annual Raw'!O23</f>
        <v>7.4139999999999997</v>
      </c>
      <c r="O53" s="23">
        <f>'Annual Raw'!P23</f>
        <v>14.055</v>
      </c>
      <c r="P53" s="23">
        <f>'Annual Raw'!Q23</f>
        <v>16.6174</v>
      </c>
      <c r="Q53" s="23">
        <f>'Annual Raw'!R23</f>
        <v>29.675000000000001</v>
      </c>
      <c r="R53" s="23">
        <f>'Annual Raw'!S23</f>
        <v>8.5625999999999998</v>
      </c>
      <c r="S53" s="23">
        <f>'Annual Raw'!T23</f>
        <v>5.4737999999999998</v>
      </c>
      <c r="T53" s="23">
        <f>'Annual Raw'!U23</f>
        <v>99.500500000000002</v>
      </c>
      <c r="U53" s="23">
        <f>'Annual Raw'!V23</f>
        <v>36.466799999999999</v>
      </c>
      <c r="V53" s="23">
        <f>'Annual Raw'!W23</f>
        <v>79.621899999999997</v>
      </c>
      <c r="W53" s="23">
        <f>'Annual Raw'!X23</f>
        <v>15.972200000000001</v>
      </c>
      <c r="X53" s="23">
        <f>'Annual Raw'!Y23</f>
        <v>26.12</v>
      </c>
      <c r="Y53" s="23">
        <f>'Annual Raw'!Z23</f>
        <v>44.06</v>
      </c>
      <c r="Z53" s="23">
        <f>'Annual Raw'!AA23</f>
        <v>56.23</v>
      </c>
      <c r="AA53" s="23">
        <f>'Annual Raw'!AB23</f>
        <v>84.16</v>
      </c>
      <c r="AB53" s="76">
        <f t="shared" ref="AB53:AB54" si="480">+SUM(CM53:CP53)</f>
        <v>0</v>
      </c>
      <c r="AC53" s="76">
        <f t="shared" ref="AC53:AC54" si="481">+SUM(CQ53:CT53)</f>
        <v>0</v>
      </c>
      <c r="AD53" s="76">
        <f t="shared" ref="AD53:AD54" si="482">+SUM(CU53:CX53)</f>
        <v>0</v>
      </c>
      <c r="AE53" s="76">
        <f t="shared" ref="AE53:AE54" si="483">+SUM(CY53:DB53)</f>
        <v>0</v>
      </c>
      <c r="AI53" s="23">
        <f>'QTR Raw'!C23</f>
        <v>4.2119999999999997</v>
      </c>
      <c r="AJ53" s="23">
        <f>'QTR Raw'!D23</f>
        <v>1.734</v>
      </c>
      <c r="AK53" s="23">
        <f>'QTR Raw'!E23</f>
        <v>0.81599999999999995</v>
      </c>
      <c r="AL53" s="23">
        <f>'QTR Raw'!F23</f>
        <v>2.2909999999999999</v>
      </c>
      <c r="AM53" s="23">
        <f>'QTR Raw'!G23</f>
        <v>5.2190000000000003</v>
      </c>
      <c r="AN53" s="23">
        <f>'QTR Raw'!H23</f>
        <v>7.9429999999999996</v>
      </c>
      <c r="AO53" s="23">
        <f>'QTR Raw'!I23</f>
        <v>1.373</v>
      </c>
      <c r="AP53" s="23">
        <f>'QTR Raw'!J23</f>
        <v>3.0190000000000001</v>
      </c>
      <c r="AQ53" s="23">
        <f>'QTR Raw'!K23</f>
        <v>4.6769999999999996</v>
      </c>
      <c r="AR53" s="23">
        <f>'QTR Raw'!L23</f>
        <v>1.2889999999999999</v>
      </c>
      <c r="AS53" s="23">
        <f>'QTR Raw'!M23</f>
        <v>1.359</v>
      </c>
      <c r="AT53" s="23">
        <f>'QTR Raw'!N23</f>
        <v>11.135999999999999</v>
      </c>
      <c r="AU53" s="23">
        <f>'QTR Raw'!O23</f>
        <v>2.3809999999999998</v>
      </c>
      <c r="AV53" s="23">
        <f>'QTR Raw'!P23</f>
        <v>1.62</v>
      </c>
      <c r="AW53" s="23">
        <f>'QTR Raw'!Q23</f>
        <v>28.448</v>
      </c>
      <c r="AX53" s="23">
        <f>'QTR Raw'!R23</f>
        <v>-2.774</v>
      </c>
      <c r="AY53" s="23">
        <f>'QTR Raw'!S23</f>
        <v>1.76</v>
      </c>
      <c r="AZ53" s="23">
        <f>'QTR Raw'!T23</f>
        <v>4.1859999999999999</v>
      </c>
      <c r="BA53" s="23">
        <f>'QTR Raw'!U23</f>
        <v>0.52800000000000002</v>
      </c>
      <c r="BB53" s="23">
        <f>'QTR Raw'!V23</f>
        <v>2.9820000000000002</v>
      </c>
      <c r="BC53" s="23">
        <f>'QTR Raw'!W23</f>
        <v>0.90800000000000003</v>
      </c>
      <c r="BD53" s="23">
        <f>'QTR Raw'!X23</f>
        <v>1.2809999999999999</v>
      </c>
      <c r="BE53" s="23">
        <f>'QTR Raw'!Y23</f>
        <v>0.68100000000000005</v>
      </c>
      <c r="BF53" s="23">
        <f>'QTR Raw'!Z23</f>
        <v>2.6030000000000002</v>
      </c>
      <c r="BG53" s="23">
        <f>'QTR Raw'!AA23</f>
        <v>3.6920000000000002</v>
      </c>
      <c r="BH53" s="23">
        <f>'QTR Raw'!AB23</f>
        <v>49.915999999999997</v>
      </c>
      <c r="BI53" s="23">
        <f>'QTR Raw'!AC23</f>
        <v>11.218</v>
      </c>
      <c r="BJ53" s="23">
        <f>'QTR Raw'!AD23</f>
        <v>0.73799999999999999</v>
      </c>
      <c r="BK53" s="23">
        <f>'QTR Raw'!AE23</f>
        <v>1.0740000000000001</v>
      </c>
      <c r="BL53" s="23">
        <f>'QTR Raw'!AF23</f>
        <v>3.2189999999999999</v>
      </c>
      <c r="BM53" s="23">
        <f>'QTR Raw'!AG23</f>
        <v>5.92</v>
      </c>
      <c r="BN53" s="23">
        <f>'QTR Raw'!AH23</f>
        <v>0.56499999999999995</v>
      </c>
      <c r="BO53" s="23">
        <f>'QTR Raw'!AI23</f>
        <v>1.1739999999999999</v>
      </c>
      <c r="BP53" s="23">
        <f>'QTR Raw'!AJ23</f>
        <v>1.778</v>
      </c>
      <c r="BQ53" s="23">
        <f>'QTR Raw'!AK23</f>
        <v>1.792</v>
      </c>
      <c r="BR53" s="23">
        <f>'QTR Raw'!AL23</f>
        <v>0.98299999999999998</v>
      </c>
      <c r="BS53" s="23">
        <f>'QTR Raw'!AM23</f>
        <v>1.762</v>
      </c>
      <c r="BT53" s="23">
        <f>'QTR Raw'!AN23</f>
        <v>1.62</v>
      </c>
      <c r="BU53" s="23">
        <f>'QTR Raw'!AO23</f>
        <v>1.3169999999999999</v>
      </c>
      <c r="BV53" s="23">
        <f>'QTR Raw'!AP23</f>
        <v>3.8639999999999999</v>
      </c>
      <c r="BW53" s="23">
        <f>'QTR Raw'!AQ23</f>
        <v>4.46</v>
      </c>
      <c r="BX53" s="23">
        <f>'QTR Raw'!AR23</f>
        <v>4.29</v>
      </c>
      <c r="BY53" s="23">
        <f>'QTR Raw'!AS23</f>
        <v>3.5</v>
      </c>
      <c r="BZ53" s="23">
        <f>'QTR Raw'!AT23</f>
        <v>7.81</v>
      </c>
      <c r="CA53" s="23">
        <f>'QTR Raw'!AU23</f>
        <v>8.5</v>
      </c>
      <c r="CB53" s="23">
        <f>'QTR Raw'!AV23</f>
        <v>12.55</v>
      </c>
      <c r="CC53" s="23">
        <f>'QTR Raw'!AW23</f>
        <v>9.98</v>
      </c>
      <c r="CD53" s="23">
        <f>'QTR Raw'!AX23</f>
        <v>13.04</v>
      </c>
      <c r="CE53" s="23">
        <f>'QTR Raw'!AY23</f>
        <v>14.43</v>
      </c>
      <c r="CF53" s="23">
        <f>'QTR Raw'!AZ23</f>
        <v>11.39</v>
      </c>
      <c r="CG53" s="23">
        <f>'QTR Raw'!BA23</f>
        <v>15.64</v>
      </c>
      <c r="CH53" s="23">
        <f>'QTR Raw'!BB23</f>
        <v>18.59</v>
      </c>
      <c r="CI53" s="23">
        <f>'QTR Raw'!BC23</f>
        <v>26.43</v>
      </c>
      <c r="CJ53" s="23">
        <f>'QTR Raw'!BD23</f>
        <v>18.32</v>
      </c>
      <c r="CK53" s="23">
        <f>'QTR Raw'!BE23</f>
        <v>18.850000000000001</v>
      </c>
      <c r="CL53" s="23">
        <f>'QTR Raw'!BF23</f>
        <v>17.57</v>
      </c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E53" s="123"/>
      <c r="DF53" s="23">
        <v>81.17</v>
      </c>
    </row>
    <row r="54" spans="1:110" s="23" customFormat="1" x14ac:dyDescent="0.2">
      <c r="A54" s="23" t="s">
        <v>18</v>
      </c>
      <c r="B54" s="23">
        <f>'Annual Raw'!C25</f>
        <v>7.2335590999999999</v>
      </c>
      <c r="C54" s="23">
        <f>'Annual Raw'!D25</f>
        <v>7.8128282000000002</v>
      </c>
      <c r="D54" s="23">
        <f>'Annual Raw'!E25</f>
        <v>7.7728830000000002</v>
      </c>
      <c r="E54" s="23">
        <f>'Annual Raw'!F25</f>
        <v>9.1588001000000006</v>
      </c>
      <c r="F54" s="23">
        <f>'Annual Raw'!G25</f>
        <v>12.263400000000001</v>
      </c>
      <c r="G54" s="23">
        <f>'Annual Raw'!H25</f>
        <v>18.2027</v>
      </c>
      <c r="H54" s="23">
        <f>'Annual Raw'!I25</f>
        <v>24.569299999999998</v>
      </c>
      <c r="I54" s="23">
        <f>'Annual Raw'!J25</f>
        <v>33.482100000000003</v>
      </c>
      <c r="J54" s="23">
        <f>'Annual Raw'!K25</f>
        <v>57.493899999999996</v>
      </c>
      <c r="K54" s="23">
        <f>'Annual Raw'!L25</f>
        <v>58.252899999999997</v>
      </c>
      <c r="L54" s="23">
        <f>'Annual Raw'!M25</f>
        <v>60.1511</v>
      </c>
      <c r="M54" s="23">
        <f>'Annual Raw'!N25</f>
        <v>72.1691</v>
      </c>
      <c r="N54" s="23">
        <f>'Annual Raw'!O25</f>
        <v>89.825999999999993</v>
      </c>
      <c r="O54" s="23">
        <f>'Annual Raw'!P25</f>
        <v>79.703199999999995</v>
      </c>
      <c r="P54" s="23">
        <f>'Annual Raw'!Q25</f>
        <v>87.0625</v>
      </c>
      <c r="Q54" s="23">
        <f>'Annual Raw'!R25</f>
        <v>82.874799999999993</v>
      </c>
      <c r="R54" s="23">
        <f>'Annual Raw'!S25</f>
        <v>89.796499999999995</v>
      </c>
      <c r="S54" s="23">
        <f>'Annual Raw'!T25</f>
        <v>75.2547</v>
      </c>
      <c r="T54" s="23">
        <f>'Annual Raw'!U25</f>
        <v>73.753699999999995</v>
      </c>
      <c r="U54" s="23">
        <f>'Annual Raw'!V25</f>
        <v>77.652000000000001</v>
      </c>
      <c r="V54" s="23">
        <f>'Annual Raw'!W25</f>
        <v>60.332599999999999</v>
      </c>
      <c r="W54" s="23">
        <f>'Annual Raw'!X25</f>
        <v>38.096899999999998</v>
      </c>
      <c r="X54" s="23">
        <f>'Annual Raw'!Y25</f>
        <v>13.77</v>
      </c>
      <c r="Y54" s="23">
        <f>'Annual Raw'!Z25</f>
        <v>8.89</v>
      </c>
      <c r="Z54" s="23">
        <f>'Annual Raw'!AA25</f>
        <v>13.33</v>
      </c>
      <c r="AA54" s="23">
        <f>'Annual Raw'!AB25</f>
        <v>25.13</v>
      </c>
      <c r="AB54" s="76">
        <f t="shared" si="480"/>
        <v>-49.522269188654825</v>
      </c>
      <c r="AC54" s="76">
        <f t="shared" si="481"/>
        <v>-72.766588885846332</v>
      </c>
      <c r="AD54" s="76">
        <f t="shared" si="482"/>
        <v>-97.641221881689319</v>
      </c>
      <c r="AE54" s="76">
        <f t="shared" si="483"/>
        <v>-125.40760831823727</v>
      </c>
      <c r="AI54" s="23">
        <f>'QTR Raw'!C25</f>
        <v>14.93</v>
      </c>
      <c r="AJ54" s="23">
        <f>'QTR Raw'!D25</f>
        <v>16.367999999999999</v>
      </c>
      <c r="AK54" s="23">
        <f>'QTR Raw'!E25</f>
        <v>12.435</v>
      </c>
      <c r="AL54" s="23">
        <f>'QTR Raw'!F25</f>
        <v>5.9260000000000002</v>
      </c>
      <c r="AM54" s="23">
        <f>'QTR Raw'!G25</f>
        <v>6.484</v>
      </c>
      <c r="AN54" s="23">
        <f>'QTR Raw'!H25</f>
        <v>8.7899999999999991</v>
      </c>
      <c r="AO54" s="23">
        <f>'QTR Raw'!I25</f>
        <v>8.59</v>
      </c>
      <c r="AP54" s="23">
        <f>'QTR Raw'!J25</f>
        <v>9.3840000000000003</v>
      </c>
      <c r="AQ54" s="23">
        <f>'QTR Raw'!K25</f>
        <v>17.809000000000001</v>
      </c>
      <c r="AR54" s="23">
        <f>'QTR Raw'!L25</f>
        <v>16.513000000000002</v>
      </c>
      <c r="AS54" s="23">
        <f>'QTR Raw'!M25</f>
        <v>25.265999999999998</v>
      </c>
      <c r="AT54" s="23">
        <f>'QTR Raw'!N25</f>
        <v>24.686</v>
      </c>
      <c r="AU54" s="23">
        <f>'QTR Raw'!O25</f>
        <v>15.901</v>
      </c>
      <c r="AV54" s="23">
        <f>'QTR Raw'!P25</f>
        <v>18.725000000000001</v>
      </c>
      <c r="AW54" s="23">
        <f>'QTR Raw'!Q25</f>
        <v>20.547999999999998</v>
      </c>
      <c r="AX54" s="23">
        <f>'QTR Raw'!R25</f>
        <v>19.545999999999999</v>
      </c>
      <c r="AY54" s="23">
        <f>'QTR Raw'!S25</f>
        <v>20.321999999999999</v>
      </c>
      <c r="AZ54" s="23">
        <f>'QTR Raw'!T25</f>
        <v>15.907</v>
      </c>
      <c r="BA54" s="23">
        <f>'QTR Raw'!U25</f>
        <v>24.431999999999999</v>
      </c>
      <c r="BB54" s="23">
        <f>'QTR Raw'!V25</f>
        <v>18.913</v>
      </c>
      <c r="BC54" s="23">
        <f>'QTR Raw'!W25</f>
        <v>15.349</v>
      </c>
      <c r="BD54" s="23">
        <f>'QTR Raw'!X25</f>
        <v>17.498000000000001</v>
      </c>
      <c r="BE54" s="23">
        <f>'QTR Raw'!Y25</f>
        <v>17.100999999999999</v>
      </c>
      <c r="BF54" s="23">
        <f>'QTR Raw'!Z25</f>
        <v>17.641999999999999</v>
      </c>
      <c r="BG54" s="23">
        <f>'QTR Raw'!AA25</f>
        <v>18.145</v>
      </c>
      <c r="BH54" s="23">
        <f>'QTR Raw'!AB25</f>
        <v>17.486000000000001</v>
      </c>
      <c r="BI54" s="23">
        <f>'QTR Raw'!AC25</f>
        <v>17.376000000000001</v>
      </c>
      <c r="BJ54" s="23">
        <f>'QTR Raw'!AD25</f>
        <v>21.797999999999998</v>
      </c>
      <c r="BK54" s="23">
        <f>'QTR Raw'!AE25</f>
        <v>19.512</v>
      </c>
      <c r="BL54" s="23">
        <f>'QTR Raw'!AF25</f>
        <v>18.898</v>
      </c>
      <c r="BM54" s="23">
        <f>'QTR Raw'!AG25</f>
        <v>19.835000000000001</v>
      </c>
      <c r="BN54" s="23">
        <f>'QTR Raw'!AH25</f>
        <v>18.79</v>
      </c>
      <c r="BO54" s="23">
        <f>'QTR Raw'!AI25</f>
        <v>16.484999999999999</v>
      </c>
      <c r="BP54" s="23">
        <f>'QTR Raw'!AJ25</f>
        <v>14.677</v>
      </c>
      <c r="BQ54" s="23">
        <f>'QTR Raw'!AK25</f>
        <v>14.202999999999999</v>
      </c>
      <c r="BR54" s="23">
        <f>'QTR Raw'!AL25</f>
        <v>14.441000000000001</v>
      </c>
      <c r="BS54" s="23">
        <f>'QTR Raw'!AM25</f>
        <v>13.531000000000001</v>
      </c>
      <c r="BT54" s="23">
        <f>'QTR Raw'!AN25</f>
        <v>11.659000000000001</v>
      </c>
      <c r="BU54" s="23">
        <f>'QTR Raw'!AO25</f>
        <v>4.827</v>
      </c>
      <c r="BV54" s="23">
        <f>'QTR Raw'!AP25</f>
        <v>7.3239999999999998</v>
      </c>
      <c r="BW54" s="23">
        <f>'QTR Raw'!AQ25</f>
        <v>4.1100000000000003</v>
      </c>
      <c r="BX54" s="23">
        <f>'QTR Raw'!AR25</f>
        <v>2.76</v>
      </c>
      <c r="BY54" s="23">
        <f>'QTR Raw'!AS25</f>
        <v>1.84</v>
      </c>
      <c r="BZ54" s="23">
        <f>'QTR Raw'!AT25</f>
        <v>4.5999999999999996</v>
      </c>
      <c r="CA54" s="23">
        <f>'QTR Raw'!AU25</f>
        <v>2.4700000000000002</v>
      </c>
      <c r="CB54" s="23">
        <f>'QTR Raw'!AV25</f>
        <v>2.63</v>
      </c>
      <c r="CC54" s="23">
        <f>'QTR Raw'!AW25</f>
        <v>1.49</v>
      </c>
      <c r="CD54" s="23">
        <f>'QTR Raw'!AX25</f>
        <v>2.0499999999999998</v>
      </c>
      <c r="CE54" s="23">
        <f>'QTR Raw'!AY25</f>
        <v>2.29</v>
      </c>
      <c r="CF54" s="23">
        <f>'QTR Raw'!AZ25</f>
        <v>2.19</v>
      </c>
      <c r="CG54" s="23">
        <f>'QTR Raw'!BA25</f>
        <v>3.46</v>
      </c>
      <c r="CH54" s="23">
        <f>'QTR Raw'!BB25</f>
        <v>5.0999999999999996</v>
      </c>
      <c r="CI54" s="23">
        <f>'QTR Raw'!BC25</f>
        <v>6.15</v>
      </c>
      <c r="CJ54" s="23">
        <f>'QTR Raw'!BD25</f>
        <v>5.69</v>
      </c>
      <c r="CK54" s="23">
        <f>'QTR Raw'!BE25</f>
        <v>6.82</v>
      </c>
      <c r="CL54" s="23">
        <f>'QTR Raw'!BF25</f>
        <v>6.25</v>
      </c>
      <c r="CM54" s="24">
        <f t="shared" ref="CM54:DB54" si="484">CM55*CL186</f>
        <v>-9.683647791195396</v>
      </c>
      <c r="CN54" s="24">
        <f t="shared" si="484"/>
        <v>-11.793373414202271</v>
      </c>
      <c r="CO54" s="24">
        <f t="shared" si="484"/>
        <v>-13.344528254765169</v>
      </c>
      <c r="CP54" s="24">
        <f t="shared" si="484"/>
        <v>-14.700719728491984</v>
      </c>
      <c r="CQ54" s="24">
        <f t="shared" si="484"/>
        <v>-15.943457257290033</v>
      </c>
      <c r="CR54" s="24">
        <f t="shared" si="484"/>
        <v>-17.427284911859459</v>
      </c>
      <c r="CS54" s="24">
        <f t="shared" si="484"/>
        <v>-19.007450374921973</v>
      </c>
      <c r="CT54" s="24">
        <f t="shared" si="484"/>
        <v>-20.388396341774861</v>
      </c>
      <c r="CU54" s="24">
        <f t="shared" si="484"/>
        <v>-21.917633879001542</v>
      </c>
      <c r="CV54" s="24">
        <f t="shared" si="484"/>
        <v>-23.593148387805183</v>
      </c>
      <c r="CW54" s="24">
        <f t="shared" si="484"/>
        <v>-25.297433860118577</v>
      </c>
      <c r="CX54" s="24">
        <f t="shared" si="484"/>
        <v>-26.83300575476401</v>
      </c>
      <c r="CY54" s="24">
        <f t="shared" si="484"/>
        <v>-28.581130168677028</v>
      </c>
      <c r="CZ54" s="24">
        <f t="shared" si="484"/>
        <v>-30.44276120797376</v>
      </c>
      <c r="DA54" s="24">
        <f t="shared" si="484"/>
        <v>-32.332277106125332</v>
      </c>
      <c r="DB54" s="24">
        <f t="shared" si="484"/>
        <v>-34.051439835461132</v>
      </c>
      <c r="DE54" s="123"/>
      <c r="DF54" s="23">
        <v>24.91</v>
      </c>
    </row>
    <row r="55" spans="1:110" s="46" customFormat="1" x14ac:dyDescent="0.2">
      <c r="A55" s="46" t="s">
        <v>482</v>
      </c>
      <c r="B55" s="46">
        <f t="shared" ref="B55:D55" si="485">+B54/B146</f>
        <v>0.12538188990562646</v>
      </c>
      <c r="C55" s="46">
        <f t="shared" si="485"/>
        <v>0.13890628846097994</v>
      </c>
      <c r="D55" s="46">
        <f t="shared" si="485"/>
        <v>0.13598558088175397</v>
      </c>
      <c r="E55" s="46">
        <f t="shared" ref="E55:AE55" si="486">+E54/E146</f>
        <v>0.13301187519168892</v>
      </c>
      <c r="F55" s="46">
        <f t="shared" si="486"/>
        <v>0.12754883942974643</v>
      </c>
      <c r="G55" s="46">
        <f t="shared" si="486"/>
        <v>8.8474029919228384E-2</v>
      </c>
      <c r="H55" s="46">
        <f t="shared" si="486"/>
        <v>8.6615466783238337E-2</v>
      </c>
      <c r="I55" s="46">
        <f t="shared" si="486"/>
        <v>8.1811138078423815E-2</v>
      </c>
      <c r="J55" s="46">
        <f t="shared" si="486"/>
        <v>9.7104624021672664E-2</v>
      </c>
      <c r="K55" s="46">
        <f t="shared" si="486"/>
        <v>0.11168633366687378</v>
      </c>
      <c r="L55" s="46">
        <f t="shared" si="486"/>
        <v>9.2759995034385326E-2</v>
      </c>
      <c r="M55" s="46">
        <f t="shared" si="486"/>
        <v>0.10856861841889505</v>
      </c>
      <c r="N55" s="46">
        <f t="shared" si="486"/>
        <v>0.12887941368518419</v>
      </c>
      <c r="O55" s="46">
        <f t="shared" si="486"/>
        <v>0.12583826311645444</v>
      </c>
      <c r="P55" s="46">
        <f t="shared" si="486"/>
        <v>0.15780934437954941</v>
      </c>
      <c r="Q55" s="46">
        <f t="shared" si="486"/>
        <v>0.13181234902181083</v>
      </c>
      <c r="R55" s="46">
        <f t="shared" si="486"/>
        <v>0.15390916228845447</v>
      </c>
      <c r="S55" s="46">
        <f t="shared" si="486"/>
        <v>0.12744596289953719</v>
      </c>
      <c r="T55" s="46">
        <f t="shared" si="486"/>
        <v>0.13454783341424043</v>
      </c>
      <c r="U55" s="46">
        <f t="shared" si="486"/>
        <v>0.18486678744795176</v>
      </c>
      <c r="V55" s="46">
        <f t="shared" si="486"/>
        <v>0.21081324351881164</v>
      </c>
      <c r="W55" s="46">
        <f t="shared" si="486"/>
        <v>0.38090234209013418</v>
      </c>
      <c r="X55" s="46" t="e">
        <f t="shared" si="486"/>
        <v>#DIV/0!</v>
      </c>
      <c r="Y55" s="46" t="e">
        <f t="shared" si="486"/>
        <v>#DIV/0!</v>
      </c>
      <c r="Z55" s="46">
        <f t="shared" si="486"/>
        <v>4.0271903323262839</v>
      </c>
      <c r="AA55" s="46" t="e">
        <f t="shared" ref="AA55" si="487">+AA54/AA146</f>
        <v>#DIV/0!</v>
      </c>
      <c r="AB55" s="110" t="e">
        <f t="shared" si="486"/>
        <v>#DIV/0!</v>
      </c>
      <c r="AC55" s="110" t="e">
        <f t="shared" si="486"/>
        <v>#DIV/0!</v>
      </c>
      <c r="AD55" s="110" t="e">
        <f t="shared" si="486"/>
        <v>#DIV/0!</v>
      </c>
      <c r="AE55" s="110" t="e">
        <f t="shared" si="486"/>
        <v>#DIV/0!</v>
      </c>
      <c r="AI55" s="46" t="e">
        <f t="shared" ref="AI55:BN55" si="488">(AI54-AI53)/AH186</f>
        <v>#DIV/0!</v>
      </c>
      <c r="AJ55" s="46" t="e">
        <f t="shared" si="488"/>
        <v>#DIV/0!</v>
      </c>
      <c r="AK55" s="46">
        <f t="shared" si="488"/>
        <v>2.5101429738032588E-2</v>
      </c>
      <c r="AL55" s="46">
        <f t="shared" si="488"/>
        <v>5.8596190340915441E-2</v>
      </c>
      <c r="AM55" s="46">
        <f t="shared" si="488"/>
        <v>2.1674913985716823E-3</v>
      </c>
      <c r="AN55" s="46">
        <f t="shared" si="488"/>
        <v>2.9145921634055475E-3</v>
      </c>
      <c r="AO55" s="46">
        <f t="shared" si="488"/>
        <v>2.8920403771634202E-2</v>
      </c>
      <c r="AP55" s="46">
        <f t="shared" si="488"/>
        <v>2.6381732326710178E-2</v>
      </c>
      <c r="AQ55" s="46">
        <f t="shared" si="488"/>
        <v>2.407257702326417E-2</v>
      </c>
      <c r="AR55" s="46">
        <f t="shared" si="488"/>
        <v>1.5026319681190649E-2</v>
      </c>
      <c r="AS55" s="46">
        <f t="shared" si="488"/>
        <v>0.11606917445089622</v>
      </c>
      <c r="AT55" s="46">
        <f t="shared" si="488"/>
        <v>6.4136293242631495E-2</v>
      </c>
      <c r="AU55" s="46">
        <f t="shared" si="488"/>
        <v>2.9262232457269999E-2</v>
      </c>
      <c r="AV55" s="46">
        <f t="shared" si="488"/>
        <v>0.10844046923385668</v>
      </c>
      <c r="AW55" s="46">
        <f t="shared" si="488"/>
        <v>-1.4378066714229559E-2</v>
      </c>
      <c r="AX55" s="46">
        <f t="shared" si="488"/>
        <v>3.6828340231411551E-2</v>
      </c>
      <c r="AY55" s="46">
        <f t="shared" si="488"/>
        <v>3.5065712790616391E-2</v>
      </c>
      <c r="AZ55" s="46">
        <f t="shared" si="488"/>
        <v>3.9547698100343857E-2</v>
      </c>
      <c r="BA55" s="46">
        <f t="shared" si="488"/>
        <v>4.9338886985382441E-2</v>
      </c>
      <c r="BB55" s="46">
        <f t="shared" si="488"/>
        <v>2.9248907906157827E-2</v>
      </c>
      <c r="BC55" s="46">
        <f t="shared" si="488"/>
        <v>3.5171338805134074E-2</v>
      </c>
      <c r="BD55" s="46">
        <f t="shared" si="488"/>
        <v>6.9181908166612349E-2</v>
      </c>
      <c r="BE55" s="46">
        <f t="shared" si="488"/>
        <v>3.8086225172628947E-2</v>
      </c>
      <c r="BF55" s="46">
        <f t="shared" si="488"/>
        <v>3.3442219370269838E-2</v>
      </c>
      <c r="BG55" s="46">
        <f t="shared" si="488"/>
        <v>3.1309912458758561E-2</v>
      </c>
      <c r="BH55" s="46">
        <f t="shared" si="488"/>
        <v>-0.10217464155310929</v>
      </c>
      <c r="BI55" s="46">
        <f t="shared" si="488"/>
        <v>1.5825045614576108E-2</v>
      </c>
      <c r="BJ55" s="46">
        <f t="shared" si="488"/>
        <v>6.7509245796106995E-2</v>
      </c>
      <c r="BK55" s="46">
        <f t="shared" si="488"/>
        <v>4.1000849458970243E-2</v>
      </c>
      <c r="BL55" s="46">
        <f t="shared" si="488"/>
        <v>4.3420926292099427E-2</v>
      </c>
      <c r="BM55" s="46">
        <f t="shared" si="488"/>
        <v>3.7221507424239589E-2</v>
      </c>
      <c r="BN55" s="46">
        <f t="shared" si="488"/>
        <v>4.6974372353721337E-2</v>
      </c>
      <c r="BO55" s="46">
        <f t="shared" ref="BO55:CL55" si="489">(BO54-BO53)/BN186</f>
        <v>5.206229385562243E-2</v>
      </c>
      <c r="BP55" s="46">
        <f t="shared" si="489"/>
        <v>0.11136314226286514</v>
      </c>
      <c r="BQ55" s="46">
        <f t="shared" si="489"/>
        <v>5.2696832925011788E-2</v>
      </c>
      <c r="BR55" s="46">
        <f t="shared" si="489"/>
        <v>5.1623346242163561E-2</v>
      </c>
      <c r="BS55" s="46">
        <f t="shared" si="489"/>
        <v>8.1330983725510536E-2</v>
      </c>
      <c r="BT55" s="46">
        <f t="shared" si="489"/>
        <v>0.15649032288628828</v>
      </c>
      <c r="BU55" s="46">
        <f t="shared" si="489"/>
        <v>6.3473118862908906E-2</v>
      </c>
      <c r="BV55" s="46">
        <f t="shared" si="489"/>
        <v>-0.19290541825541746</v>
      </c>
      <c r="BW55" s="46">
        <f t="shared" si="489"/>
        <v>2.8887421591284223E-2</v>
      </c>
      <c r="BX55" s="46">
        <f t="shared" si="489"/>
        <v>2.5892749394889159E-2</v>
      </c>
      <c r="BY55" s="46">
        <f t="shared" si="489"/>
        <v>1.5628530541537997E-2</v>
      </c>
      <c r="BZ55" s="46">
        <f t="shared" si="489"/>
        <v>1.902696819343316E-2</v>
      </c>
      <c r="CA55" s="46">
        <f t="shared" si="489"/>
        <v>2.6282526260733116E-2</v>
      </c>
      <c r="CB55" s="46">
        <f t="shared" si="489"/>
        <v>3.1724619128725373E-2</v>
      </c>
      <c r="CC55" s="46">
        <f t="shared" si="489"/>
        <v>2.3796843905036856E-2</v>
      </c>
      <c r="CD55" s="46">
        <f t="shared" si="489"/>
        <v>2.4061847413577756E-2</v>
      </c>
      <c r="CE55" s="46">
        <f t="shared" si="489"/>
        <v>2.6018560192031547E-2</v>
      </c>
      <c r="CF55" s="46">
        <f t="shared" si="489"/>
        <v>1.3362235532854681E-2</v>
      </c>
      <c r="CG55" s="46">
        <f t="shared" si="489"/>
        <v>2.2908516400842609E-2</v>
      </c>
      <c r="CH55" s="46">
        <f t="shared" si="489"/>
        <v>2.1806736095000903E-2</v>
      </c>
      <c r="CI55" s="46">
        <f t="shared" si="489"/>
        <v>2.6348612410352353E-2</v>
      </c>
      <c r="CJ55" s="46">
        <f t="shared" si="489"/>
        <v>1.184891266775494E-2</v>
      </c>
      <c r="CK55" s="46">
        <f t="shared" si="489"/>
        <v>1.4687568676287455E-2</v>
      </c>
      <c r="CL55" s="46">
        <f t="shared" si="489"/>
        <v>1.1999563557862945E-2</v>
      </c>
      <c r="CM55" s="47">
        <f t="shared" ref="CM55" si="490">+CL55</f>
        <v>1.1999563557862945E-2</v>
      </c>
      <c r="CN55" s="47">
        <f t="shared" ref="CN55" si="491">+CM55</f>
        <v>1.1999563557862945E-2</v>
      </c>
      <c r="CO55" s="47">
        <f t="shared" ref="CO55" si="492">+CN55</f>
        <v>1.1999563557862945E-2</v>
      </c>
      <c r="CP55" s="47">
        <f t="shared" ref="CP55" si="493">+CO55</f>
        <v>1.1999563557862945E-2</v>
      </c>
      <c r="CQ55" s="47">
        <f t="shared" ref="CQ55" si="494">+CP55</f>
        <v>1.1999563557862945E-2</v>
      </c>
      <c r="CR55" s="47">
        <f t="shared" ref="CR55" si="495">+CQ55</f>
        <v>1.1999563557862945E-2</v>
      </c>
      <c r="CS55" s="47">
        <f t="shared" ref="CS55" si="496">+CR55</f>
        <v>1.1999563557862945E-2</v>
      </c>
      <c r="CT55" s="47">
        <f t="shared" ref="CT55" si="497">+CS55</f>
        <v>1.1999563557862945E-2</v>
      </c>
      <c r="CU55" s="47">
        <f t="shared" ref="CU55" si="498">+CT55</f>
        <v>1.1999563557862945E-2</v>
      </c>
      <c r="CV55" s="47">
        <f t="shared" ref="CV55" si="499">+CU55</f>
        <v>1.1999563557862945E-2</v>
      </c>
      <c r="CW55" s="47">
        <f t="shared" ref="CW55" si="500">+CV55</f>
        <v>1.1999563557862945E-2</v>
      </c>
      <c r="CX55" s="47">
        <f t="shared" ref="CX55" si="501">+CW55</f>
        <v>1.1999563557862945E-2</v>
      </c>
      <c r="CY55" s="47">
        <f t="shared" ref="CY55" si="502">+CX55</f>
        <v>1.1999563557862945E-2</v>
      </c>
      <c r="CZ55" s="47">
        <f t="shared" ref="CZ55" si="503">+CY55</f>
        <v>1.1999563557862945E-2</v>
      </c>
      <c r="DA55" s="47">
        <f t="shared" ref="DA55" si="504">+CZ55</f>
        <v>1.1999563557862945E-2</v>
      </c>
      <c r="DB55" s="47">
        <f t="shared" ref="DB55" si="505">+DA55</f>
        <v>1.1999563557862945E-2</v>
      </c>
      <c r="DE55" s="130"/>
    </row>
    <row r="56" spans="1:110" s="26" customFormat="1" x14ac:dyDescent="0.2">
      <c r="A56" s="26" t="s">
        <v>20</v>
      </c>
      <c r="B56" s="26">
        <f>B52+B53-B54</f>
        <v>0.39148849999998792</v>
      </c>
      <c r="C56" s="26">
        <f t="shared" ref="C56:T56" si="506">C52+C53-C54</f>
        <v>-1.5330926000000149</v>
      </c>
      <c r="D56" s="26">
        <f>D52+D53-D54</f>
        <v>1.4702752000000139</v>
      </c>
      <c r="E56" s="26">
        <f t="shared" si="506"/>
        <v>2.1471430000000034</v>
      </c>
      <c r="F56" s="26">
        <f t="shared" si="506"/>
        <v>23.463400000000018</v>
      </c>
      <c r="G56" s="26">
        <f t="shared" si="506"/>
        <v>44.53419999999997</v>
      </c>
      <c r="H56" s="26">
        <f t="shared" si="506"/>
        <v>86.705199999999962</v>
      </c>
      <c r="I56" s="26">
        <f t="shared" si="506"/>
        <v>98.679100000000091</v>
      </c>
      <c r="J56" s="26">
        <f t="shared" si="506"/>
        <v>88.100299999999976</v>
      </c>
      <c r="K56" s="26">
        <f t="shared" si="506"/>
        <v>90.317000000000021</v>
      </c>
      <c r="L56" s="26">
        <f t="shared" si="506"/>
        <v>122.70380000000021</v>
      </c>
      <c r="M56" s="26">
        <f t="shared" si="506"/>
        <v>101.67849999999997</v>
      </c>
      <c r="N56" s="26">
        <f t="shared" si="506"/>
        <v>76.832799999999935</v>
      </c>
      <c r="O56" s="26">
        <f t="shared" si="506"/>
        <v>29.381899999999959</v>
      </c>
      <c r="P56" s="26">
        <f t="shared" si="506"/>
        <v>33.929099999999892</v>
      </c>
      <c r="Q56" s="26">
        <f t="shared" si="506"/>
        <v>56.635199999999912</v>
      </c>
      <c r="R56" s="26">
        <f t="shared" si="506"/>
        <v>39.775400000000118</v>
      </c>
      <c r="S56" s="26">
        <f t="shared" si="506"/>
        <v>2.9154000000000622</v>
      </c>
      <c r="T56" s="26">
        <f t="shared" si="506"/>
        <v>84.399300000000082</v>
      </c>
      <c r="U56" s="26">
        <f t="shared" ref="U56:Z56" si="507">U52+U53-U54</f>
        <v>17.933499999999938</v>
      </c>
      <c r="V56" s="26">
        <f t="shared" si="507"/>
        <v>79.417599999999922</v>
      </c>
      <c r="W56" s="26">
        <f t="shared" si="507"/>
        <v>169.08409999999998</v>
      </c>
      <c r="X56" s="26">
        <f t="shared" si="507"/>
        <v>296.59000000000003</v>
      </c>
      <c r="Y56" s="26">
        <f t="shared" si="507"/>
        <v>458.97000000000014</v>
      </c>
      <c r="Z56" s="26">
        <f t="shared" si="507"/>
        <v>528.84000000000015</v>
      </c>
      <c r="AA56" s="26">
        <f t="shared" ref="AA56" si="508">AA52+AA53-AA54</f>
        <v>475.1600000000002</v>
      </c>
      <c r="AB56" s="27">
        <f t="shared" ref="AB56:AD56" si="509">AB52+AB53-AB54</f>
        <v>545.4267304941626</v>
      </c>
      <c r="AC56" s="27">
        <f t="shared" si="509"/>
        <v>633.18283589852433</v>
      </c>
      <c r="AD56" s="27">
        <f t="shared" si="509"/>
        <v>737.00086640203699</v>
      </c>
      <c r="AE56" s="27">
        <f t="shared" ref="AE56" si="510">AE52+AE53-AE54</f>
        <v>848.74584525843204</v>
      </c>
      <c r="AI56" s="26">
        <f>AI52+AI53-AI54</f>
        <v>9.4239999999999675</v>
      </c>
      <c r="AJ56" s="26">
        <f t="shared" ref="AJ56" si="511">AJ52+AJ53-AJ54</f>
        <v>33.771999999999991</v>
      </c>
      <c r="AK56" s="26">
        <f t="shared" ref="AK56:AM56" si="512">AK52+AK53-AK54</f>
        <v>8.106999999999994</v>
      </c>
      <c r="AL56" s="26">
        <f t="shared" si="512"/>
        <v>8.9039999999999839</v>
      </c>
      <c r="AM56" s="26">
        <f t="shared" si="512"/>
        <v>4.9339999999999957</v>
      </c>
      <c r="AN56" s="26">
        <f t="shared" ref="AN56:AO56" si="513">AN52+AN53-AN54</f>
        <v>12.311999999999998</v>
      </c>
      <c r="AO56" s="26">
        <f t="shared" si="513"/>
        <v>5.9189999999999969</v>
      </c>
      <c r="AP56" s="26">
        <f t="shared" ref="AP56:CD56" si="514">AP52+AP53-AP54</f>
        <v>15.786999999999978</v>
      </c>
      <c r="AQ56" s="26">
        <f t="shared" si="514"/>
        <v>-6.5160000000000267</v>
      </c>
      <c r="AR56" s="26">
        <f t="shared" si="514"/>
        <v>-5.3010000000000179</v>
      </c>
      <c r="AS56" s="26">
        <f t="shared" si="514"/>
        <v>-2.6179999999999382</v>
      </c>
      <c r="AT56" s="26">
        <f t="shared" si="514"/>
        <v>50.449000000000019</v>
      </c>
      <c r="AU56" s="26">
        <f t="shared" si="514"/>
        <v>-3.8119999999999745</v>
      </c>
      <c r="AV56" s="26">
        <f t="shared" si="514"/>
        <v>9.7989999999999888</v>
      </c>
      <c r="AW56" s="26">
        <f t="shared" si="514"/>
        <v>11.497999999999966</v>
      </c>
      <c r="AX56" s="26">
        <f t="shared" si="514"/>
        <v>39.150000000000034</v>
      </c>
      <c r="AY56" s="26">
        <f t="shared" si="514"/>
        <v>1.4399999999999906</v>
      </c>
      <c r="AZ56" s="26">
        <f t="shared" si="514"/>
        <v>-11.276999999999967</v>
      </c>
      <c r="BA56" s="26">
        <f t="shared" si="514"/>
        <v>-11.580000000000037</v>
      </c>
      <c r="BB56" s="26">
        <f t="shared" si="514"/>
        <v>61.188999999999979</v>
      </c>
      <c r="BC56" s="26">
        <f t="shared" si="514"/>
        <v>-36.131999999999977</v>
      </c>
      <c r="BD56" s="26">
        <f t="shared" si="514"/>
        <v>-7.1070000000000029</v>
      </c>
      <c r="BE56" s="26">
        <f t="shared" si="514"/>
        <v>-2.8349999999999511</v>
      </c>
      <c r="BF56" s="26">
        <f t="shared" si="514"/>
        <v>48.989999999999966</v>
      </c>
      <c r="BG56" s="26">
        <f t="shared" si="514"/>
        <v>9.0630000000000202</v>
      </c>
      <c r="BH56" s="26">
        <f t="shared" si="514"/>
        <v>53.416999999999945</v>
      </c>
      <c r="BI56" s="26">
        <f t="shared" si="514"/>
        <v>6.6480000000000139</v>
      </c>
      <c r="BJ56" s="26">
        <f t="shared" si="514"/>
        <v>15.269000000000023</v>
      </c>
      <c r="BK56" s="26">
        <f t="shared" si="514"/>
        <v>1.2150000000000212</v>
      </c>
      <c r="BL56" s="26">
        <f t="shared" si="514"/>
        <v>11.710999999999999</v>
      </c>
      <c r="BM56" s="26">
        <f t="shared" si="514"/>
        <v>10.99499999999999</v>
      </c>
      <c r="BN56" s="26">
        <f t="shared" si="514"/>
        <v>-5.9909999999999979</v>
      </c>
      <c r="BO56" s="26">
        <f t="shared" si="514"/>
        <v>-31.095999999999989</v>
      </c>
      <c r="BP56" s="26">
        <f t="shared" si="514"/>
        <v>32.678999999999988</v>
      </c>
      <c r="BQ56" s="26">
        <f t="shared" si="514"/>
        <v>30.744000000000018</v>
      </c>
      <c r="BR56" s="26">
        <f t="shared" si="514"/>
        <v>47.088999999999992</v>
      </c>
      <c r="BS56" s="26">
        <f t="shared" si="514"/>
        <v>34.857999999999969</v>
      </c>
      <c r="BT56" s="26">
        <f t="shared" si="514"/>
        <v>44.276000000000032</v>
      </c>
      <c r="BU56" s="26">
        <f t="shared" si="514"/>
        <v>36.782000000000011</v>
      </c>
      <c r="BV56" s="26">
        <f t="shared" si="514"/>
        <v>53.167999999999978</v>
      </c>
      <c r="BW56" s="26">
        <f t="shared" si="514"/>
        <v>53.820000000000029</v>
      </c>
      <c r="BX56" s="26">
        <f t="shared" si="514"/>
        <v>82.219999999999942</v>
      </c>
      <c r="BY56" s="26">
        <f t="shared" si="514"/>
        <v>78.09</v>
      </c>
      <c r="BZ56" s="26">
        <f t="shared" si="514"/>
        <v>82.460000000000036</v>
      </c>
      <c r="CA56" s="26">
        <f t="shared" si="514"/>
        <v>93.57999999999997</v>
      </c>
      <c r="CB56" s="26">
        <f t="shared" si="514"/>
        <v>115.38000000000001</v>
      </c>
      <c r="CC56" s="26">
        <f t="shared" si="514"/>
        <v>116.24000000000005</v>
      </c>
      <c r="CD56" s="26">
        <f t="shared" si="514"/>
        <v>133.76999999999995</v>
      </c>
      <c r="CE56" s="26">
        <f t="shared" ref="CE56:CF56" si="515">CE52+CE53-CE54</f>
        <v>91.690000000000012</v>
      </c>
      <c r="CF56" s="26">
        <f t="shared" si="515"/>
        <v>108.36999999999996</v>
      </c>
      <c r="CG56" s="26">
        <f t="shared" ref="CG56:CH56" si="516">CG52+CG53-CG54</f>
        <v>139.21999999999994</v>
      </c>
      <c r="CH56" s="26">
        <f t="shared" si="516"/>
        <v>189.56000000000006</v>
      </c>
      <c r="CI56" s="26">
        <f t="shared" ref="CI56:CJ56" si="517">CI52+CI53-CI54</f>
        <v>126.03999999999996</v>
      </c>
      <c r="CJ56" s="26">
        <f t="shared" si="517"/>
        <v>112.98999999999998</v>
      </c>
      <c r="CK56" s="26">
        <f t="shared" ref="CK56:CL56" si="518">CK52+CK53-CK54</f>
        <v>93.970000000000027</v>
      </c>
      <c r="CL56" s="26">
        <f t="shared" si="518"/>
        <v>142.16000000000005</v>
      </c>
      <c r="CM56" s="27">
        <f t="shared" ref="CM56:DB56" si="519">CM52+CM53-CM54</f>
        <v>134.75339306411581</v>
      </c>
      <c r="CN56" s="27">
        <f t="shared" si="519"/>
        <v>129.95038879370617</v>
      </c>
      <c r="CO56" s="27">
        <f t="shared" si="519"/>
        <v>134.75383485981953</v>
      </c>
      <c r="CP56" s="27">
        <f t="shared" si="519"/>
        <v>145.96911377652125</v>
      </c>
      <c r="CQ56" s="27">
        <f t="shared" si="519"/>
        <v>151.13488663744931</v>
      </c>
      <c r="CR56" s="27">
        <f t="shared" si="519"/>
        <v>153.17668032416492</v>
      </c>
      <c r="CS56" s="27">
        <f t="shared" si="519"/>
        <v>161.29307936764889</v>
      </c>
      <c r="CT56" s="27">
        <f t="shared" si="519"/>
        <v>167.57818956926124</v>
      </c>
      <c r="CU56" s="27">
        <f t="shared" si="519"/>
        <v>174.23763582749058</v>
      </c>
      <c r="CV56" s="27">
        <f t="shared" si="519"/>
        <v>179.04262209932432</v>
      </c>
      <c r="CW56" s="27">
        <f t="shared" si="519"/>
        <v>188.53386778474953</v>
      </c>
      <c r="CX56" s="27">
        <f t="shared" si="519"/>
        <v>195.1867406904725</v>
      </c>
      <c r="CY56" s="27">
        <f t="shared" si="519"/>
        <v>200.95334511615303</v>
      </c>
      <c r="CZ56" s="27">
        <f t="shared" si="519"/>
        <v>206.72315730133352</v>
      </c>
      <c r="DA56" s="27">
        <f t="shared" si="519"/>
        <v>217.04215298575562</v>
      </c>
      <c r="DB56" s="27">
        <f t="shared" si="519"/>
        <v>224.02718985518962</v>
      </c>
      <c r="DE56" s="121"/>
      <c r="DF56" s="26">
        <v>475.16000000000031</v>
      </c>
    </row>
    <row r="57" spans="1:110" s="23" customFormat="1" x14ac:dyDescent="0.2">
      <c r="A57" s="23" t="s">
        <v>21</v>
      </c>
      <c r="B57" s="23">
        <f>'Annual Raw'!C30</f>
        <v>0.05</v>
      </c>
      <c r="C57" s="23">
        <f>'Annual Raw'!D30</f>
        <v>-5.57741E-2</v>
      </c>
      <c r="D57" s="23">
        <f>'Annual Raw'!E30</f>
        <v>-0.26747520000000002</v>
      </c>
      <c r="E57" s="23">
        <f>'Annual Raw'!F30</f>
        <v>-2.24485E-2</v>
      </c>
      <c r="F57" s="23">
        <f>'Annual Raw'!G30</f>
        <v>7.3708</v>
      </c>
      <c r="G57" s="23">
        <f>'Annual Raw'!H30</f>
        <v>13.094200000000001</v>
      </c>
      <c r="H57" s="23">
        <f>'Annual Raw'!I30</f>
        <v>29.5045</v>
      </c>
      <c r="I57" s="23">
        <f>'Annual Raw'!J30</f>
        <v>31.474900000000002</v>
      </c>
      <c r="J57" s="23">
        <f>'Annual Raw'!K30</f>
        <v>30.649100000000001</v>
      </c>
      <c r="K57" s="23">
        <f>'Annual Raw'!L30</f>
        <v>24.1417</v>
      </c>
      <c r="L57" s="23">
        <f>'Annual Raw'!M30</f>
        <v>34.034700000000001</v>
      </c>
      <c r="M57" s="23">
        <f>'Annual Raw'!N30</f>
        <v>42.636600000000001</v>
      </c>
      <c r="N57" s="23">
        <f>'Annual Raw'!O30</f>
        <v>20.754999999999999</v>
      </c>
      <c r="O57" s="23">
        <f>'Annual Raw'!P30</f>
        <v>15.114599999999999</v>
      </c>
      <c r="P57" s="23">
        <f>'Annual Raw'!Q30</f>
        <v>16.786799999999999</v>
      </c>
      <c r="Q57" s="23">
        <f>'Annual Raw'!R30</f>
        <v>22.2393</v>
      </c>
      <c r="R57" s="23">
        <f>'Annual Raw'!S30</f>
        <v>33.109099999999998</v>
      </c>
      <c r="S57" s="23">
        <f>'Annual Raw'!T30</f>
        <v>-1.8653999999999999</v>
      </c>
      <c r="T57" s="23">
        <f>'Annual Raw'!U30</f>
        <v>18.149000000000001</v>
      </c>
      <c r="U57" s="23">
        <f>'Annual Raw'!V30</f>
        <v>-70.191100000000006</v>
      </c>
      <c r="V57" s="23">
        <f>'Annual Raw'!W30</f>
        <v>23.660499999999999</v>
      </c>
      <c r="W57" s="23">
        <f>'Annual Raw'!X30</f>
        <v>30.033899999999999</v>
      </c>
      <c r="X57" s="23">
        <f>'Annual Raw'!Y30</f>
        <v>62.33</v>
      </c>
      <c r="Y57" s="23">
        <f>'Annual Raw'!Z30</f>
        <v>109.8</v>
      </c>
      <c r="Z57" s="23">
        <f>'Annual Raw'!AA30</f>
        <v>121.87</v>
      </c>
      <c r="AA57" s="23">
        <f>'Annual Raw'!AB30</f>
        <v>113.32</v>
      </c>
      <c r="AB57" s="24">
        <f>+SUM(CM57:CP57)</f>
        <v>129.10674350365721</v>
      </c>
      <c r="AC57" s="24">
        <f>+SUM(CQ57:CT57)</f>
        <v>149.90043772714279</v>
      </c>
      <c r="AD57" s="24">
        <f>+SUM(CU57:CX57)</f>
        <v>174.51112216647749</v>
      </c>
      <c r="AE57" s="24">
        <f>+SUM(CY57:DB57)</f>
        <v>200.98072617004416</v>
      </c>
      <c r="AI57" s="23">
        <f>'QTR Raw'!C29</f>
        <v>3.0259999999999998</v>
      </c>
      <c r="AJ57" s="23">
        <f>'QTR Raw'!D29</f>
        <v>10.789</v>
      </c>
      <c r="AK57" s="23">
        <f>'QTR Raw'!E29</f>
        <v>1.0569999999999999</v>
      </c>
      <c r="AL57" s="23">
        <f>'QTR Raw'!F29</f>
        <v>-2.262</v>
      </c>
      <c r="AM57" s="23">
        <f>'QTR Raw'!G29</f>
        <v>1.677</v>
      </c>
      <c r="AN57" s="23">
        <f>'QTR Raw'!H29</f>
        <v>3.4790000000000001</v>
      </c>
      <c r="AO57" s="23">
        <f>'QTR Raw'!I29</f>
        <v>1.486</v>
      </c>
      <c r="AP57" s="23">
        <f>'QTR Raw'!J29</f>
        <v>4.8819999999999997</v>
      </c>
      <c r="AQ57" s="23">
        <f>'QTR Raw'!K29</f>
        <v>0.81599999999999995</v>
      </c>
      <c r="AR57" s="23">
        <f>'QTR Raw'!L29</f>
        <v>1.9930000000000001</v>
      </c>
      <c r="AS57" s="23">
        <f>'QTR Raw'!M29</f>
        <v>3.2690000000000001</v>
      </c>
      <c r="AT57" s="23">
        <f>'QTR Raw'!N29</f>
        <v>10.907</v>
      </c>
      <c r="AU57" s="23">
        <f>'QTR Raw'!O29</f>
        <v>1.2250000000000001</v>
      </c>
      <c r="AV57" s="23">
        <f>'QTR Raw'!P29</f>
        <v>2.9620000000000002</v>
      </c>
      <c r="AW57" s="23">
        <f>'QTR Raw'!Q29</f>
        <v>4.9939999999999998</v>
      </c>
      <c r="AX57" s="23">
        <f>'QTR Raw'!R29</f>
        <v>17.501999999999999</v>
      </c>
      <c r="AY57" s="23">
        <f>'QTR Raw'!S29</f>
        <v>3.7589999999999999</v>
      </c>
      <c r="AZ57" s="23">
        <f>'QTR Raw'!T29</f>
        <v>-3.319</v>
      </c>
      <c r="BA57" s="23">
        <f>'QTR Raw'!U29</f>
        <v>-1.3360000000000001</v>
      </c>
      <c r="BB57" s="23">
        <f>'QTR Raw'!V29</f>
        <v>33.658999999999999</v>
      </c>
      <c r="BC57" s="23">
        <f>'QTR Raw'!W29</f>
        <v>0.39700000000000002</v>
      </c>
      <c r="BD57" s="23">
        <f>'QTR Raw'!X29</f>
        <v>0.188</v>
      </c>
      <c r="BE57" s="23">
        <f>'QTR Raw'!Y29</f>
        <v>0.52300000000000002</v>
      </c>
      <c r="BF57" s="23">
        <f>'QTR Raw'!Z29</f>
        <v>-2.9729999999999999</v>
      </c>
      <c r="BG57" s="23">
        <f>'QTR Raw'!AA29</f>
        <v>2.1480000000000001</v>
      </c>
      <c r="BH57" s="23">
        <f>'QTR Raw'!AB29</f>
        <v>4.7359999999999998</v>
      </c>
      <c r="BI57" s="23">
        <f>'QTR Raw'!AC29</f>
        <v>4.8170000000000002</v>
      </c>
      <c r="BJ57" s="23">
        <f>'QTR Raw'!AD29</f>
        <v>6.4480000000000004</v>
      </c>
      <c r="BK57" s="23">
        <f>'QTR Raw'!AE29</f>
        <v>0.92500000000000004</v>
      </c>
      <c r="BL57" s="23">
        <f>'QTR Raw'!AF29</f>
        <v>2.6840000000000002</v>
      </c>
      <c r="BM57" s="23">
        <f>'QTR Raw'!AG29</f>
        <v>2.1989999999999998</v>
      </c>
      <c r="BN57" s="23">
        <f>'QTR Raw'!AH29</f>
        <v>-76</v>
      </c>
      <c r="BO57" s="23">
        <f>'QTR Raw'!AI29</f>
        <v>-9.6280000000000001</v>
      </c>
      <c r="BP57" s="23">
        <f>'QTR Raw'!AJ29</f>
        <v>11.180999999999999</v>
      </c>
      <c r="BQ57" s="23">
        <f>'QTR Raw'!AK29</f>
        <v>6.6</v>
      </c>
      <c r="BR57" s="23">
        <f>'QTR Raw'!AL29</f>
        <v>15.507999999999999</v>
      </c>
      <c r="BS57" s="23">
        <f>'QTR Raw'!AM29</f>
        <v>7.8789999999999996</v>
      </c>
      <c r="BT57" s="23">
        <f>'QTR Raw'!AN29</f>
        <v>9.1029999999999998</v>
      </c>
      <c r="BU57" s="23">
        <f>'QTR Raw'!AO29</f>
        <v>5.5579999999999998</v>
      </c>
      <c r="BV57" s="23">
        <f>'QTR Raw'!AP29</f>
        <v>7.4939999999999998</v>
      </c>
      <c r="BW57" s="23">
        <f>'QTR Raw'!AQ29</f>
        <v>11.29</v>
      </c>
      <c r="BX57" s="23">
        <f>'QTR Raw'!AR29</f>
        <v>18.73</v>
      </c>
      <c r="BY57" s="23">
        <f>'QTR Raw'!AS29</f>
        <v>16.16</v>
      </c>
      <c r="BZ57" s="23">
        <f>'QTR Raw'!AT29</f>
        <v>16.149999999999999</v>
      </c>
      <c r="CA57" s="23">
        <f>'QTR Raw'!AU29</f>
        <v>21.51</v>
      </c>
      <c r="CB57" s="23">
        <f>'QTR Raw'!AV29</f>
        <v>28.6</v>
      </c>
      <c r="CC57" s="23">
        <f>'QTR Raw'!AW29</f>
        <v>27.09</v>
      </c>
      <c r="CD57" s="23">
        <f>'QTR Raw'!AX29</f>
        <v>32.590000000000003</v>
      </c>
      <c r="CE57" s="23">
        <f>'QTR Raw'!AY29</f>
        <v>20.79</v>
      </c>
      <c r="CF57" s="23">
        <f>'QTR Raw'!AZ29</f>
        <v>22.82</v>
      </c>
      <c r="CG57" s="23">
        <f>'QTR Raw'!BA29</f>
        <v>32.700000000000003</v>
      </c>
      <c r="CH57" s="23">
        <f>'QTR Raw'!BB29</f>
        <v>45.56</v>
      </c>
      <c r="CI57" s="23">
        <f>'QTR Raw'!BC29</f>
        <v>31.68</v>
      </c>
      <c r="CJ57" s="23">
        <f>'QTR Raw'!BD29</f>
        <v>25.27</v>
      </c>
      <c r="CK57" s="23">
        <f>'QTR Raw'!BE29</f>
        <v>21.98</v>
      </c>
      <c r="CL57" s="23">
        <f>'QTR Raw'!BF29</f>
        <v>34.39</v>
      </c>
      <c r="CM57" s="24">
        <f t="shared" ref="CM57:DB57" si="520">+CM56*CM58</f>
        <v>32.031280723388662</v>
      </c>
      <c r="CN57" s="24">
        <f t="shared" si="520"/>
        <v>30.44627261356538</v>
      </c>
      <c r="CO57" s="24">
        <f t="shared" si="520"/>
        <v>31.930238912016634</v>
      </c>
      <c r="CP57" s="24">
        <f t="shared" si="520"/>
        <v>34.698951254686534</v>
      </c>
      <c r="CQ57" s="24">
        <f t="shared" si="520"/>
        <v>35.768382032563274</v>
      </c>
      <c r="CR57" s="24">
        <f t="shared" si="520"/>
        <v>36.211866993269986</v>
      </c>
      <c r="CS57" s="24">
        <f t="shared" si="520"/>
        <v>38.215889537196759</v>
      </c>
      <c r="CT57" s="24">
        <f t="shared" si="520"/>
        <v>39.704299164112754</v>
      </c>
      <c r="CU57" s="24">
        <f t="shared" si="520"/>
        <v>41.247956078184878</v>
      </c>
      <c r="CV57" s="24">
        <f t="shared" si="520"/>
        <v>42.388530460826736</v>
      </c>
      <c r="CW57" s="24">
        <f t="shared" si="520"/>
        <v>44.651862715370328</v>
      </c>
      <c r="CX57" s="24">
        <f t="shared" si="520"/>
        <v>46.222772912095529</v>
      </c>
      <c r="CY57" s="24">
        <f t="shared" si="520"/>
        <v>47.582506694361562</v>
      </c>
      <c r="CZ57" s="24">
        <f t="shared" si="520"/>
        <v>48.951286180321119</v>
      </c>
      <c r="DA57" s="24">
        <f t="shared" si="520"/>
        <v>51.397243271027875</v>
      </c>
      <c r="DB57" s="24">
        <f t="shared" si="520"/>
        <v>53.049690024333621</v>
      </c>
      <c r="DE57" s="123"/>
      <c r="DF57" s="23">
        <v>113.32000000000001</v>
      </c>
    </row>
    <row r="58" spans="1:110" s="90" customFormat="1" x14ac:dyDescent="0.2">
      <c r="A58" s="90" t="s">
        <v>106</v>
      </c>
      <c r="B58" s="90">
        <f t="shared" ref="B58:E58" si="521">B57/B56</f>
        <v>0.12771767242205467</v>
      </c>
      <c r="C58" s="90">
        <f t="shared" si="521"/>
        <v>3.6380124723059425E-2</v>
      </c>
      <c r="D58" s="90">
        <f t="shared" si="521"/>
        <v>-0.18192186061493623</v>
      </c>
      <c r="E58" s="90">
        <f t="shared" si="521"/>
        <v>-1.0455055857947032E-2</v>
      </c>
      <c r="F58" s="90">
        <f t="shared" ref="F58:T58" si="522">F57/F56</f>
        <v>0.31414032066963843</v>
      </c>
      <c r="G58" s="90">
        <f t="shared" si="522"/>
        <v>0.29402571506841957</v>
      </c>
      <c r="H58" s="90">
        <f t="shared" si="522"/>
        <v>0.3402852424076066</v>
      </c>
      <c r="I58" s="90">
        <f t="shared" si="522"/>
        <v>0.31896217132097854</v>
      </c>
      <c r="J58" s="90">
        <f t="shared" si="522"/>
        <v>0.34788871320528997</v>
      </c>
      <c r="K58" s="90">
        <f t="shared" si="522"/>
        <v>0.2672996224409579</v>
      </c>
      <c r="L58" s="90">
        <f t="shared" si="522"/>
        <v>0.27737282789938</v>
      </c>
      <c r="M58" s="90">
        <f t="shared" si="522"/>
        <v>0.41932758646124807</v>
      </c>
      <c r="N58" s="90">
        <f t="shared" si="522"/>
        <v>0.27013202694682503</v>
      </c>
      <c r="O58" s="90">
        <f t="shared" si="522"/>
        <v>0.5144187407893982</v>
      </c>
      <c r="P58" s="90">
        <f t="shared" si="522"/>
        <v>0.49476113424759433</v>
      </c>
      <c r="Q58" s="90">
        <f t="shared" si="522"/>
        <v>0.39267628612594346</v>
      </c>
      <c r="R58" s="90">
        <f t="shared" si="522"/>
        <v>0.83240143405220057</v>
      </c>
      <c r="S58" s="90">
        <f t="shared" si="522"/>
        <v>-0.63984358921587436</v>
      </c>
      <c r="T58" s="90">
        <f t="shared" si="522"/>
        <v>0.21503732850864857</v>
      </c>
      <c r="U58" s="90">
        <f t="shared" ref="U58:Z58" si="523">U57/U56</f>
        <v>-3.9139654835921736</v>
      </c>
      <c r="V58" s="90">
        <f t="shared" si="523"/>
        <v>0.29792514505600803</v>
      </c>
      <c r="W58" s="90">
        <f t="shared" si="523"/>
        <v>0.17762699153853026</v>
      </c>
      <c r="X58" s="90">
        <f t="shared" si="523"/>
        <v>0.21015543342661583</v>
      </c>
      <c r="Y58" s="90">
        <f t="shared" si="523"/>
        <v>0.23923132230864755</v>
      </c>
      <c r="Z58" s="90">
        <f t="shared" si="523"/>
        <v>0.23044777248317067</v>
      </c>
      <c r="AA58" s="90">
        <f t="shared" ref="AA58" si="524">AA57/AA56</f>
        <v>0.23848808822291429</v>
      </c>
      <c r="AB58" s="91">
        <f t="shared" ref="AB58:AD58" si="525">AB57/AB56</f>
        <v>0.23670776712150701</v>
      </c>
      <c r="AC58" s="91">
        <f t="shared" si="525"/>
        <v>0.23674115789071429</v>
      </c>
      <c r="AD58" s="91">
        <f t="shared" si="525"/>
        <v>0.23678550476938104</v>
      </c>
      <c r="AE58" s="91">
        <f t="shared" ref="AE58" si="526">AE57/AE56</f>
        <v>0.23679730191650972</v>
      </c>
      <c r="AI58" s="90">
        <f t="shared" ref="AI58" si="527">AI57/AI56</f>
        <v>0.32109507640068019</v>
      </c>
      <c r="AJ58" s="90">
        <f t="shared" ref="AJ58" si="528">AJ57/AJ56</f>
        <v>0.31946582968139292</v>
      </c>
      <c r="AK58" s="90">
        <f t="shared" ref="AK58:AM58" si="529">AK57/AK56</f>
        <v>0.13038115209078582</v>
      </c>
      <c r="AL58" s="90">
        <f t="shared" si="529"/>
        <v>-0.25404312668463658</v>
      </c>
      <c r="AM58" s="90">
        <f t="shared" si="529"/>
        <v>0.33988650182407815</v>
      </c>
      <c r="AN58" s="90">
        <f t="shared" ref="AN58:AO58" si="530">AN57/AN56</f>
        <v>0.28256985055230677</v>
      </c>
      <c r="AO58" s="90">
        <f t="shared" si="530"/>
        <v>0.25105592160837992</v>
      </c>
      <c r="AP58" s="90">
        <f t="shared" ref="AP58:CD58" si="531">AP57/AP56</f>
        <v>0.30924178121239038</v>
      </c>
      <c r="AQ58" s="90">
        <f t="shared" si="531"/>
        <v>-0.12523020257826836</v>
      </c>
      <c r="AR58" s="90">
        <f t="shared" si="531"/>
        <v>-0.37596679871722194</v>
      </c>
      <c r="AS58" s="90">
        <f t="shared" si="531"/>
        <v>-1.2486631016043077</v>
      </c>
      <c r="AT58" s="90">
        <f t="shared" si="531"/>
        <v>0.21619853713651402</v>
      </c>
      <c r="AU58" s="90">
        <f t="shared" si="531"/>
        <v>-0.32135362014690666</v>
      </c>
      <c r="AV58" s="90">
        <f t="shared" si="531"/>
        <v>0.30227574242269656</v>
      </c>
      <c r="AW58" s="90">
        <f t="shared" si="531"/>
        <v>0.43433640633153719</v>
      </c>
      <c r="AX58" s="90">
        <f t="shared" si="531"/>
        <v>0.44704980842911834</v>
      </c>
      <c r="AY58" s="90">
        <f t="shared" si="531"/>
        <v>2.6104166666666835</v>
      </c>
      <c r="AZ58" s="90">
        <f t="shared" si="531"/>
        <v>0.29431586414826721</v>
      </c>
      <c r="BA58" s="90">
        <f t="shared" si="531"/>
        <v>0.11537132987910154</v>
      </c>
      <c r="BB58" s="90">
        <f t="shared" si="531"/>
        <v>0.55008253117390393</v>
      </c>
      <c r="BC58" s="90">
        <f t="shared" si="531"/>
        <v>-1.0987490313295701E-2</v>
      </c>
      <c r="BD58" s="90">
        <f t="shared" si="531"/>
        <v>-2.6452793020965235E-2</v>
      </c>
      <c r="BE58" s="90">
        <f t="shared" si="531"/>
        <v>-0.18447971781305433</v>
      </c>
      <c r="BF58" s="90">
        <f t="shared" si="531"/>
        <v>-6.0685854255970645E-2</v>
      </c>
      <c r="BG58" s="90">
        <f t="shared" si="531"/>
        <v>0.23700761337305476</v>
      </c>
      <c r="BH58" s="90">
        <f t="shared" si="531"/>
        <v>8.8660913192429469E-2</v>
      </c>
      <c r="BI58" s="90">
        <f t="shared" si="531"/>
        <v>0.72457882069795276</v>
      </c>
      <c r="BJ58" s="90">
        <f t="shared" si="531"/>
        <v>0.42229353592245666</v>
      </c>
      <c r="BK58" s="90">
        <f t="shared" si="531"/>
        <v>0.7613168724279703</v>
      </c>
      <c r="BL58" s="90">
        <f t="shared" si="531"/>
        <v>0.22918623516352152</v>
      </c>
      <c r="BM58" s="90">
        <f t="shared" si="531"/>
        <v>0.20000000000000015</v>
      </c>
      <c r="BN58" s="90">
        <f t="shared" si="531"/>
        <v>12.685695209480892</v>
      </c>
      <c r="BO58" s="90">
        <f t="shared" si="531"/>
        <v>0.30962181631077962</v>
      </c>
      <c r="BP58" s="90">
        <f t="shared" si="531"/>
        <v>0.34214633250711474</v>
      </c>
      <c r="BQ58" s="90">
        <f t="shared" si="531"/>
        <v>0.21467603434816537</v>
      </c>
      <c r="BR58" s="90">
        <f t="shared" si="531"/>
        <v>0.32933381469132922</v>
      </c>
      <c r="BS58" s="90">
        <f t="shared" si="531"/>
        <v>0.22603132709851417</v>
      </c>
      <c r="BT58" s="90">
        <f t="shared" si="531"/>
        <v>0.20559671153672404</v>
      </c>
      <c r="BU58" s="90">
        <f t="shared" si="531"/>
        <v>0.15110651949323034</v>
      </c>
      <c r="BV58" s="90">
        <f t="shared" si="531"/>
        <v>0.14094944327414993</v>
      </c>
      <c r="BW58" s="90">
        <f t="shared" si="531"/>
        <v>0.20977331846897052</v>
      </c>
      <c r="BX58" s="90">
        <f t="shared" si="531"/>
        <v>0.22780345414740955</v>
      </c>
      <c r="BY58" s="90">
        <f t="shared" si="531"/>
        <v>0.20694070943782814</v>
      </c>
      <c r="BZ58" s="90">
        <f t="shared" si="531"/>
        <v>0.19585253456221188</v>
      </c>
      <c r="CA58" s="90">
        <f t="shared" si="531"/>
        <v>0.22985680701004496</v>
      </c>
      <c r="CB58" s="90">
        <f t="shared" si="531"/>
        <v>0.24787658172993585</v>
      </c>
      <c r="CC58" s="90">
        <f t="shared" si="531"/>
        <v>0.23305230557467299</v>
      </c>
      <c r="CD58" s="90">
        <f t="shared" si="531"/>
        <v>0.2436271211781417</v>
      </c>
      <c r="CE58" s="90">
        <f t="shared" ref="CE58:CF58" si="532">CE57/CE56</f>
        <v>0.22674228378230993</v>
      </c>
      <c r="CF58" s="90">
        <f t="shared" si="532"/>
        <v>0.21057488234751323</v>
      </c>
      <c r="CG58" s="90">
        <f t="shared" ref="CG58:CH58" si="533">CG57/CG56</f>
        <v>0.23488004597040668</v>
      </c>
      <c r="CH58" s="90">
        <f t="shared" si="533"/>
        <v>0.24034606457058444</v>
      </c>
      <c r="CI58" s="90">
        <f t="shared" ref="CI58:CJ58" si="534">CI57/CI56</f>
        <v>0.25134877816566176</v>
      </c>
      <c r="CJ58" s="90">
        <f t="shared" si="534"/>
        <v>0.22364811045225244</v>
      </c>
      <c r="CK58" s="90">
        <f t="shared" ref="CK58:CL58" si="535">CK57/CK56</f>
        <v>0.2339044375864637</v>
      </c>
      <c r="CL58" s="90">
        <f t="shared" si="535"/>
        <v>0.24191052335396726</v>
      </c>
      <c r="CM58" s="91">
        <f t="shared" ref="CM58:DB58" si="536">AVERAGE(CI58:CL58)</f>
        <v>0.2377029623895863</v>
      </c>
      <c r="CN58" s="91">
        <f t="shared" si="536"/>
        <v>0.23429150844556743</v>
      </c>
      <c r="CO58" s="91">
        <f t="shared" si="536"/>
        <v>0.23695235794389619</v>
      </c>
      <c r="CP58" s="91">
        <f t="shared" si="536"/>
        <v>0.23771433803325431</v>
      </c>
      <c r="CQ58" s="91">
        <f t="shared" si="536"/>
        <v>0.23666529170307604</v>
      </c>
      <c r="CR58" s="91">
        <f t="shared" si="536"/>
        <v>0.23640587403144847</v>
      </c>
      <c r="CS58" s="91">
        <f t="shared" si="536"/>
        <v>0.23693446542791874</v>
      </c>
      <c r="CT58" s="91">
        <f t="shared" si="536"/>
        <v>0.23692999229892439</v>
      </c>
      <c r="CU58" s="91">
        <f t="shared" si="536"/>
        <v>0.2367339058653419</v>
      </c>
      <c r="CV58" s="91">
        <f t="shared" si="536"/>
        <v>0.23675105940590838</v>
      </c>
      <c r="CW58" s="91">
        <f t="shared" si="536"/>
        <v>0.23683735574952336</v>
      </c>
      <c r="CX58" s="91">
        <f t="shared" si="536"/>
        <v>0.23681307832992451</v>
      </c>
      <c r="CY58" s="91">
        <f t="shared" si="536"/>
        <v>0.23678384983767453</v>
      </c>
      <c r="CZ58" s="91">
        <f t="shared" si="536"/>
        <v>0.23679633583075768</v>
      </c>
      <c r="DA58" s="91">
        <f t="shared" si="536"/>
        <v>0.23680765493697001</v>
      </c>
      <c r="DB58" s="91">
        <f t="shared" si="536"/>
        <v>0.23680022973383166</v>
      </c>
      <c r="DE58" s="127"/>
      <c r="DF58" s="90">
        <v>0.23848808822291426</v>
      </c>
    </row>
    <row r="59" spans="1:110" s="26" customFormat="1" x14ac:dyDescent="0.2">
      <c r="A59" s="26" t="s">
        <v>22</v>
      </c>
      <c r="B59" s="26">
        <f t="shared" ref="B59:E59" si="537">B56-B57</f>
        <v>0.34148849999998793</v>
      </c>
      <c r="C59" s="26">
        <f t="shared" si="537"/>
        <v>-1.4773185000000149</v>
      </c>
      <c r="D59" s="26">
        <f t="shared" si="537"/>
        <v>1.7377504000000139</v>
      </c>
      <c r="E59" s="26">
        <f t="shared" si="537"/>
        <v>2.1695915000000032</v>
      </c>
      <c r="F59" s="26">
        <f t="shared" ref="F59:T59" si="538">F56-F57</f>
        <v>16.092600000000019</v>
      </c>
      <c r="G59" s="26">
        <f t="shared" si="538"/>
        <v>31.439999999999969</v>
      </c>
      <c r="H59" s="26">
        <f t="shared" si="538"/>
        <v>57.200699999999962</v>
      </c>
      <c r="I59" s="26">
        <f t="shared" si="538"/>
        <v>67.204200000000085</v>
      </c>
      <c r="J59" s="26">
        <f t="shared" si="538"/>
        <v>57.451199999999972</v>
      </c>
      <c r="K59" s="26">
        <f t="shared" si="538"/>
        <v>66.175300000000021</v>
      </c>
      <c r="L59" s="26">
        <f t="shared" si="538"/>
        <v>88.669100000000213</v>
      </c>
      <c r="M59" s="26">
        <f t="shared" si="538"/>
        <v>59.04189999999997</v>
      </c>
      <c r="N59" s="26">
        <f t="shared" si="538"/>
        <v>56.077799999999939</v>
      </c>
      <c r="O59" s="26">
        <f t="shared" si="538"/>
        <v>14.26729999999996</v>
      </c>
      <c r="P59" s="26">
        <f t="shared" si="538"/>
        <v>17.142299999999892</v>
      </c>
      <c r="Q59" s="26">
        <f t="shared" si="538"/>
        <v>34.395899999999912</v>
      </c>
      <c r="R59" s="26">
        <f t="shared" si="538"/>
        <v>6.6663000000001205</v>
      </c>
      <c r="S59" s="26">
        <f t="shared" si="538"/>
        <v>4.7808000000000623</v>
      </c>
      <c r="T59" s="26">
        <f t="shared" si="538"/>
        <v>66.250300000000081</v>
      </c>
      <c r="U59" s="26">
        <f t="shared" ref="U59:Z59" si="539">U56-U57</f>
        <v>88.124599999999944</v>
      </c>
      <c r="V59" s="26">
        <f t="shared" si="539"/>
        <v>55.757099999999923</v>
      </c>
      <c r="W59" s="26">
        <f t="shared" si="539"/>
        <v>139.05019999999999</v>
      </c>
      <c r="X59" s="26">
        <f t="shared" si="539"/>
        <v>234.26000000000005</v>
      </c>
      <c r="Y59" s="26">
        <f t="shared" si="539"/>
        <v>349.17000000000013</v>
      </c>
      <c r="Z59" s="26">
        <f t="shared" si="539"/>
        <v>406.97000000000014</v>
      </c>
      <c r="AA59" s="26">
        <f t="shared" ref="AA59" si="540">AA56-AA57</f>
        <v>361.8400000000002</v>
      </c>
      <c r="AB59" s="27">
        <f t="shared" ref="AB59:AD59" si="541">AB56-AB57</f>
        <v>416.31998699050541</v>
      </c>
      <c r="AC59" s="27">
        <f t="shared" si="541"/>
        <v>483.28239817138154</v>
      </c>
      <c r="AD59" s="27">
        <f t="shared" si="541"/>
        <v>562.48974423555956</v>
      </c>
      <c r="AE59" s="27">
        <f t="shared" ref="AE59" si="542">AE56-AE57</f>
        <v>647.76511908838791</v>
      </c>
      <c r="AI59" s="26">
        <f>AI56-AI57</f>
        <v>6.3979999999999677</v>
      </c>
      <c r="AJ59" s="26">
        <f t="shared" ref="AJ59" si="543">AJ56-AJ57</f>
        <v>22.98299999999999</v>
      </c>
      <c r="AK59" s="26">
        <f t="shared" ref="AK59:AM59" si="544">AK56-AK57</f>
        <v>7.0499999999999936</v>
      </c>
      <c r="AL59" s="26">
        <f t="shared" si="544"/>
        <v>11.165999999999984</v>
      </c>
      <c r="AM59" s="26">
        <f t="shared" si="544"/>
        <v>3.2569999999999957</v>
      </c>
      <c r="AN59" s="26">
        <f t="shared" ref="AN59:AO59" si="545">AN56-AN57</f>
        <v>8.8329999999999984</v>
      </c>
      <c r="AO59" s="26">
        <f t="shared" si="545"/>
        <v>4.4329999999999972</v>
      </c>
      <c r="AP59" s="26">
        <f t="shared" ref="AP59:CD59" si="546">AP56-AP57</f>
        <v>10.904999999999978</v>
      </c>
      <c r="AQ59" s="26">
        <f t="shared" si="546"/>
        <v>-7.3320000000000265</v>
      </c>
      <c r="AR59" s="26">
        <f t="shared" si="546"/>
        <v>-7.2940000000000182</v>
      </c>
      <c r="AS59" s="26">
        <f t="shared" si="546"/>
        <v>-5.8869999999999383</v>
      </c>
      <c r="AT59" s="26">
        <f t="shared" si="546"/>
        <v>39.542000000000016</v>
      </c>
      <c r="AU59" s="26">
        <f t="shared" si="546"/>
        <v>-5.0369999999999742</v>
      </c>
      <c r="AV59" s="26">
        <f t="shared" si="546"/>
        <v>6.8369999999999891</v>
      </c>
      <c r="AW59" s="26">
        <f t="shared" si="546"/>
        <v>6.5039999999999658</v>
      </c>
      <c r="AX59" s="26">
        <f t="shared" si="546"/>
        <v>21.648000000000035</v>
      </c>
      <c r="AY59" s="26">
        <f t="shared" si="546"/>
        <v>-2.3190000000000093</v>
      </c>
      <c r="AZ59" s="26">
        <f t="shared" si="546"/>
        <v>-7.9579999999999673</v>
      </c>
      <c r="BA59" s="26">
        <f t="shared" si="546"/>
        <v>-10.244000000000037</v>
      </c>
      <c r="BB59" s="26">
        <f t="shared" si="546"/>
        <v>27.52999999999998</v>
      </c>
      <c r="BC59" s="26">
        <f t="shared" si="546"/>
        <v>-36.528999999999975</v>
      </c>
      <c r="BD59" s="26">
        <f t="shared" si="546"/>
        <v>-7.2950000000000026</v>
      </c>
      <c r="BE59" s="26">
        <f t="shared" si="546"/>
        <v>-3.3579999999999512</v>
      </c>
      <c r="BF59" s="26">
        <f t="shared" si="546"/>
        <v>51.962999999999965</v>
      </c>
      <c r="BG59" s="26">
        <f t="shared" si="546"/>
        <v>6.9150000000000205</v>
      </c>
      <c r="BH59" s="26">
        <f t="shared" si="546"/>
        <v>48.680999999999948</v>
      </c>
      <c r="BI59" s="26">
        <f t="shared" si="546"/>
        <v>1.8310000000000137</v>
      </c>
      <c r="BJ59" s="26">
        <f t="shared" si="546"/>
        <v>8.8210000000000228</v>
      </c>
      <c r="BK59" s="26">
        <f t="shared" si="546"/>
        <v>0.29000000000002113</v>
      </c>
      <c r="BL59" s="26">
        <f t="shared" si="546"/>
        <v>9.0269999999999975</v>
      </c>
      <c r="BM59" s="26">
        <f t="shared" si="546"/>
        <v>8.7959999999999905</v>
      </c>
      <c r="BN59" s="26">
        <f t="shared" si="546"/>
        <v>70.009</v>
      </c>
      <c r="BO59" s="26">
        <f t="shared" si="546"/>
        <v>-21.467999999999989</v>
      </c>
      <c r="BP59" s="26">
        <f t="shared" si="546"/>
        <v>21.49799999999999</v>
      </c>
      <c r="BQ59" s="26">
        <f t="shared" si="546"/>
        <v>24.14400000000002</v>
      </c>
      <c r="BR59" s="26">
        <f t="shared" si="546"/>
        <v>31.580999999999992</v>
      </c>
      <c r="BS59" s="26">
        <f t="shared" si="546"/>
        <v>26.978999999999971</v>
      </c>
      <c r="BT59" s="26">
        <f t="shared" si="546"/>
        <v>35.17300000000003</v>
      </c>
      <c r="BU59" s="26">
        <f t="shared" si="546"/>
        <v>31.224000000000011</v>
      </c>
      <c r="BV59" s="26">
        <f t="shared" si="546"/>
        <v>45.673999999999978</v>
      </c>
      <c r="BW59" s="26">
        <f t="shared" si="546"/>
        <v>42.53000000000003</v>
      </c>
      <c r="BX59" s="26">
        <f t="shared" si="546"/>
        <v>63.489999999999938</v>
      </c>
      <c r="BY59" s="26">
        <f t="shared" si="546"/>
        <v>61.930000000000007</v>
      </c>
      <c r="BZ59" s="26">
        <f t="shared" si="546"/>
        <v>66.310000000000031</v>
      </c>
      <c r="CA59" s="26">
        <f t="shared" si="546"/>
        <v>72.069999999999965</v>
      </c>
      <c r="CB59" s="26">
        <f t="shared" si="546"/>
        <v>86.78</v>
      </c>
      <c r="CC59" s="26">
        <f t="shared" si="546"/>
        <v>89.150000000000048</v>
      </c>
      <c r="CD59" s="26">
        <f t="shared" si="546"/>
        <v>101.17999999999995</v>
      </c>
      <c r="CE59" s="26">
        <f t="shared" ref="CE59:CF59" si="547">CE56-CE57</f>
        <v>70.900000000000006</v>
      </c>
      <c r="CF59" s="26">
        <f t="shared" si="547"/>
        <v>85.549999999999955</v>
      </c>
      <c r="CG59" s="26">
        <f t="shared" ref="CG59:CH59" si="548">CG56-CG57</f>
        <v>106.51999999999994</v>
      </c>
      <c r="CH59" s="26">
        <f t="shared" si="548"/>
        <v>144.00000000000006</v>
      </c>
      <c r="CI59" s="26">
        <f t="shared" ref="CI59:CJ59" si="549">CI56-CI57</f>
        <v>94.359999999999957</v>
      </c>
      <c r="CJ59" s="26">
        <f t="shared" si="549"/>
        <v>87.719999999999985</v>
      </c>
      <c r="CK59" s="26">
        <f t="shared" ref="CK59:CL59" si="550">CK56-CK57</f>
        <v>71.990000000000023</v>
      </c>
      <c r="CL59" s="26">
        <f t="shared" si="550"/>
        <v>107.77000000000005</v>
      </c>
      <c r="CM59" s="27">
        <f t="shared" ref="CM59:DB59" si="551">CM56-CM57</f>
        <v>102.72211234072715</v>
      </c>
      <c r="CN59" s="27">
        <f t="shared" si="551"/>
        <v>99.504116180140784</v>
      </c>
      <c r="CO59" s="27">
        <f t="shared" si="551"/>
        <v>102.8235959478029</v>
      </c>
      <c r="CP59" s="27">
        <f t="shared" si="551"/>
        <v>111.27016252183472</v>
      </c>
      <c r="CQ59" s="27">
        <f t="shared" si="551"/>
        <v>115.36650460488605</v>
      </c>
      <c r="CR59" s="27">
        <f t="shared" si="551"/>
        <v>116.96481333089494</v>
      </c>
      <c r="CS59" s="27">
        <f t="shared" si="551"/>
        <v>123.07718983045213</v>
      </c>
      <c r="CT59" s="27">
        <f t="shared" si="551"/>
        <v>127.87389040514849</v>
      </c>
      <c r="CU59" s="27">
        <f t="shared" si="551"/>
        <v>132.98967974930571</v>
      </c>
      <c r="CV59" s="27">
        <f t="shared" si="551"/>
        <v>136.65409163849759</v>
      </c>
      <c r="CW59" s="27">
        <f t="shared" si="551"/>
        <v>143.8820050693792</v>
      </c>
      <c r="CX59" s="27">
        <f t="shared" si="551"/>
        <v>148.96396777837697</v>
      </c>
      <c r="CY59" s="27">
        <f t="shared" si="551"/>
        <v>153.37083842179146</v>
      </c>
      <c r="CZ59" s="27">
        <f t="shared" si="551"/>
        <v>157.7718711210124</v>
      </c>
      <c r="DA59" s="27">
        <f t="shared" si="551"/>
        <v>165.64490971472776</v>
      </c>
      <c r="DB59" s="27">
        <f t="shared" si="551"/>
        <v>170.977499830856</v>
      </c>
      <c r="DE59" s="121"/>
      <c r="DF59" s="26">
        <v>361.84000000000032</v>
      </c>
    </row>
    <row r="60" spans="1:110" s="45" customFormat="1" x14ac:dyDescent="0.2">
      <c r="A60" s="45" t="s">
        <v>107</v>
      </c>
      <c r="B60" s="45">
        <f t="shared" ref="B60:E60" si="552">+B59/B28</f>
        <v>2.4356029951647035E-3</v>
      </c>
      <c r="C60" s="45">
        <f t="shared" si="552"/>
        <v>-1.0821821267911634E-2</v>
      </c>
      <c r="D60" s="45">
        <f t="shared" si="552"/>
        <v>1.1020131048216567E-2</v>
      </c>
      <c r="E60" s="45">
        <f t="shared" si="552"/>
        <v>1.3066438092077122E-2</v>
      </c>
      <c r="F60" s="45">
        <f t="shared" ref="F60:AE60" si="553">+F59/F28</f>
        <v>5.5929944899311149E-2</v>
      </c>
      <c r="G60" s="45">
        <f t="shared" si="553"/>
        <v>6.8869376872331356E-2</v>
      </c>
      <c r="H60" s="45">
        <f t="shared" si="553"/>
        <v>7.697478272384041E-2</v>
      </c>
      <c r="I60" s="45">
        <f t="shared" si="553"/>
        <v>7.9274466912528083E-2</v>
      </c>
      <c r="J60" s="45">
        <f t="shared" si="553"/>
        <v>5.8922349657303669E-2</v>
      </c>
      <c r="K60" s="45">
        <f t="shared" si="553"/>
        <v>6.2094167078201916E-2</v>
      </c>
      <c r="L60" s="45">
        <f t="shared" si="553"/>
        <v>6.9134260611441081E-2</v>
      </c>
      <c r="M60" s="45">
        <f t="shared" si="553"/>
        <v>3.6598860326841343E-2</v>
      </c>
      <c r="N60" s="45">
        <f t="shared" si="553"/>
        <v>3.6727854651541249E-2</v>
      </c>
      <c r="O60" s="45">
        <f t="shared" si="553"/>
        <v>1.1034962080732243E-2</v>
      </c>
      <c r="P60" s="45">
        <f t="shared" si="553"/>
        <v>1.2899708440988849E-2</v>
      </c>
      <c r="Q60" s="45">
        <f t="shared" si="553"/>
        <v>2.6864253896210635E-2</v>
      </c>
      <c r="R60" s="45">
        <f t="shared" si="553"/>
        <v>5.5481654550611085E-3</v>
      </c>
      <c r="S60" s="45">
        <f t="shared" si="553"/>
        <v>4.0507362167320638E-3</v>
      </c>
      <c r="T60" s="45">
        <f t="shared" si="553"/>
        <v>5.4088752341828333E-2</v>
      </c>
      <c r="U60" s="45">
        <f t="shared" si="553"/>
        <v>8.0962279996350778E-2</v>
      </c>
      <c r="V60" s="45">
        <f t="shared" si="553"/>
        <v>5.3384705060972343E-2</v>
      </c>
      <c r="W60" s="45">
        <f t="shared" si="553"/>
        <v>0.11473301858878507</v>
      </c>
      <c r="X60" s="45">
        <f t="shared" si="553"/>
        <v>0.15314314104910834</v>
      </c>
      <c r="Y60" s="45">
        <f t="shared" si="553"/>
        <v>0.18022421570955194</v>
      </c>
      <c r="Z60" s="45">
        <f t="shared" ref="Z60:AA60" si="554">+Z59/Z28</f>
        <v>0.18274688364407091</v>
      </c>
      <c r="AA60" s="45">
        <f t="shared" ref="AA60" si="555">+AA59/AA28</f>
        <v>0.15292998879989864</v>
      </c>
      <c r="AB60" s="48">
        <f t="shared" si="553"/>
        <v>0.14530578889202422</v>
      </c>
      <c r="AC60" s="48">
        <f t="shared" si="553"/>
        <v>0.1525786117982646</v>
      </c>
      <c r="AD60" s="48">
        <f t="shared" si="553"/>
        <v>0.16144647882424656</v>
      </c>
      <c r="AE60" s="48">
        <f t="shared" si="553"/>
        <v>0.16902410890534733</v>
      </c>
      <c r="AI60" s="45">
        <f t="shared" ref="AI60:BN60" si="556">+AI59/AI28</f>
        <v>2.7136386000033794E-2</v>
      </c>
      <c r="AJ60" s="45">
        <f t="shared" si="556"/>
        <v>6.9712632172821046E-2</v>
      </c>
      <c r="AK60" s="45">
        <f t="shared" si="556"/>
        <v>3.4945970060473841E-2</v>
      </c>
      <c r="AL60" s="45">
        <f t="shared" si="556"/>
        <v>6.1544058071663528E-2</v>
      </c>
      <c r="AM60" s="45">
        <f t="shared" si="556"/>
        <v>3.0922745354942188E-2</v>
      </c>
      <c r="AN60" s="45">
        <f t="shared" si="556"/>
        <v>7.3223300809907882E-2</v>
      </c>
      <c r="AO60" s="45">
        <f t="shared" si="556"/>
        <v>3.9497482959860983E-2</v>
      </c>
      <c r="AP60" s="45">
        <f t="shared" si="556"/>
        <v>6.6885837130993067E-2</v>
      </c>
      <c r="AQ60" s="45">
        <f t="shared" si="556"/>
        <v>-2.7373121177955255E-2</v>
      </c>
      <c r="AR60" s="45">
        <f t="shared" si="556"/>
        <v>-2.444755038494675E-2</v>
      </c>
      <c r="AS60" s="45">
        <f t="shared" si="556"/>
        <v>-1.9304360942690075E-2</v>
      </c>
      <c r="AT60" s="45">
        <f t="shared" si="556"/>
        <v>8.5214501679851937E-2</v>
      </c>
      <c r="AU60" s="45">
        <f t="shared" si="556"/>
        <v>-1.9336709035698143E-2</v>
      </c>
      <c r="AV60" s="45">
        <f t="shared" si="556"/>
        <v>2.3899160016359194E-2</v>
      </c>
      <c r="AW60" s="45">
        <f t="shared" si="556"/>
        <v>1.9635487581399321E-2</v>
      </c>
      <c r="AX60" s="45">
        <f t="shared" si="556"/>
        <v>5.1537212591002017E-2</v>
      </c>
      <c r="AY60" s="45">
        <f t="shared" si="556"/>
        <v>-9.3416531382556987E-3</v>
      </c>
      <c r="AZ60" s="45">
        <f t="shared" si="556"/>
        <v>-3.2661470710154961E-2</v>
      </c>
      <c r="BA60" s="45">
        <f t="shared" si="556"/>
        <v>-3.5647547230216334E-2</v>
      </c>
      <c r="BB60" s="45">
        <f t="shared" si="556"/>
        <v>6.5195563007379151E-2</v>
      </c>
      <c r="BC60" s="45">
        <f t="shared" si="556"/>
        <v>-0.15584775736062687</v>
      </c>
      <c r="BD60" s="45">
        <f t="shared" si="556"/>
        <v>-2.9225474838849262E-2</v>
      </c>
      <c r="BE60" s="45">
        <f t="shared" si="556"/>
        <v>-1.2960947330229927E-2</v>
      </c>
      <c r="BF60" s="45">
        <f t="shared" si="556"/>
        <v>0.11886929707373306</v>
      </c>
      <c r="BG60" s="45">
        <f t="shared" si="556"/>
        <v>2.2785310641382672E-2</v>
      </c>
      <c r="BH60" s="45">
        <f t="shared" si="556"/>
        <v>0.15176625733017821</v>
      </c>
      <c r="BI60" s="45">
        <f t="shared" si="556"/>
        <v>6.7157910952498475E-3</v>
      </c>
      <c r="BJ60" s="45">
        <f t="shared" si="556"/>
        <v>2.6896982817764703E-2</v>
      </c>
      <c r="BK60" s="45">
        <f t="shared" si="556"/>
        <v>1.0686044026502167E-3</v>
      </c>
      <c r="BL60" s="45">
        <f t="shared" si="556"/>
        <v>3.3915562385172876E-2</v>
      </c>
      <c r="BM60" s="45">
        <f t="shared" si="556"/>
        <v>3.147070819826972E-2</v>
      </c>
      <c r="BN60" s="45">
        <f t="shared" si="556"/>
        <v>0.26074698131056928</v>
      </c>
      <c r="BO60" s="45">
        <f t="shared" ref="BO60:CT60" si="557">+BO59/BO28</f>
        <v>-0.15927942900387282</v>
      </c>
      <c r="BP60" s="45">
        <f t="shared" si="557"/>
        <v>8.1538683274291271E-2</v>
      </c>
      <c r="BQ60" s="45">
        <f t="shared" si="557"/>
        <v>8.1529557165915964E-2</v>
      </c>
      <c r="BR60" s="45">
        <f t="shared" si="557"/>
        <v>9.0197411262038299E-2</v>
      </c>
      <c r="BS60" s="45">
        <f t="shared" si="557"/>
        <v>9.1700117943366688E-2</v>
      </c>
      <c r="BT60" s="45">
        <f t="shared" si="557"/>
        <v>0.11200771917980538</v>
      </c>
      <c r="BU60" s="45">
        <f t="shared" si="557"/>
        <v>0.11471440800326246</v>
      </c>
      <c r="BV60" s="45">
        <f t="shared" si="557"/>
        <v>0.13776939898951807</v>
      </c>
      <c r="BW60" s="45">
        <f t="shared" si="557"/>
        <v>0.12977541803979015</v>
      </c>
      <c r="BX60" s="45">
        <f t="shared" si="557"/>
        <v>0.16338557348362012</v>
      </c>
      <c r="BY60" s="45">
        <f t="shared" si="557"/>
        <v>0.15927678617355076</v>
      </c>
      <c r="BZ60" s="45">
        <f t="shared" si="557"/>
        <v>0.15619258491543794</v>
      </c>
      <c r="CA60" s="45">
        <f t="shared" si="557"/>
        <v>0.17393927692233424</v>
      </c>
      <c r="CB60" s="45">
        <f t="shared" si="557"/>
        <v>0.1789647349969066</v>
      </c>
      <c r="CC60" s="45">
        <f t="shared" si="557"/>
        <v>0.18825492017906928</v>
      </c>
      <c r="CD60" s="45">
        <f t="shared" si="557"/>
        <v>0.179200170025858</v>
      </c>
      <c r="CE60" s="45">
        <f t="shared" si="557"/>
        <v>0.18070139667652158</v>
      </c>
      <c r="CF60" s="45">
        <f t="shared" si="557"/>
        <v>0.16835911363010186</v>
      </c>
      <c r="CG60" s="45">
        <f t="shared" si="557"/>
        <v>0.20140293822912125</v>
      </c>
      <c r="CH60" s="45">
        <f t="shared" si="557"/>
        <v>0.18054841581303213</v>
      </c>
      <c r="CI60" s="45">
        <f t="shared" ref="CI60:CJ60" si="558">+CI59/CI28</f>
        <v>0.19234767719183798</v>
      </c>
      <c r="CJ60" s="45">
        <f t="shared" si="558"/>
        <v>0.15173057962741943</v>
      </c>
      <c r="CK60" s="45">
        <f t="shared" ref="CK60:CL60" si="559">+CK59/CK28</f>
        <v>0.1304781237539421</v>
      </c>
      <c r="CL60" s="45">
        <f t="shared" si="559"/>
        <v>0.1445393704483578</v>
      </c>
      <c r="CM60" s="48">
        <f t="shared" si="557"/>
        <v>0.14651697338572325</v>
      </c>
      <c r="CN60" s="48">
        <f t="shared" si="557"/>
        <v>0.14232165828458654</v>
      </c>
      <c r="CO60" s="48">
        <f t="shared" si="557"/>
        <v>0.14366515519107526</v>
      </c>
      <c r="CP60" s="48">
        <f t="shared" si="557"/>
        <v>0.14852459006986421</v>
      </c>
      <c r="CQ60" s="48">
        <f t="shared" si="557"/>
        <v>0.15077565601956591</v>
      </c>
      <c r="CR60" s="48">
        <f t="shared" si="557"/>
        <v>0.15122711726310673</v>
      </c>
      <c r="CS60" s="48">
        <f t="shared" si="557"/>
        <v>0.15314352159137246</v>
      </c>
      <c r="CT60" s="48">
        <f t="shared" si="557"/>
        <v>0.15496701234674326</v>
      </c>
      <c r="CU60" s="48">
        <f t="shared" ref="CU60:DB60" si="560">+CU59/CU28</f>
        <v>0.15860953196963354</v>
      </c>
      <c r="CV60" s="48">
        <f t="shared" si="560"/>
        <v>0.16037313004699055</v>
      </c>
      <c r="CW60" s="48">
        <f t="shared" si="560"/>
        <v>0.16231641380177753</v>
      </c>
      <c r="CX60" s="48">
        <f t="shared" si="560"/>
        <v>0.16422707109219686</v>
      </c>
      <c r="CY60" s="48">
        <f t="shared" si="560"/>
        <v>0.16639391735437331</v>
      </c>
      <c r="CZ60" s="48">
        <f t="shared" si="560"/>
        <v>0.16824955733056923</v>
      </c>
      <c r="DA60" s="48">
        <f t="shared" si="560"/>
        <v>0.16982711339534756</v>
      </c>
      <c r="DB60" s="48">
        <f t="shared" si="560"/>
        <v>0.17139734488457814</v>
      </c>
      <c r="DE60" s="129"/>
      <c r="DF60" s="45">
        <v>0.15292998879989869</v>
      </c>
    </row>
    <row r="61" spans="1:110" s="39" customFormat="1" x14ac:dyDescent="0.2">
      <c r="A61" s="39" t="s">
        <v>451</v>
      </c>
      <c r="C61" s="39">
        <f t="shared" ref="C61:E61" si="561">+IF(B59&lt;0,1-C59/B59,C59/B59-1)</f>
        <v>-5.3261149350565749</v>
      </c>
      <c r="D61" s="39">
        <f t="shared" si="561"/>
        <v>2.1762869008950991</v>
      </c>
      <c r="E61" s="39">
        <f t="shared" si="561"/>
        <v>0.24850582684370881</v>
      </c>
      <c r="F61" s="39">
        <f t="shared" ref="F61:AE61" si="562">+IF(E59&lt;0,1-F59/E59,F59/E59-1)</f>
        <v>6.4173410063599503</v>
      </c>
      <c r="G61" s="39">
        <f t="shared" si="562"/>
        <v>0.95369300175235416</v>
      </c>
      <c r="H61" s="39">
        <f t="shared" si="562"/>
        <v>0.81936068702290132</v>
      </c>
      <c r="I61" s="39">
        <f t="shared" si="562"/>
        <v>0.17488422344482024</v>
      </c>
      <c r="J61" s="39">
        <f t="shared" si="562"/>
        <v>-0.14512485826778831</v>
      </c>
      <c r="K61" s="39">
        <f t="shared" si="562"/>
        <v>0.15185235469407177</v>
      </c>
      <c r="L61" s="39">
        <f t="shared" si="562"/>
        <v>0.33991232378244129</v>
      </c>
      <c r="M61" s="39">
        <f t="shared" si="562"/>
        <v>-0.33413218359045227</v>
      </c>
      <c r="N61" s="39">
        <f t="shared" si="562"/>
        <v>-5.0203330177382988E-2</v>
      </c>
      <c r="O61" s="39">
        <f t="shared" si="562"/>
        <v>-0.74558024744194717</v>
      </c>
      <c r="P61" s="39">
        <f t="shared" si="562"/>
        <v>0.20150974606267069</v>
      </c>
      <c r="Q61" s="39">
        <f t="shared" si="562"/>
        <v>1.0064927110131152</v>
      </c>
      <c r="R61" s="39">
        <f t="shared" si="562"/>
        <v>-0.80618910974854163</v>
      </c>
      <c r="S61" s="39">
        <f t="shared" si="562"/>
        <v>-0.28284055623059634</v>
      </c>
      <c r="T61" s="39">
        <f t="shared" si="562"/>
        <v>12.85757613788471</v>
      </c>
      <c r="U61" s="39">
        <f t="shared" si="562"/>
        <v>0.33017661806814202</v>
      </c>
      <c r="V61" s="39">
        <f t="shared" si="562"/>
        <v>-0.36729244728486754</v>
      </c>
      <c r="W61" s="39">
        <f t="shared" si="562"/>
        <v>1.4938563877963555</v>
      </c>
      <c r="X61" s="39">
        <f t="shared" si="562"/>
        <v>0.6847153042570242</v>
      </c>
      <c r="Y61" s="39">
        <f t="shared" si="562"/>
        <v>0.49052335012379422</v>
      </c>
      <c r="Z61" s="39">
        <f t="shared" ref="Z61:AA61" si="563">+IF(Y59&lt;0,1-Z59/Y59,Z59/Y59-1)</f>
        <v>0.16553541254976079</v>
      </c>
      <c r="AA61" s="39">
        <f t="shared" si="563"/>
        <v>-0.11089269479322783</v>
      </c>
      <c r="AB61" s="40">
        <f t="shared" si="562"/>
        <v>0.15056374914466386</v>
      </c>
      <c r="AC61" s="40">
        <f t="shared" si="562"/>
        <v>0.16084361374272249</v>
      </c>
      <c r="AD61" s="40">
        <f t="shared" si="562"/>
        <v>0.16389453943259391</v>
      </c>
      <c r="AE61" s="40">
        <f t="shared" si="562"/>
        <v>0.15160343051004443</v>
      </c>
      <c r="AM61" s="39">
        <f>+IF(AI59&lt;0,1-AM59/AI59,AM59/AI59-1)</f>
        <v>-0.49093466708346167</v>
      </c>
      <c r="AN61" s="39">
        <f t="shared" ref="AN61" si="564">+IF(AJ59&lt;0,1-AN59/AJ59,AN59/AJ59-1)</f>
        <v>-0.61567245355262568</v>
      </c>
      <c r="AO61" s="39">
        <f t="shared" ref="AO61" si="565">+IF(AK59&lt;0,1-AO59/AK59,AO59/AK59-1)</f>
        <v>-0.37120567375886504</v>
      </c>
      <c r="AP61" s="39">
        <f t="shared" ref="AP61" si="566">+IF(AL59&lt;0,1-AP59/AL59,AP59/AL59-1)</f>
        <v>-2.3374529822676626E-2</v>
      </c>
      <c r="AQ61" s="39">
        <f t="shared" ref="AQ61" si="567">+IF(AM59&lt;0,1-AQ59/AM59,AQ59/AM59-1)</f>
        <v>-3.2511513662880063</v>
      </c>
      <c r="AR61" s="39">
        <f t="shared" ref="AR61" si="568">+IF(AN59&lt;0,1-AR59/AN59,AR59/AN59-1)</f>
        <v>-1.8257670100758543</v>
      </c>
      <c r="AS61" s="39">
        <f t="shared" ref="AS61" si="569">+IF(AO59&lt;0,1-AS59/AO59,AS59/AO59-1)</f>
        <v>-2.3279945860590892</v>
      </c>
      <c r="AT61" s="39">
        <f t="shared" ref="AT61" si="570">+IF(AP59&lt;0,1-AT59/AP59,AT59/AP59-1)</f>
        <v>2.6260430994956527</v>
      </c>
      <c r="AU61" s="39">
        <f t="shared" ref="AU61" si="571">+IF(AQ59&lt;0,1-AU59/AQ59,AU59/AQ59-1)</f>
        <v>0.31301145662848395</v>
      </c>
      <c r="AV61" s="39">
        <f t="shared" ref="AV61" si="572">+IF(AR59&lt;0,1-AV59/AR59,AV59/AR59-1)</f>
        <v>1.9373457636413454</v>
      </c>
      <c r="AW61" s="39">
        <f t="shared" ref="AW61" si="573">+IF(AS59&lt;0,1-AW59/AS59,AW59/AS59-1)</f>
        <v>2.1048072023101807</v>
      </c>
      <c r="AX61" s="39">
        <f t="shared" ref="AX61" si="574">+IF(AT59&lt;0,1-AX59/AT59,AX59/AT59-1)</f>
        <v>-0.45253148550907829</v>
      </c>
      <c r="AY61" s="39">
        <f t="shared" ref="AY61" si="575">+IF(AU59&lt;0,1-AY59/AU59,AY59/AU59-1)</f>
        <v>0.53960690887432583</v>
      </c>
      <c r="AZ61" s="39">
        <f t="shared" ref="AZ61" si="576">+IF(AV59&lt;0,1-AZ59/AV59,AZ59/AV59-1)</f>
        <v>-2.163960801521132</v>
      </c>
      <c r="BA61" s="39">
        <f t="shared" ref="BA61" si="577">+IF(AW59&lt;0,1-BA59/AW59,BA59/AW59-1)</f>
        <v>-2.5750307503075174</v>
      </c>
      <c r="BB61" s="39">
        <f t="shared" ref="BB61" si="578">+IF(AX59&lt;0,1-BB59/AX59,BB59/AX59-1)</f>
        <v>0.27171101256466801</v>
      </c>
      <c r="BC61" s="39">
        <f t="shared" ref="BC61" si="579">+IF(AY59&lt;0,1-BC59/AY59,BC59/AY59-1)</f>
        <v>-14.752048296679529</v>
      </c>
      <c r="BD61" s="39">
        <f t="shared" ref="BD61" si="580">+IF(AZ59&lt;0,1-BD59/AZ59,BD59/AZ59-1)</f>
        <v>8.3312390047746598E-2</v>
      </c>
      <c r="BE61" s="39">
        <f t="shared" ref="BE61" si="581">+IF(BA59&lt;0,1-BE59/BA59,BE59/BA59-1)</f>
        <v>0.67219836001562483</v>
      </c>
      <c r="BF61" s="39">
        <f t="shared" ref="BF61" si="582">+IF(BB59&lt;0,1-BF59/BB59,BF59/BB59-1)</f>
        <v>0.88750454050127137</v>
      </c>
      <c r="BG61" s="39">
        <f t="shared" ref="BG61" si="583">+IF(BC59&lt;0,1-BG59/BC59,BG59/BC59-1)</f>
        <v>1.1893016507432459</v>
      </c>
      <c r="BH61" s="39">
        <f t="shared" ref="BH61" si="584">+IF(BD59&lt;0,1-BH59/BD59,BH59/BD59-1)</f>
        <v>7.6732008224811423</v>
      </c>
      <c r="BI61" s="39">
        <f t="shared" ref="BI61" si="585">+IF(BE59&lt;0,1-BI59/BE59,BI59/BE59-1)</f>
        <v>1.545265038713532</v>
      </c>
      <c r="BJ61" s="39">
        <f t="shared" ref="BJ61" si="586">+IF(BF59&lt;0,1-BJ59/BF59,BJ59/BF59-1)</f>
        <v>-0.83024459711717902</v>
      </c>
      <c r="BK61" s="39">
        <f t="shared" ref="BK61" si="587">+IF(BG59&lt;0,1-BK59/BG59,BK59/BG59-1)</f>
        <v>-0.95806218365870999</v>
      </c>
      <c r="BL61" s="39">
        <f t="shared" ref="BL61" si="588">+IF(BH59&lt;0,1-BL59/BH59,BL59/BH59-1)</f>
        <v>-0.8145683120724716</v>
      </c>
      <c r="BM61" s="39">
        <f t="shared" ref="BM61" si="589">+IF(BI59&lt;0,1-BM59/BI59,BM59/BI59-1)</f>
        <v>3.8039322774439785</v>
      </c>
      <c r="BN61" s="39">
        <f t="shared" ref="BN61" si="590">+IF(BJ59&lt;0,1-BN59/BJ59,BN59/BJ59-1)</f>
        <v>6.9366285001700279</v>
      </c>
      <c r="BO61" s="39">
        <f t="shared" ref="BO61" si="591">+IF(BK59&lt;0,1-BO59/BK59,BO59/BK59-1)</f>
        <v>-75.027586206891115</v>
      </c>
      <c r="BP61" s="39">
        <f t="shared" ref="BP61" si="592">+IF(BL59&lt;0,1-BP59/BL59,BP59/BL59-1)</f>
        <v>1.3815221003655695</v>
      </c>
      <c r="BQ61" s="39">
        <f t="shared" ref="BQ61" si="593">+IF(BM59&lt;0,1-BQ59/BM59,BQ59/BM59-1)</f>
        <v>1.7448840381991868</v>
      </c>
      <c r="BR61" s="39">
        <f t="shared" ref="BR61" si="594">+IF(BN59&lt;0,1-BR59/BN59,BR59/BN59-1)</f>
        <v>-0.54890085560427959</v>
      </c>
      <c r="BS61" s="39">
        <f t="shared" ref="BS61" si="595">+IF(BO59&lt;0,1-BS59/BO59,BS59/BO59-1)</f>
        <v>2.2567076579094456</v>
      </c>
      <c r="BT61" s="39">
        <f t="shared" ref="BT61" si="596">+IF(BP59&lt;0,1-BT59/BP59,BT59/BP59-1)</f>
        <v>0.63610568424969971</v>
      </c>
      <c r="BU61" s="39">
        <f t="shared" ref="BU61" si="597">+IF(BQ59&lt;0,1-BU59/BQ59,BU59/BQ59-1)</f>
        <v>0.29324055666003912</v>
      </c>
      <c r="BV61" s="39">
        <f t="shared" ref="BV61" si="598">+IF(BR59&lt;0,1-BV59/BR59,BV59/BR59-1)</f>
        <v>0.44624932712706977</v>
      </c>
      <c r="BW61" s="39">
        <f t="shared" ref="BW61" si="599">+IF(BS59&lt;0,1-BW59/BS59,BW59/BS59-1)</f>
        <v>0.57641128284962662</v>
      </c>
      <c r="BX61" s="39">
        <f t="shared" ref="BX61" si="600">+IF(BT59&lt;0,1-BX59/BT59,BX59/BT59-1)</f>
        <v>0.80507775850794316</v>
      </c>
      <c r="BY61" s="39">
        <f t="shared" ref="BY61" si="601">+IF(BU59&lt;0,1-BY59/BU59,BY59/BU59-1)</f>
        <v>0.98341019728414003</v>
      </c>
      <c r="BZ61" s="39">
        <f t="shared" ref="BZ61" si="602">+IF(BV59&lt;0,1-BZ59/BV59,BZ59/BV59-1)</f>
        <v>0.45181065814248944</v>
      </c>
      <c r="CA61" s="39">
        <f t="shared" ref="CA61" si="603">+IF(BW59&lt;0,1-CA59/BW59,CA59/BW59-1)</f>
        <v>0.69456853985421851</v>
      </c>
      <c r="CB61" s="39">
        <f t="shared" ref="CB61" si="604">+IF(BX59&lt;0,1-CB59/BX59,CB59/BX59-1)</f>
        <v>0.36682942195621493</v>
      </c>
      <c r="CC61" s="39">
        <f t="shared" ref="CC61" si="605">+IF(BY59&lt;0,1-CC59/BY59,CC59/BY59-1)</f>
        <v>0.43952849991926435</v>
      </c>
      <c r="CD61" s="39">
        <f t="shared" ref="CD61" si="606">+IF(BZ59&lt;0,1-CD59/BZ59,CD59/BZ59-1)</f>
        <v>0.52586336902427844</v>
      </c>
      <c r="CE61" s="39">
        <f t="shared" ref="CE61" si="607">+IF(CA59&lt;0,1-CE59/CA59,CE59/CA59-1)</f>
        <v>-1.6234216733730489E-2</v>
      </c>
      <c r="CF61" s="39">
        <f t="shared" ref="CF61" si="608">+IF(CB59&lt;0,1-CF59/CB59,CF59/CB59-1)</f>
        <v>-1.4173772758700687E-2</v>
      </c>
      <c r="CG61" s="39">
        <f t="shared" ref="CG61" si="609">+IF(CC59&lt;0,1-CG59/CC59,CG59/CC59-1)</f>
        <v>0.1948401570386975</v>
      </c>
      <c r="CH61" s="39">
        <f t="shared" ref="CH61:CL61" si="610">+IF(CD59&lt;0,1-CH59/CD59,CH59/CD59-1)</f>
        <v>0.42320616722672599</v>
      </c>
      <c r="CI61" s="39">
        <f t="shared" si="610"/>
        <v>0.33088857545839145</v>
      </c>
      <c r="CJ61" s="39">
        <f t="shared" si="610"/>
        <v>2.536528345996536E-2</v>
      </c>
      <c r="CK61" s="39">
        <f t="shared" si="610"/>
        <v>-0.32416447615471211</v>
      </c>
      <c r="CL61" s="39">
        <f t="shared" si="610"/>
        <v>-0.25159722222222214</v>
      </c>
      <c r="CM61" s="40">
        <f t="shared" ref="CM61" si="611">+CM59/CI59-1</f>
        <v>8.8619249053912608E-2</v>
      </c>
      <c r="CN61" s="40">
        <f t="shared" ref="CN61" si="612">+CN59/CJ59-1</f>
        <v>0.1343378497508072</v>
      </c>
      <c r="CO61" s="40">
        <f t="shared" ref="CO61" si="613">+CO59/CK59-1</f>
        <v>0.42830387481320842</v>
      </c>
      <c r="CP61" s="40">
        <f t="shared" ref="CP61" si="614">+CP59/CL59-1</f>
        <v>3.2478078517534259E-2</v>
      </c>
      <c r="CQ61" s="40">
        <f t="shared" ref="CQ61" si="615">+CQ59/CM59-1</f>
        <v>0.12309318778626466</v>
      </c>
      <c r="CR61" s="40">
        <f t="shared" ref="CR61" si="616">+CR59/CN59-1</f>
        <v>0.17547713422370959</v>
      </c>
      <c r="CS61" s="40">
        <f t="shared" ref="CS61" si="617">+CS59/CO59-1</f>
        <v>0.19697418375574705</v>
      </c>
      <c r="CT61" s="40">
        <f t="shared" ref="CT61" si="618">+CT59/CP59-1</f>
        <v>0.14921994816045658</v>
      </c>
      <c r="CU61" s="40">
        <f t="shared" ref="CU61" si="619">+CU59/CQ59-1</f>
        <v>0.15275816151990163</v>
      </c>
      <c r="CV61" s="40">
        <f t="shared" ref="CV61" si="620">+CV59/CR59-1</f>
        <v>0.16833505519220915</v>
      </c>
      <c r="CW61" s="40">
        <f t="shared" ref="CW61" si="621">+CW59/CS59-1</f>
        <v>0.169038757446341</v>
      </c>
      <c r="CX61" s="40">
        <f t="shared" ref="CX61" si="622">+CX59/CT59-1</f>
        <v>0.16492872240304779</v>
      </c>
      <c r="CY61" s="40">
        <f t="shared" ref="CY61" si="623">+CY59/CU59-1</f>
        <v>0.15325368638307557</v>
      </c>
      <c r="CZ61" s="40">
        <f t="shared" ref="CZ61" si="624">+CZ59/CV59-1</f>
        <v>0.15453455677258043</v>
      </c>
      <c r="DA61" s="40">
        <f t="shared" ref="DA61" si="625">+DA59/CW59-1</f>
        <v>0.15125522218608634</v>
      </c>
      <c r="DB61" s="40">
        <f t="shared" ref="DB61" si="626">+DB59/CX59-1</f>
        <v>0.14777756245879514</v>
      </c>
      <c r="DE61" s="122"/>
      <c r="DF61" s="39">
        <v>-0.11089269479322783</v>
      </c>
    </row>
    <row r="62" spans="1:110" s="39" customFormat="1" x14ac:dyDescent="0.2">
      <c r="A62" s="39" t="s">
        <v>452</v>
      </c>
      <c r="AB62" s="40"/>
      <c r="AC62" s="40"/>
      <c r="AD62" s="40"/>
      <c r="AE62" s="40"/>
      <c r="AJ62" s="39">
        <f>+IF(AI59&lt;0,1-AJ59/AI59,AJ59/AI59-1)</f>
        <v>2.5922163175992665</v>
      </c>
      <c r="AK62" s="39">
        <f t="shared" ref="AK62:AM62" si="627">+IF(AJ59&lt;0,1-AK59/AJ59,AK59/AJ59-1)</f>
        <v>-0.6932515337423315</v>
      </c>
      <c r="AL62" s="39">
        <f t="shared" si="627"/>
        <v>0.58382978723404166</v>
      </c>
      <c r="AM62" s="39">
        <f t="shared" si="627"/>
        <v>-0.70831094393695149</v>
      </c>
      <c r="AN62" s="39">
        <f t="shared" ref="AN62" si="628">+IF(AM59&lt;0,1-AN59/AM59,AN59/AM59-1)</f>
        <v>1.7120049124961652</v>
      </c>
      <c r="AO62" s="39">
        <f t="shared" ref="AO62" si="629">+IF(AN59&lt;0,1-AO59/AN59,AO59/AN59-1)</f>
        <v>-0.49813200498132026</v>
      </c>
      <c r="AP62" s="39">
        <f t="shared" ref="AP62" si="630">+IF(AO59&lt;0,1-AP59/AO59,AP59/AO59-1)</f>
        <v>1.459959395443263</v>
      </c>
      <c r="AQ62" s="39">
        <f t="shared" ref="AQ62" si="631">+IF(AP59&lt;0,1-AQ59/AP59,AQ59/AP59-1)</f>
        <v>-1.6723521320495225</v>
      </c>
      <c r="AR62" s="39">
        <f t="shared" ref="AR62" si="632">+IF(AQ59&lt;0,1-AR59/AQ59,AR59/AQ59-1)</f>
        <v>5.1827605019105771E-3</v>
      </c>
      <c r="AS62" s="39">
        <f t="shared" ref="AS62" si="633">+IF(AR59&lt;0,1-AS59/AR59,AS59/AR59-1)</f>
        <v>0.19289827255279357</v>
      </c>
      <c r="AT62" s="39">
        <f t="shared" ref="AT62" si="634">+IF(AS59&lt;0,1-AT59/AS59,AT59/AS59-1)</f>
        <v>7.716833701375986</v>
      </c>
      <c r="AU62" s="39">
        <f t="shared" ref="AU62" si="635">+IF(AT59&lt;0,1-AU59/AT59,AU59/AT59-1)</f>
        <v>-1.1273835415507554</v>
      </c>
      <c r="AV62" s="39">
        <f t="shared" ref="AV62" si="636">+IF(AU59&lt;0,1-AV59/AU59,AV59/AU59-1)</f>
        <v>2.3573555687909518</v>
      </c>
      <c r="AW62" s="39">
        <f t="shared" ref="AW62" si="637">+IF(AV59&lt;0,1-AW59/AV59,AW59/AV59-1)</f>
        <v>-4.8705572619573423E-2</v>
      </c>
      <c r="AX62" s="39">
        <f t="shared" ref="AX62" si="638">+IF(AW59&lt;0,1-AX59/AW59,AX59/AW59-1)</f>
        <v>2.3284132841328642</v>
      </c>
      <c r="AY62" s="39">
        <f t="shared" ref="AY62" si="639">+IF(AX59&lt;0,1-AY59/AX59,AY59/AX59-1)</f>
        <v>-1.1071230598669626</v>
      </c>
      <c r="AZ62" s="39">
        <f t="shared" ref="AZ62" si="640">+IF(AY59&lt;0,1-AZ59/AY59,AZ59/AY59-1)</f>
        <v>-2.4316515739542628</v>
      </c>
      <c r="BA62" s="39">
        <f t="shared" ref="BA62" si="641">+IF(AZ59&lt;0,1-BA59/AZ59,BA59/AZ59-1)</f>
        <v>-0.28725810505153038</v>
      </c>
      <c r="BB62" s="39">
        <f t="shared" ref="BB62" si="642">+IF(BA59&lt;0,1-BB59/BA59,BB59/BA59-1)</f>
        <v>3.6874267864115464</v>
      </c>
      <c r="BC62" s="39">
        <f t="shared" ref="BC62" si="643">+IF(BB59&lt;0,1-BC59/BB59,BC59/BB59-1)</f>
        <v>-2.3268797675263349</v>
      </c>
      <c r="BD62" s="39">
        <f t="shared" ref="BD62" si="644">+IF(BC59&lt;0,1-BD59/BC59,BD59/BC59-1)</f>
        <v>0.80029565550658366</v>
      </c>
      <c r="BE62" s="39">
        <f t="shared" ref="BE62" si="645">+IF(BD59&lt;0,1-BE59/BD59,BE59/BD59-1)</f>
        <v>0.53968471555860864</v>
      </c>
      <c r="BF62" s="39">
        <f t="shared" ref="BF62" si="646">+IF(BE59&lt;0,1-BF59/BE59,BF59/BE59-1)</f>
        <v>16.474389517570195</v>
      </c>
      <c r="BG62" s="39">
        <f t="shared" ref="BG62" si="647">+IF(BF59&lt;0,1-BG59/BF59,BG59/BF59-1)</f>
        <v>-0.86692454246290584</v>
      </c>
      <c r="BH62" s="39">
        <f t="shared" ref="BH62" si="648">+IF(BG59&lt;0,1-BH59/BG59,BH59/BG59-1)</f>
        <v>6.0399132321040927</v>
      </c>
      <c r="BI62" s="39">
        <f t="shared" ref="BI62" si="649">+IF(BH59&lt;0,1-BI59/BH59,BI59/BH59-1)</f>
        <v>-0.96238778989749563</v>
      </c>
      <c r="BJ62" s="39">
        <f t="shared" ref="BJ62" si="650">+IF(BI59&lt;0,1-BJ59/BI59,BJ59/BI59-1)</f>
        <v>3.817586018569064</v>
      </c>
      <c r="BK62" s="39">
        <f t="shared" ref="BK62" si="651">+IF(BJ59&lt;0,1-BK59/BJ59,BK59/BJ59-1)</f>
        <v>-0.96712390885386912</v>
      </c>
      <c r="BL62" s="39">
        <f t="shared" ref="BL62" si="652">+IF(BK59&lt;0,1-BL59/BK59,BL59/BK59-1)</f>
        <v>30.127586206894275</v>
      </c>
      <c r="BM62" s="39">
        <f t="shared" ref="BM62" si="653">+IF(BL59&lt;0,1-BM59/BL59,BM59/BL59-1)</f>
        <v>-2.5589896975740212E-2</v>
      </c>
      <c r="BN62" s="39">
        <f t="shared" ref="BN62" si="654">+IF(BM59&lt;0,1-BN59/BM59,BN59/BM59-1)</f>
        <v>6.9591859936334783</v>
      </c>
      <c r="BO62" s="39">
        <f t="shared" ref="BO62" si="655">+IF(BN59&lt;0,1-BO59/BN59,BO59/BN59-1)</f>
        <v>-1.3066462883343568</v>
      </c>
      <c r="BP62" s="39">
        <f t="shared" ref="BP62" si="656">+IF(BO59&lt;0,1-BP59/BO59,BP59/BO59-1)</f>
        <v>2.0013974287311349</v>
      </c>
      <c r="BQ62" s="39">
        <f t="shared" ref="BQ62" si="657">+IF(BP59&lt;0,1-BQ59/BP59,BQ59/BP59-1)</f>
        <v>0.1230812168573836</v>
      </c>
      <c r="BR62" s="39">
        <f t="shared" ref="BR62" si="658">+IF(BQ59&lt;0,1-BR59/BQ59,BR59/BQ59-1)</f>
        <v>0.30802683896620131</v>
      </c>
      <c r="BS62" s="39">
        <f t="shared" ref="BS62" si="659">+IF(BR59&lt;0,1-BS59/BR59,BS59/BR59-1)</f>
        <v>-0.14572052816566994</v>
      </c>
      <c r="BT62" s="39">
        <f t="shared" ref="BT62" si="660">+IF(BS59&lt;0,1-BT59/BS59,BT59/BS59-1)</f>
        <v>0.3037177063642118</v>
      </c>
      <c r="BU62" s="39">
        <f t="shared" ref="BU62" si="661">+IF(BT59&lt;0,1-BU59/BT59,BU59/BT59-1)</f>
        <v>-0.11227361896909605</v>
      </c>
      <c r="BV62" s="39">
        <f t="shared" ref="BV62" si="662">+IF(BU59&lt;0,1-BV59/BU59,BV59/BU59-1)</f>
        <v>0.46278503715090835</v>
      </c>
      <c r="BW62" s="39">
        <f t="shared" ref="BW62" si="663">+IF(BV59&lt;0,1-BW59/BV59,BW59/BV59-1)</f>
        <v>-6.8835661426631112E-2</v>
      </c>
      <c r="BX62" s="39">
        <f t="shared" ref="BX62" si="664">+IF(BW59&lt;0,1-BX59/BW59,BX59/BW59-1)</f>
        <v>0.49282859158240999</v>
      </c>
      <c r="BY62" s="39">
        <f t="shared" ref="BY62" si="665">+IF(BX59&lt;0,1-BY59/BX59,BY59/BX59-1)</f>
        <v>-2.45707985509519E-2</v>
      </c>
      <c r="BZ62" s="39">
        <f t="shared" ref="BZ62" si="666">+IF(BY59&lt;0,1-BZ59/BY59,BZ59/BY59-1)</f>
        <v>7.0725012110447683E-2</v>
      </c>
      <c r="CA62" s="39">
        <f t="shared" ref="CA62" si="667">+IF(BZ59&lt;0,1-CA59/BZ59,CA59/BZ59-1)</f>
        <v>8.6864726285627025E-2</v>
      </c>
      <c r="CB62" s="39">
        <f t="shared" ref="CB62" si="668">+IF(CA59&lt;0,1-CB59/CA59,CB59/CA59-1)</f>
        <v>0.20410711807964543</v>
      </c>
      <c r="CC62" s="39">
        <f t="shared" ref="CC62" si="669">+IF(CB59&lt;0,1-CC59/CB59,CC59/CB59-1)</f>
        <v>2.7310440193593521E-2</v>
      </c>
      <c r="CD62" s="39">
        <f t="shared" ref="CD62" si="670">+IF(CC59&lt;0,1-CD59/CC59,CD59/CC59-1)</f>
        <v>0.13494111048794055</v>
      </c>
      <c r="CE62" s="39">
        <f t="shared" ref="CE62" si="671">+IF(CD59&lt;0,1-CE59/CD59,CE59/CD59-1)</f>
        <v>-0.29926863016406369</v>
      </c>
      <c r="CF62" s="39">
        <f t="shared" ref="CF62" si="672">+IF(CE59&lt;0,1-CF59/CE59,CF59/CE59-1)</f>
        <v>0.20662905500705153</v>
      </c>
      <c r="CG62" s="39">
        <f t="shared" ref="CG62" si="673">+IF(CF59&lt;0,1-CG59/CF59,CG59/CF59-1)</f>
        <v>0.2451198129748684</v>
      </c>
      <c r="CH62" s="39">
        <f t="shared" ref="CH62:CL62" si="674">+IF(CG59&lt;0,1-CH59/CG59,CH59/CG59-1)</f>
        <v>0.35185880585805607</v>
      </c>
      <c r="CI62" s="39">
        <f t="shared" si="674"/>
        <v>-0.34472222222222282</v>
      </c>
      <c r="CJ62" s="39">
        <f t="shared" si="674"/>
        <v>-7.0368800339126514E-2</v>
      </c>
      <c r="CK62" s="39">
        <f t="shared" si="674"/>
        <v>-0.17932056543547614</v>
      </c>
      <c r="CL62" s="39">
        <f t="shared" si="674"/>
        <v>0.49701347409362429</v>
      </c>
      <c r="CM62" s="40">
        <f t="shared" ref="CM62" si="675">+CM59/CL59-1</f>
        <v>-4.6839451232002394E-2</v>
      </c>
      <c r="CN62" s="40">
        <f t="shared" ref="CN62" si="676">+CN59/CM59-1</f>
        <v>-3.1327200027899904E-2</v>
      </c>
      <c r="CO62" s="40">
        <f t="shared" ref="CO62" si="677">+CO59/CN59-1</f>
        <v>3.336022563782759E-2</v>
      </c>
      <c r="CP62" s="40">
        <f t="shared" ref="CP62" si="678">+CP59/CO59-1</f>
        <v>8.2146189268848424E-2</v>
      </c>
      <c r="CQ62" s="40">
        <f t="shared" ref="CQ62" si="679">+CQ59/CP59-1</f>
        <v>3.6814380335316699E-2</v>
      </c>
      <c r="CR62" s="40">
        <f t="shared" ref="CR62" si="680">+CR59/CQ59-1</f>
        <v>1.3854183512648444E-2</v>
      </c>
      <c r="CS62" s="40">
        <f t="shared" ref="CS62" si="681">+CS59/CR59-1</f>
        <v>5.2258250370264658E-2</v>
      </c>
      <c r="CT62" s="40">
        <f t="shared" ref="CT62" si="682">+CT59/CS59-1</f>
        <v>3.897310770016893E-2</v>
      </c>
      <c r="CU62" s="40">
        <f t="shared" ref="CU62" si="683">+CU59/CT59-1</f>
        <v>4.0006519923251327E-2</v>
      </c>
      <c r="CV62" s="40">
        <f t="shared" ref="CV62" si="684">+CV59/CU59-1</f>
        <v>2.7554107176583464E-2</v>
      </c>
      <c r="CW62" s="40">
        <f t="shared" ref="CW62" si="685">+CW59/CV59-1</f>
        <v>5.2892038168913524E-2</v>
      </c>
      <c r="CX62" s="40">
        <f t="shared" ref="CX62" si="686">+CX59/CW59-1</f>
        <v>3.5320349522146799E-2</v>
      </c>
      <c r="CY62" s="40">
        <f t="shared" ref="CY62" si="687">+CY59/CX59-1</f>
        <v>2.9583467123881046E-2</v>
      </c>
      <c r="CZ62" s="40">
        <f t="shared" ref="CZ62" si="688">+CZ59/CY59-1</f>
        <v>2.869536832756614E-2</v>
      </c>
      <c r="DA62" s="40">
        <f t="shared" ref="DA62" si="689">+DA59/CZ59-1</f>
        <v>4.9901408519625656E-2</v>
      </c>
      <c r="DB62" s="40">
        <f t="shared" ref="DB62" si="690">+DB59/DA59-1</f>
        <v>3.2192900616819342E-2</v>
      </c>
      <c r="DE62" s="122"/>
    </row>
    <row r="63" spans="1:110" s="75" customFormat="1" x14ac:dyDescent="0.2">
      <c r="A63" s="23" t="s">
        <v>23</v>
      </c>
      <c r="B63" s="75">
        <f>'Annual Raw'!C32</f>
        <v>0</v>
      </c>
      <c r="C63" s="75">
        <f>'Annual Raw'!D32</f>
        <v>0</v>
      </c>
      <c r="D63" s="75">
        <f>'Annual Raw'!E32</f>
        <v>0</v>
      </c>
      <c r="E63" s="75">
        <f>'Annual Raw'!F32</f>
        <v>0</v>
      </c>
      <c r="F63" s="75">
        <f>'Annual Raw'!G32</f>
        <v>0</v>
      </c>
      <c r="G63" s="75">
        <f>'Annual Raw'!H32</f>
        <v>0</v>
      </c>
      <c r="H63" s="75">
        <f>'Annual Raw'!I32</f>
        <v>0</v>
      </c>
      <c r="I63" s="75">
        <f>'Annual Raw'!J32</f>
        <v>0</v>
      </c>
      <c r="J63" s="75">
        <f>'Annual Raw'!K32</f>
        <v>0</v>
      </c>
      <c r="K63" s="75">
        <f>'Annual Raw'!L32</f>
        <v>0</v>
      </c>
      <c r="L63" s="75">
        <f>'Annual Raw'!M32</f>
        <v>0</v>
      </c>
      <c r="M63" s="75">
        <f>'Annual Raw'!N32</f>
        <v>0</v>
      </c>
      <c r="N63" s="75">
        <f>'Annual Raw'!O32</f>
        <v>-11.5099</v>
      </c>
      <c r="O63" s="75">
        <f>'Annual Raw'!P32</f>
        <v>-0.68869999999999998</v>
      </c>
      <c r="P63" s="75">
        <f>'Annual Raw'!Q32</f>
        <v>-1.0019</v>
      </c>
      <c r="Q63" s="75">
        <f>'Annual Raw'!R32</f>
        <v>0</v>
      </c>
      <c r="R63" s="75">
        <f>'Annual Raw'!S32</f>
        <v>0</v>
      </c>
      <c r="S63" s="75">
        <f>'Annual Raw'!T32</f>
        <v>0</v>
      </c>
      <c r="T63" s="75">
        <f>'Annual Raw'!U32</f>
        <v>0</v>
      </c>
      <c r="U63" s="75">
        <f>'Annual Raw'!V32</f>
        <v>0</v>
      </c>
      <c r="V63" s="75">
        <f>'Annual Raw'!W32</f>
        <v>0</v>
      </c>
      <c r="W63" s="75">
        <f>'Annual Raw'!X32</f>
        <v>0</v>
      </c>
      <c r="X63" s="75">
        <f>'Annual Raw'!Y32</f>
        <v>0</v>
      </c>
      <c r="Y63" s="75">
        <f>'Annual Raw'!Z32</f>
        <v>0</v>
      </c>
      <c r="Z63" s="75">
        <f>'Annual Raw'!AA32</f>
        <v>0</v>
      </c>
      <c r="AA63" s="75">
        <f>'Annual Raw'!AB32</f>
        <v>0</v>
      </c>
      <c r="AB63" s="76">
        <f t="shared" ref="AB63:AB64" si="691">+SUM(CM63:CP63)</f>
        <v>0</v>
      </c>
      <c r="AC63" s="76">
        <f t="shared" ref="AC63:AC64" si="692">+SUM(CQ63:CT63)</f>
        <v>0</v>
      </c>
      <c r="AD63" s="76">
        <f t="shared" ref="AD63:AD64" si="693">+SUM(CU63:CX63)</f>
        <v>0</v>
      </c>
      <c r="AE63" s="76">
        <f t="shared" ref="AE63:AE64" si="694">+SUM(CY63:DB63)</f>
        <v>0</v>
      </c>
      <c r="AI63" s="75">
        <f>'QTR Raw'!C34</f>
        <v>0</v>
      </c>
      <c r="AJ63" s="75">
        <f>'QTR Raw'!D34</f>
        <v>0</v>
      </c>
      <c r="AK63" s="75">
        <f>'QTR Raw'!E34</f>
        <v>0</v>
      </c>
      <c r="AL63" s="75">
        <f>'QTR Raw'!F34</f>
        <v>0</v>
      </c>
      <c r="AM63" s="75">
        <f>'QTR Raw'!G34</f>
        <v>0</v>
      </c>
      <c r="AN63" s="75">
        <f>'QTR Raw'!H34</f>
        <v>0</v>
      </c>
      <c r="AO63" s="75">
        <f>'QTR Raw'!I34</f>
        <v>0</v>
      </c>
      <c r="AP63" s="75">
        <f>'QTR Raw'!J34</f>
        <v>0</v>
      </c>
      <c r="AQ63" s="75">
        <f>'QTR Raw'!K34</f>
        <v>0.58499999999999996</v>
      </c>
      <c r="AR63" s="75">
        <f>'QTR Raw'!L34</f>
        <v>4.29</v>
      </c>
      <c r="AS63" s="75">
        <f>'QTR Raw'!M34</f>
        <v>2.0249999999999999</v>
      </c>
      <c r="AT63" s="75">
        <f>'QTR Raw'!N34</f>
        <v>-7.9020000000000001</v>
      </c>
      <c r="AU63" s="75">
        <f>'QTR Raw'!O34</f>
        <v>6.8049999999999997</v>
      </c>
      <c r="AV63" s="75">
        <f>'QTR Raw'!P34</f>
        <v>0</v>
      </c>
      <c r="AW63" s="75">
        <f>'QTR Raw'!Q34</f>
        <v>0</v>
      </c>
      <c r="AX63" s="75">
        <f>'QTR Raw'!R34</f>
        <v>0</v>
      </c>
      <c r="AY63" s="75">
        <f>'QTR Raw'!S34</f>
        <v>0</v>
      </c>
      <c r="AZ63" s="75">
        <f>'QTR Raw'!T34</f>
        <v>0</v>
      </c>
      <c r="BA63" s="75">
        <f>'QTR Raw'!U34</f>
        <v>0</v>
      </c>
      <c r="BB63" s="75">
        <f>'QTR Raw'!V34</f>
        <v>0</v>
      </c>
      <c r="BC63" s="75">
        <f>'QTR Raw'!W34</f>
        <v>0</v>
      </c>
      <c r="BD63" s="75">
        <f>'QTR Raw'!X34</f>
        <v>0</v>
      </c>
      <c r="BE63" s="75">
        <f>'QTR Raw'!Y34</f>
        <v>0</v>
      </c>
      <c r="BF63" s="75">
        <f>'QTR Raw'!Z34</f>
        <v>0</v>
      </c>
      <c r="BG63" s="75">
        <f>'QTR Raw'!AA34</f>
        <v>0</v>
      </c>
      <c r="BH63" s="75">
        <f>'QTR Raw'!AB34</f>
        <v>0</v>
      </c>
      <c r="BI63" s="75">
        <f>'QTR Raw'!AC34</f>
        <v>0</v>
      </c>
      <c r="BJ63" s="75">
        <f>'QTR Raw'!AD34</f>
        <v>0</v>
      </c>
      <c r="BK63" s="75">
        <f>'QTR Raw'!AE34</f>
        <v>0</v>
      </c>
      <c r="BL63" s="75">
        <f>'QTR Raw'!AF34</f>
        <v>0</v>
      </c>
      <c r="BM63" s="75">
        <f>'QTR Raw'!AG34</f>
        <v>0</v>
      </c>
      <c r="BN63" s="75">
        <f>'QTR Raw'!AH34</f>
        <v>0</v>
      </c>
      <c r="BO63" s="75">
        <f>'QTR Raw'!AI34</f>
        <v>0</v>
      </c>
      <c r="BP63" s="75">
        <f>'QTR Raw'!AJ34</f>
        <v>0</v>
      </c>
      <c r="BQ63" s="75">
        <f>'QTR Raw'!AK34</f>
        <v>0</v>
      </c>
      <c r="BR63" s="75">
        <f>'QTR Raw'!AL34</f>
        <v>0</v>
      </c>
      <c r="BS63" s="75">
        <f>'QTR Raw'!AM34</f>
        <v>0</v>
      </c>
      <c r="BT63" s="75">
        <f>'QTR Raw'!AN34</f>
        <v>0</v>
      </c>
      <c r="BU63" s="75">
        <f>'QTR Raw'!AO34</f>
        <v>0</v>
      </c>
      <c r="BV63" s="75">
        <f>'QTR Raw'!AP34</f>
        <v>0</v>
      </c>
      <c r="BW63" s="75">
        <f>'QTR Raw'!AQ34</f>
        <v>0</v>
      </c>
      <c r="BX63" s="75">
        <f>'QTR Raw'!AR34</f>
        <v>0</v>
      </c>
      <c r="BY63" s="75">
        <f>'QTR Raw'!AS34</f>
        <v>0</v>
      </c>
      <c r="BZ63" s="75">
        <f>'QTR Raw'!AT34</f>
        <v>0</v>
      </c>
      <c r="CA63" s="75">
        <f>'QTR Raw'!AU34</f>
        <v>0</v>
      </c>
      <c r="CB63" s="75">
        <f>'QTR Raw'!AV34</f>
        <v>0</v>
      </c>
      <c r="CC63" s="75">
        <f>'QTR Raw'!AW34</f>
        <v>0</v>
      </c>
      <c r="CD63" s="75">
        <f>'QTR Raw'!AX34</f>
        <v>0</v>
      </c>
      <c r="CE63" s="75">
        <f>'QTR Raw'!AY34</f>
        <v>0</v>
      </c>
      <c r="CF63" s="75">
        <f>'QTR Raw'!AZ34</f>
        <v>0</v>
      </c>
      <c r="CG63" s="75">
        <f>'QTR Raw'!BA34</f>
        <v>0</v>
      </c>
      <c r="CH63" s="75">
        <f>'QTR Raw'!BB34</f>
        <v>0</v>
      </c>
      <c r="CI63" s="75">
        <f>'QTR Raw'!BC34</f>
        <v>0</v>
      </c>
      <c r="CJ63" s="75">
        <f>'QTR Raw'!BD34</f>
        <v>0</v>
      </c>
      <c r="CK63" s="75">
        <f>'QTR Raw'!BE34</f>
        <v>0</v>
      </c>
      <c r="CL63" s="75">
        <f>'QTR Raw'!BF34</f>
        <v>0</v>
      </c>
      <c r="CM63" s="76">
        <f t="shared" ref="CM63:CM64" si="695">+CL63</f>
        <v>0</v>
      </c>
      <c r="CN63" s="76">
        <f t="shared" ref="CN63:CN64" si="696">+CM63</f>
        <v>0</v>
      </c>
      <c r="CO63" s="76">
        <f t="shared" ref="CO63:CO64" si="697">+CN63</f>
        <v>0</v>
      </c>
      <c r="CP63" s="76">
        <f t="shared" ref="CP63:CP64" si="698">+CO63</f>
        <v>0</v>
      </c>
      <c r="CQ63" s="76">
        <f t="shared" ref="CQ63:CQ64" si="699">+CP63</f>
        <v>0</v>
      </c>
      <c r="CR63" s="76">
        <f t="shared" ref="CR63:CR64" si="700">+CQ63</f>
        <v>0</v>
      </c>
      <c r="CS63" s="76">
        <f t="shared" ref="CS63:CS64" si="701">+CR63</f>
        <v>0</v>
      </c>
      <c r="CT63" s="76">
        <f t="shared" ref="CT63:CT64" si="702">+CS63</f>
        <v>0</v>
      </c>
      <c r="CU63" s="76">
        <f t="shared" ref="CU63:CU64" si="703">+CT63</f>
        <v>0</v>
      </c>
      <c r="CV63" s="76">
        <f t="shared" ref="CV63:CV64" si="704">+CU63</f>
        <v>0</v>
      </c>
      <c r="CW63" s="76">
        <f t="shared" ref="CW63:CW64" si="705">+CV63</f>
        <v>0</v>
      </c>
      <c r="CX63" s="76">
        <f t="shared" ref="CX63:CX64" si="706">+CW63</f>
        <v>0</v>
      </c>
      <c r="CY63" s="76">
        <f t="shared" ref="CY63:CY64" si="707">+CX63</f>
        <v>0</v>
      </c>
      <c r="CZ63" s="76">
        <f t="shared" ref="CZ63:CZ64" si="708">+CY63</f>
        <v>0</v>
      </c>
      <c r="DA63" s="76">
        <f t="shared" ref="DA63:DA64" si="709">+CZ63</f>
        <v>0</v>
      </c>
      <c r="DB63" s="76">
        <f t="shared" ref="DB63:DB64" si="710">+DA63</f>
        <v>0</v>
      </c>
      <c r="DE63" s="131"/>
      <c r="DF63" s="75">
        <v>0</v>
      </c>
    </row>
    <row r="64" spans="1:110" s="75" customFormat="1" x14ac:dyDescent="0.2">
      <c r="A64" s="23" t="s">
        <v>24</v>
      </c>
      <c r="B64" s="75">
        <f>'Annual Raw'!C33+'Annual Raw'!C28</f>
        <v>0</v>
      </c>
      <c r="C64" s="75">
        <f>'Annual Raw'!D33+'Annual Raw'!D28</f>
        <v>0</v>
      </c>
      <c r="D64" s="75">
        <f>'Annual Raw'!E33+'Annual Raw'!E28</f>
        <v>0</v>
      </c>
      <c r="E64" s="75">
        <f>'Annual Raw'!F33+'Annual Raw'!F28</f>
        <v>0</v>
      </c>
      <c r="F64" s="75">
        <f>'Annual Raw'!G33+'Annual Raw'!G28</f>
        <v>0</v>
      </c>
      <c r="G64" s="75">
        <f>'Annual Raw'!H33+'Annual Raw'!H28</f>
        <v>0</v>
      </c>
      <c r="H64" s="75">
        <f>'Annual Raw'!I33+'Annual Raw'!I28</f>
        <v>0</v>
      </c>
      <c r="I64" s="75">
        <f>'Annual Raw'!J33+'Annual Raw'!J28</f>
        <v>0</v>
      </c>
      <c r="J64" s="75">
        <f>'Annual Raw'!K33+'Annual Raw'!K28</f>
        <v>0</v>
      </c>
      <c r="K64" s="75">
        <f>'Annual Raw'!L33+'Annual Raw'!L28</f>
        <v>0</v>
      </c>
      <c r="L64" s="75">
        <f>'Annual Raw'!M33+'Annual Raw'!M28</f>
        <v>1.2887999999999999</v>
      </c>
      <c r="M64" s="75">
        <f>'Annual Raw'!N33+'Annual Raw'!N28</f>
        <v>0.30869999999999997</v>
      </c>
      <c r="N64" s="75">
        <f>'Annual Raw'!O33+'Annual Raw'!O28</f>
        <v>4.7199999999999999E-2</v>
      </c>
      <c r="O64" s="75">
        <f>'Annual Raw'!P33+'Annual Raw'!P28</f>
        <v>0.1542</v>
      </c>
      <c r="P64" s="75">
        <f>'Annual Raw'!Q33+'Annual Raw'!Q28</f>
        <v>0.2039</v>
      </c>
      <c r="Q64" s="75">
        <f>'Annual Raw'!R33+'Annual Raw'!R28</f>
        <v>2.9733000000000001</v>
      </c>
      <c r="R64" s="75">
        <f>'Annual Raw'!S33+'Annual Raw'!S28</f>
        <v>4.0838999999999999</v>
      </c>
      <c r="S64" s="75">
        <f>'Annual Raw'!T33+'Annual Raw'!T28</f>
        <v>2.7042000000000002</v>
      </c>
      <c r="T64" s="75">
        <f>'Annual Raw'!U33+'Annual Raw'!U28</f>
        <v>3.8589000000000002</v>
      </c>
      <c r="U64" s="75">
        <f>'Annual Raw'!V33+'Annual Raw'!V28</f>
        <v>1.5769</v>
      </c>
      <c r="V64" s="75">
        <f>'Annual Raw'!W33+'Annual Raw'!W28</f>
        <v>1.8738999999999999</v>
      </c>
      <c r="W64" s="75">
        <f>'Annual Raw'!X33+'Annual Raw'!X28</f>
        <v>1.4422999999999999</v>
      </c>
      <c r="X64" s="75">
        <f>'Annual Raw'!Y33+'Annual Raw'!Y28</f>
        <v>3.25</v>
      </c>
      <c r="Y64" s="75">
        <f>'Annual Raw'!Z33+'Annual Raw'!Z28</f>
        <v>6.41</v>
      </c>
      <c r="Z64" s="75">
        <f>'Annual Raw'!AA33+'Annual Raw'!AA28</f>
        <v>8.1300000000000008</v>
      </c>
      <c r="AA64" s="75">
        <f>'Annual Raw'!AB33+'Annual Raw'!AB28</f>
        <v>0.61</v>
      </c>
      <c r="AB64" s="76">
        <f t="shared" si="691"/>
        <v>0</v>
      </c>
      <c r="AC64" s="76">
        <f t="shared" si="692"/>
        <v>0</v>
      </c>
      <c r="AD64" s="76">
        <f t="shared" si="693"/>
        <v>0</v>
      </c>
      <c r="AE64" s="76">
        <f t="shared" si="694"/>
        <v>0</v>
      </c>
      <c r="AI64" s="75">
        <f>'QTR Raw'!C35</f>
        <v>0</v>
      </c>
      <c r="AJ64" s="75">
        <f>'QTR Raw'!D35</f>
        <v>0</v>
      </c>
      <c r="AK64" s="75">
        <f>'QTR Raw'!E35</f>
        <v>0</v>
      </c>
      <c r="AL64" s="75">
        <f>'QTR Raw'!F35</f>
        <v>0</v>
      </c>
      <c r="AM64" s="75">
        <f>'QTR Raw'!G35</f>
        <v>0</v>
      </c>
      <c r="AN64" s="75">
        <f>'QTR Raw'!H35</f>
        <v>0</v>
      </c>
      <c r="AO64" s="75">
        <f>'QTR Raw'!I35</f>
        <v>0</v>
      </c>
      <c r="AP64" s="75">
        <f>'QTR Raw'!J35</f>
        <v>0</v>
      </c>
      <c r="AQ64" s="75">
        <f>'QTR Raw'!K35</f>
        <v>5.0999999999999997E-2</v>
      </c>
      <c r="AR64" s="75">
        <f>'QTR Raw'!L35</f>
        <v>-8.0000000000000002E-3</v>
      </c>
      <c r="AS64" s="75">
        <f>'QTR Raw'!M35</f>
        <v>0.11</v>
      </c>
      <c r="AT64" s="75">
        <f>'QTR Raw'!N35</f>
        <v>5.0999999999999997E-2</v>
      </c>
      <c r="AU64" s="75">
        <f>'QTR Raw'!O35</f>
        <v>0.19500000000000001</v>
      </c>
      <c r="AV64" s="75">
        <f>'QTR Raw'!P35</f>
        <v>0.79200000000000004</v>
      </c>
      <c r="AW64" s="75">
        <f>'QTR Raw'!Q35</f>
        <v>0.65900000000000003</v>
      </c>
      <c r="AX64" s="75">
        <f>'QTR Raw'!R35</f>
        <v>1.327</v>
      </c>
      <c r="AY64" s="75">
        <f>'QTR Raw'!S35</f>
        <v>0.28100000000000003</v>
      </c>
      <c r="AZ64" s="75">
        <f>'QTR Raw'!T35</f>
        <v>0.52400000000000002</v>
      </c>
      <c r="BA64" s="75">
        <f>'QTR Raw'!U35</f>
        <v>0.76100000000000001</v>
      </c>
      <c r="BB64" s="75">
        <f>'QTR Raw'!V35</f>
        <v>2.5179999999999998</v>
      </c>
      <c r="BC64" s="75">
        <f>'QTR Raw'!W35</f>
        <v>0.33700000000000002</v>
      </c>
      <c r="BD64" s="75">
        <f>'QTR Raw'!X35</f>
        <v>-4.2000000000000003E-2</v>
      </c>
      <c r="BE64" s="75">
        <f>'QTR Raw'!Y35</f>
        <v>0.99</v>
      </c>
      <c r="BF64" s="75">
        <f>'QTR Raw'!Z35</f>
        <v>1.4179999999999999</v>
      </c>
      <c r="BG64" s="75">
        <f>'QTR Raw'!AA35</f>
        <v>0.59699999999999998</v>
      </c>
      <c r="BH64" s="75">
        <f>'QTR Raw'!AB35</f>
        <v>0.73699999999999999</v>
      </c>
      <c r="BI64" s="75">
        <f>'QTR Raw'!AC35</f>
        <v>1.2130000000000001</v>
      </c>
      <c r="BJ64" s="75">
        <f>'QTR Raw'!AD35</f>
        <v>1.3129999999999999</v>
      </c>
      <c r="BK64" s="75">
        <f>'QTR Raw'!AE35</f>
        <v>0.16200000000000001</v>
      </c>
      <c r="BL64" s="75">
        <f>'QTR Raw'!AF35</f>
        <v>0.74199999999999999</v>
      </c>
      <c r="BM64" s="75">
        <f>'QTR Raw'!AG35</f>
        <v>0.47699999999999998</v>
      </c>
      <c r="BN64" s="75">
        <f>'QTR Raw'!AH35</f>
        <v>0.19600000000000001</v>
      </c>
      <c r="BO64" s="75">
        <f>'QTR Raw'!AI35</f>
        <v>0.84399999999999997</v>
      </c>
      <c r="BP64" s="75">
        <f>'QTR Raw'!AJ35</f>
        <v>0.46</v>
      </c>
      <c r="BQ64" s="75">
        <f>'QTR Raw'!AK35</f>
        <v>0.52800000000000002</v>
      </c>
      <c r="BR64" s="75">
        <f>'QTR Raw'!AL35</f>
        <v>4.2000000000000003E-2</v>
      </c>
      <c r="BS64" s="75">
        <f>'QTR Raw'!AM35</f>
        <v>0.28999999999999998</v>
      </c>
      <c r="BT64" s="75">
        <f>'QTR Raw'!AN35</f>
        <v>0.20799999999999999</v>
      </c>
      <c r="BU64" s="75">
        <f>'QTR Raw'!AO35</f>
        <v>0.315</v>
      </c>
      <c r="BV64" s="75">
        <f>'QTR Raw'!AP35</f>
        <v>0.629</v>
      </c>
      <c r="BW64" s="75">
        <f>'QTR Raw'!AQ35</f>
        <v>-0.22</v>
      </c>
      <c r="BX64" s="75">
        <f>'QTR Raw'!AR35</f>
        <v>1.01</v>
      </c>
      <c r="BY64" s="75">
        <f>'QTR Raw'!AS35</f>
        <v>0.82</v>
      </c>
      <c r="BZ64" s="75">
        <f>'QTR Raw'!AT35</f>
        <v>1.63</v>
      </c>
      <c r="CA64" s="75">
        <f>'QTR Raw'!AU35</f>
        <v>0.89</v>
      </c>
      <c r="CB64" s="75">
        <f>'QTR Raw'!AV35</f>
        <v>1.79</v>
      </c>
      <c r="CC64" s="75">
        <f>'QTR Raw'!AW35</f>
        <v>1.25</v>
      </c>
      <c r="CD64" s="75">
        <f>'QTR Raw'!AX35</f>
        <v>2.4700000000000002</v>
      </c>
      <c r="CE64" s="75">
        <f>'QTR Raw'!AY35</f>
        <v>2.46</v>
      </c>
      <c r="CF64" s="75">
        <f>'QTR Raw'!AZ35</f>
        <v>2.17</v>
      </c>
      <c r="CG64" s="75">
        <f>'QTR Raw'!BA35</f>
        <v>1.02</v>
      </c>
      <c r="CH64" s="75">
        <f>'QTR Raw'!BB35</f>
        <v>2.48</v>
      </c>
      <c r="CI64" s="75">
        <f>'QTR Raw'!BC35</f>
        <v>0.61</v>
      </c>
      <c r="CJ64" s="75">
        <f>'QTR Raw'!BD35</f>
        <v>0</v>
      </c>
      <c r="CK64" s="75">
        <f>'QTR Raw'!BE35</f>
        <v>0</v>
      </c>
      <c r="CL64" s="75">
        <f>'QTR Raw'!BF35</f>
        <v>0</v>
      </c>
      <c r="CM64" s="76">
        <f t="shared" si="695"/>
        <v>0</v>
      </c>
      <c r="CN64" s="76">
        <f t="shared" si="696"/>
        <v>0</v>
      </c>
      <c r="CO64" s="76">
        <f t="shared" si="697"/>
        <v>0</v>
      </c>
      <c r="CP64" s="76">
        <f t="shared" si="698"/>
        <v>0</v>
      </c>
      <c r="CQ64" s="76">
        <f t="shared" si="699"/>
        <v>0</v>
      </c>
      <c r="CR64" s="76">
        <f t="shared" si="700"/>
        <v>0</v>
      </c>
      <c r="CS64" s="76">
        <f t="shared" si="701"/>
        <v>0</v>
      </c>
      <c r="CT64" s="76">
        <f t="shared" si="702"/>
        <v>0</v>
      </c>
      <c r="CU64" s="76">
        <f t="shared" si="703"/>
        <v>0</v>
      </c>
      <c r="CV64" s="76">
        <f t="shared" si="704"/>
        <v>0</v>
      </c>
      <c r="CW64" s="76">
        <f t="shared" si="705"/>
        <v>0</v>
      </c>
      <c r="CX64" s="76">
        <f t="shared" si="706"/>
        <v>0</v>
      </c>
      <c r="CY64" s="76">
        <f t="shared" si="707"/>
        <v>0</v>
      </c>
      <c r="CZ64" s="76">
        <f t="shared" si="708"/>
        <v>0</v>
      </c>
      <c r="DA64" s="76">
        <f t="shared" si="709"/>
        <v>0</v>
      </c>
      <c r="DB64" s="76">
        <f t="shared" si="710"/>
        <v>0</v>
      </c>
      <c r="DE64" s="131"/>
      <c r="DF64" s="75">
        <v>0.61</v>
      </c>
    </row>
    <row r="65" spans="1:110" s="23" customFormat="1" x14ac:dyDescent="0.2">
      <c r="A65" s="23" t="s">
        <v>19</v>
      </c>
      <c r="B65" s="75">
        <f>'Annual Raw'!C29+'Annual Raw'!C31+'Annual Raw'!C34+'Annual Raw'!C36</f>
        <v>0</v>
      </c>
      <c r="C65" s="75">
        <f>'Annual Raw'!D29+'Annual Raw'!D31+'Annual Raw'!D34+'Annual Raw'!D36</f>
        <v>0</v>
      </c>
      <c r="D65" s="75">
        <f>'Annual Raw'!E29+'Annual Raw'!E31+'Annual Raw'!E34+'Annual Raw'!E36</f>
        <v>0</v>
      </c>
      <c r="E65" s="75">
        <f>'Annual Raw'!F29+'Annual Raw'!F31+'Annual Raw'!F34+'Annual Raw'!F36</f>
        <v>0</v>
      </c>
      <c r="F65" s="75">
        <f>'Annual Raw'!G29+'Annual Raw'!G31+'Annual Raw'!G34+'Annual Raw'!G36</f>
        <v>-6.0542999999999996</v>
      </c>
      <c r="G65" s="75">
        <f>'Annual Raw'!H29+'Annual Raw'!H31+'Annual Raw'!H34+'Annual Raw'!H36</f>
        <v>-3.5564</v>
      </c>
      <c r="H65" s="75">
        <f>'Annual Raw'!I29+'Annual Raw'!I31+'Annual Raw'!I34+'Annual Raw'!I36</f>
        <v>-2.2976999999999999</v>
      </c>
      <c r="I65" s="75">
        <f>'Annual Raw'!J29+'Annual Raw'!J31+'Annual Raw'!J34+'Annual Raw'!J36</f>
        <v>0</v>
      </c>
      <c r="J65" s="75">
        <f>'Annual Raw'!K29+'Annual Raw'!K31+'Annual Raw'!K34+'Annual Raw'!K36</f>
        <v>0</v>
      </c>
      <c r="K65" s="75">
        <f>'Annual Raw'!L29+'Annual Raw'!L31+'Annual Raw'!L34+'Annual Raw'!L36</f>
        <v>0</v>
      </c>
      <c r="L65" s="75">
        <f>'Annual Raw'!M29+'Annual Raw'!M31+'Annual Raw'!M34+'Annual Raw'!M36</f>
        <v>0</v>
      </c>
      <c r="M65" s="75">
        <f>'Annual Raw'!N29+'Annual Raw'!N31+'Annual Raw'!N34+'Annual Raw'!N36</f>
        <v>1.7496</v>
      </c>
      <c r="N65" s="75">
        <f>'Annual Raw'!O29+'Annual Raw'!O31+'Annual Raw'!O34+'Annual Raw'!O36</f>
        <v>-26.6829</v>
      </c>
      <c r="O65" s="75">
        <f>'Annual Raw'!P29+'Annual Raw'!P31+'Annual Raw'!P34+'Annual Raw'!P36</f>
        <v>0</v>
      </c>
      <c r="P65" s="75">
        <f>'Annual Raw'!Q29+'Annual Raw'!Q31+'Annual Raw'!Q34+'Annual Raw'!Q36</f>
        <v>0</v>
      </c>
      <c r="Q65" s="75">
        <f>'Annual Raw'!R29+'Annual Raw'!R31+'Annual Raw'!R34+'Annual Raw'!R36</f>
        <v>0</v>
      </c>
      <c r="R65" s="75">
        <f>'Annual Raw'!S29+'Annual Raw'!S31+'Annual Raw'!S34+'Annual Raw'!S36</f>
        <v>0</v>
      </c>
      <c r="S65" s="75">
        <f>'Annual Raw'!T29+'Annual Raw'!T31+'Annual Raw'!T34+'Annual Raw'!T36</f>
        <v>0</v>
      </c>
      <c r="T65" s="75">
        <f>'Annual Raw'!U29+'Annual Raw'!U31+'Annual Raw'!U34+'Annual Raw'!U36</f>
        <v>0</v>
      </c>
      <c r="U65" s="75">
        <f>'Annual Raw'!V29+'Annual Raw'!V31+'Annual Raw'!V34+'Annual Raw'!V36</f>
        <v>0</v>
      </c>
      <c r="V65" s="75">
        <f>'Annual Raw'!W29+'Annual Raw'!W31+'Annual Raw'!W34+'Annual Raw'!W36</f>
        <v>0</v>
      </c>
      <c r="W65" s="75">
        <f>'Annual Raw'!X29+'Annual Raw'!X31+'Annual Raw'!X34+'Annual Raw'!X36</f>
        <v>0</v>
      </c>
      <c r="X65" s="75">
        <f>'Annual Raw'!Y29+'Annual Raw'!Y31+'Annual Raw'!Y34+'Annual Raw'!Y36</f>
        <v>0</v>
      </c>
      <c r="Y65" s="75">
        <f>'Annual Raw'!Z29+'Annual Raw'!Z31+'Annual Raw'!Z34+'Annual Raw'!Z36</f>
        <v>0</v>
      </c>
      <c r="Z65" s="75">
        <f>'Annual Raw'!AA29+'Annual Raw'!AA31+'Annual Raw'!AA34+'Annual Raw'!AA36</f>
        <v>0</v>
      </c>
      <c r="AA65" s="75">
        <f>'Annual Raw'!AB29+'Annual Raw'!AB31+'Annual Raw'!AB34+'Annual Raw'!AB36</f>
        <v>-21.3</v>
      </c>
      <c r="AB65" s="76">
        <f>+SUM(CM65:CP65)</f>
        <v>0</v>
      </c>
      <c r="AC65" s="76">
        <f>+SUM(CQ65:CT65)</f>
        <v>0</v>
      </c>
      <c r="AD65" s="76">
        <f>+SUM(CU65:CX65)</f>
        <v>0</v>
      </c>
      <c r="AE65" s="76">
        <f>+SUM(CY65:DB65)</f>
        <v>0</v>
      </c>
      <c r="AI65" s="75">
        <f>'QTR Raw'!C26+'QTR Raw'!C31+'QTR Raw'!C32+'QTR Raw'!C33+'QTR Raw'!C36+'QTR Raw'!C37+'QTR Raw'!C39</f>
        <v>0</v>
      </c>
      <c r="AJ65" s="75">
        <f>'QTR Raw'!D26+'QTR Raw'!D31+'QTR Raw'!D32+'QTR Raw'!D33+'QTR Raw'!D36+'QTR Raw'!D37+'QTR Raw'!D39</f>
        <v>0</v>
      </c>
      <c r="AK65" s="75">
        <f>'QTR Raw'!E26+'QTR Raw'!E31+'QTR Raw'!E32+'QTR Raw'!E33+'QTR Raw'!E36+'QTR Raw'!E37+'QTR Raw'!E39</f>
        <v>0</v>
      </c>
      <c r="AL65" s="75">
        <f>'QTR Raw'!F26+'QTR Raw'!F31+'QTR Raw'!F32+'QTR Raw'!F33+'QTR Raw'!F36+'QTR Raw'!F37+'QTR Raw'!F39</f>
        <v>0</v>
      </c>
      <c r="AM65" s="75">
        <f>'QTR Raw'!G26+'QTR Raw'!G31+'QTR Raw'!G32+'QTR Raw'!G33+'QTR Raw'!G36+'QTR Raw'!G37+'QTR Raw'!G39</f>
        <v>0</v>
      </c>
      <c r="AN65" s="75">
        <f>'QTR Raw'!H26+'QTR Raw'!H31+'QTR Raw'!H32+'QTR Raw'!H33+'QTR Raw'!H36+'QTR Raw'!H37+'QTR Raw'!H39</f>
        <v>0</v>
      </c>
      <c r="AO65" s="75">
        <f>'QTR Raw'!I26+'QTR Raw'!I31+'QTR Raw'!I32+'QTR Raw'!I33+'QTR Raw'!I36+'QTR Raw'!I37+'QTR Raw'!I39</f>
        <v>0</v>
      </c>
      <c r="AP65" s="75">
        <f>'QTR Raw'!J26+'QTR Raw'!J31+'QTR Raw'!J32+'QTR Raw'!J33+'QTR Raw'!J36+'QTR Raw'!J37+'QTR Raw'!J39</f>
        <v>0</v>
      </c>
      <c r="AQ65" s="75">
        <f>'QTR Raw'!K26+'QTR Raw'!K31+'QTR Raw'!K32+'QTR Raw'!K33+'QTR Raw'!K36+'QTR Raw'!K37+'QTR Raw'!K39</f>
        <v>0</v>
      </c>
      <c r="AR65" s="75">
        <f>'QTR Raw'!L26+'QTR Raw'!L31+'QTR Raw'!L32+'QTR Raw'!L33+'QTR Raw'!L36+'QTR Raw'!L37+'QTR Raw'!L39</f>
        <v>0</v>
      </c>
      <c r="AS65" s="75">
        <f>'QTR Raw'!M26+'QTR Raw'!M31+'QTR Raw'!M32+'QTR Raw'!M33+'QTR Raw'!M36+'QTR Raw'!M37+'QTR Raw'!M39</f>
        <v>0</v>
      </c>
      <c r="AT65" s="75">
        <f>'QTR Raw'!N26+'QTR Raw'!N31+'QTR Raw'!N32+'QTR Raw'!N33+'QTR Raw'!N36+'QTR Raw'!N37+'QTR Raw'!N39</f>
        <v>0</v>
      </c>
      <c r="AU65" s="75">
        <f>'QTR Raw'!O26+'QTR Raw'!O31+'QTR Raw'!O32+'QTR Raw'!O33+'QTR Raw'!O36+'QTR Raw'!O37+'QTR Raw'!O39</f>
        <v>0</v>
      </c>
      <c r="AV65" s="75">
        <f>'QTR Raw'!P26+'QTR Raw'!P31+'QTR Raw'!P32+'QTR Raw'!P33+'QTR Raw'!P36+'QTR Raw'!P37+'QTR Raw'!P39</f>
        <v>0</v>
      </c>
      <c r="AW65" s="75">
        <f>'QTR Raw'!Q26+'QTR Raw'!Q31+'QTR Raw'!Q32+'QTR Raw'!Q33+'QTR Raw'!Q36+'QTR Raw'!Q37+'QTR Raw'!Q39</f>
        <v>0</v>
      </c>
      <c r="AX65" s="75">
        <f>'QTR Raw'!R26+'QTR Raw'!R31+'QTR Raw'!R32+'QTR Raw'!R33+'QTR Raw'!R36+'QTR Raw'!R37+'QTR Raw'!R39</f>
        <v>0</v>
      </c>
      <c r="AY65" s="75">
        <f>'QTR Raw'!S26+'QTR Raw'!S31+'QTR Raw'!S32+'QTR Raw'!S33+'QTR Raw'!S36+'QTR Raw'!S37+'QTR Raw'!S39</f>
        <v>0</v>
      </c>
      <c r="AZ65" s="75">
        <f>'QTR Raw'!T26+'QTR Raw'!T31+'QTR Raw'!T32+'QTR Raw'!T33+'QTR Raw'!T36+'QTR Raw'!T37+'QTR Raw'!T39</f>
        <v>0</v>
      </c>
      <c r="BA65" s="75">
        <f>'QTR Raw'!U26+'QTR Raw'!U31+'QTR Raw'!U32+'QTR Raw'!U33+'QTR Raw'!U36+'QTR Raw'!U37+'QTR Raw'!U39</f>
        <v>0</v>
      </c>
      <c r="BB65" s="75">
        <f>'QTR Raw'!V26+'QTR Raw'!V31+'QTR Raw'!V32+'QTR Raw'!V33+'QTR Raw'!V36+'QTR Raw'!V37+'QTR Raw'!V39</f>
        <v>0</v>
      </c>
      <c r="BC65" s="75">
        <f>'QTR Raw'!W26+'QTR Raw'!W31+'QTR Raw'!W32+'QTR Raw'!W33+'QTR Raw'!W36+'QTR Raw'!W37+'QTR Raw'!W39</f>
        <v>0</v>
      </c>
      <c r="BD65" s="75">
        <f>'QTR Raw'!X26+'QTR Raw'!X31+'QTR Raw'!X32+'QTR Raw'!X33+'QTR Raw'!X36+'QTR Raw'!X37+'QTR Raw'!X39</f>
        <v>0</v>
      </c>
      <c r="BE65" s="75">
        <f>'QTR Raw'!Y26+'QTR Raw'!Y31+'QTR Raw'!Y32+'QTR Raw'!Y33+'QTR Raw'!Y36+'QTR Raw'!Y37+'QTR Raw'!Y39</f>
        <v>0</v>
      </c>
      <c r="BF65" s="75">
        <f>'QTR Raw'!Z26+'QTR Raw'!Z31+'QTR Raw'!Z32+'QTR Raw'!Z33+'QTR Raw'!Z36+'QTR Raw'!Z37+'QTR Raw'!Z39</f>
        <v>0</v>
      </c>
      <c r="BG65" s="75">
        <f>'QTR Raw'!AA26+'QTR Raw'!AA31+'QTR Raw'!AA32+'QTR Raw'!AA33+'QTR Raw'!AA36+'QTR Raw'!AA37+'QTR Raw'!AA39</f>
        <v>0</v>
      </c>
      <c r="BH65" s="75">
        <f>'QTR Raw'!AB26+'QTR Raw'!AB31+'QTR Raw'!AB32+'QTR Raw'!AB33+'QTR Raw'!AB36+'QTR Raw'!AB37+'QTR Raw'!AB39</f>
        <v>0</v>
      </c>
      <c r="BI65" s="75">
        <f>'QTR Raw'!AC26+'QTR Raw'!AC31+'QTR Raw'!AC32+'QTR Raw'!AC33+'QTR Raw'!AC36+'QTR Raw'!AC37+'QTR Raw'!AC39</f>
        <v>0</v>
      </c>
      <c r="BJ65" s="75">
        <f>'QTR Raw'!AD26+'QTR Raw'!AD31+'QTR Raw'!AD32+'QTR Raw'!AD33+'QTR Raw'!AD36+'QTR Raw'!AD37+'QTR Raw'!AD39</f>
        <v>0</v>
      </c>
      <c r="BK65" s="75">
        <f>'QTR Raw'!AE26+'QTR Raw'!AE31+'QTR Raw'!AE32+'QTR Raw'!AE33+'QTR Raw'!AE36+'QTR Raw'!AE37+'QTR Raw'!AE39</f>
        <v>0</v>
      </c>
      <c r="BL65" s="75">
        <f>'QTR Raw'!AF26+'QTR Raw'!AF31+'QTR Raw'!AF32+'QTR Raw'!AF33+'QTR Raw'!AF36+'QTR Raw'!AF37+'QTR Raw'!AF39</f>
        <v>0</v>
      </c>
      <c r="BM65" s="75">
        <f>'QTR Raw'!AG26+'QTR Raw'!AG31+'QTR Raw'!AG32+'QTR Raw'!AG33+'QTR Raw'!AG36+'QTR Raw'!AG37+'QTR Raw'!AG39</f>
        <v>0</v>
      </c>
      <c r="BN65" s="75">
        <f>'QTR Raw'!AH26+'QTR Raw'!AH31+'QTR Raw'!AH32+'QTR Raw'!AH33+'QTR Raw'!AH36+'QTR Raw'!AH37+'QTR Raw'!AH39</f>
        <v>0</v>
      </c>
      <c r="BO65" s="75">
        <f>'QTR Raw'!AI26+'QTR Raw'!AI31+'QTR Raw'!AI32+'QTR Raw'!AI33+'QTR Raw'!AI36+'QTR Raw'!AI37+'QTR Raw'!AI39</f>
        <v>0</v>
      </c>
      <c r="BP65" s="75">
        <f>'QTR Raw'!AJ26+'QTR Raw'!AJ31+'QTR Raw'!AJ32+'QTR Raw'!AJ33+'QTR Raw'!AJ36+'QTR Raw'!AJ37+'QTR Raw'!AJ39</f>
        <v>0</v>
      </c>
      <c r="BQ65" s="75">
        <f>'QTR Raw'!AK26+'QTR Raw'!AK31+'QTR Raw'!AK32+'QTR Raw'!AK33+'QTR Raw'!AK36+'QTR Raw'!AK37+'QTR Raw'!AK39</f>
        <v>0</v>
      </c>
      <c r="BR65" s="75">
        <f>'QTR Raw'!AL26+'QTR Raw'!AL31+'QTR Raw'!AL32+'QTR Raw'!AL33+'QTR Raw'!AL36+'QTR Raw'!AL37+'QTR Raw'!AL39</f>
        <v>0</v>
      </c>
      <c r="BS65" s="75">
        <f>'QTR Raw'!AM26+'QTR Raw'!AM31+'QTR Raw'!AM32+'QTR Raw'!AM33+'QTR Raw'!AM36+'QTR Raw'!AM37+'QTR Raw'!AM39</f>
        <v>0</v>
      </c>
      <c r="BT65" s="75">
        <f>'QTR Raw'!AN26+'QTR Raw'!AN31+'QTR Raw'!AN32+'QTR Raw'!AN33+'QTR Raw'!AN36+'QTR Raw'!AN37+'QTR Raw'!AN39</f>
        <v>0</v>
      </c>
      <c r="BU65" s="75">
        <f>'QTR Raw'!AO26+'QTR Raw'!AO31+'QTR Raw'!AO32+'QTR Raw'!AO33+'QTR Raw'!AO36+'QTR Raw'!AO37+'QTR Raw'!AO39</f>
        <v>0</v>
      </c>
      <c r="BV65" s="75">
        <f>'QTR Raw'!AP26+'QTR Raw'!AP31+'QTR Raw'!AP32+'QTR Raw'!AP33+'QTR Raw'!AP36+'QTR Raw'!AP37+'QTR Raw'!AP39</f>
        <v>0</v>
      </c>
      <c r="BW65" s="75">
        <f>'QTR Raw'!AQ26+'QTR Raw'!AQ31+'QTR Raw'!AQ32+'QTR Raw'!AQ33+'QTR Raw'!AQ36+'QTR Raw'!AQ37+'QTR Raw'!AQ39</f>
        <v>0</v>
      </c>
      <c r="BX65" s="75">
        <f>'QTR Raw'!AR26+'QTR Raw'!AR31+'QTR Raw'!AR32+'QTR Raw'!AR33+'QTR Raw'!AR36+'QTR Raw'!AR37+'QTR Raw'!AR39</f>
        <v>0</v>
      </c>
      <c r="BY65" s="75">
        <f>'QTR Raw'!AS26+'QTR Raw'!AS31+'QTR Raw'!AS32+'QTR Raw'!AS33+'QTR Raw'!AS36+'QTR Raw'!AS37+'QTR Raw'!AS39</f>
        <v>0</v>
      </c>
      <c r="BZ65" s="75">
        <f>'QTR Raw'!AT26+'QTR Raw'!AT31+'QTR Raw'!AT32+'QTR Raw'!AT33+'QTR Raw'!AT36+'QTR Raw'!AT37+'QTR Raw'!AT39</f>
        <v>0</v>
      </c>
      <c r="CA65" s="75">
        <f>'QTR Raw'!AU26+'QTR Raw'!AU31+'QTR Raw'!AU32+'QTR Raw'!AU33+'QTR Raw'!AU36+'QTR Raw'!AU37+'QTR Raw'!AU39</f>
        <v>0</v>
      </c>
      <c r="CB65" s="75">
        <f>'QTR Raw'!AV26+'QTR Raw'!AV31+'QTR Raw'!AV32+'QTR Raw'!AV33+'QTR Raw'!AV36+'QTR Raw'!AV37+'QTR Raw'!AV39</f>
        <v>0</v>
      </c>
      <c r="CC65" s="75">
        <f>'QTR Raw'!AW26+'QTR Raw'!AW31+'QTR Raw'!AW32+'QTR Raw'!AW33+'QTR Raw'!AW36+'QTR Raw'!AW37+'QTR Raw'!AW39</f>
        <v>0</v>
      </c>
      <c r="CD65" s="75">
        <f>'QTR Raw'!AX26+'QTR Raw'!AX31+'QTR Raw'!AX32+'QTR Raw'!AX33+'QTR Raw'!AX36+'QTR Raw'!AX37+'QTR Raw'!AX39</f>
        <v>0</v>
      </c>
      <c r="CE65" s="75">
        <f>'QTR Raw'!AY26+'QTR Raw'!AY31+'QTR Raw'!AY32+'QTR Raw'!AY33+'QTR Raw'!AY36+'QTR Raw'!AY37+'QTR Raw'!AY39</f>
        <v>0</v>
      </c>
      <c r="CF65" s="75">
        <f>'QTR Raw'!AZ26+'QTR Raw'!AZ31+'QTR Raw'!AZ32+'QTR Raw'!AZ33+'QTR Raw'!AZ36+'QTR Raw'!AZ37+'QTR Raw'!AZ39</f>
        <v>0</v>
      </c>
      <c r="CG65" s="75">
        <f>'QTR Raw'!BA26+'QTR Raw'!BA31+'QTR Raw'!BA32+'QTR Raw'!BA33+'QTR Raw'!BA36+'QTR Raw'!BA37+'QTR Raw'!BA39</f>
        <v>0</v>
      </c>
      <c r="CH65" s="75">
        <f>'QTR Raw'!BB26+'QTR Raw'!BB31+'QTR Raw'!BB32+'QTR Raw'!BB33+'QTR Raw'!BB36+'QTR Raw'!BB37+'QTR Raw'!BB39</f>
        <v>0</v>
      </c>
      <c r="CI65" s="75">
        <f>'QTR Raw'!BC26+'QTR Raw'!BC31+'QTR Raw'!BC32+'QTR Raw'!BC33+'QTR Raw'!BC36+'QTR Raw'!BC37+'QTR Raw'!BC39</f>
        <v>80.47</v>
      </c>
      <c r="CJ65" s="75">
        <f>'QTR Raw'!BD26+'QTR Raw'!BD31+'QTR Raw'!BD32+'QTR Raw'!BD33+'QTR Raw'!BD36+'QTR Raw'!BD37+'QTR Raw'!BD39</f>
        <v>0</v>
      </c>
      <c r="CK65" s="75">
        <f>'QTR Raw'!BE26+'QTR Raw'!BE31+'QTR Raw'!BE32+'QTR Raw'!BE33+'QTR Raw'!BE36+'QTR Raw'!BE37+'QTR Raw'!BE39</f>
        <v>0</v>
      </c>
      <c r="CL65" s="75">
        <f>'QTR Raw'!BF26+'QTR Raw'!BF31+'QTR Raw'!BF32+'QTR Raw'!BF33+'QTR Raw'!BF36+'QTR Raw'!BF37+'QTR Raw'!BF39</f>
        <v>-101.77</v>
      </c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E65" s="123"/>
      <c r="DF65" s="23">
        <v>-21.299999999999997</v>
      </c>
    </row>
    <row r="66" spans="1:110" s="26" customFormat="1" x14ac:dyDescent="0.2">
      <c r="A66" s="35" t="s">
        <v>25</v>
      </c>
      <c r="B66" s="26">
        <f>B59+B63+B64+B65</f>
        <v>0.34148849999998793</v>
      </c>
      <c r="C66" s="26">
        <f>C59+C63+C64+C65</f>
        <v>-1.4773185000000149</v>
      </c>
      <c r="D66" s="26">
        <f>D59+D63+D64+D65</f>
        <v>1.7377504000000139</v>
      </c>
      <c r="E66" s="26">
        <f t="shared" ref="E66:U66" si="711">E59+E63+E64+E65</f>
        <v>2.1695915000000032</v>
      </c>
      <c r="F66" s="26">
        <f t="shared" si="711"/>
        <v>10.038300000000019</v>
      </c>
      <c r="G66" s="26">
        <f t="shared" si="711"/>
        <v>27.883599999999969</v>
      </c>
      <c r="H66" s="26">
        <f t="shared" si="711"/>
        <v>54.902999999999963</v>
      </c>
      <c r="I66" s="26">
        <f t="shared" si="711"/>
        <v>67.204200000000085</v>
      </c>
      <c r="J66" s="26">
        <f t="shared" si="711"/>
        <v>57.451199999999972</v>
      </c>
      <c r="K66" s="26">
        <f t="shared" si="711"/>
        <v>66.175300000000021</v>
      </c>
      <c r="L66" s="26">
        <f t="shared" si="711"/>
        <v>89.957900000000208</v>
      </c>
      <c r="M66" s="26">
        <f t="shared" si="711"/>
        <v>61.100199999999973</v>
      </c>
      <c r="N66" s="26">
        <f t="shared" si="711"/>
        <v>17.932199999999934</v>
      </c>
      <c r="O66" s="26">
        <f t="shared" si="711"/>
        <v>13.732799999999958</v>
      </c>
      <c r="P66" s="26">
        <f t="shared" si="711"/>
        <v>16.344299999999894</v>
      </c>
      <c r="Q66" s="26">
        <f t="shared" si="711"/>
        <v>37.369199999999914</v>
      </c>
      <c r="R66" s="26">
        <f t="shared" si="711"/>
        <v>10.75020000000012</v>
      </c>
      <c r="S66" s="26">
        <f t="shared" si="711"/>
        <v>7.4850000000000625</v>
      </c>
      <c r="T66" s="26">
        <f t="shared" si="711"/>
        <v>70.109200000000087</v>
      </c>
      <c r="U66" s="26">
        <f t="shared" si="711"/>
        <v>89.701499999999939</v>
      </c>
      <c r="V66" s="26">
        <f t="shared" ref="V66:AA66" si="712">V59+V63+V64+V65</f>
        <v>57.630999999999922</v>
      </c>
      <c r="W66" s="26">
        <f t="shared" si="712"/>
        <v>140.49249999999998</v>
      </c>
      <c r="X66" s="26">
        <f t="shared" si="712"/>
        <v>237.51000000000005</v>
      </c>
      <c r="Y66" s="26">
        <f t="shared" si="712"/>
        <v>355.58000000000015</v>
      </c>
      <c r="Z66" s="26">
        <f t="shared" si="712"/>
        <v>415.10000000000014</v>
      </c>
      <c r="AA66" s="26">
        <f t="shared" si="712"/>
        <v>341.1500000000002</v>
      </c>
      <c r="AB66" s="27">
        <f t="shared" ref="AB66:AD66" si="713">AB59+AB63+AB64+AB65</f>
        <v>416.31998699050541</v>
      </c>
      <c r="AC66" s="27">
        <f t="shared" si="713"/>
        <v>483.28239817138154</v>
      </c>
      <c r="AD66" s="27">
        <f t="shared" si="713"/>
        <v>562.48974423555956</v>
      </c>
      <c r="AE66" s="27">
        <f t="shared" ref="AE66" si="714">AE59+AE63+AE64+AE65</f>
        <v>647.76511908838791</v>
      </c>
      <c r="AI66" s="26">
        <f t="shared" ref="AI66" si="715">AI59+AI63+AI64+AI65</f>
        <v>6.3979999999999677</v>
      </c>
      <c r="AJ66" s="26">
        <f t="shared" ref="AJ66" si="716">AJ59+AJ63+AJ64+AJ65</f>
        <v>22.98299999999999</v>
      </c>
      <c r="AK66" s="26">
        <f t="shared" ref="AK66:AM66" si="717">AK59+AK63+AK64+AK65</f>
        <v>7.0499999999999936</v>
      </c>
      <c r="AL66" s="26">
        <f t="shared" si="717"/>
        <v>11.165999999999984</v>
      </c>
      <c r="AM66" s="26">
        <f t="shared" si="717"/>
        <v>3.2569999999999957</v>
      </c>
      <c r="AN66" s="26">
        <f t="shared" ref="AN66:AO66" si="718">AN59+AN63+AN64+AN65</f>
        <v>8.8329999999999984</v>
      </c>
      <c r="AO66" s="26">
        <f t="shared" si="718"/>
        <v>4.4329999999999972</v>
      </c>
      <c r="AP66" s="26">
        <f t="shared" ref="AP66:CD66" si="719">AP59+AP63+AP64+AP65</f>
        <v>10.904999999999978</v>
      </c>
      <c r="AQ66" s="26">
        <f t="shared" si="719"/>
        <v>-6.6960000000000264</v>
      </c>
      <c r="AR66" s="26">
        <f t="shared" si="719"/>
        <v>-3.0120000000000182</v>
      </c>
      <c r="AS66" s="26">
        <f t="shared" si="719"/>
        <v>-3.7519999999999385</v>
      </c>
      <c r="AT66" s="26">
        <f t="shared" si="719"/>
        <v>31.691000000000013</v>
      </c>
      <c r="AU66" s="26">
        <f t="shared" si="719"/>
        <v>1.9630000000000256</v>
      </c>
      <c r="AV66" s="26">
        <f t="shared" si="719"/>
        <v>7.6289999999999889</v>
      </c>
      <c r="AW66" s="26">
        <f t="shared" si="719"/>
        <v>7.1629999999999656</v>
      </c>
      <c r="AX66" s="26">
        <f t="shared" si="719"/>
        <v>22.975000000000037</v>
      </c>
      <c r="AY66" s="26">
        <f t="shared" si="719"/>
        <v>-2.0380000000000091</v>
      </c>
      <c r="AZ66" s="26">
        <f t="shared" si="719"/>
        <v>-7.4339999999999673</v>
      </c>
      <c r="BA66" s="26">
        <f t="shared" si="719"/>
        <v>-9.4830000000000378</v>
      </c>
      <c r="BB66" s="26">
        <f t="shared" si="719"/>
        <v>30.047999999999981</v>
      </c>
      <c r="BC66" s="26">
        <f t="shared" si="719"/>
        <v>-36.191999999999972</v>
      </c>
      <c r="BD66" s="26">
        <f t="shared" si="719"/>
        <v>-7.3370000000000024</v>
      </c>
      <c r="BE66" s="26">
        <f t="shared" si="719"/>
        <v>-2.3679999999999515</v>
      </c>
      <c r="BF66" s="26">
        <f t="shared" si="719"/>
        <v>53.380999999999965</v>
      </c>
      <c r="BG66" s="26">
        <f t="shared" si="719"/>
        <v>7.51200000000002</v>
      </c>
      <c r="BH66" s="26">
        <f t="shared" si="719"/>
        <v>49.41799999999995</v>
      </c>
      <c r="BI66" s="26">
        <f t="shared" si="719"/>
        <v>3.0440000000000138</v>
      </c>
      <c r="BJ66" s="26">
        <f t="shared" si="719"/>
        <v>10.134000000000023</v>
      </c>
      <c r="BK66" s="26">
        <f t="shared" si="719"/>
        <v>0.45200000000002116</v>
      </c>
      <c r="BL66" s="26">
        <f t="shared" si="719"/>
        <v>9.7689999999999984</v>
      </c>
      <c r="BM66" s="26">
        <f t="shared" si="719"/>
        <v>9.2729999999999908</v>
      </c>
      <c r="BN66" s="26">
        <f t="shared" si="719"/>
        <v>70.204999999999998</v>
      </c>
      <c r="BO66" s="26">
        <f t="shared" si="719"/>
        <v>-20.623999999999988</v>
      </c>
      <c r="BP66" s="26">
        <f t="shared" si="719"/>
        <v>21.957999999999991</v>
      </c>
      <c r="BQ66" s="26">
        <f t="shared" si="719"/>
        <v>24.672000000000018</v>
      </c>
      <c r="BR66" s="26">
        <f t="shared" si="719"/>
        <v>31.622999999999994</v>
      </c>
      <c r="BS66" s="26">
        <f t="shared" si="719"/>
        <v>27.26899999999997</v>
      </c>
      <c r="BT66" s="26">
        <f t="shared" si="719"/>
        <v>35.381000000000029</v>
      </c>
      <c r="BU66" s="26">
        <f t="shared" si="719"/>
        <v>31.539000000000012</v>
      </c>
      <c r="BV66" s="26">
        <f t="shared" si="719"/>
        <v>46.302999999999976</v>
      </c>
      <c r="BW66" s="26">
        <f t="shared" si="719"/>
        <v>42.310000000000031</v>
      </c>
      <c r="BX66" s="26">
        <f t="shared" si="719"/>
        <v>64.499999999999943</v>
      </c>
      <c r="BY66" s="26">
        <f t="shared" si="719"/>
        <v>62.750000000000007</v>
      </c>
      <c r="BZ66" s="26">
        <f t="shared" si="719"/>
        <v>67.940000000000026</v>
      </c>
      <c r="CA66" s="26">
        <f t="shared" si="719"/>
        <v>72.959999999999965</v>
      </c>
      <c r="CB66" s="26">
        <f t="shared" si="719"/>
        <v>88.570000000000007</v>
      </c>
      <c r="CC66" s="26">
        <f t="shared" si="719"/>
        <v>90.400000000000048</v>
      </c>
      <c r="CD66" s="26">
        <f t="shared" si="719"/>
        <v>103.64999999999995</v>
      </c>
      <c r="CE66" s="26">
        <f t="shared" ref="CE66:CF66" si="720">CE59+CE63+CE64+CE65</f>
        <v>73.36</v>
      </c>
      <c r="CF66" s="26">
        <f t="shared" si="720"/>
        <v>87.719999999999956</v>
      </c>
      <c r="CG66" s="26">
        <f t="shared" ref="CG66:CH66" si="721">CG59+CG63+CG64+CG65</f>
        <v>107.53999999999994</v>
      </c>
      <c r="CH66" s="26">
        <f t="shared" si="721"/>
        <v>146.48000000000005</v>
      </c>
      <c r="CI66" s="26">
        <f t="shared" ref="CI66:CJ66" si="722">CI59+CI63+CI64+CI65</f>
        <v>175.43999999999994</v>
      </c>
      <c r="CJ66" s="26">
        <f t="shared" si="722"/>
        <v>87.719999999999985</v>
      </c>
      <c r="CK66" s="26">
        <f t="shared" ref="CK66:CL66" si="723">CK59+CK63+CK64+CK65</f>
        <v>71.990000000000023</v>
      </c>
      <c r="CL66" s="26">
        <f t="shared" si="723"/>
        <v>6.0000000000000568</v>
      </c>
      <c r="CM66" s="27">
        <f t="shared" ref="CM66:DB66" si="724">CM59+CM63+CM64+CM65</f>
        <v>102.72211234072715</v>
      </c>
      <c r="CN66" s="27">
        <f t="shared" si="724"/>
        <v>99.504116180140784</v>
      </c>
      <c r="CO66" s="27">
        <f t="shared" si="724"/>
        <v>102.8235959478029</v>
      </c>
      <c r="CP66" s="27">
        <f t="shared" si="724"/>
        <v>111.27016252183472</v>
      </c>
      <c r="CQ66" s="27">
        <f t="shared" si="724"/>
        <v>115.36650460488605</v>
      </c>
      <c r="CR66" s="27">
        <f t="shared" si="724"/>
        <v>116.96481333089494</v>
      </c>
      <c r="CS66" s="27">
        <f t="shared" si="724"/>
        <v>123.07718983045213</v>
      </c>
      <c r="CT66" s="27">
        <f t="shared" si="724"/>
        <v>127.87389040514849</v>
      </c>
      <c r="CU66" s="27">
        <f t="shared" si="724"/>
        <v>132.98967974930571</v>
      </c>
      <c r="CV66" s="27">
        <f t="shared" si="724"/>
        <v>136.65409163849759</v>
      </c>
      <c r="CW66" s="27">
        <f t="shared" si="724"/>
        <v>143.8820050693792</v>
      </c>
      <c r="CX66" s="27">
        <f t="shared" si="724"/>
        <v>148.96396777837697</v>
      </c>
      <c r="CY66" s="27">
        <f t="shared" si="724"/>
        <v>153.37083842179146</v>
      </c>
      <c r="CZ66" s="27">
        <f t="shared" si="724"/>
        <v>157.7718711210124</v>
      </c>
      <c r="DA66" s="27">
        <f t="shared" si="724"/>
        <v>165.64490971472776</v>
      </c>
      <c r="DB66" s="27">
        <f t="shared" si="724"/>
        <v>170.977499830856</v>
      </c>
      <c r="DE66" s="121"/>
      <c r="DF66" s="26">
        <v>341.15000000000032</v>
      </c>
    </row>
    <row r="67" spans="1:110" s="25" customFormat="1" x14ac:dyDescent="0.2">
      <c r="A67" s="151" t="s">
        <v>486</v>
      </c>
      <c r="AB67" s="17"/>
      <c r="AC67" s="17"/>
      <c r="AD67" s="17"/>
      <c r="AE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E67" s="119"/>
    </row>
    <row r="68" spans="1:110" s="1" customFormat="1" x14ac:dyDescent="0.2">
      <c r="AB68" s="20"/>
      <c r="AC68" s="20"/>
      <c r="AD68" s="20"/>
      <c r="AE68" s="20"/>
      <c r="BV68" s="179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E68" s="119"/>
      <c r="DF68" s="179"/>
    </row>
    <row r="69" spans="1:110" s="22" customFormat="1" x14ac:dyDescent="0.2">
      <c r="A69" s="22" t="s">
        <v>434</v>
      </c>
      <c r="B69" s="22">
        <f>'Annual Raw'!C35</f>
        <v>0.34148849999999997</v>
      </c>
      <c r="C69" s="22">
        <f>'Annual Raw'!D35</f>
        <v>-1.4773185</v>
      </c>
      <c r="D69" s="22">
        <f>'Annual Raw'!E35</f>
        <v>1.7377503999999999</v>
      </c>
      <c r="E69" s="22">
        <f>'Annual Raw'!F35</f>
        <v>2.1695915000000001</v>
      </c>
      <c r="F69" s="22">
        <f>'Annual Raw'!G35</f>
        <v>10.0383</v>
      </c>
      <c r="G69" s="22">
        <f>'Annual Raw'!H35</f>
        <v>27.883600000000001</v>
      </c>
      <c r="H69" s="22">
        <f>'Annual Raw'!I35</f>
        <v>54.902999999999999</v>
      </c>
      <c r="I69" s="22">
        <f>'Annual Raw'!J35</f>
        <v>67.2042</v>
      </c>
      <c r="J69" s="22">
        <f>'Annual Raw'!K35</f>
        <v>57.4512</v>
      </c>
      <c r="K69" s="22">
        <f>'Annual Raw'!L35</f>
        <v>66.175299999999993</v>
      </c>
      <c r="L69" s="22">
        <f>'Annual Raw'!M35</f>
        <v>89.957899999999995</v>
      </c>
      <c r="M69" s="22">
        <f>'Annual Raw'!N35</f>
        <v>61.100200000000001</v>
      </c>
      <c r="N69" s="22">
        <f>'Annual Raw'!O35</f>
        <v>17.932200000000002</v>
      </c>
      <c r="O69" s="22">
        <f>'Annual Raw'!P35</f>
        <v>13.732799999999999</v>
      </c>
      <c r="P69" s="22">
        <f>'Annual Raw'!Q35</f>
        <v>16.3443</v>
      </c>
      <c r="Q69" s="22">
        <f>'Annual Raw'!R35</f>
        <v>37.369199999999999</v>
      </c>
      <c r="R69" s="22">
        <f>'Annual Raw'!S35</f>
        <v>10.7502</v>
      </c>
      <c r="S69" s="22">
        <f>'Annual Raw'!T35</f>
        <v>7.4850000000000003</v>
      </c>
      <c r="T69" s="22">
        <f>'Annual Raw'!U35</f>
        <v>70.109200000000001</v>
      </c>
      <c r="U69" s="22">
        <f>'Annual Raw'!V35</f>
        <v>89.701499999999996</v>
      </c>
      <c r="V69" s="22">
        <f>'Annual Raw'!W35</f>
        <v>57.631</v>
      </c>
      <c r="W69" s="22">
        <f>'Annual Raw'!X35</f>
        <v>140.49250000000001</v>
      </c>
      <c r="X69" s="22">
        <f>'Annual Raw'!Y35</f>
        <v>237.51</v>
      </c>
      <c r="Y69" s="22">
        <f>'Annual Raw'!Z35</f>
        <v>355.58</v>
      </c>
      <c r="Z69" s="22">
        <f>'Annual Raw'!AA35</f>
        <v>415.1</v>
      </c>
      <c r="AA69" s="22">
        <f>'Annual Raw'!AB35</f>
        <v>341.15</v>
      </c>
      <c r="AB69" s="21">
        <f t="shared" ref="AB69:AD69" si="725">+AB66</f>
        <v>416.31998699050541</v>
      </c>
      <c r="AC69" s="21">
        <f t="shared" si="725"/>
        <v>483.28239817138154</v>
      </c>
      <c r="AD69" s="21">
        <f t="shared" si="725"/>
        <v>562.48974423555956</v>
      </c>
      <c r="AE69" s="21">
        <f t="shared" ref="AE69" si="726">+AE66</f>
        <v>647.76511908838791</v>
      </c>
      <c r="AI69" s="22">
        <f>'QTR Raw'!C42</f>
        <v>6.3970000000000002</v>
      </c>
      <c r="AJ69" s="22">
        <f>'QTR Raw'!D42</f>
        <v>22.972999999999999</v>
      </c>
      <c r="AK69" s="22">
        <f>'QTR Raw'!E42</f>
        <v>7.05</v>
      </c>
      <c r="AL69" s="22">
        <f>'QTR Raw'!F42</f>
        <v>11.166</v>
      </c>
      <c r="AM69" s="22">
        <f>'QTR Raw'!G42</f>
        <v>3.2570000000000001</v>
      </c>
      <c r="AN69" s="22">
        <f>'QTR Raw'!H42</f>
        <v>8.8330000000000002</v>
      </c>
      <c r="AO69" s="22">
        <f>'QTR Raw'!I42</f>
        <v>4.4340000000000002</v>
      </c>
      <c r="AP69" s="22">
        <f>'QTR Raw'!J42</f>
        <v>10.904999999999999</v>
      </c>
      <c r="AQ69" s="22">
        <f>'QTR Raw'!K42</f>
        <v>-6.6959999999999997</v>
      </c>
      <c r="AR69" s="22">
        <f>'QTR Raw'!L42</f>
        <v>-3.012</v>
      </c>
      <c r="AS69" s="22">
        <f>'QTR Raw'!M42</f>
        <v>-3.7509999999999999</v>
      </c>
      <c r="AT69" s="22">
        <f>'QTR Raw'!N42</f>
        <v>31.693999999999999</v>
      </c>
      <c r="AU69" s="22">
        <f>'QTR Raw'!O42</f>
        <v>1.964</v>
      </c>
      <c r="AV69" s="22">
        <f>'QTR Raw'!P42</f>
        <v>7.6280000000000001</v>
      </c>
      <c r="AW69" s="22">
        <f>'QTR Raw'!Q42</f>
        <v>7.1630000000000003</v>
      </c>
      <c r="AX69" s="22">
        <f>'QTR Raw'!R42</f>
        <v>22.975000000000001</v>
      </c>
      <c r="AY69" s="22">
        <f>'QTR Raw'!S42</f>
        <v>-2.0369999999999999</v>
      </c>
      <c r="AZ69" s="22">
        <f>'QTR Raw'!T42</f>
        <v>-7.4320000000000004</v>
      </c>
      <c r="BA69" s="22">
        <f>'QTR Raw'!U42</f>
        <v>-9.4819999999999993</v>
      </c>
      <c r="BB69" s="22">
        <f>'QTR Raw'!V42</f>
        <v>30.047000000000001</v>
      </c>
      <c r="BC69" s="22">
        <f>'QTR Raw'!W42</f>
        <v>-36.191000000000003</v>
      </c>
      <c r="BD69" s="22">
        <f>'QTR Raw'!X42</f>
        <v>-7.3369999999999997</v>
      </c>
      <c r="BE69" s="22">
        <f>'QTR Raw'!Y42</f>
        <v>-2.367</v>
      </c>
      <c r="BF69" s="22">
        <f>'QTR Raw'!Z42</f>
        <v>53.38</v>
      </c>
      <c r="BG69" s="22">
        <f>'QTR Raw'!AA42</f>
        <v>7.5140000000000002</v>
      </c>
      <c r="BH69" s="22">
        <f>'QTR Raw'!AB42</f>
        <v>49.418999999999997</v>
      </c>
      <c r="BI69" s="22">
        <f>'QTR Raw'!AC42</f>
        <v>3.0419999999999998</v>
      </c>
      <c r="BJ69" s="22">
        <f>'QTR Raw'!AD42</f>
        <v>10.134</v>
      </c>
      <c r="BK69" s="22">
        <f>'QTR Raw'!AE42</f>
        <v>0.45300000000000001</v>
      </c>
      <c r="BL69" s="22">
        <f>'QTR Raw'!AF42</f>
        <v>9.77</v>
      </c>
      <c r="BM69" s="22">
        <f>'QTR Raw'!AG42</f>
        <v>9.2739999999999991</v>
      </c>
      <c r="BN69" s="22">
        <f>'QTR Raw'!AH42</f>
        <v>70.204999999999998</v>
      </c>
      <c r="BO69" s="22">
        <f>'QTR Raw'!AI42</f>
        <v>-20.625</v>
      </c>
      <c r="BP69" s="22">
        <f>'QTR Raw'!AJ42</f>
        <v>21.957000000000001</v>
      </c>
      <c r="BQ69" s="22">
        <f>'QTR Raw'!AK42</f>
        <v>24.672999999999998</v>
      </c>
      <c r="BR69" s="22">
        <f>'QTR Raw'!AL42</f>
        <v>31.625</v>
      </c>
      <c r="BS69" s="22">
        <f>'QTR Raw'!AM42</f>
        <v>27.268999999999998</v>
      </c>
      <c r="BT69" s="22">
        <f>'QTR Raw'!AN42</f>
        <v>35.380000000000003</v>
      </c>
      <c r="BU69" s="22">
        <f>'QTR Raw'!AO42</f>
        <v>31.539000000000001</v>
      </c>
      <c r="BV69" s="22">
        <f>'QTR Raw'!AP42</f>
        <v>46.304000000000002</v>
      </c>
      <c r="BW69" s="22">
        <f>'QTR Raw'!AQ42</f>
        <v>42.31</v>
      </c>
      <c r="BX69" s="22">
        <f>'QTR Raw'!AR42</f>
        <v>64.5</v>
      </c>
      <c r="BY69" s="22">
        <f>'QTR Raw'!AS42</f>
        <v>62.75</v>
      </c>
      <c r="BZ69" s="22">
        <f>'QTR Raw'!AT42</f>
        <v>67.94</v>
      </c>
      <c r="CA69" s="22">
        <f>'QTR Raw'!AU42</f>
        <v>72.959999999999994</v>
      </c>
      <c r="CB69" s="22">
        <f>'QTR Raw'!AV42</f>
        <v>88.57</v>
      </c>
      <c r="CC69" s="22">
        <f>'QTR Raw'!AW42</f>
        <v>90.4</v>
      </c>
      <c r="CD69" s="22">
        <f>'QTR Raw'!AX42</f>
        <v>103.65</v>
      </c>
      <c r="CE69" s="22">
        <f>'QTR Raw'!AY42</f>
        <v>73.36</v>
      </c>
      <c r="CF69" s="22">
        <f>'QTR Raw'!AZ42</f>
        <v>87.72</v>
      </c>
      <c r="CG69" s="22">
        <f>'QTR Raw'!BA42</f>
        <v>107.54</v>
      </c>
      <c r="CH69" s="22">
        <f>'QTR Raw'!BB42</f>
        <v>146.47999999999999</v>
      </c>
      <c r="CI69" s="22">
        <f>'QTR Raw'!BC42</f>
        <v>175.44</v>
      </c>
      <c r="CJ69" s="22">
        <f>'QTR Raw'!BD42</f>
        <v>87.72</v>
      </c>
      <c r="CK69" s="22">
        <f>'QTR Raw'!BE42</f>
        <v>71.989999999999995</v>
      </c>
      <c r="CL69" s="22">
        <f>'QTR Raw'!BF42</f>
        <v>6</v>
      </c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E69" s="119"/>
      <c r="DF69" s="22">
        <v>341.15000000000032</v>
      </c>
    </row>
    <row r="70" spans="1:110" s="25" customFormat="1" x14ac:dyDescent="0.2">
      <c r="A70" s="36" t="s">
        <v>435</v>
      </c>
      <c r="B70" s="25">
        <f t="shared" ref="B70:V70" si="727">B69-B66</f>
        <v>1.2045919817182948E-14</v>
      </c>
      <c r="C70" s="25">
        <f>C69-C66</f>
        <v>1.4876988529977098E-14</v>
      </c>
      <c r="D70" s="25">
        <f t="shared" si="727"/>
        <v>-1.3988810110276972E-14</v>
      </c>
      <c r="E70" s="25">
        <f t="shared" si="727"/>
        <v>0</v>
      </c>
      <c r="F70" s="25">
        <f t="shared" si="727"/>
        <v>-1.9539925233402755E-14</v>
      </c>
      <c r="G70" s="25">
        <f t="shared" si="727"/>
        <v>3.1974423109204508E-14</v>
      </c>
      <c r="H70" s="25">
        <f t="shared" si="727"/>
        <v>0</v>
      </c>
      <c r="I70" s="25">
        <f t="shared" si="727"/>
        <v>0</v>
      </c>
      <c r="J70" s="25">
        <f t="shared" si="727"/>
        <v>0</v>
      </c>
      <c r="K70" s="25">
        <f t="shared" si="727"/>
        <v>0</v>
      </c>
      <c r="L70" s="25">
        <f t="shared" si="727"/>
        <v>-2.1316282072803006E-13</v>
      </c>
      <c r="M70" s="25">
        <f t="shared" si="727"/>
        <v>0</v>
      </c>
      <c r="N70" s="25">
        <f t="shared" si="727"/>
        <v>6.7501559897209518E-14</v>
      </c>
      <c r="O70" s="25">
        <f t="shared" si="727"/>
        <v>4.0856207306205761E-14</v>
      </c>
      <c r="P70" s="25">
        <f t="shared" si="727"/>
        <v>1.0658141036401503E-13</v>
      </c>
      <c r="Q70" s="25">
        <f t="shared" si="727"/>
        <v>8.5265128291212022E-14</v>
      </c>
      <c r="R70" s="25">
        <f t="shared" si="727"/>
        <v>-1.2079226507921703E-13</v>
      </c>
      <c r="S70" s="25">
        <f t="shared" si="727"/>
        <v>-6.2172489379008766E-14</v>
      </c>
      <c r="T70" s="25">
        <f t="shared" si="727"/>
        <v>0</v>
      </c>
      <c r="U70" s="25">
        <f t="shared" si="727"/>
        <v>0</v>
      </c>
      <c r="V70" s="25">
        <f t="shared" si="727"/>
        <v>7.815970093361102E-14</v>
      </c>
      <c r="W70" s="25">
        <f t="shared" ref="W70" si="728">W69-W66</f>
        <v>0</v>
      </c>
      <c r="X70" s="25">
        <f t="shared" ref="X70:Y70" si="729">X69-X66</f>
        <v>0</v>
      </c>
      <c r="Y70" s="25">
        <f t="shared" si="729"/>
        <v>0</v>
      </c>
      <c r="Z70" s="25">
        <f t="shared" ref="Z70:AA70" si="730">Z69-Z66</f>
        <v>0</v>
      </c>
      <c r="AA70" s="25">
        <f t="shared" ref="AA70" si="731">AA69-AA66</f>
        <v>0</v>
      </c>
      <c r="AB70" s="17">
        <f t="shared" ref="AB70:AD70" si="732">AB69-AB66</f>
        <v>0</v>
      </c>
      <c r="AC70" s="17">
        <f t="shared" si="732"/>
        <v>0</v>
      </c>
      <c r="AD70" s="17">
        <f t="shared" si="732"/>
        <v>0</v>
      </c>
      <c r="AE70" s="17">
        <f t="shared" ref="AE70" si="733">AE69-AE66</f>
        <v>0</v>
      </c>
      <c r="AI70" s="25">
        <f t="shared" ref="AI70" si="734">AI69-AI66</f>
        <v>-9.9999999996747135E-4</v>
      </c>
      <c r="AJ70" s="25">
        <f t="shared" ref="AJ70" si="735">AJ69-AJ66</f>
        <v>-9.9999999999909051E-3</v>
      </c>
      <c r="AK70" s="25">
        <f t="shared" ref="AK70:AM70" si="736">AK69-AK66</f>
        <v>0</v>
      </c>
      <c r="AL70" s="25">
        <f t="shared" si="736"/>
        <v>1.5987211554602254E-14</v>
      </c>
      <c r="AM70" s="25">
        <f t="shared" si="736"/>
        <v>4.4408920985006262E-15</v>
      </c>
      <c r="AN70" s="25">
        <f t="shared" ref="AN70:AO70" si="737">AN69-AN66</f>
        <v>0</v>
      </c>
      <c r="AO70" s="25">
        <f t="shared" si="737"/>
        <v>1.0000000000029985E-3</v>
      </c>
      <c r="AP70" s="25">
        <f t="shared" ref="AP70:CD70" si="738">AP69-AP66</f>
        <v>2.1316282072803006E-14</v>
      </c>
      <c r="AQ70" s="25">
        <f t="shared" si="738"/>
        <v>2.6645352591003757E-14</v>
      </c>
      <c r="AR70" s="25">
        <f t="shared" si="738"/>
        <v>1.8207657603852567E-14</v>
      </c>
      <c r="AS70" s="25">
        <f t="shared" si="738"/>
        <v>9.9999999993860555E-4</v>
      </c>
      <c r="AT70" s="25">
        <f t="shared" si="738"/>
        <v>2.9999999999859028E-3</v>
      </c>
      <c r="AU70" s="25">
        <f t="shared" si="738"/>
        <v>9.9999999997435474E-4</v>
      </c>
      <c r="AV70" s="25">
        <f t="shared" si="738"/>
        <v>-9.9999999998878764E-4</v>
      </c>
      <c r="AW70" s="25">
        <f t="shared" si="738"/>
        <v>3.4638958368304884E-14</v>
      </c>
      <c r="AX70" s="25">
        <f t="shared" si="738"/>
        <v>-3.5527136788005009E-14</v>
      </c>
      <c r="AY70" s="25">
        <f t="shared" si="738"/>
        <v>1.0000000000092157E-3</v>
      </c>
      <c r="AZ70" s="25">
        <f t="shared" si="738"/>
        <v>1.9999999999669171E-3</v>
      </c>
      <c r="BA70" s="25">
        <f t="shared" si="738"/>
        <v>1.0000000000385256E-3</v>
      </c>
      <c r="BB70" s="25">
        <f t="shared" si="738"/>
        <v>-9.9999999997990585E-4</v>
      </c>
      <c r="BC70" s="25">
        <f t="shared" si="738"/>
        <v>9.9999999996924771E-4</v>
      </c>
      <c r="BD70" s="25">
        <f t="shared" si="738"/>
        <v>0</v>
      </c>
      <c r="BE70" s="25">
        <f t="shared" si="738"/>
        <v>9.9999999995148414E-4</v>
      </c>
      <c r="BF70" s="25">
        <f t="shared" si="738"/>
        <v>-9.9999999996214228E-4</v>
      </c>
      <c r="BG70" s="25">
        <f t="shared" si="738"/>
        <v>1.9999999999802398E-3</v>
      </c>
      <c r="BH70" s="25">
        <f t="shared" si="738"/>
        <v>1.0000000000474074E-3</v>
      </c>
      <c r="BI70" s="25">
        <f t="shared" si="738"/>
        <v>-2.0000000000139906E-3</v>
      </c>
      <c r="BJ70" s="25">
        <f t="shared" si="738"/>
        <v>-2.3092638912203256E-14</v>
      </c>
      <c r="BK70" s="25">
        <f t="shared" si="738"/>
        <v>9.9999999997885114E-4</v>
      </c>
      <c r="BL70" s="25">
        <f t="shared" si="738"/>
        <v>1.0000000000012221E-3</v>
      </c>
      <c r="BM70" s="25">
        <f t="shared" si="738"/>
        <v>1.0000000000083276E-3</v>
      </c>
      <c r="BN70" s="25">
        <f t="shared" si="738"/>
        <v>0</v>
      </c>
      <c r="BO70" s="25">
        <f t="shared" si="738"/>
        <v>-1.0000000000118803E-3</v>
      </c>
      <c r="BP70" s="25">
        <f t="shared" si="738"/>
        <v>-9.9999999999056399E-4</v>
      </c>
      <c r="BQ70" s="25">
        <f t="shared" si="738"/>
        <v>9.9999999997990585E-4</v>
      </c>
      <c r="BR70" s="25">
        <f t="shared" si="738"/>
        <v>2.000000000005997E-3</v>
      </c>
      <c r="BS70" s="25">
        <f t="shared" si="738"/>
        <v>2.8421709430404007E-14</v>
      </c>
      <c r="BT70" s="25">
        <f t="shared" si="738"/>
        <v>-1.0000000000260911E-3</v>
      </c>
      <c r="BU70" s="25">
        <f t="shared" si="738"/>
        <v>0</v>
      </c>
      <c r="BV70" s="25">
        <f t="shared" si="738"/>
        <v>1.0000000000260911E-3</v>
      </c>
      <c r="BW70" s="25">
        <f t="shared" si="738"/>
        <v>0</v>
      </c>
      <c r="BX70" s="25">
        <f t="shared" si="738"/>
        <v>0</v>
      </c>
      <c r="BY70" s="25">
        <f t="shared" si="738"/>
        <v>0</v>
      </c>
      <c r="BZ70" s="25">
        <f t="shared" si="738"/>
        <v>0</v>
      </c>
      <c r="CA70" s="25">
        <f t="shared" si="738"/>
        <v>0</v>
      </c>
      <c r="CB70" s="25">
        <f t="shared" si="738"/>
        <v>0</v>
      </c>
      <c r="CC70" s="25">
        <f t="shared" si="738"/>
        <v>0</v>
      </c>
      <c r="CD70" s="25">
        <f t="shared" si="738"/>
        <v>0</v>
      </c>
      <c r="CE70" s="25">
        <f t="shared" ref="CE70:CF70" si="739">CE69-CE66</f>
        <v>0</v>
      </c>
      <c r="CF70" s="25">
        <f t="shared" si="739"/>
        <v>0</v>
      </c>
      <c r="CG70" s="25">
        <f t="shared" ref="CG70:CH70" si="740">CG69-CG66</f>
        <v>0</v>
      </c>
      <c r="CH70" s="25">
        <f t="shared" si="740"/>
        <v>0</v>
      </c>
      <c r="CI70" s="25">
        <f t="shared" ref="CI70:CJ70" si="741">CI69-CI66</f>
        <v>0</v>
      </c>
      <c r="CJ70" s="25">
        <f t="shared" si="741"/>
        <v>0</v>
      </c>
      <c r="CK70" s="25">
        <f t="shared" ref="CK70:CL70" si="742">CK69-CK66</f>
        <v>0</v>
      </c>
      <c r="CL70" s="25">
        <f t="shared" si="742"/>
        <v>-5.6843418860808015E-14</v>
      </c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E70" s="119"/>
      <c r="DF70" s="25">
        <v>0</v>
      </c>
    </row>
    <row r="71" spans="1:110" s="1" customFormat="1" x14ac:dyDescent="0.2">
      <c r="A71" s="150" t="s">
        <v>487</v>
      </c>
      <c r="AB71" s="20"/>
      <c r="AC71" s="20"/>
      <c r="AD71" s="20"/>
      <c r="AE71" s="20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E71" s="119"/>
      <c r="DF71" s="179"/>
    </row>
    <row r="72" spans="1:110" s="38" customFormat="1" x14ac:dyDescent="0.2">
      <c r="A72" s="38" t="s">
        <v>350</v>
      </c>
      <c r="B72" s="39">
        <f t="shared" ref="B72:AE72" si="743">(B66-B65)/B138</f>
        <v>4.6213027220128218E-3</v>
      </c>
      <c r="C72" s="39">
        <f t="shared" si="743"/>
        <v>-2.3882350815060654E-2</v>
      </c>
      <c r="D72" s="39">
        <f t="shared" si="743"/>
        <v>2.7324872542098227E-2</v>
      </c>
      <c r="E72" s="39">
        <f t="shared" si="743"/>
        <v>3.3312519171356247E-2</v>
      </c>
      <c r="F72" s="39">
        <f t="shared" si="743"/>
        <v>0.2195287646715379</v>
      </c>
      <c r="G72" s="39">
        <f t="shared" si="743"/>
        <v>0.30624231715560857</v>
      </c>
      <c r="H72" s="39">
        <f t="shared" si="743"/>
        <v>0.30441497426607333</v>
      </c>
      <c r="I72" s="39">
        <f t="shared" si="743"/>
        <v>0.28388999612210258</v>
      </c>
      <c r="J72" s="39">
        <f t="shared" si="743"/>
        <v>0.20861002178649229</v>
      </c>
      <c r="K72" s="39">
        <f t="shared" si="743"/>
        <v>0.20292548689630138</v>
      </c>
      <c r="L72" s="39">
        <f t="shared" si="743"/>
        <v>0.21500921745668994</v>
      </c>
      <c r="M72" s="39">
        <f t="shared" si="743"/>
        <v>0.12939070999354899</v>
      </c>
      <c r="N72" s="39">
        <f t="shared" si="743"/>
        <v>8.2959830536586912E-2</v>
      </c>
      <c r="O72" s="39">
        <f t="shared" si="743"/>
        <v>2.5808988153778099E-2</v>
      </c>
      <c r="P72" s="39">
        <f t="shared" si="743"/>
        <v>3.0517687666610269E-2</v>
      </c>
      <c r="Q72" s="39">
        <f t="shared" si="743"/>
        <v>5.3059882845473326E-2</v>
      </c>
      <c r="R72" s="39">
        <f t="shared" si="743"/>
        <v>1.5144332666478719E-2</v>
      </c>
      <c r="S72" s="39">
        <f t="shared" si="743"/>
        <v>1.0559030482094242E-2</v>
      </c>
      <c r="T72" s="39">
        <f t="shared" si="743"/>
        <v>9.1280366594259643E-2</v>
      </c>
      <c r="U72" s="39">
        <f t="shared" si="743"/>
        <v>0.1050130544145836</v>
      </c>
      <c r="V72" s="39">
        <f t="shared" si="743"/>
        <v>6.2693616077397055E-2</v>
      </c>
      <c r="W72" s="39">
        <f t="shared" si="743"/>
        <v>0.13377208476023236</v>
      </c>
      <c r="X72" s="39">
        <f t="shared" si="743"/>
        <v>0.18568379576424235</v>
      </c>
      <c r="Y72" s="39">
        <f t="shared" si="743"/>
        <v>0.2216791456518894</v>
      </c>
      <c r="Z72" s="39">
        <f t="shared" si="743"/>
        <v>0.20768603435250096</v>
      </c>
      <c r="AA72" s="39">
        <f t="shared" ref="AA72" si="744">(AA66-AA65)/AA138</f>
        <v>0.15718715441160536</v>
      </c>
      <c r="AB72" s="40">
        <f t="shared" si="743"/>
        <v>0.15293680739268156</v>
      </c>
      <c r="AC72" s="40">
        <f t="shared" si="743"/>
        <v>0.15076885883830529</v>
      </c>
      <c r="AD72" s="40">
        <f t="shared" si="743"/>
        <v>0.14928301043878042</v>
      </c>
      <c r="AE72" s="40">
        <f t="shared" si="743"/>
        <v>0.14669566677240878</v>
      </c>
      <c r="AF72" s="39"/>
      <c r="AG72" s="39"/>
      <c r="AH72" s="39"/>
      <c r="AI72" s="39"/>
      <c r="AJ72" s="39"/>
      <c r="AK72" s="39"/>
      <c r="AL72" s="39">
        <f t="shared" ref="AL72:BQ72" si="745">(SUM(AI66:AL66)-SUM(AI65:AL65))/AL138</f>
        <v>8.8504642137930786E-2</v>
      </c>
      <c r="AM72" s="39">
        <f t="shared" si="745"/>
        <v>8.2166462125356651E-2</v>
      </c>
      <c r="AN72" s="39">
        <f t="shared" si="745"/>
        <v>6.2073457482979211E-2</v>
      </c>
      <c r="AO72" s="39">
        <f t="shared" si="745"/>
        <v>5.6202946853921819E-2</v>
      </c>
      <c r="AP72" s="39">
        <f t="shared" si="745"/>
        <v>5.1547282998868557E-2</v>
      </c>
      <c r="AQ72" s="39">
        <f t="shared" si="745"/>
        <v>3.3260499659305789E-2</v>
      </c>
      <c r="AR72" s="39">
        <f t="shared" si="745"/>
        <v>1.1359646821921761E-2</v>
      </c>
      <c r="AS72" s="39">
        <f t="shared" si="745"/>
        <v>-5.1945464378220004E-3</v>
      </c>
      <c r="AT72" s="39">
        <f t="shared" si="745"/>
        <v>3.4040495324590025E-2</v>
      </c>
      <c r="AU72" s="39">
        <f t="shared" si="745"/>
        <v>5.0025021812695601E-2</v>
      </c>
      <c r="AV72" s="39">
        <f t="shared" si="745"/>
        <v>6.9645140279352688E-2</v>
      </c>
      <c r="AW72" s="39">
        <f t="shared" si="745"/>
        <v>8.8720488158636895E-2</v>
      </c>
      <c r="AX72" s="39">
        <f t="shared" si="745"/>
        <v>5.6411982115144081E-2</v>
      </c>
      <c r="AY72" s="39">
        <f t="shared" si="745"/>
        <v>5.0878254740154769E-2</v>
      </c>
      <c r="AZ72" s="39">
        <f t="shared" si="745"/>
        <v>2.6532186934701784E-2</v>
      </c>
      <c r="BA72" s="39">
        <f t="shared" si="745"/>
        <v>5.2247147201788637E-3</v>
      </c>
      <c r="BB72" s="39">
        <f t="shared" si="745"/>
        <v>1.5627245192646289E-2</v>
      </c>
      <c r="BC72" s="39">
        <f t="shared" si="745"/>
        <v>-3.4232503733348373E-2</v>
      </c>
      <c r="BD72" s="39">
        <f t="shared" si="745"/>
        <v>-3.466279847304974E-2</v>
      </c>
      <c r="BE72" s="39">
        <f t="shared" si="745"/>
        <v>-2.400894370645729E-2</v>
      </c>
      <c r="BF72" s="39">
        <f t="shared" si="745"/>
        <v>1.0557618300624141E-2</v>
      </c>
      <c r="BG72" s="39">
        <f t="shared" si="745"/>
        <v>7.1453298789476066E-2</v>
      </c>
      <c r="BH72" s="39">
        <f t="shared" si="745"/>
        <v>0.14051327445148101</v>
      </c>
      <c r="BI72" s="39">
        <f t="shared" si="745"/>
        <v>0.14697587938525683</v>
      </c>
      <c r="BJ72" s="39">
        <f t="shared" si="745"/>
        <v>9.1278851762353133E-2</v>
      </c>
      <c r="BK72" s="39">
        <f t="shared" si="745"/>
        <v>8.2038630295270365E-2</v>
      </c>
      <c r="BL72" s="39">
        <f t="shared" si="745"/>
        <v>3.0299930333080462E-2</v>
      </c>
      <c r="BM72" s="39">
        <f t="shared" si="745"/>
        <v>3.7910786557972399E-2</v>
      </c>
      <c r="BN72" s="39">
        <f t="shared" si="745"/>
        <v>0.10501010309133522</v>
      </c>
      <c r="BO72" s="39">
        <f t="shared" si="745"/>
        <v>8.2324219921542263E-2</v>
      </c>
      <c r="BP72" s="39">
        <f t="shared" si="745"/>
        <v>9.4342287904382871E-2</v>
      </c>
      <c r="BQ72" s="39">
        <f t="shared" si="745"/>
        <v>0.10917498340434947</v>
      </c>
      <c r="BR72" s="39">
        <f t="shared" ref="BR72:CW72" si="746">(SUM(BO66:BR66)-SUM(BO65:BR65))/BR138</f>
        <v>6.2691460846256958E-2</v>
      </c>
      <c r="BS72" s="39">
        <f t="shared" si="746"/>
        <v>0.1114845269551418</v>
      </c>
      <c r="BT72" s="39">
        <f t="shared" si="746"/>
        <v>0.12169444254031332</v>
      </c>
      <c r="BU72" s="39">
        <f t="shared" si="746"/>
        <v>0.12469646542034957</v>
      </c>
      <c r="BV72" s="39">
        <f t="shared" si="746"/>
        <v>0.13377158320304539</v>
      </c>
      <c r="BW72" s="39">
        <f t="shared" si="746"/>
        <v>0.14235804742674926</v>
      </c>
      <c r="BX72" s="39">
        <f t="shared" si="746"/>
        <v>0.16312633783792135</v>
      </c>
      <c r="BY72" s="39">
        <f t="shared" si="746"/>
        <v>0.1806827950284044</v>
      </c>
      <c r="BZ72" s="39">
        <f t="shared" si="746"/>
        <v>0.18567597782833375</v>
      </c>
      <c r="CA72" s="39">
        <f t="shared" si="746"/>
        <v>0.19832553048288912</v>
      </c>
      <c r="CB72" s="39">
        <f t="shared" si="746"/>
        <v>0.20655531444162489</v>
      </c>
      <c r="CC72" s="39">
        <f t="shared" si="746"/>
        <v>0.21251984878382596</v>
      </c>
      <c r="CD72" s="39">
        <f t="shared" si="746"/>
        <v>0.22167914565188926</v>
      </c>
      <c r="CE72" s="39">
        <f t="shared" si="746"/>
        <v>0.21222256004864704</v>
      </c>
      <c r="CF72" s="39">
        <f t="shared" si="746"/>
        <v>0.20242132682782243</v>
      </c>
      <c r="CG72" s="39">
        <f t="shared" si="746"/>
        <v>0.19993555143800845</v>
      </c>
      <c r="CH72" s="39">
        <f t="shared" si="746"/>
        <v>0.20768603435250083</v>
      </c>
      <c r="CI72" s="39">
        <f t="shared" si="746"/>
        <v>0.20086655351795882</v>
      </c>
      <c r="CJ72" s="39">
        <f t="shared" si="746"/>
        <v>0.19460449447214678</v>
      </c>
      <c r="CK72" s="39">
        <f t="shared" si="746"/>
        <v>0.17320645228144102</v>
      </c>
      <c r="CL72" s="39">
        <f t="shared" si="746"/>
        <v>0.15718715441160527</v>
      </c>
      <c r="CM72" s="40">
        <f t="shared" si="746"/>
        <v>0.15370190099102035</v>
      </c>
      <c r="CN72" s="40">
        <f t="shared" si="746"/>
        <v>0.1523024795566694</v>
      </c>
      <c r="CO72" s="40">
        <f t="shared" si="746"/>
        <v>0.15811400368556133</v>
      </c>
      <c r="CP72" s="40">
        <f t="shared" si="746"/>
        <v>0.15293680739268162</v>
      </c>
      <c r="CQ72" s="40">
        <f t="shared" si="746"/>
        <v>0.15117492956486395</v>
      </c>
      <c r="CR72" s="40">
        <f t="shared" si="746"/>
        <v>0.15109997604707665</v>
      </c>
      <c r="CS72" s="40">
        <f t="shared" si="746"/>
        <v>0.15163826725561896</v>
      </c>
      <c r="CT72" s="40">
        <f t="shared" si="746"/>
        <v>0.15076885883830532</v>
      </c>
      <c r="CU72" s="40">
        <f t="shared" si="746"/>
        <v>0.15004171514030035</v>
      </c>
      <c r="CV72" s="40">
        <f t="shared" si="746"/>
        <v>0.14980732278219477</v>
      </c>
      <c r="CW72" s="40">
        <f t="shared" si="746"/>
        <v>0.14960014752344292</v>
      </c>
      <c r="CX72" s="40">
        <f t="shared" ref="CX72:DB72" si="747">(SUM(CU66:CX66)-SUM(CU65:CX65))/CX138</f>
        <v>0.14928301043878042</v>
      </c>
      <c r="CY72" s="40">
        <f t="shared" si="747"/>
        <v>0.14864177067514139</v>
      </c>
      <c r="CZ72" s="40">
        <f t="shared" si="747"/>
        <v>0.1480696544050005</v>
      </c>
      <c r="DA72" s="40">
        <f t="shared" si="747"/>
        <v>0.14741847516539533</v>
      </c>
      <c r="DB72" s="40">
        <f t="shared" si="747"/>
        <v>0.14669566677240869</v>
      </c>
      <c r="DE72" s="122"/>
      <c r="DF72" s="38">
        <v>0.15718715441160541</v>
      </c>
    </row>
    <row r="73" spans="1:110" s="38" customFormat="1" x14ac:dyDescent="0.2">
      <c r="A73" s="38" t="s">
        <v>351</v>
      </c>
      <c r="B73" s="39">
        <f t="shared" ref="B73:AE73" si="748">+B52/B147</f>
        <v>3.3832945453529072E-2</v>
      </c>
      <c r="C73" s="39">
        <f t="shared" si="748"/>
        <v>3.3876964449739345E-2</v>
      </c>
      <c r="D73" s="39">
        <f t="shared" si="748"/>
        <v>3.1227179047468578E-2</v>
      </c>
      <c r="E73" s="39">
        <f t="shared" si="748"/>
        <v>5.8398160795751185E-2</v>
      </c>
      <c r="F73" s="39">
        <f t="shared" si="748"/>
        <v>0.1927939432960033</v>
      </c>
      <c r="G73" s="39">
        <f t="shared" si="748"/>
        <v>0.17653412208126723</v>
      </c>
      <c r="H73" s="39">
        <f t="shared" si="748"/>
        <v>0.21850305536988457</v>
      </c>
      <c r="I73" s="39">
        <f t="shared" si="748"/>
        <v>0.18943814822308386</v>
      </c>
      <c r="J73" s="39">
        <f t="shared" si="748"/>
        <v>0.15679518422284264</v>
      </c>
      <c r="K73" s="39">
        <f t="shared" si="748"/>
        <v>0.14604303994550791</v>
      </c>
      <c r="L73" s="39">
        <f t="shared" si="748"/>
        <v>0.14459121916249945</v>
      </c>
      <c r="M73" s="39">
        <f t="shared" si="748"/>
        <v>0.14764379124383412</v>
      </c>
      <c r="N73" s="39">
        <f t="shared" si="748"/>
        <v>0.12547720321919217</v>
      </c>
      <c r="O73" s="39">
        <f t="shared" si="748"/>
        <v>7.9158424303368238E-2</v>
      </c>
      <c r="P73" s="39">
        <f t="shared" si="748"/>
        <v>9.2917673820365948E-2</v>
      </c>
      <c r="Q73" s="39">
        <f t="shared" si="748"/>
        <v>8.2395816946629313E-2</v>
      </c>
      <c r="R73" s="39">
        <f t="shared" si="748"/>
        <v>9.3567171426627405E-2</v>
      </c>
      <c r="S73" s="39">
        <f t="shared" si="748"/>
        <v>5.5947985273617697E-2</v>
      </c>
      <c r="T73" s="39">
        <f t="shared" si="748"/>
        <v>4.4561180729026373E-2</v>
      </c>
      <c r="U73" s="39">
        <f t="shared" si="748"/>
        <v>4.6395379571520727E-2</v>
      </c>
      <c r="V73" s="39">
        <f t="shared" si="748"/>
        <v>4.9880869038401818E-2</v>
      </c>
      <c r="W73" s="39">
        <f t="shared" si="748"/>
        <v>0.16623161831986338</v>
      </c>
      <c r="X73" s="39">
        <f t="shared" si="748"/>
        <v>0.22221701026494983</v>
      </c>
      <c r="Y73" s="39">
        <f t="shared" si="748"/>
        <v>0.26420952226579314</v>
      </c>
      <c r="Z73" s="39">
        <f t="shared" si="748"/>
        <v>0.24272727272727282</v>
      </c>
      <c r="AA73" s="39">
        <f t="shared" ref="AA73" si="749">+AA52/AA147</f>
        <v>0.18046707287984917</v>
      </c>
      <c r="AB73" s="40">
        <f t="shared" si="748"/>
        <v>0.18217248139369682</v>
      </c>
      <c r="AC73" s="40">
        <f t="shared" si="748"/>
        <v>0.17483218581154342</v>
      </c>
      <c r="AD73" s="40">
        <f t="shared" si="748"/>
        <v>0.16968404040286877</v>
      </c>
      <c r="AE73" s="40">
        <f t="shared" si="748"/>
        <v>0.16381027913212109</v>
      </c>
      <c r="AF73" s="39"/>
      <c r="AG73" s="39"/>
      <c r="AH73" s="39"/>
      <c r="AI73" s="39"/>
      <c r="AJ73" s="39"/>
      <c r="AK73" s="39"/>
      <c r="AL73" s="39">
        <f t="shared" ref="AL73:BQ73" si="750">+SUM(AI52:AL52)/AL147</f>
        <v>8.4322193031100612E-2</v>
      </c>
      <c r="AM73" s="39">
        <f t="shared" si="750"/>
        <v>7.2462559203754315E-2</v>
      </c>
      <c r="AN73" s="39">
        <f t="shared" si="750"/>
        <v>6.9608800241634447E-2</v>
      </c>
      <c r="AO73" s="39">
        <f t="shared" si="750"/>
        <v>6.0361986947238017E-2</v>
      </c>
      <c r="AP73" s="39">
        <f t="shared" si="750"/>
        <v>4.7744945567651603E-2</v>
      </c>
      <c r="AQ73" s="39">
        <f t="shared" si="750"/>
        <v>4.8392398254945269E-2</v>
      </c>
      <c r="AR73" s="39">
        <f t="shared" si="750"/>
        <v>7.3570766455012399E-2</v>
      </c>
      <c r="AS73" s="39">
        <f t="shared" si="750"/>
        <v>8.5600236335430749E-2</v>
      </c>
      <c r="AT73" s="39">
        <f t="shared" si="750"/>
        <v>9.4774894849168262E-2</v>
      </c>
      <c r="AU73" s="39">
        <f t="shared" si="750"/>
        <v>9.7474664892806651E-2</v>
      </c>
      <c r="AV73" s="39">
        <f t="shared" si="750"/>
        <v>0.10506908788137112</v>
      </c>
      <c r="AW73" s="39">
        <f t="shared" si="750"/>
        <v>8.9269560509597778E-2</v>
      </c>
      <c r="AX73" s="39">
        <f t="shared" si="750"/>
        <v>7.952105923802745E-2</v>
      </c>
      <c r="AY73" s="39">
        <f t="shared" si="750"/>
        <v>8.7711506270087253E-2</v>
      </c>
      <c r="AZ73" s="39">
        <f t="shared" si="750"/>
        <v>6.5588783469730572E-2</v>
      </c>
      <c r="BA73" s="39">
        <f t="shared" si="750"/>
        <v>7.2811164584600102E-2</v>
      </c>
      <c r="BB73" s="39">
        <f t="shared" si="750"/>
        <v>9.0594540584523944E-2</v>
      </c>
      <c r="BC73" s="39">
        <f t="shared" si="750"/>
        <v>5.7951469882179987E-2</v>
      </c>
      <c r="BD73" s="39">
        <f t="shared" si="750"/>
        <v>6.6307507828742437E-2</v>
      </c>
      <c r="BE73" s="39">
        <f t="shared" si="750"/>
        <v>6.753329379973759E-2</v>
      </c>
      <c r="BF73" s="39">
        <f t="shared" si="750"/>
        <v>5.1891647769073304E-2</v>
      </c>
      <c r="BG73" s="39">
        <f t="shared" si="750"/>
        <v>8.7439461022654638E-2</v>
      </c>
      <c r="BH73" s="39">
        <f t="shared" si="750"/>
        <v>9.6364920476470411E-2</v>
      </c>
      <c r="BI73" s="39">
        <f t="shared" si="750"/>
        <v>9.5520747804222497E-2</v>
      </c>
      <c r="BJ73" s="39">
        <f t="shared" si="750"/>
        <v>7.2399470523105858E-2</v>
      </c>
      <c r="BK73" s="39">
        <f t="shared" si="750"/>
        <v>6.9388408136008231E-2</v>
      </c>
      <c r="BL73" s="39">
        <f t="shared" si="750"/>
        <v>7.8061426156234903E-2</v>
      </c>
      <c r="BM73" s="39">
        <f t="shared" si="750"/>
        <v>8.7228945167937597E-2</v>
      </c>
      <c r="BN73" s="39">
        <f t="shared" si="750"/>
        <v>6.7040302858730971E-2</v>
      </c>
      <c r="BO73" s="39">
        <f t="shared" si="750"/>
        <v>3.9468304479724214E-2</v>
      </c>
      <c r="BP73" s="39">
        <f t="shared" si="750"/>
        <v>5.5552143675203731E-2</v>
      </c>
      <c r="BQ73" s="39">
        <f t="shared" si="750"/>
        <v>6.9275511299499368E-2</v>
      </c>
      <c r="BR73" s="39">
        <f t="shared" ref="BR73:CW73" si="751">+SUM(BO52:BR52)/BR147</f>
        <v>0.11074397853726196</v>
      </c>
      <c r="BS73" s="39">
        <f t="shared" si="751"/>
        <v>0.15892422124641131</v>
      </c>
      <c r="BT73" s="39">
        <f t="shared" si="751"/>
        <v>0.17342623681574498</v>
      </c>
      <c r="BU73" s="39">
        <f t="shared" si="751"/>
        <v>0.16654849799223306</v>
      </c>
      <c r="BV73" s="39">
        <f t="shared" si="751"/>
        <v>0.17201562087048447</v>
      </c>
      <c r="BW73" s="39">
        <f t="shared" si="751"/>
        <v>0.17165087718415586</v>
      </c>
      <c r="BX73" s="39">
        <f t="shared" si="751"/>
        <v>0.20414203013011972</v>
      </c>
      <c r="BY73" s="39">
        <f t="shared" si="751"/>
        <v>0.2236682299509419</v>
      </c>
      <c r="BZ73" s="39">
        <f t="shared" si="751"/>
        <v>0.22659505437374425</v>
      </c>
      <c r="CA73" s="39">
        <f t="shared" si="751"/>
        <v>0.23957339486860882</v>
      </c>
      <c r="CB73" s="39">
        <f t="shared" si="751"/>
        <v>0.24647105808175415</v>
      </c>
      <c r="CC73" s="39">
        <f t="shared" si="751"/>
        <v>0.25247653026648864</v>
      </c>
      <c r="CD73" s="39">
        <f t="shared" si="751"/>
        <v>0.26404743053434165</v>
      </c>
      <c r="CE73" s="39">
        <f t="shared" si="751"/>
        <v>0.24773010450759814</v>
      </c>
      <c r="CF73" s="39">
        <f t="shared" si="751"/>
        <v>0.2332693042105323</v>
      </c>
      <c r="CG73" s="39">
        <f t="shared" si="751"/>
        <v>0.23015655629850418</v>
      </c>
      <c r="CH73" s="39">
        <f t="shared" si="751"/>
        <v>0.24067432567432565</v>
      </c>
      <c r="CI73" s="39">
        <f t="shared" si="751"/>
        <v>0.23331986185612461</v>
      </c>
      <c r="CJ73" s="39">
        <f t="shared" si="751"/>
        <v>0.22692048892869715</v>
      </c>
      <c r="CK73" s="39">
        <f t="shared" si="751"/>
        <v>0.20039463230976476</v>
      </c>
      <c r="CL73" s="39">
        <f t="shared" si="751"/>
        <v>0.18166836524492053</v>
      </c>
      <c r="CM73" s="40">
        <f t="shared" si="751"/>
        <v>0.18193756501110295</v>
      </c>
      <c r="CN73" s="40">
        <f t="shared" si="751"/>
        <v>0.18181535133059068</v>
      </c>
      <c r="CO73" s="40">
        <f t="shared" si="751"/>
        <v>0.18977214775304915</v>
      </c>
      <c r="CP73" s="40">
        <f t="shared" si="751"/>
        <v>0.18217248139369688</v>
      </c>
      <c r="CQ73" s="40">
        <f t="shared" si="751"/>
        <v>0.17833291198600093</v>
      </c>
      <c r="CR73" s="40">
        <f t="shared" si="751"/>
        <v>0.17722737998879048</v>
      </c>
      <c r="CS73" s="40">
        <f t="shared" si="751"/>
        <v>0.17692313900713671</v>
      </c>
      <c r="CT73" s="40">
        <f t="shared" si="751"/>
        <v>0.17483218581154342</v>
      </c>
      <c r="CU73" s="40">
        <f t="shared" si="751"/>
        <v>0.17299830530273744</v>
      </c>
      <c r="CV73" s="40">
        <f t="shared" si="751"/>
        <v>0.17186427971340124</v>
      </c>
      <c r="CW73" s="40">
        <f t="shared" si="751"/>
        <v>0.17082051209050547</v>
      </c>
      <c r="CX73" s="40">
        <f t="shared" ref="CX73:DB73" si="752">+SUM(CU52:CX52)/CX147</f>
        <v>0.16968404040286875</v>
      </c>
      <c r="CY73" s="40">
        <f t="shared" si="752"/>
        <v>0.16816098662128814</v>
      </c>
      <c r="CZ73" s="40">
        <f t="shared" si="752"/>
        <v>0.16676357731208719</v>
      </c>
      <c r="DA73" s="40">
        <f t="shared" si="752"/>
        <v>0.16531469926407599</v>
      </c>
      <c r="DB73" s="40">
        <f t="shared" si="752"/>
        <v>0.16381027913212104</v>
      </c>
      <c r="DE73" s="122"/>
      <c r="DF73" s="38">
        <v>0.18166836524492067</v>
      </c>
    </row>
    <row r="74" spans="1:110" s="1" customFormat="1" x14ac:dyDescent="0.2">
      <c r="A74" s="150" t="s">
        <v>488</v>
      </c>
      <c r="AB74" s="20"/>
      <c r="AC74" s="20"/>
      <c r="AD74" s="20"/>
      <c r="AE74" s="20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E74" s="119"/>
      <c r="DF74" s="179"/>
    </row>
    <row r="75" spans="1:110" s="8" customFormat="1" x14ac:dyDescent="0.2">
      <c r="A75" s="12" t="s">
        <v>26</v>
      </c>
      <c r="AB75" s="58"/>
      <c r="AC75" s="58"/>
      <c r="AD75" s="58"/>
      <c r="AE75" s="58"/>
      <c r="CM75" s="54"/>
      <c r="CN75" s="54"/>
      <c r="CO75" s="54"/>
      <c r="CP75" s="54"/>
      <c r="CQ75" s="54"/>
      <c r="CR75" s="54"/>
      <c r="CS75" s="54"/>
      <c r="CT75" s="54"/>
      <c r="CU75" s="54"/>
      <c r="CV75" s="54"/>
      <c r="CW75" s="54"/>
      <c r="CX75" s="54"/>
      <c r="CY75" s="54"/>
      <c r="CZ75" s="54"/>
      <c r="DA75" s="54"/>
      <c r="DB75" s="54"/>
      <c r="DE75" s="132"/>
      <c r="DF75" s="192"/>
    </row>
    <row r="76" spans="1:110" s="9" customFormat="1" x14ac:dyDescent="0.2">
      <c r="A76" s="9" t="s">
        <v>453</v>
      </c>
      <c r="N76" s="9">
        <f>N28-SUM(AI28:AL28)</f>
        <v>578.22160000000008</v>
      </c>
      <c r="O76" s="9">
        <f>O28-SUM(AM28:AP28)</f>
        <v>791.68589999999995</v>
      </c>
      <c r="P76" s="9">
        <f>P28-SUM(AQ28:AT28)</f>
        <v>-6.3025000000000091</v>
      </c>
      <c r="Q76" s="9">
        <f>Q28-SUM(AU28:AX28)</f>
        <v>-17.48960000000011</v>
      </c>
      <c r="R76" s="9">
        <f>R28-SUM(AY28:BB28)</f>
        <v>1.3000000001284207E-3</v>
      </c>
      <c r="S76" s="9">
        <f>S28-SUM(BC28:BF28)</f>
        <v>-9.9999999974897946E-5</v>
      </c>
      <c r="T76" s="9">
        <f>T28-SUM(BG28:BJ28)</f>
        <v>2.9999999992469384E-4</v>
      </c>
      <c r="U76" s="9">
        <f>U28-SUM(BK28:BN28)</f>
        <v>2.9299000000000888</v>
      </c>
      <c r="V76" s="9">
        <f>V28-SUM(BO28:BR28)</f>
        <v>-0.26640000000020336</v>
      </c>
      <c r="W76" s="9">
        <f>W28-SUM(BS28:BV28)</f>
        <v>-1.9999999994979589E-4</v>
      </c>
      <c r="X76" s="9">
        <f>X28-SUM(BW28:BZ28)</f>
        <v>1.0000000000218279E-2</v>
      </c>
      <c r="Y76" s="9">
        <f>Y28-SUM(CA28:CD28)</f>
        <v>0</v>
      </c>
      <c r="Z76" s="9">
        <f>Z28-SUM(CE28:CH28)</f>
        <v>0</v>
      </c>
      <c r="AA76" s="9">
        <f>AA28-SUM(CF28:CI28)</f>
        <v>40.880000000000109</v>
      </c>
      <c r="AB76" s="15">
        <f>AB28-SUM(CM28:CP28)</f>
        <v>0</v>
      </c>
      <c r="AC76" s="15">
        <f>AC28-SUM(CQ28:CT28)</f>
        <v>0</v>
      </c>
      <c r="AD76" s="15">
        <f>AD28-SUM(CU28:CX28)</f>
        <v>0</v>
      </c>
      <c r="AE76" s="15">
        <f>AE28-SUM(CY28:DB28)</f>
        <v>0</v>
      </c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E76" s="133"/>
      <c r="DF76" s="9">
        <v>0</v>
      </c>
    </row>
    <row r="77" spans="1:110" s="9" customFormat="1" x14ac:dyDescent="0.2">
      <c r="A77" s="9" t="s">
        <v>454</v>
      </c>
      <c r="N77" s="9">
        <f>N34-SUM(AI34:AL34)</f>
        <v>379.82760000000002</v>
      </c>
      <c r="O77" s="9">
        <f>O34-SUM(AM34:AP34)</f>
        <v>437.78159999999997</v>
      </c>
      <c r="P77" s="9">
        <f>P34-SUM(AQ34:AT34)</f>
        <v>144.14859999999987</v>
      </c>
      <c r="Q77" s="9">
        <f>Q34-SUM(AU34:AX34)</f>
        <v>1.0620999999999867</v>
      </c>
      <c r="R77" s="9">
        <f>R34-SUM(AY34:BB34)</f>
        <v>1.4000000001033186E-3</v>
      </c>
      <c r="S77" s="9">
        <f>S34-SUM(BC34:BF34)</f>
        <v>-4.9999999998817657E-4</v>
      </c>
      <c r="T77" s="9">
        <f>T34-SUM(BG34:BJ34)</f>
        <v>-1.9999999994979589E-4</v>
      </c>
      <c r="U77" s="9">
        <f>U34-SUM(BK34:BN34)</f>
        <v>-11.069300000000112</v>
      </c>
      <c r="V77" s="9">
        <f>V34-SUM(BO34:BR34)</f>
        <v>-0.26500000000010004</v>
      </c>
      <c r="W77" s="9">
        <f>W34-SUM(BS34:BV34)</f>
        <v>1.5999999999394277E-3</v>
      </c>
      <c r="X77" s="9">
        <f>X34-SUM(BW34:BZ34)</f>
        <v>0</v>
      </c>
      <c r="Y77" s="9">
        <f>Y34-SUM(CA34:CD34)</f>
        <v>9.9999999999909051E-3</v>
      </c>
      <c r="Z77" s="9">
        <f>Z34-SUM(CE34:CH34)</f>
        <v>2.4100000000003092</v>
      </c>
      <c r="AA77" s="9">
        <f>AA34-SUM(CF34:CI34)</f>
        <v>-27.209999999999582</v>
      </c>
      <c r="AB77" s="15">
        <f>AB34-SUM(CM34:CP34)</f>
        <v>0</v>
      </c>
      <c r="AC77" s="15">
        <f>AC34-SUM(CQ34:CT34)</f>
        <v>0</v>
      </c>
      <c r="AD77" s="15">
        <f>AD34-SUM(CU34:CX34)</f>
        <v>0</v>
      </c>
      <c r="AE77" s="15">
        <f>AE34-SUM(CY34:DB34)</f>
        <v>0</v>
      </c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E77" s="133"/>
      <c r="DF77" s="9">
        <v>0</v>
      </c>
    </row>
    <row r="78" spans="1:110" s="9" customFormat="1" x14ac:dyDescent="0.2">
      <c r="A78" s="9" t="s">
        <v>455</v>
      </c>
      <c r="N78" s="9">
        <f>N46-SUM(AI46:AL46)</f>
        <v>67.892699999999991</v>
      </c>
      <c r="O78" s="9">
        <f>O46-SUM(AM46:AP46)</f>
        <v>56.584699999999984</v>
      </c>
      <c r="P78" s="9">
        <f>P46-SUM(AQ46:AT46)</f>
        <v>2.5468999999998516</v>
      </c>
      <c r="Q78" s="9">
        <f>Q46-SUM(AU46:AX46)</f>
        <v>8.1545999999999026</v>
      </c>
      <c r="R78" s="9">
        <f>R46-SUM(AY46:BB46)</f>
        <v>11.118500000000154</v>
      </c>
      <c r="S78" s="9">
        <f>S46-SUM(BC46:BF46)</f>
        <v>7.6635000000000275</v>
      </c>
      <c r="T78" s="9">
        <f>T46-SUM(BG46:BJ46)</f>
        <v>-34.985999999999933</v>
      </c>
      <c r="U78" s="9">
        <f>U46-SUM(BK46:BN46)</f>
        <v>-25.06920000000008</v>
      </c>
      <c r="V78" s="9">
        <f>V46-SUM(BO46:BR46)</f>
        <v>-73.366400000000112</v>
      </c>
      <c r="W78" s="9">
        <f>W46-SUM(BS46:BV46)</f>
        <v>-6.6528000000000134</v>
      </c>
      <c r="X78" s="9">
        <f>X46-SUM(BW46:BZ46)</f>
        <v>-5.589999999999975</v>
      </c>
      <c r="Y78" s="9">
        <f>Y46-SUM(CA46:CD46)</f>
        <v>0.26000000000016144</v>
      </c>
      <c r="Z78" s="9">
        <f>Z46-SUM(CE46:CH46)</f>
        <v>4.110000000000241</v>
      </c>
      <c r="AA78" s="9">
        <f>AA46-SUM(CF46:CI46)</f>
        <v>-60.139999999999645</v>
      </c>
      <c r="AB78" s="15">
        <f>AB46-SUM(CM46:CP46)</f>
        <v>0</v>
      </c>
      <c r="AC78" s="15">
        <f>AC46-SUM(CQ46:CT46)</f>
        <v>0</v>
      </c>
      <c r="AD78" s="15">
        <f>AD46-SUM(CU46:CX46)</f>
        <v>0</v>
      </c>
      <c r="AE78" s="15">
        <f>AE46-SUM(CY46:DB46)</f>
        <v>0</v>
      </c>
      <c r="CM78" s="59"/>
      <c r="CN78" s="59"/>
      <c r="CO78" s="59"/>
      <c r="CP78" s="59"/>
      <c r="CQ78" s="59"/>
      <c r="CR78" s="59"/>
      <c r="CS78" s="59"/>
      <c r="CT78" s="59"/>
      <c r="CU78" s="59"/>
      <c r="CV78" s="59"/>
      <c r="CW78" s="59"/>
      <c r="CX78" s="59"/>
      <c r="CY78" s="59"/>
      <c r="CZ78" s="59"/>
      <c r="DA78" s="59"/>
      <c r="DB78" s="59"/>
      <c r="DE78" s="133"/>
      <c r="DF78" s="9">
        <v>0</v>
      </c>
    </row>
    <row r="79" spans="1:110" s="9" customFormat="1" x14ac:dyDescent="0.2">
      <c r="A79" s="9" t="s">
        <v>456</v>
      </c>
      <c r="N79" s="9">
        <f>N66-SUM(AI66:AL66)</f>
        <v>-29.664800000000003</v>
      </c>
      <c r="O79" s="9">
        <f>O66-SUM(AM66:AP66)</f>
        <v>-13.69520000000001</v>
      </c>
      <c r="P79" s="9">
        <f>P66-SUM(AQ66:AT66)</f>
        <v>-1.8867000000001362</v>
      </c>
      <c r="Q79" s="9">
        <f>Q66-SUM(AU66:AX66)</f>
        <v>-2.3608000000001041</v>
      </c>
      <c r="R79" s="9">
        <f>R66-SUM(AY66:BB66)</f>
        <v>-0.34279999999984767</v>
      </c>
      <c r="S79" s="9">
        <f>S66-SUM(BC66:BF66)</f>
        <v>1.000000000025203E-3</v>
      </c>
      <c r="T79" s="9">
        <f>T66-SUM(BG66:BJ66)</f>
        <v>1.2000000000824684E-3</v>
      </c>
      <c r="U79" s="9">
        <f>U66-SUM(BK66:BN66)</f>
        <v>2.499999999926672E-3</v>
      </c>
      <c r="V79" s="9">
        <f>V66-SUM(BO66:BR66)</f>
        <v>1.9999999999029683E-3</v>
      </c>
      <c r="W79" s="9">
        <f>W59-SUM(BS59:BV59)</f>
        <v>2.0000000000663931E-4</v>
      </c>
      <c r="X79" s="9">
        <f>X59-SUM(BW59:BZ59)</f>
        <v>0</v>
      </c>
      <c r="Y79" s="9">
        <f>Y59-SUM(CA59:CD59)</f>
        <v>-9.9999999998203748E-3</v>
      </c>
      <c r="Z79" s="9">
        <f>Z59-SUM(CE59:CH59)</f>
        <v>0</v>
      </c>
      <c r="AA79" s="9">
        <f>AA59-SUM(CF59:CI59)</f>
        <v>-68.589999999999691</v>
      </c>
      <c r="AB79" s="15">
        <f>AB59-SUM(CM59:CP59)</f>
        <v>0</v>
      </c>
      <c r="AC79" s="15">
        <f>AC59-SUM(CQ59:CT59)</f>
        <v>0</v>
      </c>
      <c r="AD79" s="15">
        <f>AD59-SUM(CU59:CX59)</f>
        <v>0</v>
      </c>
      <c r="AE79" s="15">
        <f>AE59-SUM(CY59:DB59)</f>
        <v>0</v>
      </c>
      <c r="CM79" s="59"/>
      <c r="CN79" s="59"/>
      <c r="CO79" s="59"/>
      <c r="CP79" s="59"/>
      <c r="CQ79" s="59"/>
      <c r="CR79" s="59"/>
      <c r="CS79" s="59"/>
      <c r="CT79" s="59"/>
      <c r="CU79" s="59"/>
      <c r="CV79" s="59"/>
      <c r="CW79" s="59"/>
      <c r="CX79" s="59"/>
      <c r="CY79" s="59"/>
      <c r="CZ79" s="59"/>
      <c r="DA79" s="59"/>
      <c r="DB79" s="59"/>
      <c r="DE79" s="133"/>
      <c r="DF79" s="9">
        <v>0</v>
      </c>
    </row>
    <row r="80" spans="1:110" s="8" customFormat="1" x14ac:dyDescent="0.2">
      <c r="A80" s="149" t="s">
        <v>489</v>
      </c>
      <c r="AB80" s="58"/>
      <c r="AC80" s="58"/>
      <c r="AD80" s="58"/>
      <c r="AE80" s="58"/>
      <c r="CM80" s="54"/>
      <c r="CN80" s="54"/>
      <c r="CO80" s="54"/>
      <c r="CP80" s="54"/>
      <c r="CQ80" s="54"/>
      <c r="CR80" s="54"/>
      <c r="CS80" s="54"/>
      <c r="CT80" s="54"/>
      <c r="CU80" s="54"/>
      <c r="CV80" s="54"/>
      <c r="CW80" s="54"/>
      <c r="CX80" s="54"/>
      <c r="CY80" s="54"/>
      <c r="CZ80" s="54"/>
      <c r="DA80" s="54"/>
      <c r="DB80" s="54"/>
      <c r="DE80" s="132"/>
      <c r="DF80" s="192"/>
    </row>
    <row r="81" spans="1:110" s="3" customFormat="1" x14ac:dyDescent="0.2">
      <c r="A81" s="3" t="s">
        <v>27</v>
      </c>
      <c r="B81" s="3">
        <f>'Annual Raw'!C104</f>
        <v>5.6474099999999998</v>
      </c>
      <c r="C81" s="3">
        <f>'Annual Raw'!D104</f>
        <v>5.6474099999999998</v>
      </c>
      <c r="D81" s="3">
        <f>'Annual Raw'!E104</f>
        <v>5.6474099999999998</v>
      </c>
      <c r="E81" s="3">
        <f t="shared" ref="E81:Y81" ca="1" si="753">+F81</f>
        <v>22.44</v>
      </c>
      <c r="F81" s="3">
        <f t="shared" ca="1" si="753"/>
        <v>22.44</v>
      </c>
      <c r="G81" s="3">
        <f t="shared" ca="1" si="753"/>
        <v>22.44</v>
      </c>
      <c r="H81" s="3">
        <f t="shared" ca="1" si="753"/>
        <v>22.44</v>
      </c>
      <c r="I81" s="3">
        <f t="shared" ca="1" si="753"/>
        <v>22.44</v>
      </c>
      <c r="J81" s="3">
        <f t="shared" ca="1" si="753"/>
        <v>22.44</v>
      </c>
      <c r="K81" s="3">
        <f t="shared" ca="1" si="753"/>
        <v>22.44</v>
      </c>
      <c r="L81" s="3">
        <f t="shared" ca="1" si="753"/>
        <v>22.44</v>
      </c>
      <c r="M81" s="3">
        <f t="shared" ca="1" si="753"/>
        <v>22.44</v>
      </c>
      <c r="N81" s="3">
        <f t="shared" ca="1" si="753"/>
        <v>22.44</v>
      </c>
      <c r="O81" s="3">
        <f t="shared" ca="1" si="753"/>
        <v>22.44</v>
      </c>
      <c r="P81" s="3">
        <f t="shared" ca="1" si="753"/>
        <v>22.44</v>
      </c>
      <c r="Q81" s="3">
        <f t="shared" ca="1" si="753"/>
        <v>22.44</v>
      </c>
      <c r="R81" s="3">
        <f t="shared" ca="1" si="753"/>
        <v>22.44</v>
      </c>
      <c r="S81" s="3">
        <f t="shared" ca="1" si="753"/>
        <v>22.44</v>
      </c>
      <c r="T81" s="3">
        <f t="shared" ca="1" si="753"/>
        <v>22.44</v>
      </c>
      <c r="U81" s="3">
        <f t="shared" ca="1" si="753"/>
        <v>22.44</v>
      </c>
      <c r="V81" s="3">
        <f t="shared" ca="1" si="753"/>
        <v>22.44</v>
      </c>
      <c r="W81" s="3">
        <f t="shared" ca="1" si="753"/>
        <v>22.44</v>
      </c>
      <c r="X81" s="3">
        <f t="shared" ca="1" si="753"/>
        <v>22.44</v>
      </c>
      <c r="Y81" s="3">
        <f t="shared" ca="1" si="753"/>
        <v>22.44</v>
      </c>
      <c r="Z81" s="3">
        <f ca="1">+AA81</f>
        <v>22.44</v>
      </c>
      <c r="AA81" s="3">
        <f ca="1">+AB81</f>
        <v>22.44</v>
      </c>
      <c r="AB81" s="37">
        <f t="shared" ref="AB81:AB82" ca="1" si="754">AA81</f>
        <v>22.44</v>
      </c>
      <c r="AC81" s="37">
        <f t="shared" ref="AC81:AC82" ca="1" si="755">AB81</f>
        <v>22.44</v>
      </c>
      <c r="AD81" s="37">
        <f t="shared" ref="AD81:AD82" ca="1" si="756">AC81</f>
        <v>22.44</v>
      </c>
      <c r="AE81" s="37">
        <f t="shared" ref="AE81:AE82" ca="1" si="757">AD81</f>
        <v>22.44</v>
      </c>
      <c r="AI81" s="3">
        <f t="shared" ref="AI81:CH81" si="758">+AJ81</f>
        <v>22.44</v>
      </c>
      <c r="AJ81" s="3">
        <f t="shared" si="758"/>
        <v>22.44</v>
      </c>
      <c r="AK81" s="3">
        <f t="shared" si="758"/>
        <v>22.44</v>
      </c>
      <c r="AL81" s="3">
        <f t="shared" si="758"/>
        <v>22.44</v>
      </c>
      <c r="AM81" s="3">
        <f t="shared" si="758"/>
        <v>22.44</v>
      </c>
      <c r="AN81" s="3">
        <f t="shared" si="758"/>
        <v>22.44</v>
      </c>
      <c r="AO81" s="3">
        <f t="shared" si="758"/>
        <v>22.44</v>
      </c>
      <c r="AP81" s="3">
        <f t="shared" si="758"/>
        <v>22.44</v>
      </c>
      <c r="AQ81" s="3">
        <f t="shared" si="758"/>
        <v>22.44</v>
      </c>
      <c r="AR81" s="3">
        <f t="shared" si="758"/>
        <v>22.44</v>
      </c>
      <c r="AS81" s="3">
        <f t="shared" si="758"/>
        <v>22.44</v>
      </c>
      <c r="AT81" s="3">
        <f t="shared" si="758"/>
        <v>22.44</v>
      </c>
      <c r="AU81" s="3">
        <f t="shared" si="758"/>
        <v>22.44</v>
      </c>
      <c r="AV81" s="3">
        <f t="shared" si="758"/>
        <v>22.44</v>
      </c>
      <c r="AW81" s="3">
        <f t="shared" si="758"/>
        <v>22.44</v>
      </c>
      <c r="AX81" s="3">
        <f t="shared" si="758"/>
        <v>22.44</v>
      </c>
      <c r="AY81" s="3">
        <f t="shared" si="758"/>
        <v>22.44</v>
      </c>
      <c r="AZ81" s="3">
        <f t="shared" si="758"/>
        <v>22.44</v>
      </c>
      <c r="BA81" s="3">
        <f t="shared" si="758"/>
        <v>22.44</v>
      </c>
      <c r="BB81" s="3">
        <f t="shared" si="758"/>
        <v>22.44</v>
      </c>
      <c r="BC81" s="3">
        <f t="shared" si="758"/>
        <v>22.44</v>
      </c>
      <c r="BD81" s="3">
        <f t="shared" si="758"/>
        <v>22.44</v>
      </c>
      <c r="BE81" s="3">
        <f t="shared" si="758"/>
        <v>22.44</v>
      </c>
      <c r="BF81" s="3">
        <f t="shared" si="758"/>
        <v>22.44</v>
      </c>
      <c r="BG81" s="3">
        <f t="shared" si="758"/>
        <v>22.44</v>
      </c>
      <c r="BH81" s="3">
        <f t="shared" si="758"/>
        <v>22.44</v>
      </c>
      <c r="BI81" s="3">
        <f t="shared" si="758"/>
        <v>22.44</v>
      </c>
      <c r="BJ81" s="3">
        <f t="shared" si="758"/>
        <v>22.44</v>
      </c>
      <c r="BK81" s="3">
        <f t="shared" si="758"/>
        <v>22.44</v>
      </c>
      <c r="BL81" s="3">
        <f t="shared" si="758"/>
        <v>22.44</v>
      </c>
      <c r="BM81" s="3">
        <f t="shared" si="758"/>
        <v>22.44</v>
      </c>
      <c r="BN81" s="3">
        <f t="shared" si="758"/>
        <v>22.44</v>
      </c>
      <c r="BO81" s="3">
        <f t="shared" si="758"/>
        <v>22.44</v>
      </c>
      <c r="BP81" s="3">
        <f t="shared" si="758"/>
        <v>22.44</v>
      </c>
      <c r="BQ81" s="3">
        <f t="shared" si="758"/>
        <v>22.44</v>
      </c>
      <c r="BR81" s="3">
        <f t="shared" si="758"/>
        <v>22.44</v>
      </c>
      <c r="BS81" s="3">
        <f t="shared" si="758"/>
        <v>22.44</v>
      </c>
      <c r="BT81" s="3">
        <f t="shared" si="758"/>
        <v>22.44</v>
      </c>
      <c r="BU81" s="3">
        <f t="shared" si="758"/>
        <v>22.44</v>
      </c>
      <c r="BV81" s="3">
        <f t="shared" si="758"/>
        <v>22.44</v>
      </c>
      <c r="BW81" s="3">
        <f t="shared" si="758"/>
        <v>22.44</v>
      </c>
      <c r="BX81" s="3">
        <f t="shared" si="758"/>
        <v>22.44</v>
      </c>
      <c r="BY81" s="3">
        <f t="shared" si="758"/>
        <v>22.44</v>
      </c>
      <c r="BZ81" s="3">
        <f t="shared" si="758"/>
        <v>22.44</v>
      </c>
      <c r="CA81" s="3">
        <f t="shared" si="758"/>
        <v>22.44</v>
      </c>
      <c r="CB81" s="3">
        <f t="shared" si="758"/>
        <v>22.44</v>
      </c>
      <c r="CC81" s="3">
        <f t="shared" si="758"/>
        <v>22.44</v>
      </c>
      <c r="CD81" s="3">
        <f t="shared" si="758"/>
        <v>22.44</v>
      </c>
      <c r="CE81" s="3">
        <f t="shared" si="758"/>
        <v>22.44</v>
      </c>
      <c r="CF81" s="3">
        <f t="shared" si="758"/>
        <v>22.44</v>
      </c>
      <c r="CG81" s="3">
        <f t="shared" si="758"/>
        <v>22.44</v>
      </c>
      <c r="CH81" s="3">
        <f t="shared" si="758"/>
        <v>22.44</v>
      </c>
      <c r="CI81" s="3">
        <f>+CJ81</f>
        <v>22.44</v>
      </c>
      <c r="CJ81" s="3">
        <f>'QTR Raw'!BD45</f>
        <v>22.44</v>
      </c>
      <c r="CK81" s="3">
        <f>'QTR Raw'!BE45</f>
        <v>22.44</v>
      </c>
      <c r="CL81" s="3">
        <f>'QTR Raw'!BF45</f>
        <v>22.44</v>
      </c>
      <c r="CM81" s="37">
        <f t="shared" ref="CM81:CM82" si="759">+CL81</f>
        <v>22.44</v>
      </c>
      <c r="CN81" s="37">
        <f t="shared" ref="CN81:CN82" si="760">+CM81</f>
        <v>22.44</v>
      </c>
      <c r="CO81" s="37">
        <f t="shared" ref="CO81:CO82" si="761">+CN81</f>
        <v>22.44</v>
      </c>
      <c r="CP81" s="37">
        <f t="shared" ref="CP81:CP82" si="762">+CO81</f>
        <v>22.44</v>
      </c>
      <c r="CQ81" s="37">
        <f t="shared" ref="CQ81:CQ82" si="763">+CP81</f>
        <v>22.44</v>
      </c>
      <c r="CR81" s="37">
        <f t="shared" ref="CR81:CR82" si="764">+CQ81</f>
        <v>22.44</v>
      </c>
      <c r="CS81" s="37">
        <f t="shared" ref="CS81:CS82" si="765">+CR81</f>
        <v>22.44</v>
      </c>
      <c r="CT81" s="37">
        <f t="shared" ref="CT81:CT82" si="766">+CS81</f>
        <v>22.44</v>
      </c>
      <c r="CU81" s="37">
        <f t="shared" ref="CU81:CU82" si="767">+CT81</f>
        <v>22.44</v>
      </c>
      <c r="CV81" s="37">
        <f t="shared" ref="CV81:CV82" si="768">+CU81</f>
        <v>22.44</v>
      </c>
      <c r="CW81" s="37">
        <f t="shared" ref="CW81:CW82" si="769">+CV81</f>
        <v>22.44</v>
      </c>
      <c r="CX81" s="37">
        <f t="shared" ref="CX81:CX82" si="770">+CW81</f>
        <v>22.44</v>
      </c>
      <c r="CY81" s="37">
        <f t="shared" ref="CY81:CY82" si="771">+CX81</f>
        <v>22.44</v>
      </c>
      <c r="CZ81" s="37">
        <f t="shared" ref="CZ81:CZ82" si="772">+CY81</f>
        <v>22.44</v>
      </c>
      <c r="DA81" s="37">
        <f t="shared" ref="DA81:DA82" si="773">+CZ81</f>
        <v>22.44</v>
      </c>
      <c r="DB81" s="37">
        <f t="shared" ref="DB81:DB82" si="774">+DA81</f>
        <v>22.44</v>
      </c>
      <c r="DE81" s="134"/>
      <c r="DF81" s="3">
        <v>22.44</v>
      </c>
    </row>
    <row r="82" spans="1:110" s="3" customFormat="1" x14ac:dyDescent="0.2">
      <c r="A82" s="3" t="s">
        <v>28</v>
      </c>
      <c r="B82" s="3">
        <f>'Annual Raw'!C105</f>
        <v>10</v>
      </c>
      <c r="C82" s="3">
        <f>'Annual Raw'!D105</f>
        <v>10</v>
      </c>
      <c r="D82" s="3">
        <f>'Annual Raw'!E105</f>
        <v>10</v>
      </c>
      <c r="E82" s="3">
        <f t="shared" ref="E82:Y82" ca="1" si="775">+F82</f>
        <v>1</v>
      </c>
      <c r="F82" s="3">
        <f t="shared" ca="1" si="775"/>
        <v>1</v>
      </c>
      <c r="G82" s="3">
        <f t="shared" ca="1" si="775"/>
        <v>1</v>
      </c>
      <c r="H82" s="3">
        <f t="shared" ca="1" si="775"/>
        <v>1</v>
      </c>
      <c r="I82" s="3">
        <f t="shared" ca="1" si="775"/>
        <v>1</v>
      </c>
      <c r="J82" s="3">
        <f t="shared" ca="1" si="775"/>
        <v>1</v>
      </c>
      <c r="K82" s="3">
        <f t="shared" ca="1" si="775"/>
        <v>1</v>
      </c>
      <c r="L82" s="3">
        <f t="shared" ca="1" si="775"/>
        <v>1</v>
      </c>
      <c r="M82" s="3">
        <f t="shared" ca="1" si="775"/>
        <v>1</v>
      </c>
      <c r="N82" s="3">
        <f t="shared" ca="1" si="775"/>
        <v>1</v>
      </c>
      <c r="O82" s="3">
        <f t="shared" ca="1" si="775"/>
        <v>1</v>
      </c>
      <c r="P82" s="3">
        <f t="shared" ca="1" si="775"/>
        <v>1</v>
      </c>
      <c r="Q82" s="3">
        <f t="shared" ca="1" si="775"/>
        <v>1</v>
      </c>
      <c r="R82" s="3">
        <f t="shared" ca="1" si="775"/>
        <v>1</v>
      </c>
      <c r="S82" s="3">
        <f t="shared" ca="1" si="775"/>
        <v>1</v>
      </c>
      <c r="T82" s="3">
        <f t="shared" ca="1" si="775"/>
        <v>1</v>
      </c>
      <c r="U82" s="3">
        <f t="shared" ca="1" si="775"/>
        <v>1</v>
      </c>
      <c r="V82" s="3">
        <f t="shared" ca="1" si="775"/>
        <v>1</v>
      </c>
      <c r="W82" s="3">
        <f t="shared" ca="1" si="775"/>
        <v>1</v>
      </c>
      <c r="X82" s="3">
        <f t="shared" ca="1" si="775"/>
        <v>1</v>
      </c>
      <c r="Y82" s="3">
        <f t="shared" ca="1" si="775"/>
        <v>1</v>
      </c>
      <c r="Z82" s="3">
        <f ca="1">+AA82</f>
        <v>1</v>
      </c>
      <c r="AA82" s="3">
        <f ca="1">+AB82</f>
        <v>1</v>
      </c>
      <c r="AB82" s="37">
        <f t="shared" ca="1" si="754"/>
        <v>1</v>
      </c>
      <c r="AC82" s="37">
        <f t="shared" ca="1" si="755"/>
        <v>1</v>
      </c>
      <c r="AD82" s="37">
        <f t="shared" ca="1" si="756"/>
        <v>1</v>
      </c>
      <c r="AE82" s="37">
        <f t="shared" ca="1" si="757"/>
        <v>1</v>
      </c>
      <c r="AI82" s="3">
        <f t="shared" ref="AI82:CH82" si="776">AJ82</f>
        <v>1</v>
      </c>
      <c r="AJ82" s="3">
        <f t="shared" si="776"/>
        <v>1</v>
      </c>
      <c r="AK82" s="3">
        <f t="shared" si="776"/>
        <v>1</v>
      </c>
      <c r="AL82" s="3">
        <f t="shared" si="776"/>
        <v>1</v>
      </c>
      <c r="AM82" s="3">
        <f t="shared" si="776"/>
        <v>1</v>
      </c>
      <c r="AN82" s="3">
        <f t="shared" si="776"/>
        <v>1</v>
      </c>
      <c r="AO82" s="3">
        <f t="shared" si="776"/>
        <v>1</v>
      </c>
      <c r="AP82" s="3">
        <f t="shared" si="776"/>
        <v>1</v>
      </c>
      <c r="AQ82" s="3">
        <f t="shared" si="776"/>
        <v>1</v>
      </c>
      <c r="AR82" s="3">
        <f t="shared" si="776"/>
        <v>1</v>
      </c>
      <c r="AS82" s="3">
        <f t="shared" si="776"/>
        <v>1</v>
      </c>
      <c r="AT82" s="3">
        <f t="shared" si="776"/>
        <v>1</v>
      </c>
      <c r="AU82" s="3">
        <f t="shared" si="776"/>
        <v>1</v>
      </c>
      <c r="AV82" s="3">
        <f t="shared" si="776"/>
        <v>1</v>
      </c>
      <c r="AW82" s="3">
        <f t="shared" si="776"/>
        <v>1</v>
      </c>
      <c r="AX82" s="3">
        <f t="shared" si="776"/>
        <v>1</v>
      </c>
      <c r="AY82" s="3">
        <f t="shared" si="776"/>
        <v>1</v>
      </c>
      <c r="AZ82" s="3">
        <f t="shared" si="776"/>
        <v>1</v>
      </c>
      <c r="BA82" s="3">
        <f t="shared" si="776"/>
        <v>1</v>
      </c>
      <c r="BB82" s="3">
        <f t="shared" si="776"/>
        <v>1</v>
      </c>
      <c r="BC82" s="3">
        <f t="shared" si="776"/>
        <v>1</v>
      </c>
      <c r="BD82" s="3">
        <f t="shared" si="776"/>
        <v>1</v>
      </c>
      <c r="BE82" s="3">
        <f t="shared" si="776"/>
        <v>1</v>
      </c>
      <c r="BF82" s="3">
        <f t="shared" si="776"/>
        <v>1</v>
      </c>
      <c r="BG82" s="3">
        <f t="shared" si="776"/>
        <v>1</v>
      </c>
      <c r="BH82" s="3">
        <f t="shared" si="776"/>
        <v>1</v>
      </c>
      <c r="BI82" s="3">
        <f t="shared" si="776"/>
        <v>1</v>
      </c>
      <c r="BJ82" s="3">
        <f t="shared" si="776"/>
        <v>1</v>
      </c>
      <c r="BK82" s="3">
        <f t="shared" si="776"/>
        <v>1</v>
      </c>
      <c r="BL82" s="3">
        <f t="shared" si="776"/>
        <v>1</v>
      </c>
      <c r="BM82" s="3">
        <f t="shared" si="776"/>
        <v>1</v>
      </c>
      <c r="BN82" s="3">
        <f t="shared" si="776"/>
        <v>1</v>
      </c>
      <c r="BO82" s="3">
        <f t="shared" si="776"/>
        <v>1</v>
      </c>
      <c r="BP82" s="3">
        <f t="shared" si="776"/>
        <v>1</v>
      </c>
      <c r="BQ82" s="3">
        <f t="shared" si="776"/>
        <v>1</v>
      </c>
      <c r="BR82" s="3">
        <f t="shared" si="776"/>
        <v>1</v>
      </c>
      <c r="BS82" s="3">
        <f t="shared" si="776"/>
        <v>1</v>
      </c>
      <c r="BT82" s="3">
        <f t="shared" si="776"/>
        <v>1</v>
      </c>
      <c r="BU82" s="3">
        <f t="shared" si="776"/>
        <v>1</v>
      </c>
      <c r="BV82" s="3">
        <f t="shared" si="776"/>
        <v>1</v>
      </c>
      <c r="BW82" s="3">
        <f t="shared" si="776"/>
        <v>1</v>
      </c>
      <c r="BX82" s="3">
        <f t="shared" si="776"/>
        <v>1</v>
      </c>
      <c r="BY82" s="3">
        <f t="shared" si="776"/>
        <v>1</v>
      </c>
      <c r="BZ82" s="3">
        <f t="shared" si="776"/>
        <v>1</v>
      </c>
      <c r="CA82" s="3">
        <f t="shared" si="776"/>
        <v>1</v>
      </c>
      <c r="CB82" s="3">
        <f t="shared" si="776"/>
        <v>1</v>
      </c>
      <c r="CC82" s="3">
        <f t="shared" si="776"/>
        <v>1</v>
      </c>
      <c r="CD82" s="3">
        <f t="shared" si="776"/>
        <v>1</v>
      </c>
      <c r="CE82" s="3">
        <f t="shared" si="776"/>
        <v>1</v>
      </c>
      <c r="CF82" s="3">
        <f t="shared" si="776"/>
        <v>1</v>
      </c>
      <c r="CG82" s="3">
        <f t="shared" si="776"/>
        <v>1</v>
      </c>
      <c r="CH82" s="3">
        <f t="shared" si="776"/>
        <v>1</v>
      </c>
      <c r="CI82" s="3">
        <f>CJ82</f>
        <v>1</v>
      </c>
      <c r="CJ82" s="3">
        <f>'QTR Raw'!BD46</f>
        <v>1</v>
      </c>
      <c r="CK82" s="3">
        <f>'QTR Raw'!BE46</f>
        <v>1</v>
      </c>
      <c r="CL82" s="3">
        <f>'QTR Raw'!BF46</f>
        <v>1</v>
      </c>
      <c r="CM82" s="37">
        <f t="shared" si="759"/>
        <v>1</v>
      </c>
      <c r="CN82" s="37">
        <f t="shared" si="760"/>
        <v>1</v>
      </c>
      <c r="CO82" s="37">
        <f t="shared" si="761"/>
        <v>1</v>
      </c>
      <c r="CP82" s="37">
        <f t="shared" si="762"/>
        <v>1</v>
      </c>
      <c r="CQ82" s="37">
        <f t="shared" si="763"/>
        <v>1</v>
      </c>
      <c r="CR82" s="37">
        <f t="shared" si="764"/>
        <v>1</v>
      </c>
      <c r="CS82" s="37">
        <f t="shared" si="765"/>
        <v>1</v>
      </c>
      <c r="CT82" s="37">
        <f t="shared" si="766"/>
        <v>1</v>
      </c>
      <c r="CU82" s="37">
        <f t="shared" si="767"/>
        <v>1</v>
      </c>
      <c r="CV82" s="37">
        <f t="shared" si="768"/>
        <v>1</v>
      </c>
      <c r="CW82" s="37">
        <f t="shared" si="769"/>
        <v>1</v>
      </c>
      <c r="CX82" s="37">
        <f t="shared" si="770"/>
        <v>1</v>
      </c>
      <c r="CY82" s="37">
        <f t="shared" si="771"/>
        <v>1</v>
      </c>
      <c r="CZ82" s="37">
        <f t="shared" si="772"/>
        <v>1</v>
      </c>
      <c r="DA82" s="37">
        <f t="shared" si="773"/>
        <v>1</v>
      </c>
      <c r="DB82" s="37">
        <f t="shared" si="774"/>
        <v>1</v>
      </c>
      <c r="DE82" s="134"/>
      <c r="DF82" s="3">
        <v>1</v>
      </c>
    </row>
    <row r="83" spans="1:110" s="3" customFormat="1" x14ac:dyDescent="0.2">
      <c r="A83" s="3" t="s">
        <v>29</v>
      </c>
      <c r="B83" s="3">
        <f>B81/B82</f>
        <v>0.56474099999999994</v>
      </c>
      <c r="C83" s="3">
        <f t="shared" ref="C83:W83" si="777">C81/C82</f>
        <v>0.56474099999999994</v>
      </c>
      <c r="D83" s="3">
        <f t="shared" si="777"/>
        <v>0.56474099999999994</v>
      </c>
      <c r="E83" s="3">
        <f t="shared" ca="1" si="777"/>
        <v>22.44</v>
      </c>
      <c r="F83" s="3">
        <f t="shared" ca="1" si="777"/>
        <v>22.44</v>
      </c>
      <c r="G83" s="3">
        <f t="shared" ca="1" si="777"/>
        <v>22.44</v>
      </c>
      <c r="H83" s="3">
        <f t="shared" ca="1" si="777"/>
        <v>22.44</v>
      </c>
      <c r="I83" s="3">
        <f t="shared" ca="1" si="777"/>
        <v>22.44</v>
      </c>
      <c r="J83" s="3">
        <f t="shared" ca="1" si="777"/>
        <v>22.44</v>
      </c>
      <c r="K83" s="3">
        <f t="shared" ca="1" si="777"/>
        <v>22.44</v>
      </c>
      <c r="L83" s="3">
        <f t="shared" ca="1" si="777"/>
        <v>22.44</v>
      </c>
      <c r="M83" s="3">
        <f t="shared" ca="1" si="777"/>
        <v>22.44</v>
      </c>
      <c r="N83" s="3">
        <f t="shared" ca="1" si="777"/>
        <v>22.44</v>
      </c>
      <c r="O83" s="3">
        <f t="shared" ca="1" si="777"/>
        <v>22.44</v>
      </c>
      <c r="P83" s="3">
        <f t="shared" ca="1" si="777"/>
        <v>22.44</v>
      </c>
      <c r="Q83" s="3">
        <f t="shared" ca="1" si="777"/>
        <v>22.44</v>
      </c>
      <c r="R83" s="3">
        <f t="shared" ca="1" si="777"/>
        <v>22.44</v>
      </c>
      <c r="S83" s="3">
        <f t="shared" ca="1" si="777"/>
        <v>22.44</v>
      </c>
      <c r="T83" s="3">
        <f t="shared" ca="1" si="777"/>
        <v>22.44</v>
      </c>
      <c r="U83" s="3">
        <f t="shared" ca="1" si="777"/>
        <v>22.44</v>
      </c>
      <c r="V83" s="3">
        <f ca="1">V81/V82</f>
        <v>22.44</v>
      </c>
      <c r="W83" s="3">
        <f t="shared" ca="1" si="777"/>
        <v>22.44</v>
      </c>
      <c r="X83" s="3">
        <f t="shared" ref="X83:Y83" ca="1" si="778">X81/X82</f>
        <v>22.44</v>
      </c>
      <c r="Y83" s="3">
        <f t="shared" ca="1" si="778"/>
        <v>22.44</v>
      </c>
      <c r="Z83" s="3">
        <f t="shared" ref="Z83:AA83" ca="1" si="779">Z81/Z82</f>
        <v>22.44</v>
      </c>
      <c r="AA83" s="3">
        <f t="shared" ref="AA83" ca="1" si="780">AA81/AA82</f>
        <v>22.44</v>
      </c>
      <c r="AB83" s="37">
        <f t="shared" ref="AB83:AD83" ca="1" si="781">AB81/AB82</f>
        <v>22.44</v>
      </c>
      <c r="AC83" s="37">
        <f t="shared" ca="1" si="781"/>
        <v>22.44</v>
      </c>
      <c r="AD83" s="37">
        <f t="shared" ca="1" si="781"/>
        <v>22.44</v>
      </c>
      <c r="AE83" s="37">
        <f t="shared" ref="AE83" ca="1" si="782">AE81/AE82</f>
        <v>22.44</v>
      </c>
      <c r="AI83" s="3">
        <f t="shared" ref="AI83" si="783">AI81/AI82</f>
        <v>22.44</v>
      </c>
      <c r="AJ83" s="3">
        <f t="shared" ref="AJ83" si="784">AJ81/AJ82</f>
        <v>22.44</v>
      </c>
      <c r="AK83" s="3">
        <f t="shared" ref="AK83:AM83" si="785">AK81/AK82</f>
        <v>22.44</v>
      </c>
      <c r="AL83" s="3">
        <f t="shared" si="785"/>
        <v>22.44</v>
      </c>
      <c r="AM83" s="3">
        <f t="shared" si="785"/>
        <v>22.44</v>
      </c>
      <c r="AN83" s="3">
        <f t="shared" ref="AN83:AO83" si="786">AN81/AN82</f>
        <v>22.44</v>
      </c>
      <c r="AO83" s="3">
        <f t="shared" si="786"/>
        <v>22.44</v>
      </c>
      <c r="AP83" s="3">
        <f t="shared" ref="AP83:CD83" si="787">AP81/AP82</f>
        <v>22.44</v>
      </c>
      <c r="AQ83" s="3">
        <f t="shared" si="787"/>
        <v>22.44</v>
      </c>
      <c r="AR83" s="3">
        <f t="shared" si="787"/>
        <v>22.44</v>
      </c>
      <c r="AS83" s="3">
        <f t="shared" si="787"/>
        <v>22.44</v>
      </c>
      <c r="AT83" s="3">
        <f t="shared" si="787"/>
        <v>22.44</v>
      </c>
      <c r="AU83" s="3">
        <f t="shared" si="787"/>
        <v>22.44</v>
      </c>
      <c r="AV83" s="3">
        <f t="shared" si="787"/>
        <v>22.44</v>
      </c>
      <c r="AW83" s="3">
        <f t="shared" si="787"/>
        <v>22.44</v>
      </c>
      <c r="AX83" s="3">
        <f t="shared" si="787"/>
        <v>22.44</v>
      </c>
      <c r="AY83" s="3">
        <f t="shared" si="787"/>
        <v>22.44</v>
      </c>
      <c r="AZ83" s="3">
        <f t="shared" si="787"/>
        <v>22.44</v>
      </c>
      <c r="BA83" s="3">
        <f t="shared" si="787"/>
        <v>22.44</v>
      </c>
      <c r="BB83" s="3">
        <f t="shared" si="787"/>
        <v>22.44</v>
      </c>
      <c r="BC83" s="3">
        <f t="shared" si="787"/>
        <v>22.44</v>
      </c>
      <c r="BD83" s="3">
        <f t="shared" si="787"/>
        <v>22.44</v>
      </c>
      <c r="BE83" s="3">
        <f t="shared" si="787"/>
        <v>22.44</v>
      </c>
      <c r="BF83" s="3">
        <f t="shared" si="787"/>
        <v>22.44</v>
      </c>
      <c r="BG83" s="3">
        <f t="shared" si="787"/>
        <v>22.44</v>
      </c>
      <c r="BH83" s="3">
        <f t="shared" si="787"/>
        <v>22.44</v>
      </c>
      <c r="BI83" s="3">
        <f t="shared" si="787"/>
        <v>22.44</v>
      </c>
      <c r="BJ83" s="3">
        <f t="shared" si="787"/>
        <v>22.44</v>
      </c>
      <c r="BK83" s="3">
        <f t="shared" si="787"/>
        <v>22.44</v>
      </c>
      <c r="BL83" s="3">
        <f t="shared" si="787"/>
        <v>22.44</v>
      </c>
      <c r="BM83" s="3">
        <f t="shared" si="787"/>
        <v>22.44</v>
      </c>
      <c r="BN83" s="3">
        <f t="shared" si="787"/>
        <v>22.44</v>
      </c>
      <c r="BO83" s="3">
        <f t="shared" si="787"/>
        <v>22.44</v>
      </c>
      <c r="BP83" s="3">
        <f t="shared" si="787"/>
        <v>22.44</v>
      </c>
      <c r="BQ83" s="3">
        <f t="shared" si="787"/>
        <v>22.44</v>
      </c>
      <c r="BR83" s="3">
        <f t="shared" si="787"/>
        <v>22.44</v>
      </c>
      <c r="BS83" s="3">
        <f t="shared" si="787"/>
        <v>22.44</v>
      </c>
      <c r="BT83" s="3">
        <f t="shared" si="787"/>
        <v>22.44</v>
      </c>
      <c r="BU83" s="3">
        <f t="shared" si="787"/>
        <v>22.44</v>
      </c>
      <c r="BV83" s="3">
        <f t="shared" si="787"/>
        <v>22.44</v>
      </c>
      <c r="BW83" s="3">
        <f t="shared" si="787"/>
        <v>22.44</v>
      </c>
      <c r="BX83" s="3">
        <f t="shared" si="787"/>
        <v>22.44</v>
      </c>
      <c r="BY83" s="3">
        <f t="shared" si="787"/>
        <v>22.44</v>
      </c>
      <c r="BZ83" s="3">
        <f t="shared" si="787"/>
        <v>22.44</v>
      </c>
      <c r="CA83" s="3">
        <f t="shared" si="787"/>
        <v>22.44</v>
      </c>
      <c r="CB83" s="3">
        <f t="shared" si="787"/>
        <v>22.44</v>
      </c>
      <c r="CC83" s="3">
        <f t="shared" si="787"/>
        <v>22.44</v>
      </c>
      <c r="CD83" s="3">
        <f t="shared" si="787"/>
        <v>22.44</v>
      </c>
      <c r="CE83" s="3">
        <f t="shared" ref="CE83:CF83" si="788">CE81/CE82</f>
        <v>22.44</v>
      </c>
      <c r="CF83" s="3">
        <f t="shared" si="788"/>
        <v>22.44</v>
      </c>
      <c r="CG83" s="3">
        <f t="shared" ref="CG83:CH83" si="789">CG81/CG82</f>
        <v>22.44</v>
      </c>
      <c r="CH83" s="3">
        <f t="shared" si="789"/>
        <v>22.44</v>
      </c>
      <c r="CI83" s="3">
        <f t="shared" ref="CI83:CJ83" si="790">CI81/CI82</f>
        <v>22.44</v>
      </c>
      <c r="CJ83" s="3">
        <f t="shared" si="790"/>
        <v>22.44</v>
      </c>
      <c r="CK83" s="3">
        <f t="shared" ref="CK83:CL83" si="791">CK81/CK82</f>
        <v>22.44</v>
      </c>
      <c r="CL83" s="3">
        <f t="shared" si="791"/>
        <v>22.44</v>
      </c>
      <c r="CM83" s="37">
        <f t="shared" ref="CM83:DB83" si="792">CM81/CM82</f>
        <v>22.44</v>
      </c>
      <c r="CN83" s="37">
        <f t="shared" si="792"/>
        <v>22.44</v>
      </c>
      <c r="CO83" s="37">
        <f t="shared" si="792"/>
        <v>22.44</v>
      </c>
      <c r="CP83" s="37">
        <f t="shared" si="792"/>
        <v>22.44</v>
      </c>
      <c r="CQ83" s="37">
        <f t="shared" si="792"/>
        <v>22.44</v>
      </c>
      <c r="CR83" s="37">
        <f t="shared" si="792"/>
        <v>22.44</v>
      </c>
      <c r="CS83" s="37">
        <f t="shared" si="792"/>
        <v>22.44</v>
      </c>
      <c r="CT83" s="37">
        <f t="shared" si="792"/>
        <v>22.44</v>
      </c>
      <c r="CU83" s="37">
        <f t="shared" si="792"/>
        <v>22.44</v>
      </c>
      <c r="CV83" s="37">
        <f t="shared" si="792"/>
        <v>22.44</v>
      </c>
      <c r="CW83" s="37">
        <f t="shared" si="792"/>
        <v>22.44</v>
      </c>
      <c r="CX83" s="37">
        <f t="shared" si="792"/>
        <v>22.44</v>
      </c>
      <c r="CY83" s="37">
        <f t="shared" si="792"/>
        <v>22.44</v>
      </c>
      <c r="CZ83" s="37">
        <f t="shared" si="792"/>
        <v>22.44</v>
      </c>
      <c r="DA83" s="37">
        <f t="shared" si="792"/>
        <v>22.44</v>
      </c>
      <c r="DB83" s="37">
        <f t="shared" si="792"/>
        <v>22.44</v>
      </c>
      <c r="DE83" s="134"/>
      <c r="DF83" s="3">
        <v>22.44</v>
      </c>
    </row>
    <row r="84" spans="1:110" s="53" customFormat="1" x14ac:dyDescent="0.2">
      <c r="A84" s="53" t="s">
        <v>30</v>
      </c>
      <c r="B84" s="53">
        <f t="shared" ref="B84:AE84" si="793">(B66-B65)/B83</f>
        <v>0.60468161511203888</v>
      </c>
      <c r="C84" s="53">
        <f t="shared" si="793"/>
        <v>-2.6159221660903227</v>
      </c>
      <c r="D84" s="53">
        <f t="shared" si="793"/>
        <v>3.0770749777331807</v>
      </c>
      <c r="E84" s="53">
        <f t="shared" ca="1" si="793"/>
        <v>9.6684113190730975E-2</v>
      </c>
      <c r="F84" s="53">
        <f t="shared" ca="1" si="793"/>
        <v>0.71713903743315588</v>
      </c>
      <c r="G84" s="53">
        <f t="shared" ca="1" si="793"/>
        <v>1.401069518716576</v>
      </c>
      <c r="H84" s="53">
        <f t="shared" ca="1" si="793"/>
        <v>2.5490508021390355</v>
      </c>
      <c r="I84" s="53">
        <f t="shared" ca="1" si="793"/>
        <v>2.9948395721925172</v>
      </c>
      <c r="J84" s="53">
        <f t="shared" ca="1" si="793"/>
        <v>2.560213903743314</v>
      </c>
      <c r="K84" s="53">
        <f t="shared" ca="1" si="793"/>
        <v>2.9489884135472377</v>
      </c>
      <c r="L84" s="53">
        <f t="shared" ca="1" si="793"/>
        <v>4.0088190730837878</v>
      </c>
      <c r="M84" s="53">
        <f t="shared" ca="1" si="793"/>
        <v>2.6448573975044547</v>
      </c>
      <c r="N84" s="53">
        <f t="shared" ca="1" si="793"/>
        <v>1.9881951871657724</v>
      </c>
      <c r="O84" s="53">
        <f t="shared" ca="1" si="793"/>
        <v>0.61197860962566653</v>
      </c>
      <c r="P84" s="53">
        <f t="shared" ca="1" si="793"/>
        <v>0.72835561497325729</v>
      </c>
      <c r="Q84" s="53">
        <f t="shared" ca="1" si="793"/>
        <v>1.6652941176470548</v>
      </c>
      <c r="R84" s="53">
        <f t="shared" ca="1" si="793"/>
        <v>0.47906417112299998</v>
      </c>
      <c r="S84" s="53">
        <f t="shared" ca="1" si="793"/>
        <v>0.3335561497326231</v>
      </c>
      <c r="T84" s="53">
        <f t="shared" ca="1" si="793"/>
        <v>3.1242959001782569</v>
      </c>
      <c r="U84" s="53">
        <f t="shared" ca="1" si="793"/>
        <v>3.9973930481283393</v>
      </c>
      <c r="V84" s="53">
        <f t="shared" ca="1" si="793"/>
        <v>2.5682263814616721</v>
      </c>
      <c r="W84" s="53">
        <f t="shared" ca="1" si="793"/>
        <v>6.2608065953654179</v>
      </c>
      <c r="X84" s="53">
        <f t="shared" ca="1" si="793"/>
        <v>10.584224598930483</v>
      </c>
      <c r="Y84" s="53">
        <f t="shared" ca="1" si="793"/>
        <v>15.84581105169341</v>
      </c>
      <c r="Z84" s="53">
        <f t="shared" ca="1" si="793"/>
        <v>18.498217468805713</v>
      </c>
      <c r="AA84" s="53">
        <f t="shared" ref="AA84" ca="1" si="794">(AA66-AA65)/AA83</f>
        <v>18.498217468805713</v>
      </c>
      <c r="AB84" s="54">
        <f t="shared" ca="1" si="793"/>
        <v>18.552584090485979</v>
      </c>
      <c r="AC84" s="54">
        <f t="shared" ca="1" si="793"/>
        <v>21.536648759865486</v>
      </c>
      <c r="AD84" s="54">
        <f t="shared" ca="1" si="793"/>
        <v>25.066387889285185</v>
      </c>
      <c r="AE84" s="54">
        <f t="shared" ca="1" si="793"/>
        <v>28.866538283796245</v>
      </c>
      <c r="AI84" s="53">
        <f t="shared" ref="AI84:BN84" si="795">(AI66-AI65)/AI83</f>
        <v>0.28511586452762777</v>
      </c>
      <c r="AJ84" s="53">
        <f t="shared" si="795"/>
        <v>1.0241978609625664</v>
      </c>
      <c r="AK84" s="53">
        <f t="shared" si="795"/>
        <v>0.31417112299465211</v>
      </c>
      <c r="AL84" s="53">
        <f t="shared" si="795"/>
        <v>0.49759358288769984</v>
      </c>
      <c r="AM84" s="53">
        <f t="shared" si="795"/>
        <v>0.14514260249554348</v>
      </c>
      <c r="AN84" s="53">
        <f t="shared" si="795"/>
        <v>0.39362745098039209</v>
      </c>
      <c r="AO84" s="53">
        <f t="shared" si="795"/>
        <v>0.19754901960784299</v>
      </c>
      <c r="AP84" s="53">
        <f t="shared" si="795"/>
        <v>0.48596256684491879</v>
      </c>
      <c r="AQ84" s="53">
        <f t="shared" si="795"/>
        <v>-0.29839572192513486</v>
      </c>
      <c r="AR84" s="53">
        <f t="shared" si="795"/>
        <v>-0.13422459893048208</v>
      </c>
      <c r="AS84" s="53">
        <f t="shared" si="795"/>
        <v>-0.16720142602495269</v>
      </c>
      <c r="AT84" s="53">
        <f t="shared" si="795"/>
        <v>1.4122549019607848</v>
      </c>
      <c r="AU84" s="53">
        <f t="shared" si="795"/>
        <v>8.747771836007244E-2</v>
      </c>
      <c r="AV84" s="53">
        <f t="shared" si="795"/>
        <v>0.33997326203208506</v>
      </c>
      <c r="AW84" s="53">
        <f t="shared" si="795"/>
        <v>0.31920677361853678</v>
      </c>
      <c r="AX84" s="53">
        <f t="shared" si="795"/>
        <v>1.0238413547237093</v>
      </c>
      <c r="AY84" s="53">
        <f t="shared" si="795"/>
        <v>-9.0819964349376517E-2</v>
      </c>
      <c r="AZ84" s="53">
        <f t="shared" si="795"/>
        <v>-0.33128342245989156</v>
      </c>
      <c r="BA84" s="53">
        <f t="shared" si="795"/>
        <v>-0.42259358288770221</v>
      </c>
      <c r="BB84" s="53">
        <f t="shared" si="795"/>
        <v>1.3390374331550792</v>
      </c>
      <c r="BC84" s="53">
        <f t="shared" si="795"/>
        <v>-1.6128342245989291</v>
      </c>
      <c r="BD84" s="53">
        <f t="shared" si="795"/>
        <v>-0.32696078431372561</v>
      </c>
      <c r="BE84" s="53">
        <f t="shared" si="795"/>
        <v>-0.10552584670231512</v>
      </c>
      <c r="BF84" s="53">
        <f t="shared" si="795"/>
        <v>2.3788324420677345</v>
      </c>
      <c r="BG84" s="53">
        <f t="shared" si="795"/>
        <v>0.3347593582887709</v>
      </c>
      <c r="BH84" s="53">
        <f t="shared" si="795"/>
        <v>2.2022281639928676</v>
      </c>
      <c r="BI84" s="53">
        <f t="shared" si="795"/>
        <v>0.13565062388591861</v>
      </c>
      <c r="BJ84" s="53">
        <f t="shared" si="795"/>
        <v>0.4516042780748673</v>
      </c>
      <c r="BK84" s="53">
        <f t="shared" si="795"/>
        <v>2.0142602495544615E-2</v>
      </c>
      <c r="BL84" s="53">
        <f t="shared" si="795"/>
        <v>0.43533868092691613</v>
      </c>
      <c r="BM84" s="53">
        <f t="shared" si="795"/>
        <v>0.41323529411764665</v>
      </c>
      <c r="BN84" s="53">
        <f t="shared" si="795"/>
        <v>3.1285650623885917</v>
      </c>
      <c r="BO84" s="53">
        <f t="shared" ref="BO84:CT84" si="796">(BO66-BO65)/BO83</f>
        <v>-0.91907308377896557</v>
      </c>
      <c r="BP84" s="53">
        <f t="shared" si="796"/>
        <v>0.97852049910873395</v>
      </c>
      <c r="BQ84" s="53">
        <f t="shared" si="796"/>
        <v>1.099465240641712</v>
      </c>
      <c r="BR84" s="53">
        <f t="shared" si="796"/>
        <v>1.409224598930481</v>
      </c>
      <c r="BS84" s="53">
        <f t="shared" si="796"/>
        <v>1.2151960784313711</v>
      </c>
      <c r="BT84" s="53">
        <f t="shared" si="796"/>
        <v>1.5766934046345822</v>
      </c>
      <c r="BU84" s="53">
        <f t="shared" si="796"/>
        <v>1.4054812834224604</v>
      </c>
      <c r="BV84" s="53">
        <f t="shared" si="796"/>
        <v>2.0634135472370754</v>
      </c>
      <c r="BW84" s="53">
        <f t="shared" si="796"/>
        <v>1.8854723707664898</v>
      </c>
      <c r="BX84" s="53">
        <f t="shared" si="796"/>
        <v>2.8743315508021365</v>
      </c>
      <c r="BY84" s="53">
        <f t="shared" si="796"/>
        <v>2.7963458110516934</v>
      </c>
      <c r="BZ84" s="53">
        <f t="shared" si="796"/>
        <v>3.0276292335115875</v>
      </c>
      <c r="CA84" s="53">
        <f t="shared" si="796"/>
        <v>3.2513368983957203</v>
      </c>
      <c r="CB84" s="53">
        <f t="shared" si="796"/>
        <v>3.9469696969696972</v>
      </c>
      <c r="CC84" s="53">
        <f t="shared" si="796"/>
        <v>4.028520499108736</v>
      </c>
      <c r="CD84" s="53">
        <f t="shared" si="796"/>
        <v>4.6189839572192488</v>
      </c>
      <c r="CE84" s="53">
        <f t="shared" si="796"/>
        <v>3.2691622103386808</v>
      </c>
      <c r="CF84" s="53">
        <f t="shared" si="796"/>
        <v>3.909090909090907</v>
      </c>
      <c r="CG84" s="53">
        <f t="shared" si="796"/>
        <v>4.7923351158645247</v>
      </c>
      <c r="CH84" s="53">
        <f t="shared" si="796"/>
        <v>6.527629233511588</v>
      </c>
      <c r="CI84" s="53">
        <f t="shared" si="796"/>
        <v>4.2321746880570386</v>
      </c>
      <c r="CJ84" s="53">
        <f t="shared" si="796"/>
        <v>3.9090909090909083</v>
      </c>
      <c r="CK84" s="53">
        <f t="shared" ref="CK84:CL84" si="797">(CK66-CK65)/CK83</f>
        <v>3.2081105169340471</v>
      </c>
      <c r="CL84" s="53">
        <f t="shared" si="797"/>
        <v>4.802584670231731</v>
      </c>
      <c r="CM84" s="54">
        <f t="shared" si="796"/>
        <v>4.5776342397828493</v>
      </c>
      <c r="CN84" s="54">
        <f t="shared" si="796"/>
        <v>4.4342297762986087</v>
      </c>
      <c r="CO84" s="54">
        <f t="shared" si="796"/>
        <v>4.5821566821659045</v>
      </c>
      <c r="CP84" s="54">
        <f t="shared" si="796"/>
        <v>4.9585633922386236</v>
      </c>
      <c r="CQ84" s="54">
        <f t="shared" si="796"/>
        <v>5.1411098308772747</v>
      </c>
      <c r="CR84" s="54">
        <f t="shared" si="796"/>
        <v>5.2123357099329297</v>
      </c>
      <c r="CS84" s="54">
        <f t="shared" si="796"/>
        <v>5.4847232544764761</v>
      </c>
      <c r="CT84" s="54">
        <f t="shared" si="796"/>
        <v>5.6984799645788096</v>
      </c>
      <c r="CU84" s="54">
        <f t="shared" ref="CU84:DB84" si="798">(CU66-CU65)/CU83</f>
        <v>5.9264563168139794</v>
      </c>
      <c r="CV84" s="54">
        <f t="shared" si="798"/>
        <v>6.0897545293448117</v>
      </c>
      <c r="CW84" s="54">
        <f t="shared" si="798"/>
        <v>6.4118540583502313</v>
      </c>
      <c r="CX84" s="54">
        <f t="shared" si="798"/>
        <v>6.6383229847761571</v>
      </c>
      <c r="CY84" s="54">
        <f t="shared" si="798"/>
        <v>6.8347075945539864</v>
      </c>
      <c r="CZ84" s="54">
        <f t="shared" si="798"/>
        <v>7.030832046390926</v>
      </c>
      <c r="DA84" s="54">
        <f t="shared" si="798"/>
        <v>7.3816804685707558</v>
      </c>
      <c r="DB84" s="54">
        <f t="shared" si="798"/>
        <v>7.6193181742805702</v>
      </c>
      <c r="DE84" s="132"/>
      <c r="DF84" s="53">
        <v>16.15196078431374</v>
      </c>
    </row>
    <row r="85" spans="1:110" s="3" customFormat="1" x14ac:dyDescent="0.2">
      <c r="A85" s="3" t="s">
        <v>31</v>
      </c>
      <c r="B85" s="3">
        <f>'Annual Raw'!C110</f>
        <v>0</v>
      </c>
      <c r="C85" s="3">
        <f>'Annual Raw'!D110</f>
        <v>0</v>
      </c>
      <c r="D85" s="3">
        <f>'Annual Raw'!E110</f>
        <v>0</v>
      </c>
      <c r="E85" s="3">
        <f>'Annual Raw'!F110</f>
        <v>3.3333333333333298E-2</v>
      </c>
      <c r="F85" s="3">
        <f>'Annual Raw'!G110</f>
        <v>8.3333333333333301E-2</v>
      </c>
      <c r="G85" s="3">
        <f>'Annual Raw'!H110</f>
        <v>0.16666666666666699</v>
      </c>
      <c r="H85" s="3">
        <f>'Annual Raw'!I110</f>
        <v>0.25</v>
      </c>
      <c r="I85" s="3">
        <f>'Annual Raw'!J110</f>
        <v>0.75</v>
      </c>
      <c r="J85" s="3">
        <f>'Annual Raw'!K110</f>
        <v>0.75</v>
      </c>
      <c r="K85" s="3">
        <f>'Annual Raw'!L110</f>
        <v>0.75</v>
      </c>
      <c r="L85" s="3">
        <f>'Annual Raw'!M110</f>
        <v>0.9</v>
      </c>
      <c r="M85" s="3">
        <f>'Annual Raw'!N110</f>
        <v>0.9</v>
      </c>
      <c r="N85" s="3">
        <f>'Annual Raw'!O110</f>
        <v>0.5</v>
      </c>
      <c r="O85" s="3">
        <f>'Annual Raw'!P110</f>
        <v>0.5</v>
      </c>
      <c r="P85" s="3">
        <f>'Annual Raw'!Q110</f>
        <v>0.55000000000000004</v>
      </c>
      <c r="Q85" s="3">
        <f>'Annual Raw'!R110</f>
        <v>0.55000000000000004</v>
      </c>
      <c r="R85" s="3">
        <f>'Annual Raw'!S110</f>
        <v>0.25</v>
      </c>
      <c r="S85" s="3">
        <f>'Annual Raw'!T110</f>
        <v>0.1</v>
      </c>
      <c r="T85" s="3">
        <f>'Annual Raw'!U110</f>
        <v>0.1</v>
      </c>
      <c r="U85" s="3">
        <f>'Annual Raw'!V110</f>
        <v>0</v>
      </c>
      <c r="V85" s="3">
        <f>'Annual Raw'!W110</f>
        <v>0.2</v>
      </c>
      <c r="W85" s="3">
        <f>'Annual Raw'!X110</f>
        <v>0.7</v>
      </c>
      <c r="X85" s="3">
        <f>'Annual Raw'!Y110</f>
        <v>1</v>
      </c>
      <c r="Y85" s="3">
        <f>'Annual Raw'!Z110</f>
        <v>1.5</v>
      </c>
      <c r="Z85" s="3">
        <f>'Annual Raw'!AA110</f>
        <v>2</v>
      </c>
      <c r="AA85" s="3">
        <f>'Annual Raw'!AB110</f>
        <v>2</v>
      </c>
      <c r="AB85" s="37"/>
      <c r="AC85" s="37"/>
      <c r="AD85" s="37"/>
      <c r="AE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E85" s="134"/>
      <c r="DF85" s="3">
        <v>2</v>
      </c>
    </row>
    <row r="86" spans="1:110" s="3" customFormat="1" x14ac:dyDescent="0.2">
      <c r="A86" s="3" t="s">
        <v>32</v>
      </c>
      <c r="B86" s="3">
        <f>B85/B84</f>
        <v>0</v>
      </c>
      <c r="C86" s="3">
        <f t="shared" ref="C86:U86" si="799">C85/C84</f>
        <v>0</v>
      </c>
      <c r="D86" s="3">
        <f t="shared" si="799"/>
        <v>0</v>
      </c>
      <c r="E86" s="3">
        <f t="shared" ca="1" si="799"/>
        <v>0.34476536251178996</v>
      </c>
      <c r="F86" s="3">
        <f t="shared" ca="1" si="799"/>
        <v>0.11620247815766235</v>
      </c>
      <c r="G86" s="3">
        <f t="shared" ca="1" si="799"/>
        <v>0.11895674300254488</v>
      </c>
      <c r="H86" s="3">
        <f t="shared" ca="1" si="799"/>
        <v>9.8075722849545618E-2</v>
      </c>
      <c r="I86" s="3">
        <f t="shared" ca="1" si="799"/>
        <v>0.25043077664788777</v>
      </c>
      <c r="J86" s="3">
        <f t="shared" ca="1" si="799"/>
        <v>0.29294427270448675</v>
      </c>
      <c r="K86" s="3">
        <f t="shared" ca="1" si="799"/>
        <v>0.2543244987177995</v>
      </c>
      <c r="L86" s="3">
        <f t="shared" ca="1" si="799"/>
        <v>0.22450501845863405</v>
      </c>
      <c r="M86" s="3">
        <f t="shared" ca="1" si="799"/>
        <v>0.3402829962965836</v>
      </c>
      <c r="N86" s="3">
        <f t="shared" ca="1" si="799"/>
        <v>0.25148436291748794</v>
      </c>
      <c r="O86" s="3">
        <f t="shared" ca="1" si="799"/>
        <v>0.81702202027263449</v>
      </c>
      <c r="P86" s="3">
        <f t="shared" ca="1" si="799"/>
        <v>0.75512564013142691</v>
      </c>
      <c r="Q86" s="3">
        <f t="shared" ca="1" si="799"/>
        <v>0.33027198869657448</v>
      </c>
      <c r="R86" s="3">
        <f t="shared" ca="1" si="799"/>
        <v>0.52185075626499389</v>
      </c>
      <c r="S86" s="3">
        <f t="shared" ca="1" si="799"/>
        <v>0.29979959919839433</v>
      </c>
      <c r="T86" s="3">
        <f t="shared" ca="1" si="799"/>
        <v>3.2007211607035846E-2</v>
      </c>
      <c r="U86" s="3">
        <f t="shared" ca="1" si="799"/>
        <v>0</v>
      </c>
      <c r="V86" s="3">
        <f ca="1">V85/V84</f>
        <v>7.7874754906213775E-2</v>
      </c>
      <c r="W86" s="3">
        <f t="shared" ref="W86" ca="1" si="800">W85/W84</f>
        <v>0.11180668007188997</v>
      </c>
      <c r="X86" s="3">
        <f t="shared" ref="X86:Y86" ca="1" si="801">X85/X84</f>
        <v>9.4480232411266879E-2</v>
      </c>
      <c r="Y86" s="3">
        <f t="shared" ca="1" si="801"/>
        <v>9.4662241970864466E-2</v>
      </c>
      <c r="Z86" s="3">
        <f t="shared" ref="Z86:AA86" ca="1" si="802">Z85/Z84</f>
        <v>0.10811852565646828</v>
      </c>
      <c r="AA86" s="3">
        <f t="shared" ref="AA86" ca="1" si="803">AA85/AA84</f>
        <v>0.10811852565646828</v>
      </c>
      <c r="AB86" s="37">
        <f t="shared" ref="AB86:AD86" ca="1" si="804">AB85/AB84</f>
        <v>0</v>
      </c>
      <c r="AC86" s="37">
        <f t="shared" ca="1" si="804"/>
        <v>0</v>
      </c>
      <c r="AD86" s="37">
        <f t="shared" ca="1" si="804"/>
        <v>0</v>
      </c>
      <c r="AE86" s="37">
        <f t="shared" ref="AE86" ca="1" si="805">AE85/AE84</f>
        <v>0</v>
      </c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E86" s="134"/>
      <c r="DF86" s="3">
        <v>0</v>
      </c>
    </row>
    <row r="87" spans="1:110" s="3" customFormat="1" x14ac:dyDescent="0.2">
      <c r="A87" s="3" t="s">
        <v>33</v>
      </c>
      <c r="B87" s="3">
        <f>+B84</f>
        <v>0.60468161511203888</v>
      </c>
      <c r="C87" s="3">
        <f t="shared" ref="C87:U87" si="806">+C84</f>
        <v>-2.6159221660903227</v>
      </c>
      <c r="D87" s="3">
        <f t="shared" si="806"/>
        <v>3.0770749777331807</v>
      </c>
      <c r="E87" s="3">
        <f t="shared" ca="1" si="806"/>
        <v>9.6684113190730975E-2</v>
      </c>
      <c r="F87" s="3">
        <f t="shared" ca="1" si="806"/>
        <v>0.71713903743315588</v>
      </c>
      <c r="G87" s="3">
        <f t="shared" ca="1" si="806"/>
        <v>1.401069518716576</v>
      </c>
      <c r="H87" s="3">
        <f t="shared" ca="1" si="806"/>
        <v>2.5490508021390355</v>
      </c>
      <c r="I87" s="3">
        <f t="shared" ca="1" si="806"/>
        <v>2.9948395721925172</v>
      </c>
      <c r="J87" s="3">
        <f t="shared" ca="1" si="806"/>
        <v>2.560213903743314</v>
      </c>
      <c r="K87" s="3">
        <f t="shared" ca="1" si="806"/>
        <v>2.9489884135472377</v>
      </c>
      <c r="L87" s="3">
        <f t="shared" ca="1" si="806"/>
        <v>4.0088190730837878</v>
      </c>
      <c r="M87" s="3">
        <f t="shared" ca="1" si="806"/>
        <v>2.6448573975044547</v>
      </c>
      <c r="N87" s="3">
        <f t="shared" ca="1" si="806"/>
        <v>1.9881951871657724</v>
      </c>
      <c r="O87" s="3">
        <f t="shared" ca="1" si="806"/>
        <v>0.61197860962566653</v>
      </c>
      <c r="P87" s="3">
        <f t="shared" ca="1" si="806"/>
        <v>0.72835561497325729</v>
      </c>
      <c r="Q87" s="3">
        <f t="shared" ca="1" si="806"/>
        <v>1.6652941176470548</v>
      </c>
      <c r="R87" s="3">
        <f t="shared" ca="1" si="806"/>
        <v>0.47906417112299998</v>
      </c>
      <c r="S87" s="3">
        <f t="shared" ca="1" si="806"/>
        <v>0.3335561497326231</v>
      </c>
      <c r="T87" s="3">
        <f ca="1">+T84</f>
        <v>3.1242959001782569</v>
      </c>
      <c r="U87" s="3">
        <f t="shared" ca="1" si="806"/>
        <v>3.9973930481283393</v>
      </c>
      <c r="V87" s="3">
        <f ca="1">+V84</f>
        <v>2.5682263814616721</v>
      </c>
      <c r="W87" s="3">
        <f t="shared" ref="W87" ca="1" si="807">+W84</f>
        <v>6.2608065953654179</v>
      </c>
      <c r="X87" s="3">
        <f t="shared" ref="X87:Y87" ca="1" si="808">+X84</f>
        <v>10.584224598930483</v>
      </c>
      <c r="Y87" s="3">
        <f t="shared" ca="1" si="808"/>
        <v>15.84581105169341</v>
      </c>
      <c r="Z87" s="3">
        <f t="shared" ref="Z87:AA87" ca="1" si="809">+Z84</f>
        <v>18.498217468805713</v>
      </c>
      <c r="AA87" s="3">
        <f t="shared" ref="AA87" ca="1" si="810">+AA84</f>
        <v>18.498217468805713</v>
      </c>
      <c r="AB87" s="37">
        <f t="shared" ref="AB87:AD87" ca="1" si="811">+AB84</f>
        <v>18.552584090485979</v>
      </c>
      <c r="AC87" s="37">
        <f t="shared" ca="1" si="811"/>
        <v>21.536648759865486</v>
      </c>
      <c r="AD87" s="37">
        <f t="shared" ca="1" si="811"/>
        <v>25.066387889285185</v>
      </c>
      <c r="AE87" s="37">
        <f t="shared" ref="AE87" ca="1" si="812">+AE84</f>
        <v>28.866538283796245</v>
      </c>
      <c r="AL87" s="3">
        <f>SUM(AI84:AL84)</f>
        <v>2.1210784313725464</v>
      </c>
      <c r="AM87" s="3">
        <f t="shared" ref="AM87" si="813">SUM(AJ84:AM84)</f>
        <v>1.9811051693404618</v>
      </c>
      <c r="AN87" s="3">
        <f t="shared" ref="AN87" si="814">SUM(AK84:AN84)</f>
        <v>1.3505347593582875</v>
      </c>
      <c r="AO87" s="3">
        <f t="shared" ref="AO87" si="815">SUM(AL84:AO84)</f>
        <v>1.2339126559714781</v>
      </c>
      <c r="AP87" s="3">
        <f t="shared" ref="AP87" si="816">SUM(AM84:AP84)</f>
        <v>1.2222816399286973</v>
      </c>
      <c r="AQ87" s="3">
        <f t="shared" ref="AQ87" si="817">SUM(AN84:AQ84)</f>
        <v>0.7787433155080189</v>
      </c>
      <c r="AR87" s="3">
        <f t="shared" ref="AR87" si="818">SUM(AO84:AR84)</f>
        <v>0.25089126559714481</v>
      </c>
      <c r="AS87" s="3">
        <f t="shared" ref="AS87" si="819">SUM(AP84:AS84)</f>
        <v>-0.11385918003565085</v>
      </c>
      <c r="AT87" s="3">
        <f t="shared" ref="AT87" si="820">SUM(AQ84:AT84)</f>
        <v>0.81243315508021519</v>
      </c>
      <c r="AU87" s="3">
        <f t="shared" ref="AU87" si="821">SUM(AR84:AU84)</f>
        <v>1.1983065953654224</v>
      </c>
      <c r="AV87" s="3">
        <f t="shared" ref="AV87" si="822">SUM(AS84:AV84)</f>
        <v>1.6725044563279894</v>
      </c>
      <c r="AW87" s="3">
        <f t="shared" ref="AW87" si="823">SUM(AT84:AW84)</f>
        <v>2.1589126559714789</v>
      </c>
      <c r="AX87" s="3">
        <f t="shared" ref="AX87" si="824">SUM(AU84:AX84)</f>
        <v>1.7704991087344035</v>
      </c>
      <c r="AY87" s="3">
        <f t="shared" ref="AY87" si="825">SUM(AV84:AY84)</f>
        <v>1.5922014260249546</v>
      </c>
      <c r="AZ87" s="3">
        <f t="shared" ref="AZ87" si="826">SUM(AW84:AZ84)</f>
        <v>0.92094474153297812</v>
      </c>
      <c r="BA87" s="3">
        <f t="shared" ref="BA87" si="827">SUM(AX84:BA84)</f>
        <v>0.17914438502673902</v>
      </c>
      <c r="BB87" s="3">
        <f t="shared" ref="BB87" si="828">SUM(AY84:BB84)</f>
        <v>0.49434046345810889</v>
      </c>
      <c r="BC87" s="3">
        <f t="shared" ref="BC87" si="829">SUM(AZ84:BC84)</f>
        <v>-1.0276737967914438</v>
      </c>
      <c r="BD87" s="3">
        <f t="shared" ref="BD87" si="830">SUM(BA84:BD84)</f>
        <v>-1.0233511586452777</v>
      </c>
      <c r="BE87" s="3">
        <f t="shared" ref="BE87" si="831">SUM(BB84:BE84)</f>
        <v>-0.70628342245989073</v>
      </c>
      <c r="BF87" s="3">
        <f t="shared" ref="BF87" si="832">SUM(BC84:BF84)</f>
        <v>0.33351158645276469</v>
      </c>
      <c r="BG87" s="3">
        <f t="shared" ref="BG87" si="833">SUM(BD84:BG84)</f>
        <v>2.2811051693404645</v>
      </c>
      <c r="BH87" s="3">
        <f t="shared" ref="BH87" si="834">SUM(BE84:BH84)</f>
        <v>4.8102941176470573</v>
      </c>
      <c r="BI87" s="3">
        <f t="shared" ref="BI87" si="835">SUM(BF84:BI84)</f>
        <v>5.0514705882352917</v>
      </c>
      <c r="BJ87" s="3">
        <f t="shared" ref="BJ87" si="836">SUM(BG84:BJ84)</f>
        <v>3.124242424242424</v>
      </c>
      <c r="BK87" s="3">
        <f t="shared" ref="BK87" si="837">SUM(BH84:BK84)</f>
        <v>2.8096256684491978</v>
      </c>
      <c r="BL87" s="3">
        <f t="shared" ref="BL87" si="838">SUM(BI84:BL84)</f>
        <v>1.0427361853832466</v>
      </c>
      <c r="BM87" s="3">
        <f t="shared" ref="BM87" si="839">SUM(BJ84:BM84)</f>
        <v>1.3203208556149748</v>
      </c>
      <c r="BN87" s="3">
        <f t="shared" ref="BN87" si="840">SUM(BK84:BN84)</f>
        <v>3.997281639928699</v>
      </c>
      <c r="BO87" s="3">
        <f t="shared" ref="BO87" si="841">SUM(BL84:BO84)</f>
        <v>3.058065953654189</v>
      </c>
      <c r="BP87" s="3">
        <f t="shared" ref="BP87" si="842">SUM(BM84:BP84)</f>
        <v>3.6012477718360065</v>
      </c>
      <c r="BQ87" s="3">
        <f t="shared" ref="BQ87" si="843">SUM(BN84:BQ84)</f>
        <v>4.2874777183600719</v>
      </c>
      <c r="BR87" s="3">
        <f t="shared" ref="BR87" si="844">SUM(BO84:BR84)</f>
        <v>2.5681372549019614</v>
      </c>
      <c r="BS87" s="3">
        <f t="shared" ref="BS87" si="845">SUM(BP84:BS84)</f>
        <v>4.7024064171122983</v>
      </c>
      <c r="BT87" s="3">
        <f t="shared" ref="BT87" si="846">SUM(BQ84:BT84)</f>
        <v>5.3005793226381464</v>
      </c>
      <c r="BU87" s="3">
        <f t="shared" ref="BU87" si="847">SUM(BR84:BU84)</f>
        <v>5.6065953654188947</v>
      </c>
      <c r="BV87" s="3">
        <f t="shared" ref="BV87" si="848">SUM(BS84:BV84)</f>
        <v>6.2607843137254893</v>
      </c>
      <c r="BW87" s="3">
        <f t="shared" ref="BW87" si="849">SUM(BT84:BW84)</f>
        <v>6.9310606060606075</v>
      </c>
      <c r="BX87" s="3">
        <f t="shared" ref="BX87" si="850">SUM(BU84:BX84)</f>
        <v>8.228698752228162</v>
      </c>
      <c r="BY87" s="3">
        <f t="shared" ref="BY87" si="851">SUM(BV84:BY84)</f>
        <v>9.6195632798573953</v>
      </c>
      <c r="BZ87" s="3">
        <f t="shared" ref="BZ87" si="852">SUM(BW84:BZ84)</f>
        <v>10.583778966131907</v>
      </c>
      <c r="CA87" s="3">
        <f t="shared" ref="CA87" si="853">SUM(BX84:CA84)</f>
        <v>11.949643493761139</v>
      </c>
      <c r="CB87" s="3">
        <f t="shared" ref="CB87" si="854">SUM(BY84:CB84)</f>
        <v>13.022281639928698</v>
      </c>
      <c r="CC87" s="3">
        <f t="shared" ref="CC87" si="855">SUM(BZ84:CC84)</f>
        <v>14.254456327985743</v>
      </c>
      <c r="CD87" s="3">
        <f t="shared" ref="CD87" si="856">SUM(CA84:CD84)</f>
        <v>15.845811051693403</v>
      </c>
      <c r="CE87" s="3">
        <f t="shared" ref="CE87" si="857">SUM(CB84:CE84)</f>
        <v>15.863636363636363</v>
      </c>
      <c r="CF87" s="3">
        <f t="shared" ref="CF87" si="858">SUM(CC84:CF84)</f>
        <v>15.825757575757573</v>
      </c>
      <c r="CG87" s="3">
        <f t="shared" ref="CG87" si="859">SUM(CD84:CG84)</f>
        <v>16.589572192513359</v>
      </c>
      <c r="CH87" s="3">
        <f t="shared" ref="CH87:CL87" si="860">SUM(CE84:CH84)</f>
        <v>18.498217468805699</v>
      </c>
      <c r="CI87" s="3">
        <f t="shared" si="860"/>
        <v>19.461229946524057</v>
      </c>
      <c r="CJ87" s="3">
        <f t="shared" si="860"/>
        <v>19.461229946524057</v>
      </c>
      <c r="CK87" s="3">
        <f t="shared" si="860"/>
        <v>17.877005347593581</v>
      </c>
      <c r="CL87" s="3">
        <f t="shared" si="860"/>
        <v>16.151960784313722</v>
      </c>
      <c r="CM87" s="37">
        <f t="shared" ref="CM87" si="861">SUM(CJ84:CM84)</f>
        <v>16.497420336039536</v>
      </c>
      <c r="CN87" s="37">
        <f t="shared" ref="CN87" si="862">SUM(CK84:CN84)</f>
        <v>17.022559203247237</v>
      </c>
      <c r="CO87" s="37">
        <f t="shared" ref="CO87" si="863">SUM(CL84:CO84)</f>
        <v>18.396605368479094</v>
      </c>
      <c r="CP87" s="37">
        <f t="shared" ref="CP87" si="864">SUM(CM84:CP84)</f>
        <v>18.552584090485986</v>
      </c>
      <c r="CQ87" s="37">
        <f t="shared" ref="CQ87" si="865">SUM(CN84:CQ84)</f>
        <v>19.11605968158041</v>
      </c>
      <c r="CR87" s="37">
        <f t="shared" ref="CR87" si="866">SUM(CO84:CR84)</f>
        <v>19.894165615214732</v>
      </c>
      <c r="CS87" s="37">
        <f t="shared" ref="CS87" si="867">SUM(CP84:CS84)</f>
        <v>20.796732187525304</v>
      </c>
      <c r="CT87" s="37">
        <f t="shared" ref="CT87" si="868">SUM(CQ84:CT84)</f>
        <v>21.536648759865489</v>
      </c>
      <c r="CU87" s="37">
        <f t="shared" ref="CU87" si="869">SUM(CR84:CU84)</f>
        <v>22.321995245802196</v>
      </c>
      <c r="CV87" s="37">
        <f t="shared" ref="CV87" si="870">SUM(CS84:CV84)</f>
        <v>23.199414065214079</v>
      </c>
      <c r="CW87" s="37">
        <f t="shared" ref="CW87" si="871">SUM(CT84:CW84)</f>
        <v>24.12654486908783</v>
      </c>
      <c r="CX87" s="37">
        <f t="shared" ref="CX87" si="872">SUM(CU84:CX84)</f>
        <v>25.066387889285178</v>
      </c>
      <c r="CY87" s="37">
        <f t="shared" ref="CY87" si="873">SUM(CV84:CY84)</f>
        <v>25.974639167025185</v>
      </c>
      <c r="CZ87" s="37">
        <f t="shared" ref="CZ87" si="874">SUM(CW84:CZ84)</f>
        <v>26.915716684071302</v>
      </c>
      <c r="DA87" s="37">
        <f t="shared" ref="DA87" si="875">SUM(CX84:DA84)</f>
        <v>27.885543094291826</v>
      </c>
      <c r="DB87" s="37">
        <f t="shared" ref="DB87" si="876">SUM(CY84:DB84)</f>
        <v>28.866538283796238</v>
      </c>
      <c r="DE87" s="134"/>
      <c r="DF87" s="3">
        <v>16.15196078431374</v>
      </c>
    </row>
    <row r="88" spans="1:110" s="97" customFormat="1" x14ac:dyDescent="0.2">
      <c r="A88" s="97" t="s">
        <v>425</v>
      </c>
      <c r="C88" s="101">
        <f t="shared" ref="C88:AA88" si="877">+C87/B87-1</f>
        <v>-5.3261149350565749</v>
      </c>
      <c r="D88" s="101">
        <f t="shared" si="877"/>
        <v>-2.1762869008950991</v>
      </c>
      <c r="E88" s="101">
        <f t="shared" ca="1" si="877"/>
        <v>-0.96857921438691874</v>
      </c>
      <c r="F88" s="101">
        <f t="shared" ca="1" si="877"/>
        <v>6.4173410063599512</v>
      </c>
      <c r="G88" s="101">
        <f t="shared" ca="1" si="877"/>
        <v>0.95369300175235394</v>
      </c>
      <c r="H88" s="101">
        <f t="shared" ca="1" si="877"/>
        <v>0.81936068702290132</v>
      </c>
      <c r="I88" s="101">
        <f t="shared" ca="1" si="877"/>
        <v>0.17488422344482046</v>
      </c>
      <c r="J88" s="101">
        <f t="shared" ca="1" si="877"/>
        <v>-0.14512485826778843</v>
      </c>
      <c r="K88" s="101">
        <f t="shared" ca="1" si="877"/>
        <v>0.15185235469407177</v>
      </c>
      <c r="L88" s="101">
        <f t="shared" ca="1" si="877"/>
        <v>0.35938786828318392</v>
      </c>
      <c r="M88" s="101">
        <f t="shared" ca="1" si="877"/>
        <v>-0.34024026794756401</v>
      </c>
      <c r="N88" s="101">
        <f t="shared" ca="1" si="877"/>
        <v>-0.2482788716542047</v>
      </c>
      <c r="O88" s="101">
        <f t="shared" ca="1" si="877"/>
        <v>-0.69219389847831836</v>
      </c>
      <c r="P88" s="101">
        <f t="shared" ca="1" si="877"/>
        <v>0.19016515204473561</v>
      </c>
      <c r="Q88" s="101">
        <f t="shared" ca="1" si="877"/>
        <v>1.2863750665369671</v>
      </c>
      <c r="R88" s="101">
        <f t="shared" ca="1" si="877"/>
        <v>-0.71232458816351052</v>
      </c>
      <c r="S88" s="101">
        <f t="shared" ca="1" si="877"/>
        <v>-0.3037338840207644</v>
      </c>
      <c r="T88" s="101">
        <f t="shared" ca="1" si="877"/>
        <v>8.3666265865062801</v>
      </c>
      <c r="U88" s="101">
        <f t="shared" ca="1" si="877"/>
        <v>0.27945405167937776</v>
      </c>
      <c r="V88" s="101">
        <f t="shared" ca="1" si="877"/>
        <v>-0.35752467907448626</v>
      </c>
      <c r="W88" s="101">
        <f t="shared" ca="1" si="877"/>
        <v>1.4377938956464433</v>
      </c>
      <c r="X88" s="101">
        <f t="shared" ca="1" si="877"/>
        <v>0.69055287648806929</v>
      </c>
      <c r="Y88" s="101">
        <f t="shared" ca="1" si="877"/>
        <v>0.49711591090901464</v>
      </c>
      <c r="Z88" s="101">
        <f t="shared" ca="1" si="877"/>
        <v>0.16738849204117234</v>
      </c>
      <c r="AA88" s="101">
        <f t="shared" ca="1" si="877"/>
        <v>0.16738849204117234</v>
      </c>
      <c r="AB88" s="170">
        <f t="shared" ref="AB88" ca="1" si="878">+AB87/AA87-1</f>
        <v>0.14862736098911578</v>
      </c>
      <c r="AC88" s="170">
        <f t="shared" ref="AC88" ca="1" si="879">+AC87/AB87-1</f>
        <v>0.16084361374272249</v>
      </c>
      <c r="AD88" s="170">
        <f t="shared" ref="AD88" ca="1" si="880">+AD87/AC87-1</f>
        <v>0.16389453943259391</v>
      </c>
      <c r="AE88" s="170">
        <f t="shared" ref="AE88" ca="1" si="881">+AE87/AD87-1</f>
        <v>0.15160343051004421</v>
      </c>
      <c r="AL88" s="172"/>
      <c r="AM88" s="172"/>
      <c r="AN88" s="172"/>
      <c r="AO88" s="172"/>
      <c r="AP88" s="172">
        <f t="shared" ref="AP88:CL88" si="882">+IF(AL87&lt;0,1-AP87/AL87,AP87/AL87-1)</f>
        <v>-0.42374519402483346</v>
      </c>
      <c r="AQ88" s="172">
        <f t="shared" si="882"/>
        <v>-0.60691470217743482</v>
      </c>
      <c r="AR88" s="172">
        <f t="shared" si="882"/>
        <v>-0.81422820563584986</v>
      </c>
      <c r="AS88" s="172">
        <f t="shared" si="882"/>
        <v>-1.0922749106143237</v>
      </c>
      <c r="AT88" s="172">
        <f t="shared" si="882"/>
        <v>-0.3353142773807769</v>
      </c>
      <c r="AU88" s="172">
        <f t="shared" si="882"/>
        <v>0.53876967095852168</v>
      </c>
      <c r="AV88" s="172">
        <f t="shared" si="882"/>
        <v>5.666252220248766</v>
      </c>
      <c r="AW88" s="172">
        <f t="shared" si="882"/>
        <v>19.961252446183909</v>
      </c>
      <c r="AX88" s="172">
        <f t="shared" si="882"/>
        <v>1.1792551149141546</v>
      </c>
      <c r="AY88" s="172">
        <f t="shared" si="882"/>
        <v>0.32870955745629882</v>
      </c>
      <c r="AZ88" s="172">
        <f t="shared" si="882"/>
        <v>-0.44936186086168806</v>
      </c>
      <c r="BA88" s="172">
        <f t="shared" si="882"/>
        <v>-0.91702101308673523</v>
      </c>
      <c r="BB88" s="172">
        <f t="shared" si="882"/>
        <v>-0.7207903347596285</v>
      </c>
      <c r="BC88" s="172">
        <f t="shared" si="882"/>
        <v>-1.6454420778639203</v>
      </c>
      <c r="BD88" s="172">
        <f t="shared" si="882"/>
        <v>-2.111197135391464</v>
      </c>
      <c r="BE88" s="172">
        <f t="shared" si="882"/>
        <v>-4.9425373134327995</v>
      </c>
      <c r="BF88" s="172">
        <f t="shared" si="882"/>
        <v>-0.32534030469664976</v>
      </c>
      <c r="BG88" s="172">
        <f t="shared" si="882"/>
        <v>3.2196782446554799</v>
      </c>
      <c r="BH88" s="172">
        <f t="shared" si="882"/>
        <v>5.7005312663298993</v>
      </c>
      <c r="BI88" s="172">
        <f t="shared" si="882"/>
        <v>8.1521862578080828</v>
      </c>
      <c r="BJ88" s="172">
        <f t="shared" si="882"/>
        <v>8.3677177979689503</v>
      </c>
      <c r="BK88" s="172">
        <f t="shared" si="882"/>
        <v>0.2316949284988663</v>
      </c>
      <c r="BL88" s="172">
        <f t="shared" si="882"/>
        <v>-0.7832281852459162</v>
      </c>
      <c r="BM88" s="172">
        <f t="shared" si="882"/>
        <v>-0.73862643906311987</v>
      </c>
      <c r="BN88" s="172">
        <f t="shared" si="882"/>
        <v>0.27944029212072818</v>
      </c>
      <c r="BO88" s="172">
        <f t="shared" si="882"/>
        <v>8.8424692297931706E-2</v>
      </c>
      <c r="BP88" s="172">
        <f t="shared" si="882"/>
        <v>2.4536518654643276</v>
      </c>
      <c r="BQ88" s="172">
        <f t="shared" si="882"/>
        <v>2.2472998514918285</v>
      </c>
      <c r="BR88" s="172">
        <f t="shared" si="882"/>
        <v>-0.35752906944336049</v>
      </c>
      <c r="BS88" s="172">
        <f t="shared" si="882"/>
        <v>0.53770601693309783</v>
      </c>
      <c r="BT88" s="172">
        <f t="shared" si="882"/>
        <v>0.47187298916002596</v>
      </c>
      <c r="BU88" s="172">
        <f t="shared" si="882"/>
        <v>0.30766752242467055</v>
      </c>
      <c r="BV88" s="172">
        <f t="shared" si="882"/>
        <v>1.4378698224852062</v>
      </c>
      <c r="BW88" s="172">
        <f t="shared" si="882"/>
        <v>0.4739390837929538</v>
      </c>
      <c r="BX88" s="172">
        <f t="shared" si="882"/>
        <v>0.5524149817142372</v>
      </c>
      <c r="BY88" s="172">
        <f t="shared" si="882"/>
        <v>0.71575843321781663</v>
      </c>
      <c r="BZ88" s="172">
        <f t="shared" si="882"/>
        <v>0.6904877146029671</v>
      </c>
      <c r="CA88" s="172">
        <f t="shared" si="882"/>
        <v>0.72407141892717242</v>
      </c>
      <c r="CB88" s="172">
        <f t="shared" si="882"/>
        <v>0.58254446201503396</v>
      </c>
      <c r="CC88" s="172">
        <f t="shared" si="882"/>
        <v>0.48181948736003921</v>
      </c>
      <c r="CD88" s="172">
        <f t="shared" si="882"/>
        <v>0.49717894736842094</v>
      </c>
      <c r="CE88" s="172">
        <f t="shared" si="882"/>
        <v>0.32754055565914619</v>
      </c>
      <c r="CF88" s="172">
        <f t="shared" si="882"/>
        <v>0.21528300595441774</v>
      </c>
      <c r="CG88" s="172">
        <f t="shared" si="882"/>
        <v>0.16381655047362886</v>
      </c>
      <c r="CH88" s="172">
        <f t="shared" si="882"/>
        <v>0.1673884920411719</v>
      </c>
      <c r="CI88" s="172">
        <f t="shared" si="882"/>
        <v>0.22678240350581458</v>
      </c>
      <c r="CJ88" s="172">
        <f t="shared" si="882"/>
        <v>0.22971869456255445</v>
      </c>
      <c r="CK88" s="172">
        <f t="shared" si="882"/>
        <v>7.7604964138932031E-2</v>
      </c>
      <c r="CL88" s="172">
        <f t="shared" si="882"/>
        <v>-0.12683690676945303</v>
      </c>
      <c r="CM88" s="102">
        <f t="shared" ref="CM88:DB88" si="883">+IF(CI87&lt;0,1-CM87/CI87,CM87/CI87-1)</f>
        <v>-0.15229302662927957</v>
      </c>
      <c r="CN88" s="102">
        <f t="shared" si="883"/>
        <v>-0.12530917881232817</v>
      </c>
      <c r="CO88" s="102">
        <f t="shared" si="883"/>
        <v>2.9065271883215837E-2</v>
      </c>
      <c r="CP88" s="102">
        <f t="shared" si="883"/>
        <v>0.14862736098911733</v>
      </c>
      <c r="CQ88" s="102">
        <f t="shared" si="883"/>
        <v>0.15873023128472452</v>
      </c>
      <c r="CR88" s="102">
        <f t="shared" si="883"/>
        <v>0.16869416505948798</v>
      </c>
      <c r="CS88" s="102">
        <f t="shared" si="883"/>
        <v>0.13046574468345162</v>
      </c>
      <c r="CT88" s="102">
        <f t="shared" si="883"/>
        <v>0.16084361374272227</v>
      </c>
      <c r="CU88" s="102">
        <f t="shared" si="883"/>
        <v>0.16770901627341739</v>
      </c>
      <c r="CV88" s="102">
        <f t="shared" si="883"/>
        <v>0.16614159718623966</v>
      </c>
      <c r="CW88" s="102">
        <f t="shared" si="883"/>
        <v>0.16011230281456812</v>
      </c>
      <c r="CX88" s="102">
        <f t="shared" si="883"/>
        <v>0.16389453943259347</v>
      </c>
      <c r="CY88" s="102">
        <f t="shared" si="883"/>
        <v>0.16363429348502767</v>
      </c>
      <c r="CZ88" s="102">
        <f t="shared" si="883"/>
        <v>0.16018950342498361</v>
      </c>
      <c r="DA88" s="102">
        <f t="shared" si="883"/>
        <v>0.15580342090425958</v>
      </c>
      <c r="DB88" s="102">
        <f t="shared" si="883"/>
        <v>0.15160343051004421</v>
      </c>
      <c r="DE88" s="135"/>
      <c r="DF88" s="172">
        <v>-0.12683690676945281</v>
      </c>
    </row>
    <row r="89" spans="1:110" s="144" customFormat="1" x14ac:dyDescent="0.2">
      <c r="A89" s="144" t="s">
        <v>424</v>
      </c>
      <c r="AB89" s="145"/>
      <c r="AC89" s="145"/>
      <c r="AD89" s="145"/>
      <c r="AE89" s="145"/>
      <c r="CM89" s="145"/>
      <c r="CN89" s="145"/>
      <c r="CO89" s="145"/>
      <c r="CP89" s="145"/>
      <c r="CQ89" s="145"/>
      <c r="CR89" s="145"/>
      <c r="CS89" s="145"/>
      <c r="CT89" s="145"/>
      <c r="CU89" s="145"/>
      <c r="CV89" s="145"/>
      <c r="CW89" s="145"/>
      <c r="CX89" s="145"/>
      <c r="CY89" s="145"/>
      <c r="CZ89" s="145"/>
      <c r="DA89" s="145"/>
      <c r="DB89" s="145"/>
      <c r="DE89" s="146"/>
    </row>
    <row r="90" spans="1:110" s="144" customFormat="1" x14ac:dyDescent="0.2">
      <c r="A90" s="144" t="s">
        <v>436</v>
      </c>
      <c r="AB90" s="145"/>
      <c r="AC90" s="145"/>
      <c r="AD90" s="145"/>
      <c r="AE90" s="145"/>
      <c r="CM90" s="145"/>
      <c r="CN90" s="145"/>
      <c r="CO90" s="145"/>
      <c r="CP90" s="145"/>
      <c r="CQ90" s="145"/>
      <c r="CR90" s="145"/>
      <c r="CS90" s="145"/>
      <c r="CT90" s="145"/>
      <c r="CU90" s="145"/>
      <c r="CV90" s="145"/>
      <c r="CW90" s="145"/>
      <c r="CX90" s="145"/>
      <c r="CY90" s="145"/>
      <c r="CZ90" s="145"/>
      <c r="DA90" s="145"/>
      <c r="DB90" s="145"/>
      <c r="DE90" s="146"/>
    </row>
    <row r="91" spans="1:110" s="3" customFormat="1" x14ac:dyDescent="0.2">
      <c r="A91" s="3" t="s">
        <v>34</v>
      </c>
      <c r="B91" s="3">
        <f>'Annual Raw'!C112</f>
        <v>46.18</v>
      </c>
      <c r="C91" s="3">
        <f>'Annual Raw'!D112</f>
        <v>46.18</v>
      </c>
      <c r="D91" s="3">
        <f>'Annual Raw'!E112</f>
        <v>46.37</v>
      </c>
      <c r="E91" s="3">
        <f>'Annual Raw'!F112</f>
        <v>46.09</v>
      </c>
      <c r="F91" s="3">
        <f>'Annual Raw'!G112</f>
        <v>46.06</v>
      </c>
      <c r="G91" s="3">
        <f>'Annual Raw'!H112</f>
        <v>45.59</v>
      </c>
      <c r="H91" s="3">
        <f>'Annual Raw'!I112</f>
        <v>42.16</v>
      </c>
      <c r="I91" s="3">
        <f>'Annual Raw'!J112</f>
        <v>42.17</v>
      </c>
      <c r="J91" s="3">
        <f>'Annual Raw'!K112</f>
        <v>45.63</v>
      </c>
      <c r="K91" s="3">
        <f>'Annual Raw'!L112</f>
        <v>45.71</v>
      </c>
      <c r="L91" s="3">
        <f>'Annual Raw'!M112</f>
        <v>45.71</v>
      </c>
      <c r="M91" s="3">
        <f>'Annual Raw'!N112</f>
        <v>45.99</v>
      </c>
      <c r="N91" s="3">
        <f>'Annual Raw'!O112</f>
        <v>46.12</v>
      </c>
      <c r="O91" s="3">
        <f>'Annual Raw'!P112</f>
        <v>58.08</v>
      </c>
      <c r="P91" s="3">
        <f>'Annual Raw'!Q112</f>
        <v>58.08</v>
      </c>
      <c r="Q91" s="3">
        <f>'Annual Raw'!R112</f>
        <v>57.34</v>
      </c>
      <c r="R91" s="3">
        <f>'Annual Raw'!S112</f>
        <v>58.58</v>
      </c>
      <c r="S91" s="3">
        <f>'Annual Raw'!T112</f>
        <v>58.64</v>
      </c>
      <c r="T91" s="3">
        <f>'Annual Raw'!U112</f>
        <v>58.68</v>
      </c>
      <c r="U91" s="3">
        <f>'Annual Raw'!V112</f>
        <v>59.2</v>
      </c>
      <c r="V91" s="3">
        <f>'Annual Raw'!W112</f>
        <v>59.2</v>
      </c>
      <c r="W91" s="3">
        <f>'Annual Raw'!X112</f>
        <v>59.26</v>
      </c>
      <c r="X91" s="3">
        <f>'Annual Raw'!Y112</f>
        <v>59.29</v>
      </c>
      <c r="Y91" s="3">
        <f>'Annual Raw'!Z112</f>
        <v>59.27</v>
      </c>
      <c r="Z91" s="3">
        <f>'Annual Raw'!AA112</f>
        <v>59.27</v>
      </c>
      <c r="AA91" s="3">
        <f>'Annual Raw'!AB112</f>
        <v>59.27</v>
      </c>
      <c r="AB91" s="37"/>
      <c r="AC91" s="37"/>
      <c r="AD91" s="37"/>
      <c r="AE91" s="37"/>
      <c r="AI91" s="3">
        <f>'QTR Raw'!C49</f>
        <v>45.99</v>
      </c>
      <c r="AJ91" s="3">
        <f>'QTR Raw'!D49</f>
        <v>46.12</v>
      </c>
      <c r="AK91" s="3">
        <f>'QTR Raw'!E49</f>
        <v>46.12</v>
      </c>
      <c r="AL91" s="3">
        <f>'QTR Raw'!F49</f>
        <v>46.12</v>
      </c>
      <c r="AM91" s="3">
        <f>'QTR Raw'!G49</f>
        <v>57.16</v>
      </c>
      <c r="AN91" s="3">
        <f>'QTR Raw'!H49</f>
        <v>57.16</v>
      </c>
      <c r="AO91" s="3">
        <f>'QTR Raw'!I49</f>
        <v>57.16</v>
      </c>
      <c r="AP91" s="3">
        <f>'QTR Raw'!J49</f>
        <v>58.08</v>
      </c>
      <c r="AQ91" s="3">
        <f>'QTR Raw'!K49</f>
        <v>58.08</v>
      </c>
      <c r="AR91" s="3">
        <f>'QTR Raw'!L49</f>
        <v>58.08</v>
      </c>
      <c r="AS91" s="3">
        <f>'QTR Raw'!M49</f>
        <v>58.08</v>
      </c>
      <c r="AT91" s="3">
        <f>'QTR Raw'!N49</f>
        <v>58.08</v>
      </c>
      <c r="AU91" s="3">
        <f>'QTR Raw'!O49</f>
        <v>58.09</v>
      </c>
      <c r="AV91" s="3">
        <f>'QTR Raw'!P49</f>
        <v>57.34</v>
      </c>
      <c r="AW91" s="3">
        <f>'QTR Raw'!Q49</f>
        <v>57.34</v>
      </c>
      <c r="AX91" s="3">
        <f>'QTR Raw'!R49</f>
        <v>57.34</v>
      </c>
      <c r="AY91" s="3">
        <f>'QTR Raw'!S49</f>
        <v>57.34</v>
      </c>
      <c r="AZ91" s="3">
        <f>'QTR Raw'!T49</f>
        <v>57.34</v>
      </c>
      <c r="BA91" s="3">
        <f>'QTR Raw'!U49</f>
        <v>58.58</v>
      </c>
      <c r="BB91" s="3">
        <f>'QTR Raw'!V49</f>
        <v>58.58</v>
      </c>
      <c r="BC91" s="3">
        <f>'QTR Raw'!W49</f>
        <v>58.58</v>
      </c>
      <c r="BD91" s="3">
        <f>'QTR Raw'!X49</f>
        <v>58.64</v>
      </c>
      <c r="BE91" s="3">
        <f>'QTR Raw'!Y49</f>
        <v>58.64</v>
      </c>
      <c r="BF91" s="3">
        <f>'QTR Raw'!Z49</f>
        <v>58.64</v>
      </c>
      <c r="BG91" s="3">
        <f>'QTR Raw'!AA49</f>
        <v>58.64</v>
      </c>
      <c r="BH91" s="3">
        <f>'QTR Raw'!AB49</f>
        <v>58.64</v>
      </c>
      <c r="BI91" s="3">
        <f>'QTR Raw'!AC49</f>
        <v>58.64</v>
      </c>
      <c r="BJ91" s="3">
        <f>'QTR Raw'!AD49</f>
        <v>58.68</v>
      </c>
      <c r="BK91" s="3">
        <f>'QTR Raw'!AE49</f>
        <v>58.68</v>
      </c>
      <c r="BL91" s="3">
        <f>'QTR Raw'!AF49</f>
        <v>58.93</v>
      </c>
      <c r="BM91" s="3">
        <f>'QTR Raw'!AG49</f>
        <v>58.93</v>
      </c>
      <c r="BN91" s="3">
        <f>'QTR Raw'!AH49</f>
        <v>59.2</v>
      </c>
      <c r="BO91" s="3">
        <f>'QTR Raw'!AI49</f>
        <v>59.2</v>
      </c>
      <c r="BP91" s="3">
        <f>'QTR Raw'!AJ49</f>
        <v>59.2</v>
      </c>
      <c r="BQ91" s="3">
        <f>'QTR Raw'!AK49</f>
        <v>59.2</v>
      </c>
      <c r="BR91" s="3">
        <f>'QTR Raw'!AL49</f>
        <v>59.2</v>
      </c>
      <c r="BS91" s="3">
        <f>'QTR Raw'!AM49</f>
        <v>59.2</v>
      </c>
      <c r="BT91" s="3">
        <f>'QTR Raw'!AN49</f>
        <v>59.21</v>
      </c>
      <c r="BU91" s="3">
        <f>'QTR Raw'!AO49</f>
        <v>59.21</v>
      </c>
      <c r="BV91" s="3">
        <f>'QTR Raw'!AP49</f>
        <v>59.26</v>
      </c>
      <c r="BW91" s="3">
        <f>'QTR Raw'!AQ49</f>
        <v>59.26</v>
      </c>
      <c r="BX91" s="3">
        <f>'QTR Raw'!AR49</f>
        <v>59.29</v>
      </c>
      <c r="BY91" s="3">
        <f>'QTR Raw'!AS49</f>
        <v>59.29</v>
      </c>
      <c r="BZ91" s="3">
        <f>'QTR Raw'!AT49</f>
        <v>59.29</v>
      </c>
      <c r="CA91" s="3">
        <f>'QTR Raw'!AU49</f>
        <v>59.29</v>
      </c>
      <c r="CB91" s="3">
        <f>'QTR Raw'!AV49</f>
        <v>59.29</v>
      </c>
      <c r="CC91" s="3">
        <f>'QTR Raw'!AW49</f>
        <v>59.29</v>
      </c>
      <c r="CD91" s="3">
        <f>'QTR Raw'!AX49</f>
        <v>59.27</v>
      </c>
      <c r="CE91" s="3">
        <f>'QTR Raw'!AY49</f>
        <v>59.28</v>
      </c>
      <c r="CF91" s="3">
        <f>'QTR Raw'!AZ49</f>
        <v>59.27</v>
      </c>
      <c r="CG91" s="3">
        <f>'QTR Raw'!BA49</f>
        <v>59.27</v>
      </c>
      <c r="CH91" s="3">
        <f>'QTR Raw'!BB49</f>
        <v>59.27</v>
      </c>
      <c r="CI91" s="3">
        <f>'QTR Raw'!BC49</f>
        <v>59.27</v>
      </c>
      <c r="CJ91" s="3">
        <f>'QTR Raw'!BD49</f>
        <v>59.27</v>
      </c>
      <c r="CK91" s="3">
        <f>'QTR Raw'!BE49</f>
        <v>59.27</v>
      </c>
      <c r="CL91" s="3">
        <f>'QTR Raw'!BF49</f>
        <v>59.27</v>
      </c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E91" s="134"/>
      <c r="DF91" s="3">
        <v>0</v>
      </c>
    </row>
    <row r="92" spans="1:110" s="3" customFormat="1" x14ac:dyDescent="0.2">
      <c r="A92" s="3" t="s">
        <v>35</v>
      </c>
      <c r="B92" s="3">
        <f>'Annual Raw'!C113</f>
        <v>0</v>
      </c>
      <c r="C92" s="3">
        <f>'Annual Raw'!D113</f>
        <v>0</v>
      </c>
      <c r="D92" s="3">
        <f>'Annual Raw'!E113</f>
        <v>0</v>
      </c>
      <c r="E92" s="3">
        <f>'Annual Raw'!F113</f>
        <v>0</v>
      </c>
      <c r="F92" s="3">
        <f>'Annual Raw'!G113</f>
        <v>0</v>
      </c>
      <c r="G92" s="3">
        <f>'Annual Raw'!H113</f>
        <v>0</v>
      </c>
      <c r="H92" s="3">
        <f>'Annual Raw'!I113</f>
        <v>0</v>
      </c>
      <c r="I92" s="3">
        <f>'Annual Raw'!J113</f>
        <v>0</v>
      </c>
      <c r="J92" s="3">
        <f>'Annual Raw'!K113</f>
        <v>31.26</v>
      </c>
      <c r="K92" s="3">
        <f>'Annual Raw'!L113</f>
        <v>20.14</v>
      </c>
      <c r="L92" s="3">
        <f>'Annual Raw'!M113</f>
        <v>20.91</v>
      </c>
      <c r="M92" s="3">
        <f>'Annual Raw'!N113</f>
        <v>20.78</v>
      </c>
      <c r="N92" s="3">
        <f>'Annual Raw'!O113</f>
        <v>15.39</v>
      </c>
      <c r="O92" s="3">
        <f>'Annual Raw'!P113</f>
        <v>12.4</v>
      </c>
      <c r="P92" s="3">
        <f>'Annual Raw'!Q113</f>
        <v>10.01</v>
      </c>
      <c r="Q92" s="3">
        <f>'Annual Raw'!R113</f>
        <v>26.43</v>
      </c>
      <c r="R92" s="3">
        <f>'Annual Raw'!S113</f>
        <v>13.31</v>
      </c>
      <c r="S92" s="3">
        <f>'Annual Raw'!T113</f>
        <v>60.95</v>
      </c>
      <c r="T92" s="3">
        <f>'Annual Raw'!U113</f>
        <v>46.17</v>
      </c>
      <c r="U92" s="3">
        <f>'Annual Raw'!V113</f>
        <v>40.35</v>
      </c>
      <c r="V92" s="3">
        <f>'Annual Raw'!W113</f>
        <v>23.49</v>
      </c>
      <c r="W92" s="3">
        <f>'Annual Raw'!X113</f>
        <v>11.28</v>
      </c>
      <c r="X92" s="3">
        <f>'Annual Raw'!Y113</f>
        <v>0</v>
      </c>
      <c r="Y92" s="3">
        <f>'Annual Raw'!Z113</f>
        <v>0</v>
      </c>
      <c r="Z92" s="3">
        <f>'Annual Raw'!AA113</f>
        <v>0</v>
      </c>
      <c r="AA92" s="3">
        <f>'Annual Raw'!AB113</f>
        <v>0</v>
      </c>
      <c r="AB92" s="37"/>
      <c r="AC92" s="37"/>
      <c r="AD92" s="37"/>
      <c r="AE92" s="37"/>
      <c r="AI92" s="3">
        <f>'QTR Raw'!C50</f>
        <v>20.78</v>
      </c>
      <c r="AJ92" s="3">
        <f>'QTR Raw'!D50</f>
        <v>20.72</v>
      </c>
      <c r="AK92" s="3">
        <f>'QTR Raw'!E50</f>
        <v>15.39</v>
      </c>
      <c r="AL92" s="3">
        <f>'QTR Raw'!F50</f>
        <v>15.39</v>
      </c>
      <c r="AM92" s="3">
        <f>'QTR Raw'!G50</f>
        <v>12.6</v>
      </c>
      <c r="AN92" s="3">
        <f>'QTR Raw'!H50</f>
        <v>12.6</v>
      </c>
      <c r="AO92" s="3">
        <f>'QTR Raw'!I50</f>
        <v>12.6</v>
      </c>
      <c r="AP92" s="3">
        <f>'QTR Raw'!J50</f>
        <v>12.4</v>
      </c>
      <c r="AQ92" s="3">
        <f>'QTR Raw'!K50</f>
        <v>10.26</v>
      </c>
      <c r="AR92" s="3">
        <f>'QTR Raw'!L50</f>
        <v>10.01</v>
      </c>
      <c r="AS92" s="3">
        <f>'QTR Raw'!M50</f>
        <v>10.01</v>
      </c>
      <c r="AT92" s="3">
        <f>'QTR Raw'!N50</f>
        <v>10.01</v>
      </c>
      <c r="AU92" s="3">
        <f>'QTR Raw'!O50</f>
        <v>10.01</v>
      </c>
      <c r="AV92" s="3">
        <f>'QTR Raw'!P50</f>
        <v>10.14</v>
      </c>
      <c r="AW92" s="3">
        <f>'QTR Raw'!Q50</f>
        <v>9.14</v>
      </c>
      <c r="AX92" s="3">
        <f>'QTR Raw'!R50</f>
        <v>26.43</v>
      </c>
      <c r="AY92" s="3">
        <f>'QTR Raw'!S50</f>
        <v>26.32</v>
      </c>
      <c r="AZ92" s="3">
        <f>'QTR Raw'!T50</f>
        <v>21.15</v>
      </c>
      <c r="BA92" s="3">
        <f>'QTR Raw'!U50</f>
        <v>20.100000000000001</v>
      </c>
      <c r="BB92" s="3">
        <f>'QTR Raw'!V50</f>
        <v>13.31</v>
      </c>
      <c r="BC92" s="3">
        <f>'QTR Raw'!W50</f>
        <v>13.31</v>
      </c>
      <c r="BD92" s="3">
        <f>'QTR Raw'!X50</f>
        <v>13.3</v>
      </c>
      <c r="BE92" s="3">
        <f>'QTR Raw'!Y50</f>
        <v>37.01</v>
      </c>
      <c r="BF92" s="3">
        <f>'QTR Raw'!Z50</f>
        <v>60.95</v>
      </c>
      <c r="BG92" s="3">
        <f>'QTR Raw'!AA50</f>
        <v>46.24</v>
      </c>
      <c r="BH92" s="3">
        <f>'QTR Raw'!AB50</f>
        <v>46.21</v>
      </c>
      <c r="BI92" s="3">
        <f>'QTR Raw'!AC50</f>
        <v>46.21</v>
      </c>
      <c r="BJ92" s="3">
        <f>'QTR Raw'!AD50</f>
        <v>46.17</v>
      </c>
      <c r="BK92" s="3">
        <f>'QTR Raw'!AE50</f>
        <v>46.17</v>
      </c>
      <c r="BL92" s="3">
        <f>'QTR Raw'!AF50</f>
        <v>45.98</v>
      </c>
      <c r="BM92" s="3">
        <f>'QTR Raw'!AG50</f>
        <v>45.98</v>
      </c>
      <c r="BN92" s="3">
        <f>'QTR Raw'!AH50</f>
        <v>40.35</v>
      </c>
      <c r="BO92" s="3">
        <f>'QTR Raw'!AI50</f>
        <v>40.35</v>
      </c>
      <c r="BP92" s="3">
        <f>'QTR Raw'!AJ50</f>
        <v>32.9</v>
      </c>
      <c r="BQ92" s="3">
        <f>'QTR Raw'!AK50</f>
        <v>32.9</v>
      </c>
      <c r="BR92" s="3">
        <f>'QTR Raw'!AL50</f>
        <v>23.49</v>
      </c>
      <c r="BS92" s="3">
        <f>'QTR Raw'!AM50</f>
        <v>11.29</v>
      </c>
      <c r="BT92" s="3">
        <f>'QTR Raw'!AN50</f>
        <v>11.29</v>
      </c>
      <c r="BU92" s="3">
        <f>'QTR Raw'!AO50</f>
        <v>11.29</v>
      </c>
      <c r="BV92" s="3">
        <f>'QTR Raw'!AP50</f>
        <v>11.28</v>
      </c>
      <c r="BW92" s="3">
        <f>'QTR Raw'!AQ50</f>
        <v>3.76</v>
      </c>
      <c r="BX92" s="3">
        <f>'QTR Raw'!AR50</f>
        <v>0</v>
      </c>
      <c r="BY92" s="3">
        <f>'QTR Raw'!AS50</f>
        <v>0</v>
      </c>
      <c r="BZ92" s="3">
        <f>'QTR Raw'!AT50</f>
        <v>0</v>
      </c>
      <c r="CA92" s="3">
        <f>'QTR Raw'!AU50</f>
        <v>0</v>
      </c>
      <c r="CB92" s="3">
        <f>'QTR Raw'!AV50</f>
        <v>0</v>
      </c>
      <c r="CC92" s="3">
        <f>'QTR Raw'!AW50</f>
        <v>0</v>
      </c>
      <c r="CD92" s="3">
        <f>'QTR Raw'!AX50</f>
        <v>0</v>
      </c>
      <c r="CE92" s="3">
        <f>'QTR Raw'!AY50</f>
        <v>0</v>
      </c>
      <c r="CF92" s="3">
        <f>'QTR Raw'!AZ50</f>
        <v>0</v>
      </c>
      <c r="CG92" s="3">
        <f>'QTR Raw'!BA50</f>
        <v>0</v>
      </c>
      <c r="CH92" s="3">
        <f>'QTR Raw'!BB50</f>
        <v>0</v>
      </c>
      <c r="CI92" s="3">
        <f>'QTR Raw'!BC50</f>
        <v>0</v>
      </c>
      <c r="CJ92" s="3">
        <f>'QTR Raw'!BD50</f>
        <v>0</v>
      </c>
      <c r="CK92" s="3">
        <f>'QTR Raw'!BE50</f>
        <v>0</v>
      </c>
      <c r="CL92" s="3">
        <f>'QTR Raw'!BF50</f>
        <v>0</v>
      </c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  <c r="DF92" s="3">
        <v>0</v>
      </c>
    </row>
    <row r="93" spans="1:110" s="3" customFormat="1" x14ac:dyDescent="0.2">
      <c r="AB93" s="37"/>
      <c r="AC93" s="37"/>
      <c r="AD93" s="37"/>
      <c r="AE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E93" s="134"/>
    </row>
    <row r="94" spans="1:110" s="13" customFormat="1" x14ac:dyDescent="0.2">
      <c r="A94" s="13" t="s">
        <v>36</v>
      </c>
      <c r="AB94" s="37"/>
      <c r="AC94" s="37"/>
      <c r="AD94" s="37"/>
      <c r="AE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E94" s="134"/>
    </row>
    <row r="95" spans="1:110" s="13" customFormat="1" x14ac:dyDescent="0.2">
      <c r="A95" s="13" t="s">
        <v>457</v>
      </c>
      <c r="B95" s="13">
        <f>'Annual Raw'!C106</f>
        <v>0.48166666666666702</v>
      </c>
      <c r="C95" s="13">
        <f>'Annual Raw'!D106</f>
        <v>0.36666666666666697</v>
      </c>
      <c r="D95" s="13">
        <f>'Annual Raw'!E106</f>
        <v>0.25666666666666699</v>
      </c>
      <c r="E95" s="13">
        <f>'Annual Raw'!F106</f>
        <v>0.87833333333333297</v>
      </c>
      <c r="F95" s="13">
        <f>'Annual Raw'!G106</f>
        <v>5.7266666666666701</v>
      </c>
      <c r="G95" s="13">
        <f>'Annual Raw'!H106</f>
        <v>45.948333333333302</v>
      </c>
      <c r="H95" s="13">
        <f>'Annual Raw'!I106</f>
        <v>64.991666666666703</v>
      </c>
      <c r="I95" s="13">
        <f>'Annual Raw'!J106</f>
        <v>94.6</v>
      </c>
      <c r="J95" s="13">
        <f>'Annual Raw'!K106</f>
        <v>15.55</v>
      </c>
      <c r="K95" s="13">
        <f>'Annual Raw'!L106</f>
        <v>36.274999999999999</v>
      </c>
      <c r="L95" s="13">
        <f>'Annual Raw'!M106</f>
        <v>34.049999999999997</v>
      </c>
      <c r="M95" s="13">
        <f>'Annual Raw'!N106</f>
        <v>30.625</v>
      </c>
      <c r="N95" s="13">
        <f>'Annual Raw'!O106</f>
        <v>15.45</v>
      </c>
      <c r="O95" s="13">
        <f>'Annual Raw'!P106</f>
        <v>16.899999999999999</v>
      </c>
      <c r="P95" s="13">
        <f>'Annual Raw'!Q106</f>
        <v>33.35</v>
      </c>
      <c r="Q95" s="13">
        <f>'Annual Raw'!R106</f>
        <v>27.25</v>
      </c>
      <c r="R95" s="13">
        <f>'Annual Raw'!S106</f>
        <v>26.425000000000001</v>
      </c>
      <c r="S95" s="13">
        <f>'Annual Raw'!T106</f>
        <v>38.475000000000001</v>
      </c>
      <c r="T95" s="13">
        <f>'Annual Raw'!U106</f>
        <v>31.625</v>
      </c>
      <c r="U95" s="13">
        <f>'Annual Raw'!V106</f>
        <v>9.5250000000000004</v>
      </c>
      <c r="V95" s="13">
        <f>'Annual Raw'!W106</f>
        <v>31.675000000000001</v>
      </c>
      <c r="W95" s="13">
        <f>'Annual Raw'!X106</f>
        <v>71.924999999999997</v>
      </c>
      <c r="X95" s="13">
        <f>'Annual Raw'!Y106</f>
        <v>190.95</v>
      </c>
      <c r="Y95" s="13">
        <f>'Annual Raw'!Z106</f>
        <v>474.92500000000001</v>
      </c>
      <c r="Z95" s="13">
        <f>'Annual Raw'!AA106</f>
        <v>449.1</v>
      </c>
      <c r="AA95" s="13">
        <f>'Annual Raw'!AB106</f>
        <v>354.75</v>
      </c>
      <c r="AB95" s="37">
        <f>+CP95</f>
        <v>354.75</v>
      </c>
      <c r="AC95" s="37">
        <f>+CT95</f>
        <v>354.75</v>
      </c>
      <c r="AD95" s="37">
        <f>+CX95</f>
        <v>354.75</v>
      </c>
      <c r="AE95" s="37">
        <f>+DB95</f>
        <v>354.75</v>
      </c>
      <c r="AJ95" s="13">
        <f>'QTR Share Price'!HP21</f>
        <v>24.725000000000001</v>
      </c>
      <c r="AK95" s="13">
        <f>'QTR Share Price'!HQ21</f>
        <v>23.425000000000001</v>
      </c>
      <c r="AL95" s="13">
        <f>'QTR Share Price'!HR21</f>
        <v>15.45</v>
      </c>
      <c r="AM95" s="13">
        <f>'QTR Share Price'!HS21</f>
        <v>14.1</v>
      </c>
      <c r="AN95" s="13">
        <f>'QTR Share Price'!HT21</f>
        <v>13.3</v>
      </c>
      <c r="AO95" s="13">
        <f>'QTR Share Price'!HU21</f>
        <v>16.175000000000001</v>
      </c>
      <c r="AP95" s="13">
        <f>'QTR Share Price'!HV21</f>
        <v>16.899999999999999</v>
      </c>
      <c r="AQ95" s="13">
        <f>'QTR Share Price'!HW21</f>
        <v>32.325000000000003</v>
      </c>
      <c r="AR95" s="13">
        <f>'QTR Share Price'!HX21</f>
        <v>23.4</v>
      </c>
      <c r="AS95" s="13">
        <f>'QTR Share Price'!HY21</f>
        <v>26.3</v>
      </c>
      <c r="AT95" s="13">
        <f>'QTR Share Price'!HZ21</f>
        <v>33.35</v>
      </c>
      <c r="AU95" s="13">
        <f>'QTR Share Price'!IA21</f>
        <v>39.725000000000001</v>
      </c>
      <c r="AV95" s="13">
        <f>'QTR Share Price'!IB21</f>
        <v>35.825000000000003</v>
      </c>
      <c r="AW95" s="13">
        <f>'QTR Share Price'!IC21</f>
        <v>42.125</v>
      </c>
      <c r="AX95" s="13">
        <f>'QTR Share Price'!ID21</f>
        <v>27.25</v>
      </c>
      <c r="AY95" s="13">
        <f>'QTR Share Price'!IE21</f>
        <v>32.375</v>
      </c>
      <c r="AZ95" s="13">
        <f>'QTR Share Price'!IF21</f>
        <v>28.925000000000001</v>
      </c>
      <c r="BA95" s="13">
        <f>'QTR Share Price'!IG21</f>
        <v>28.5</v>
      </c>
      <c r="BB95" s="13">
        <f>'QTR Share Price'!IH21</f>
        <v>26.425000000000001</v>
      </c>
      <c r="BC95" s="13">
        <f>'QTR Share Price'!II21</f>
        <v>28.6</v>
      </c>
      <c r="BD95" s="13">
        <f>'QTR Share Price'!IJ21</f>
        <v>28.774999999999999</v>
      </c>
      <c r="BE95" s="13">
        <f>'QTR Share Price'!IK21</f>
        <v>51.475000000000001</v>
      </c>
      <c r="BF95" s="13">
        <f>'QTR Share Price'!IL21</f>
        <v>38.475000000000001</v>
      </c>
      <c r="BG95" s="13">
        <f>'QTR Share Price'!IM21</f>
        <v>28.85</v>
      </c>
      <c r="BH95" s="13">
        <f>'QTR Share Price'!IN21</f>
        <v>26.925000000000001</v>
      </c>
      <c r="BI95" s="13">
        <f>'QTR Share Price'!IO21</f>
        <v>35.174999999999997</v>
      </c>
      <c r="BJ95" s="13">
        <f>'QTR Share Price'!IP21</f>
        <v>31.625</v>
      </c>
      <c r="BK95" s="13">
        <f>'QTR Share Price'!IQ21</f>
        <v>23.1</v>
      </c>
      <c r="BL95" s="13">
        <f>'QTR Share Price'!IR21</f>
        <v>17.074999999999999</v>
      </c>
      <c r="BM95" s="13">
        <f>'QTR Share Price'!IS21</f>
        <v>18.350000000000001</v>
      </c>
      <c r="BN95" s="13">
        <f>'QTR Share Price'!IT21</f>
        <v>9.5250000000000004</v>
      </c>
      <c r="BO95" s="13">
        <f>'QTR Share Price'!IU21</f>
        <v>13.175000000000001</v>
      </c>
      <c r="BP95" s="13">
        <f>'QTR Share Price'!IV21</f>
        <v>12.7</v>
      </c>
      <c r="BQ95" s="13">
        <f>'QTR Share Price'!IW21</f>
        <v>21.3</v>
      </c>
      <c r="BR95" s="13">
        <f>'QTR Share Price'!IX21</f>
        <v>31.675000000000001</v>
      </c>
      <c r="BS95" s="13">
        <f>'QTR Share Price'!IY21</f>
        <v>68.424999999999997</v>
      </c>
      <c r="BT95" s="13">
        <f>'QTR Share Price'!IZ21</f>
        <v>83.9</v>
      </c>
      <c r="BU95" s="13">
        <f>'QTR Share Price'!JA21</f>
        <v>92.224999999999994</v>
      </c>
      <c r="BV95" s="13">
        <f>'QTR Share Price'!JB21</f>
        <v>71.924999999999997</v>
      </c>
      <c r="BW95" s="13">
        <f>'QTR Share Price'!JC21</f>
        <v>130.42500000000001</v>
      </c>
      <c r="BX95" s="13">
        <f>'QTR Share Price'!JD21</f>
        <v>170.77500000000001</v>
      </c>
      <c r="BY95" s="13">
        <f>'QTR Share Price'!JE21</f>
        <v>182.27500000000001</v>
      </c>
      <c r="BZ95" s="13">
        <f>'QTR Share Price'!JF21</f>
        <v>190.95</v>
      </c>
      <c r="CA95" s="13">
        <f>'QTR Share Price'!JG21</f>
        <v>292.3</v>
      </c>
      <c r="CB95" s="13">
        <f>'QTR Share Price'!JH21</f>
        <v>387.25</v>
      </c>
      <c r="CC95" s="13">
        <f>'QTR Share Price'!JI21</f>
        <v>463.45</v>
      </c>
      <c r="CD95" s="13">
        <f>'QTR Share Price'!JJ21</f>
        <v>474.92500000000001</v>
      </c>
      <c r="CE95" s="13">
        <f>'QTR Share Price'!JK21</f>
        <v>660.625</v>
      </c>
      <c r="CF95" s="13">
        <f>'QTR Share Price'!JL21</f>
        <v>700</v>
      </c>
      <c r="CG95" s="13">
        <f>'QTR Share Price'!JM21</f>
        <v>634.75</v>
      </c>
      <c r="CH95" s="13">
        <f>'QTR Share Price'!JN21</f>
        <v>449.1</v>
      </c>
      <c r="CI95" s="13">
        <f>'QTR Share Price'!JO21</f>
        <v>655</v>
      </c>
      <c r="CJ95" s="13">
        <f>'QTR Share Price'!JP21</f>
        <v>567.95000000000005</v>
      </c>
      <c r="CK95" s="13">
        <f>'QTR Share Price'!JQ21</f>
        <v>481.35</v>
      </c>
      <c r="CL95" s="13">
        <f>'QTR Share Price'!JR21</f>
        <v>354.75</v>
      </c>
      <c r="CM95" s="37">
        <f t="shared" ref="CM95" si="884">+CL95</f>
        <v>354.75</v>
      </c>
      <c r="CN95" s="37">
        <f t="shared" ref="CN95" si="885">+CM95</f>
        <v>354.75</v>
      </c>
      <c r="CO95" s="37">
        <f t="shared" ref="CO95" si="886">+CN95</f>
        <v>354.75</v>
      </c>
      <c r="CP95" s="37">
        <f t="shared" ref="CP95" si="887">+CO95</f>
        <v>354.75</v>
      </c>
      <c r="CQ95" s="37">
        <f t="shared" ref="CQ95" si="888">+CP95</f>
        <v>354.75</v>
      </c>
      <c r="CR95" s="37">
        <f t="shared" ref="CR95" si="889">+CQ95</f>
        <v>354.75</v>
      </c>
      <c r="CS95" s="37">
        <f t="shared" ref="CS95" si="890">+CR95</f>
        <v>354.75</v>
      </c>
      <c r="CT95" s="37">
        <f t="shared" ref="CT95" si="891">+CS95</f>
        <v>354.75</v>
      </c>
      <c r="CU95" s="37">
        <f t="shared" ref="CU95" si="892">+CT95</f>
        <v>354.75</v>
      </c>
      <c r="CV95" s="37">
        <f t="shared" ref="CV95" si="893">+CU95</f>
        <v>354.75</v>
      </c>
      <c r="CW95" s="37">
        <f t="shared" ref="CW95" si="894">+CV95</f>
        <v>354.75</v>
      </c>
      <c r="CX95" s="37">
        <f t="shared" ref="CX95" si="895">+CW95</f>
        <v>354.75</v>
      </c>
      <c r="CY95" s="37">
        <f t="shared" ref="CY95" si="896">+CX95</f>
        <v>354.75</v>
      </c>
      <c r="CZ95" s="37">
        <f t="shared" ref="CZ95" si="897">+CY95</f>
        <v>354.75</v>
      </c>
      <c r="DA95" s="37">
        <f t="shared" ref="DA95" si="898">+CZ95</f>
        <v>354.75</v>
      </c>
      <c r="DB95" s="37">
        <f t="shared" ref="DB95" si="899">+DA95</f>
        <v>354.75</v>
      </c>
      <c r="DE95" s="134"/>
      <c r="DF95" s="13">
        <v>354.75</v>
      </c>
    </row>
    <row r="96" spans="1:110" s="13" customFormat="1" x14ac:dyDescent="0.2">
      <c r="A96" s="13" t="s">
        <v>458</v>
      </c>
      <c r="B96" s="13">
        <f>'Annual Raw'!C107</f>
        <v>1.42333333333333</v>
      </c>
      <c r="C96" s="13">
        <f>'Annual Raw'!D107</f>
        <v>0.62666666666666704</v>
      </c>
      <c r="D96" s="13">
        <f>'Annual Raw'!E107</f>
        <v>0.75833333333333297</v>
      </c>
      <c r="E96" s="13">
        <f>'Annual Raw'!F107</f>
        <v>1.7649999999999999</v>
      </c>
      <c r="F96" s="13">
        <f>'Annual Raw'!G107</f>
        <v>6.3633333333333297</v>
      </c>
      <c r="G96" s="13">
        <f>'Annual Raw'!H107</f>
        <v>47.6</v>
      </c>
      <c r="H96" s="13">
        <f>'Annual Raw'!I107</f>
        <v>79.633333333333297</v>
      </c>
      <c r="I96" s="13">
        <f>'Annual Raw'!J107</f>
        <v>171.5</v>
      </c>
      <c r="J96" s="13">
        <f>'Annual Raw'!K107</f>
        <v>100</v>
      </c>
      <c r="K96" s="13">
        <f>'Annual Raw'!L107</f>
        <v>55.424999999999997</v>
      </c>
      <c r="L96" s="13">
        <f>'Annual Raw'!M107</f>
        <v>51.85</v>
      </c>
      <c r="M96" s="13">
        <f>'Annual Raw'!N107</f>
        <v>43</v>
      </c>
      <c r="N96" s="13">
        <f>'Annual Raw'!O107</f>
        <v>31</v>
      </c>
      <c r="O96" s="13">
        <f>'Annual Raw'!P107</f>
        <v>19.149999999999999</v>
      </c>
      <c r="P96" s="13">
        <f>'Annual Raw'!Q107</f>
        <v>35.9</v>
      </c>
      <c r="Q96" s="13">
        <f>'Annual Raw'!R107</f>
        <v>48.5</v>
      </c>
      <c r="R96" s="13">
        <f>'Annual Raw'!S107</f>
        <v>37</v>
      </c>
      <c r="S96" s="13">
        <f>'Annual Raw'!T107</f>
        <v>56.75</v>
      </c>
      <c r="T96" s="13">
        <f>'Annual Raw'!U107</f>
        <v>44.35</v>
      </c>
      <c r="U96" s="13">
        <f>'Annual Raw'!V107</f>
        <v>33.200000000000003</v>
      </c>
      <c r="V96" s="13">
        <f>'Annual Raw'!W107</f>
        <v>34.75</v>
      </c>
      <c r="W96" s="13">
        <f>'Annual Raw'!X107</f>
        <v>109.5</v>
      </c>
      <c r="X96" s="13">
        <f>'Annual Raw'!Y107</f>
        <v>237.875</v>
      </c>
      <c r="Y96" s="13">
        <f>'Annual Raw'!Z107</f>
        <v>560.25</v>
      </c>
      <c r="Z96" s="13">
        <f>'Annual Raw'!AA107</f>
        <v>738.85</v>
      </c>
      <c r="AA96" s="13">
        <f>'Annual Raw'!AB107</f>
        <v>716.55</v>
      </c>
      <c r="AB96" s="37">
        <f>+MAX(CM96:CP96)</f>
        <v>610.66773646986417</v>
      </c>
      <c r="AC96" s="37">
        <f>+MAX(CQ96:CT96)</f>
        <v>708.88974199976553</v>
      </c>
      <c r="AD96" s="37">
        <f>+MAX(CU96:CX96)</f>
        <v>825.07289977330709</v>
      </c>
      <c r="AE96" s="37">
        <f>+MAX(CY96:DB96)</f>
        <v>950.15678179981046</v>
      </c>
      <c r="AJ96" s="13">
        <f>'QTR Share Price'!HP19</f>
        <v>30.9</v>
      </c>
      <c r="AK96" s="13">
        <f>'QTR Share Price'!HQ19</f>
        <v>27.125</v>
      </c>
      <c r="AL96" s="13">
        <f>'QTR Share Price'!HR19</f>
        <v>24.85</v>
      </c>
      <c r="AM96" s="13">
        <f>'QTR Share Price'!HS19</f>
        <v>19.149999999999999</v>
      </c>
      <c r="AN96" s="13">
        <f>'QTR Share Price'!HT19</f>
        <v>14.75</v>
      </c>
      <c r="AO96" s="13">
        <f>'QTR Share Price'!HU19</f>
        <v>17.149999999999999</v>
      </c>
      <c r="AP96" s="13">
        <f>'QTR Share Price'!HV19</f>
        <v>18.05</v>
      </c>
      <c r="AQ96" s="13">
        <f>'QTR Share Price'!HW19</f>
        <v>35.200000000000003</v>
      </c>
      <c r="AR96" s="13">
        <f>'QTR Share Price'!HX19</f>
        <v>34.274999999999999</v>
      </c>
      <c r="AS96" s="13">
        <f>'QTR Share Price'!HY19</f>
        <v>29.15</v>
      </c>
      <c r="AT96" s="13">
        <f>'QTR Share Price'!HZ19</f>
        <v>35.9</v>
      </c>
      <c r="AU96" s="13">
        <f>'QTR Share Price'!IA19</f>
        <v>42.125</v>
      </c>
      <c r="AV96" s="13">
        <f>'QTR Share Price'!IB19</f>
        <v>48.5</v>
      </c>
      <c r="AW96" s="13">
        <f>'QTR Share Price'!IC19</f>
        <v>46.375</v>
      </c>
      <c r="AX96" s="13">
        <f>'QTR Share Price'!ID19</f>
        <v>42.875</v>
      </c>
      <c r="AY96" s="13">
        <f>'QTR Share Price'!IE19</f>
        <v>33.299999999999997</v>
      </c>
      <c r="AZ96" s="13">
        <f>'QTR Share Price'!IF19</f>
        <v>33.450000000000003</v>
      </c>
      <c r="BA96" s="13">
        <f>'QTR Share Price'!IG19</f>
        <v>37</v>
      </c>
      <c r="BB96" s="13">
        <f>'QTR Share Price'!IH19</f>
        <v>30.45</v>
      </c>
      <c r="BC96" s="13">
        <f>'QTR Share Price'!II19</f>
        <v>32.9</v>
      </c>
      <c r="BD96" s="13">
        <f>'QTR Share Price'!IJ19</f>
        <v>32.25</v>
      </c>
      <c r="BE96" s="13">
        <f>'QTR Share Price'!IK19</f>
        <v>56.75</v>
      </c>
      <c r="BF96" s="13">
        <f>'QTR Share Price'!IL19</f>
        <v>54.9</v>
      </c>
      <c r="BG96" s="13">
        <f>'QTR Share Price'!IM19</f>
        <v>44.35</v>
      </c>
      <c r="BH96" s="13">
        <f>'QTR Share Price'!IN19</f>
        <v>36.825000000000003</v>
      </c>
      <c r="BI96" s="13">
        <f>'QTR Share Price'!IO19</f>
        <v>35.625</v>
      </c>
      <c r="BJ96" s="13">
        <f>'QTR Share Price'!IP19</f>
        <v>37.4</v>
      </c>
      <c r="BK96" s="13">
        <f>'QTR Share Price'!IQ19</f>
        <v>33.200000000000003</v>
      </c>
      <c r="BL96" s="13">
        <f>'QTR Share Price'!IR19</f>
        <v>24</v>
      </c>
      <c r="BM96" s="13">
        <f>'QTR Share Price'!IS19</f>
        <v>20.125</v>
      </c>
      <c r="BN96" s="13">
        <f>'QTR Share Price'!IT19</f>
        <v>21.824999999999999</v>
      </c>
      <c r="BO96" s="13">
        <f>'QTR Share Price'!IU19</f>
        <v>15.4</v>
      </c>
      <c r="BP96" s="13">
        <f>'QTR Share Price'!IV19</f>
        <v>18.3</v>
      </c>
      <c r="BQ96" s="13">
        <f>'QTR Share Price'!IW19</f>
        <v>22.25</v>
      </c>
      <c r="BR96" s="13">
        <f>'QTR Share Price'!IX19</f>
        <v>34.75</v>
      </c>
      <c r="BS96" s="13">
        <f>'QTR Share Price'!IY19</f>
        <v>71.400000000000006</v>
      </c>
      <c r="BT96" s="13">
        <f>'QTR Share Price'!IZ19</f>
        <v>92.974999999999994</v>
      </c>
      <c r="BU96" s="13">
        <f>'QTR Share Price'!JA19</f>
        <v>109.5</v>
      </c>
      <c r="BV96" s="13">
        <f>'QTR Share Price'!JB19</f>
        <v>107.075</v>
      </c>
      <c r="BW96" s="13">
        <f>'QTR Share Price'!JC19</f>
        <v>144.94999999999999</v>
      </c>
      <c r="BX96" s="13">
        <f>'QTR Share Price'!JD19</f>
        <v>207.5</v>
      </c>
      <c r="BY96" s="13">
        <f>'QTR Share Price'!JE19</f>
        <v>237.875</v>
      </c>
      <c r="BZ96" s="13">
        <f>'QTR Share Price'!JF19</f>
        <v>216.67500000000001</v>
      </c>
      <c r="CA96" s="13">
        <f>'QTR Share Price'!JG19</f>
        <v>299.97500000000002</v>
      </c>
      <c r="CB96" s="13">
        <f>'QTR Share Price'!JH19</f>
        <v>491.7</v>
      </c>
      <c r="CC96" s="13">
        <f>'QTR Share Price'!JI19</f>
        <v>493.77499999999998</v>
      </c>
      <c r="CD96" s="13">
        <f>'QTR Share Price'!JJ19</f>
        <v>560.25</v>
      </c>
      <c r="CE96" s="13">
        <f>'QTR Share Price'!JK19</f>
        <v>690</v>
      </c>
      <c r="CF96" s="13">
        <f>'QTR Share Price'!JL19</f>
        <v>715</v>
      </c>
      <c r="CG96" s="13">
        <f>'QTR Share Price'!JM19</f>
        <v>738.85</v>
      </c>
      <c r="CH96" s="13">
        <f>'QTR Share Price'!JN19</f>
        <v>643.70000000000005</v>
      </c>
      <c r="CI96" s="13">
        <f>'QTR Share Price'!JO19</f>
        <v>716.55</v>
      </c>
      <c r="CJ96" s="13">
        <f>'QTR Share Price'!JP19</f>
        <v>682.9</v>
      </c>
      <c r="CK96" s="13">
        <f>'QTR Share Price'!JQ19</f>
        <v>625.45000000000005</v>
      </c>
      <c r="CL96" s="13">
        <f>'QTR Share Price'!JR19</f>
        <v>531.65</v>
      </c>
      <c r="CM96" s="37">
        <f t="shared" ref="CM96:DB96" si="900">+CM87*CM104</f>
        <v>543.02097675802906</v>
      </c>
      <c r="CN96" s="37">
        <f t="shared" si="900"/>
        <v>560.30618952440193</v>
      </c>
      <c r="CO96" s="37">
        <f t="shared" si="900"/>
        <v>605.53361754385128</v>
      </c>
      <c r="CP96" s="37">
        <f t="shared" si="900"/>
        <v>610.66773646986417</v>
      </c>
      <c r="CQ96" s="37">
        <f t="shared" si="900"/>
        <v>629.21482199128798</v>
      </c>
      <c r="CR96" s="37">
        <f t="shared" si="900"/>
        <v>654.82657434388409</v>
      </c>
      <c r="CS96" s="37">
        <f t="shared" si="900"/>
        <v>684.53501188757423</v>
      </c>
      <c r="CT96" s="37">
        <f t="shared" si="900"/>
        <v>708.88974199976553</v>
      </c>
      <c r="CU96" s="37">
        <f t="shared" si="900"/>
        <v>734.73982081210033</v>
      </c>
      <c r="CV96" s="37">
        <f t="shared" si="900"/>
        <v>763.62050728537099</v>
      </c>
      <c r="CW96" s="37">
        <f t="shared" si="900"/>
        <v>794.1374889980915</v>
      </c>
      <c r="CX96" s="37">
        <f t="shared" si="900"/>
        <v>825.07289977330709</v>
      </c>
      <c r="CY96" s="37">
        <f t="shared" si="900"/>
        <v>854.96845228600421</v>
      </c>
      <c r="CZ96" s="37">
        <f t="shared" si="900"/>
        <v>885.94449715254859</v>
      </c>
      <c r="DA96" s="37">
        <f t="shared" si="900"/>
        <v>917.86682645231292</v>
      </c>
      <c r="DB96" s="37">
        <f t="shared" si="900"/>
        <v>950.15678179981046</v>
      </c>
      <c r="DE96" s="134"/>
      <c r="DF96" s="13">
        <v>716.55</v>
      </c>
    </row>
    <row r="97" spans="1:110" s="13" customFormat="1" x14ac:dyDescent="0.2">
      <c r="A97" s="13" t="s">
        <v>459</v>
      </c>
      <c r="B97" s="13">
        <f>'Annual Raw'!C108</f>
        <v>0.48166666666666702</v>
      </c>
      <c r="C97" s="13">
        <f>'Annual Raw'!D108</f>
        <v>0.30833333333333302</v>
      </c>
      <c r="D97" s="13">
        <f>'Annual Raw'!E108</f>
        <v>0.233333333333333</v>
      </c>
      <c r="E97" s="13">
        <f>'Annual Raw'!F108</f>
        <v>0.236666666666667</v>
      </c>
      <c r="F97" s="13">
        <f>'Annual Raw'!G108</f>
        <v>0.79</v>
      </c>
      <c r="G97" s="13">
        <f>'Annual Raw'!H108</f>
        <v>5.9566666666666697</v>
      </c>
      <c r="H97" s="13">
        <f>'Annual Raw'!I108</f>
        <v>24.008333333333301</v>
      </c>
      <c r="I97" s="13">
        <f>'Annual Raw'!J108</f>
        <v>59.533333333333303</v>
      </c>
      <c r="J97" s="13">
        <f>'Annual Raw'!K108</f>
        <v>11.925000000000001</v>
      </c>
      <c r="K97" s="13">
        <f>'Annual Raw'!L108</f>
        <v>15.275</v>
      </c>
      <c r="L97" s="13">
        <f>'Annual Raw'!M108</f>
        <v>29.65</v>
      </c>
      <c r="M97" s="13">
        <f>'Annual Raw'!N108</f>
        <v>25</v>
      </c>
      <c r="N97" s="13">
        <f>'Annual Raw'!O108</f>
        <v>15.15</v>
      </c>
      <c r="O97" s="13">
        <f>'Annual Raw'!P108</f>
        <v>9.3000000000000007</v>
      </c>
      <c r="P97" s="13">
        <f>'Annual Raw'!Q108</f>
        <v>16.625</v>
      </c>
      <c r="Q97" s="13">
        <f>'Annual Raw'!R108</f>
        <v>21.35</v>
      </c>
      <c r="R97" s="13">
        <f>'Annual Raw'!S108</f>
        <v>22.7</v>
      </c>
      <c r="S97" s="13">
        <f>'Annual Raw'!T108</f>
        <v>22.5</v>
      </c>
      <c r="T97" s="13">
        <f>'Annual Raw'!U108</f>
        <v>24.225000000000001</v>
      </c>
      <c r="U97" s="13">
        <f>'Annual Raw'!V108</f>
        <v>6.875</v>
      </c>
      <c r="V97" s="13">
        <f>'Annual Raw'!W108</f>
        <v>8.6999999999999993</v>
      </c>
      <c r="W97" s="13">
        <f>'Annual Raw'!X108</f>
        <v>30.725000000000001</v>
      </c>
      <c r="X97" s="13">
        <f>'Annual Raw'!Y108</f>
        <v>71.5</v>
      </c>
      <c r="Y97" s="13">
        <f>'Annual Raw'!Z108</f>
        <v>190.02500000000001</v>
      </c>
      <c r="Z97" s="13">
        <f>'Annual Raw'!AA108</f>
        <v>378.35</v>
      </c>
      <c r="AA97" s="13">
        <f>'Annual Raw'!AB108</f>
        <v>348.05</v>
      </c>
      <c r="AB97" s="37">
        <f>+MIN(CM97:CP97)</f>
        <v>359.52860682559248</v>
      </c>
      <c r="AC97" s="37">
        <f>+MIN(CQ97:CT97)</f>
        <v>416.59666574049356</v>
      </c>
      <c r="AD97" s="37">
        <f>+MIN(CU97:CX97)</f>
        <v>486.46368273461741</v>
      </c>
      <c r="AE97" s="37">
        <f>+MIN(CY97:DB97)</f>
        <v>566.06582376502115</v>
      </c>
      <c r="AJ97" s="13">
        <f>+'QTR Share Price'!HP20</f>
        <v>19.875</v>
      </c>
      <c r="AK97" s="13">
        <f>+'QTR Share Price'!HQ20</f>
        <v>23.324999999999999</v>
      </c>
      <c r="AL97" s="13">
        <f>+'QTR Share Price'!HR20</f>
        <v>15.15</v>
      </c>
      <c r="AM97" s="13">
        <f>+'QTR Share Price'!HS20</f>
        <v>13.574999999999999</v>
      </c>
      <c r="AN97" s="13">
        <f>+'QTR Share Price'!HT20</f>
        <v>9.3000000000000007</v>
      </c>
      <c r="AO97" s="13">
        <f>+'QTR Share Price'!HU20</f>
        <v>12.7</v>
      </c>
      <c r="AP97" s="13">
        <f>+'QTR Share Price'!HV20</f>
        <v>11.75</v>
      </c>
      <c r="AQ97" s="13">
        <f>+'QTR Share Price'!HW20</f>
        <v>16.625</v>
      </c>
      <c r="AR97" s="13">
        <f>+'QTR Share Price'!HX20</f>
        <v>21.6</v>
      </c>
      <c r="AS97" s="13">
        <f>+'QTR Share Price'!HY20</f>
        <v>22.3</v>
      </c>
      <c r="AT97" s="13">
        <f>+'QTR Share Price'!HZ20</f>
        <v>23.95</v>
      </c>
      <c r="AU97" s="13">
        <f>+'QTR Share Price'!IA20</f>
        <v>29.125</v>
      </c>
      <c r="AV97" s="13">
        <f>+'QTR Share Price'!IB20</f>
        <v>30.9</v>
      </c>
      <c r="AW97" s="13">
        <f>+'QTR Share Price'!IC20</f>
        <v>35.700000000000003</v>
      </c>
      <c r="AX97" s="13">
        <f>+'QTR Share Price'!ID20</f>
        <v>21.35</v>
      </c>
      <c r="AY97" s="13">
        <f>+'QTR Share Price'!IE20</f>
        <v>27.1</v>
      </c>
      <c r="AZ97" s="13">
        <f>+'QTR Share Price'!IF20</f>
        <v>27.4</v>
      </c>
      <c r="BA97" s="13">
        <f>+'QTR Share Price'!IG20</f>
        <v>22.7</v>
      </c>
      <c r="BB97" s="13">
        <f>+'QTR Share Price'!IH20</f>
        <v>25.5</v>
      </c>
      <c r="BC97" s="13">
        <f>+'QTR Share Price'!II20</f>
        <v>27.274999999999999</v>
      </c>
      <c r="BD97" s="13">
        <f>+'QTR Share Price'!IJ20</f>
        <v>22.5</v>
      </c>
      <c r="BE97" s="13">
        <f>+'QTR Share Price'!IK20</f>
        <v>27.725000000000001</v>
      </c>
      <c r="BF97" s="13">
        <f>+'QTR Share Price'!IL20</f>
        <v>34.575000000000003</v>
      </c>
      <c r="BG97" s="13">
        <f>+'QTR Share Price'!IM20</f>
        <v>28.425000000000001</v>
      </c>
      <c r="BH97" s="13">
        <f>+'QTR Share Price'!IN20</f>
        <v>26.125</v>
      </c>
      <c r="BI97" s="13">
        <f>+'QTR Share Price'!IO20</f>
        <v>24.225000000000001</v>
      </c>
      <c r="BJ97" s="13">
        <f>+'QTR Share Price'!IP20</f>
        <v>26.35</v>
      </c>
      <c r="BK97" s="13">
        <f>+'QTR Share Price'!IQ20</f>
        <v>21.625</v>
      </c>
      <c r="BL97" s="13">
        <f>+'QTR Share Price'!IR20</f>
        <v>12.475</v>
      </c>
      <c r="BM97" s="13">
        <f>+'QTR Share Price'!IS20</f>
        <v>14.25</v>
      </c>
      <c r="BN97" s="13">
        <f>+'QTR Share Price'!IT20</f>
        <v>6.875</v>
      </c>
      <c r="BO97" s="13">
        <f>+'QTR Share Price'!IU20</f>
        <v>8.6999999999999993</v>
      </c>
      <c r="BP97" s="13">
        <f>+'QTR Share Price'!IV20</f>
        <v>11.95</v>
      </c>
      <c r="BQ97" s="13">
        <f>+'QTR Share Price'!IW20</f>
        <v>10.75</v>
      </c>
      <c r="BR97" s="13">
        <f>+'QTR Share Price'!IX20</f>
        <v>20.524999999999999</v>
      </c>
      <c r="BS97" s="13">
        <f>+'QTR Share Price'!IY20</f>
        <v>30.725000000000001</v>
      </c>
      <c r="BT97" s="13">
        <f>+'QTR Share Price'!IZ20</f>
        <v>62.125</v>
      </c>
      <c r="BU97" s="13">
        <f>+'QTR Share Price'!JA20</f>
        <v>71.2</v>
      </c>
      <c r="BV97" s="13">
        <f>+'QTR Share Price'!JB20</f>
        <v>64.650000000000006</v>
      </c>
      <c r="BW97" s="13">
        <f>+'QTR Share Price'!JC20</f>
        <v>71.5</v>
      </c>
      <c r="BX97" s="13">
        <f>+'QTR Share Price'!JD20</f>
        <v>127</v>
      </c>
      <c r="BY97" s="13">
        <f>+'QTR Share Price'!JE20</f>
        <v>159.125</v>
      </c>
      <c r="BZ97" s="13">
        <f>+'QTR Share Price'!JF20</f>
        <v>174.95</v>
      </c>
      <c r="CA97" s="13">
        <f>+'QTR Share Price'!JG20</f>
        <v>190.02500000000001</v>
      </c>
      <c r="CB97" s="13">
        <f>+'QTR Share Price'!JH20</f>
        <v>293.52499999999998</v>
      </c>
      <c r="CC97" s="13">
        <f>+'QTR Share Price'!JI20</f>
        <v>357</v>
      </c>
      <c r="CD97" s="13">
        <f>+'QTR Share Price'!JJ20</f>
        <v>395.05</v>
      </c>
      <c r="CE97" s="13">
        <f>+'QTR Share Price'!JK20</f>
        <v>452.02499999999998</v>
      </c>
      <c r="CF97" s="13">
        <f>+'QTR Share Price'!JL20</f>
        <v>556.5</v>
      </c>
      <c r="CG97" s="13">
        <f>+'QTR Share Price'!JM20</f>
        <v>528.85</v>
      </c>
      <c r="CH97" s="13">
        <f>+'QTR Share Price'!JN20</f>
        <v>378.35</v>
      </c>
      <c r="CI97" s="13">
        <f>+'QTR Share Price'!JO20</f>
        <v>348.05</v>
      </c>
      <c r="CJ97" s="13">
        <f>+'QTR Share Price'!JP20</f>
        <v>531.54999999999995</v>
      </c>
      <c r="CK97" s="13">
        <f>+'QTR Share Price'!JQ20</f>
        <v>461.1</v>
      </c>
      <c r="CL97" s="13">
        <f>+'QTR Share Price'!JR20</f>
        <v>352</v>
      </c>
      <c r="CM97" s="37">
        <f t="shared" ref="CM97:DB97" si="901">+CM105*CM87</f>
        <v>359.52860682559248</v>
      </c>
      <c r="CN97" s="37">
        <f t="shared" si="901"/>
        <v>370.97296851799024</v>
      </c>
      <c r="CO97" s="37">
        <f t="shared" si="901"/>
        <v>400.91758370250284</v>
      </c>
      <c r="CP97" s="37">
        <f t="shared" si="901"/>
        <v>404.31683106816934</v>
      </c>
      <c r="CQ97" s="37">
        <f t="shared" si="901"/>
        <v>416.59666574049356</v>
      </c>
      <c r="CR97" s="37">
        <f t="shared" si="901"/>
        <v>433.55394370177225</v>
      </c>
      <c r="CS97" s="37">
        <f t="shared" si="901"/>
        <v>453.22359481693996</v>
      </c>
      <c r="CT97" s="37">
        <f t="shared" si="901"/>
        <v>469.34861127417946</v>
      </c>
      <c r="CU97" s="37">
        <f t="shared" si="901"/>
        <v>486.46368273461741</v>
      </c>
      <c r="CV97" s="37">
        <f t="shared" si="901"/>
        <v>505.58528837477775</v>
      </c>
      <c r="CW97" s="37">
        <f t="shared" si="901"/>
        <v>525.79026827297696</v>
      </c>
      <c r="CX97" s="37">
        <f t="shared" si="901"/>
        <v>546.27228575228844</v>
      </c>
      <c r="CY97" s="37">
        <f t="shared" si="901"/>
        <v>566.06582376502115</v>
      </c>
      <c r="CZ97" s="37">
        <f t="shared" si="901"/>
        <v>586.57474465851055</v>
      </c>
      <c r="DA97" s="37">
        <f t="shared" si="901"/>
        <v>607.71019074807521</v>
      </c>
      <c r="DB97" s="37">
        <f t="shared" si="901"/>
        <v>629.08903826489848</v>
      </c>
      <c r="DE97" s="134"/>
      <c r="DF97" s="13">
        <v>348.05</v>
      </c>
    </row>
    <row r="98" spans="1:110" s="14" customFormat="1" x14ac:dyDescent="0.2">
      <c r="AB98" s="16"/>
      <c r="AC98" s="16"/>
      <c r="AD98" s="16"/>
      <c r="AE98" s="16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E98" s="134"/>
    </row>
    <row r="99" spans="1:110" s="51" customFormat="1" x14ac:dyDescent="0.2">
      <c r="A99" s="51" t="s">
        <v>346</v>
      </c>
      <c r="AB99" s="48">
        <f t="shared" ref="AB99:AD99" si="902">+AB96/AB95-1</f>
        <v>0.72140306263527609</v>
      </c>
      <c r="AC99" s="48">
        <f t="shared" si="902"/>
        <v>0.99827975193732366</v>
      </c>
      <c r="AD99" s="48">
        <f t="shared" si="902"/>
        <v>1.3257868915385682</v>
      </c>
      <c r="AE99" s="48">
        <f t="shared" ref="AE99" si="903">+AE96/AE95-1</f>
        <v>1.6783841629311076</v>
      </c>
      <c r="CM99" s="48">
        <f t="shared" ref="CM99:DB99" si="904">+CM96/CM95-1</f>
        <v>0.5307145222213645</v>
      </c>
      <c r="CN99" s="48">
        <f t="shared" si="904"/>
        <v>0.57943957582636196</v>
      </c>
      <c r="CO99" s="48">
        <f t="shared" si="904"/>
        <v>0.7069305639009198</v>
      </c>
      <c r="CP99" s="48">
        <f t="shared" si="904"/>
        <v>0.72140306263527609</v>
      </c>
      <c r="CQ99" s="48">
        <f t="shared" si="904"/>
        <v>0.7736851923644481</v>
      </c>
      <c r="CR99" s="48">
        <f t="shared" si="904"/>
        <v>0.84588181633230186</v>
      </c>
      <c r="CS99" s="48">
        <f t="shared" si="904"/>
        <v>0.92962653104319726</v>
      </c>
      <c r="CT99" s="48">
        <f t="shared" si="904"/>
        <v>0.99827975193732366</v>
      </c>
      <c r="CU99" s="48">
        <f t="shared" si="904"/>
        <v>1.071148191154617</v>
      </c>
      <c r="CV99" s="48">
        <f t="shared" si="904"/>
        <v>1.1525595695147879</v>
      </c>
      <c r="CW99" s="48">
        <f t="shared" si="904"/>
        <v>1.2385834785006105</v>
      </c>
      <c r="CX99" s="48">
        <f t="shared" si="904"/>
        <v>1.3257868915385682</v>
      </c>
      <c r="CY99" s="48">
        <f t="shared" si="904"/>
        <v>1.4100590621169955</v>
      </c>
      <c r="CZ99" s="48">
        <f t="shared" si="904"/>
        <v>1.4973770180480579</v>
      </c>
      <c r="DA99" s="48">
        <f t="shared" si="904"/>
        <v>1.5873624424307624</v>
      </c>
      <c r="DB99" s="48">
        <f t="shared" si="904"/>
        <v>1.6783841629311076</v>
      </c>
      <c r="DE99" s="129"/>
      <c r="DF99" s="51">
        <v>1.0198731501057083</v>
      </c>
    </row>
    <row r="100" spans="1:110" s="51" customFormat="1" x14ac:dyDescent="0.2">
      <c r="A100" s="51" t="s">
        <v>347</v>
      </c>
      <c r="AB100" s="48">
        <f t="shared" ref="AB100:AD100" si="905">+AB97/AB95-1</f>
        <v>1.34703504597391E-2</v>
      </c>
      <c r="AC100" s="48">
        <f t="shared" si="905"/>
        <v>0.17433873358842433</v>
      </c>
      <c r="AD100" s="48">
        <f t="shared" si="905"/>
        <v>0.37128592737030974</v>
      </c>
      <c r="AE100" s="48">
        <f t="shared" ref="AE100" si="906">+AE97/AE95-1</f>
        <v>0.59567533126151129</v>
      </c>
      <c r="CM100" s="48">
        <f t="shared" ref="CM100:DB100" si="907">+CM97/CM95-1</f>
        <v>1.34703504597391E-2</v>
      </c>
      <c r="CN100" s="48">
        <f t="shared" si="907"/>
        <v>4.5730707591233877E-2</v>
      </c>
      <c r="CO100" s="48">
        <f t="shared" si="907"/>
        <v>0.13014118027484933</v>
      </c>
      <c r="CP100" s="48">
        <f t="shared" si="907"/>
        <v>0.13972327291943443</v>
      </c>
      <c r="CQ100" s="48">
        <f t="shared" si="907"/>
        <v>0.17433873358842433</v>
      </c>
      <c r="CR100" s="48">
        <f t="shared" si="907"/>
        <v>0.22213937618540447</v>
      </c>
      <c r="CS100" s="48">
        <f t="shared" si="907"/>
        <v>0.27758589095684272</v>
      </c>
      <c r="CT100" s="48">
        <f t="shared" si="907"/>
        <v>0.3230404828024791</v>
      </c>
      <c r="CU100" s="48">
        <f t="shared" si="907"/>
        <v>0.37128592737030974</v>
      </c>
      <c r="CV100" s="48">
        <f t="shared" si="907"/>
        <v>0.42518756412904235</v>
      </c>
      <c r="CW100" s="48">
        <f t="shared" si="907"/>
        <v>0.48214311000134447</v>
      </c>
      <c r="CX100" s="48">
        <f t="shared" si="907"/>
        <v>0.53987959338206748</v>
      </c>
      <c r="CY100" s="48">
        <f t="shared" si="907"/>
        <v>0.59567533126151129</v>
      </c>
      <c r="CZ100" s="48">
        <f t="shared" si="907"/>
        <v>0.65348765231433559</v>
      </c>
      <c r="DA100" s="48">
        <f t="shared" si="907"/>
        <v>0.71306607680923251</v>
      </c>
      <c r="DB100" s="48">
        <f t="shared" si="907"/>
        <v>0.77333062231120087</v>
      </c>
      <c r="DE100" s="129"/>
      <c r="DF100" s="51">
        <v>-1.8886539816772352E-2</v>
      </c>
    </row>
    <row r="101" spans="1:110" s="14" customFormat="1" x14ac:dyDescent="0.2">
      <c r="AB101" s="16"/>
      <c r="AC101" s="16"/>
      <c r="AD101" s="16"/>
      <c r="AE101" s="16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E101" s="134"/>
    </row>
    <row r="102" spans="1:110" s="13" customFormat="1" x14ac:dyDescent="0.2">
      <c r="A102" s="13" t="s">
        <v>40</v>
      </c>
      <c r="AB102" s="37"/>
      <c r="AC102" s="37"/>
      <c r="AD102" s="37"/>
      <c r="AE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E102" s="134"/>
    </row>
    <row r="103" spans="1:110" s="13" customFormat="1" x14ac:dyDescent="0.2">
      <c r="A103" s="13" t="s">
        <v>460</v>
      </c>
      <c r="B103" s="13">
        <f t="shared" ref="B103:D103" si="908">+B95/B87</f>
        <v>0.79656244646601515</v>
      </c>
      <c r="C103" s="13">
        <f t="shared" si="908"/>
        <v>-0.14016726927876288</v>
      </c>
      <c r="D103" s="13">
        <f t="shared" si="908"/>
        <v>8.3412548775703921E-2</v>
      </c>
      <c r="E103" s="13">
        <f t="shared" ref="E103:AE103" ca="1" si="909">+E95/E87</f>
        <v>9.0845673021856719</v>
      </c>
      <c r="F103" s="13">
        <f t="shared" ca="1" si="909"/>
        <v>7.9854342989945648</v>
      </c>
      <c r="G103" s="13">
        <f t="shared" ca="1" si="909"/>
        <v>32.795184478371517</v>
      </c>
      <c r="H103" s="13">
        <f t="shared" ca="1" si="909"/>
        <v>25.496418750120224</v>
      </c>
      <c r="I103" s="13">
        <f t="shared" ca="1" si="909"/>
        <v>31.587668627853574</v>
      </c>
      <c r="J103" s="13">
        <f t="shared" ca="1" si="909"/>
        <v>6.073711254073026</v>
      </c>
      <c r="K103" s="13">
        <f t="shared" ca="1" si="909"/>
        <v>12.3008282546509</v>
      </c>
      <c r="L103" s="13">
        <f t="shared" ca="1" si="909"/>
        <v>8.4937731983516542</v>
      </c>
      <c r="M103" s="13">
        <f t="shared" ca="1" si="909"/>
        <v>11.579074179536525</v>
      </c>
      <c r="N103" s="13">
        <f t="shared" ca="1" si="909"/>
        <v>7.7708668141503781</v>
      </c>
      <c r="O103" s="13">
        <f t="shared" ca="1" si="909"/>
        <v>27.615344285215045</v>
      </c>
      <c r="P103" s="13">
        <f t="shared" ca="1" si="909"/>
        <v>45.788072906151065</v>
      </c>
      <c r="Q103" s="13">
        <f t="shared" ca="1" si="909"/>
        <v>16.363475803603006</v>
      </c>
      <c r="R103" s="13">
        <f t="shared" ca="1" si="909"/>
        <v>55.159624937209855</v>
      </c>
      <c r="S103" s="13">
        <f t="shared" ca="1" si="909"/>
        <v>115.3478957915822</v>
      </c>
      <c r="T103" s="13">
        <f t="shared" ca="1" si="909"/>
        <v>10.122280670725086</v>
      </c>
      <c r="U103" s="13">
        <f t="shared" ca="1" si="909"/>
        <v>2.3828029631611529</v>
      </c>
      <c r="V103" s="13">
        <f t="shared" ca="1" si="909"/>
        <v>12.333414308271607</v>
      </c>
      <c r="W103" s="13">
        <f t="shared" ca="1" si="909"/>
        <v>11.488136377386695</v>
      </c>
      <c r="X103" s="13">
        <f t="shared" ca="1" si="909"/>
        <v>18.041000378931411</v>
      </c>
      <c r="Y103" s="13">
        <f t="shared" ca="1" si="909"/>
        <v>29.971643512008541</v>
      </c>
      <c r="Z103" s="13">
        <f t="shared" ref="Z103:AA103" ca="1" si="910">+Z95/Z87</f>
        <v>24.278014936159952</v>
      </c>
      <c r="AA103" s="13">
        <f t="shared" ref="AA103" ca="1" si="911">+AA95/AA87</f>
        <v>24.278014936159952</v>
      </c>
      <c r="AB103" s="37">
        <f t="shared" ca="1" si="909"/>
        <v>19.121325539870249</v>
      </c>
      <c r="AC103" s="37">
        <f t="shared" ca="1" si="909"/>
        <v>16.471922069003259</v>
      </c>
      <c r="AD103" s="37">
        <f t="shared" ca="1" si="909"/>
        <v>14.15241803353887</v>
      </c>
      <c r="AE103" s="37">
        <f t="shared" ca="1" si="909"/>
        <v>12.289315626014396</v>
      </c>
      <c r="AL103" s="13">
        <f t="shared" ref="AL103:BQ103" si="912">+AL95/AL87</f>
        <v>7.2840305061243447</v>
      </c>
      <c r="AM103" s="13">
        <f t="shared" si="912"/>
        <v>7.1172395177253973</v>
      </c>
      <c r="AN103" s="13">
        <f t="shared" si="912"/>
        <v>9.8479509008117301</v>
      </c>
      <c r="AO103" s="13">
        <f t="shared" si="912"/>
        <v>13.108707428942916</v>
      </c>
      <c r="AP103" s="13">
        <f t="shared" si="912"/>
        <v>13.826600554178228</v>
      </c>
      <c r="AQ103" s="13">
        <f t="shared" si="912"/>
        <v>41.509184549356362</v>
      </c>
      <c r="AR103" s="13">
        <f t="shared" si="912"/>
        <v>93.267495559503828</v>
      </c>
      <c r="AS103" s="13">
        <f t="shared" si="912"/>
        <v>-230.98708414872755</v>
      </c>
      <c r="AT103" s="13">
        <f t="shared" si="912"/>
        <v>41.049531018594635</v>
      </c>
      <c r="AU103" s="13">
        <f t="shared" si="912"/>
        <v>33.150948307921063</v>
      </c>
      <c r="AV103" s="13">
        <f t="shared" si="912"/>
        <v>21.419972822466715</v>
      </c>
      <c r="AW103" s="13">
        <f t="shared" si="912"/>
        <v>19.512137224951498</v>
      </c>
      <c r="AX103" s="13">
        <f t="shared" si="912"/>
        <v>15.391140196325189</v>
      </c>
      <c r="AY103" s="13">
        <f t="shared" si="912"/>
        <v>20.333482605166683</v>
      </c>
      <c r="AZ103" s="13">
        <f t="shared" si="912"/>
        <v>31.407964773057152</v>
      </c>
      <c r="BA103" s="13">
        <f t="shared" si="912"/>
        <v>159.08955223880503</v>
      </c>
      <c r="BB103" s="13">
        <f t="shared" si="912"/>
        <v>53.455061750653741</v>
      </c>
      <c r="BC103" s="13">
        <f t="shared" si="912"/>
        <v>-27.829842591388061</v>
      </c>
      <c r="BD103" s="13">
        <f t="shared" si="912"/>
        <v>-28.118402717296597</v>
      </c>
      <c r="BE103" s="13">
        <f t="shared" si="912"/>
        <v>-72.881506719667101</v>
      </c>
      <c r="BF103" s="13">
        <f t="shared" si="912"/>
        <v>115.36330839123403</v>
      </c>
      <c r="BG103" s="13">
        <f t="shared" si="912"/>
        <v>12.647378291787133</v>
      </c>
      <c r="BH103" s="13">
        <f t="shared" si="912"/>
        <v>5.5973708346071556</v>
      </c>
      <c r="BI103" s="13">
        <f t="shared" si="912"/>
        <v>6.9633187772925789</v>
      </c>
      <c r="BJ103" s="13">
        <f t="shared" si="912"/>
        <v>10.122453928225024</v>
      </c>
      <c r="BK103" s="13">
        <f t="shared" si="912"/>
        <v>8.2217358203273712</v>
      </c>
      <c r="BL103" s="13">
        <f t="shared" si="912"/>
        <v>16.375186973802261</v>
      </c>
      <c r="BM103" s="13">
        <f t="shared" si="912"/>
        <v>13.89813689752935</v>
      </c>
      <c r="BN103" s="13">
        <f t="shared" si="912"/>
        <v>2.3828693742405154</v>
      </c>
      <c r="BO103" s="13">
        <f t="shared" si="912"/>
        <v>4.3082785654955336</v>
      </c>
      <c r="BP103" s="13">
        <f t="shared" si="912"/>
        <v>3.5265554620600903</v>
      </c>
      <c r="BQ103" s="13">
        <f t="shared" si="912"/>
        <v>4.9679558470445162</v>
      </c>
      <c r="BR103" s="13">
        <f t="shared" ref="BR103:DB103" si="913">+BR95/BR87</f>
        <v>12.333842336323723</v>
      </c>
      <c r="BS103" s="13">
        <f t="shared" si="913"/>
        <v>14.55106044237221</v>
      </c>
      <c r="BT103" s="13">
        <f t="shared" si="913"/>
        <v>15.828458531253942</v>
      </c>
      <c r="BU103" s="13">
        <f t="shared" si="913"/>
        <v>16.449376847995421</v>
      </c>
      <c r="BV103" s="13">
        <f t="shared" si="913"/>
        <v>11.488177262762294</v>
      </c>
      <c r="BW103" s="13">
        <f t="shared" si="913"/>
        <v>18.817466389769372</v>
      </c>
      <c r="BX103" s="13">
        <f t="shared" si="913"/>
        <v>20.753585122284086</v>
      </c>
      <c r="BY103" s="13">
        <f t="shared" si="913"/>
        <v>18.948365398424006</v>
      </c>
      <c r="BZ103" s="13">
        <f t="shared" si="913"/>
        <v>18.04176</v>
      </c>
      <c r="CA103" s="13">
        <f t="shared" si="913"/>
        <v>24.460980794331537</v>
      </c>
      <c r="CB103" s="13">
        <f t="shared" si="913"/>
        <v>29.737492300321676</v>
      </c>
      <c r="CC103" s="13">
        <f t="shared" si="913"/>
        <v>32.512639509800849</v>
      </c>
      <c r="CD103" s="13">
        <f t="shared" si="913"/>
        <v>29.971643512008555</v>
      </c>
      <c r="CE103" s="13">
        <f t="shared" si="913"/>
        <v>41.643982808022926</v>
      </c>
      <c r="CF103" s="13">
        <f t="shared" si="913"/>
        <v>44.23168980373385</v>
      </c>
      <c r="CG103" s="13">
        <f t="shared" si="913"/>
        <v>38.261987267306012</v>
      </c>
      <c r="CH103" s="13">
        <f t="shared" si="913"/>
        <v>24.27801493615997</v>
      </c>
      <c r="CI103" s="13">
        <f t="shared" ref="CI103:CJ103" si="914">+CI95/CI87</f>
        <v>33.656660026104291</v>
      </c>
      <c r="CJ103" s="13">
        <f t="shared" si="914"/>
        <v>29.183664216528143</v>
      </c>
      <c r="CK103" s="13">
        <f t="shared" ref="CK103:CL103" si="915">+CK95/CK87</f>
        <v>26.925650613221663</v>
      </c>
      <c r="CL103" s="13">
        <f t="shared" si="915"/>
        <v>21.963277693474968</v>
      </c>
      <c r="CM103" s="37">
        <f t="shared" si="913"/>
        <v>21.503361905923487</v>
      </c>
      <c r="CN103" s="37">
        <f t="shared" si="913"/>
        <v>20.839992140096513</v>
      </c>
      <c r="CO103" s="37">
        <f t="shared" si="913"/>
        <v>19.283448924105954</v>
      </c>
      <c r="CP103" s="37">
        <f t="shared" si="913"/>
        <v>19.121325539870242</v>
      </c>
      <c r="CQ103" s="37">
        <f t="shared" si="913"/>
        <v>18.557694729412521</v>
      </c>
      <c r="CR103" s="37">
        <f t="shared" si="913"/>
        <v>17.831861202999789</v>
      </c>
      <c r="CS103" s="37">
        <f t="shared" si="913"/>
        <v>17.057968377012276</v>
      </c>
      <c r="CT103" s="37">
        <f t="shared" si="913"/>
        <v>16.471922069003259</v>
      </c>
      <c r="CU103" s="37">
        <f t="shared" si="913"/>
        <v>15.892396539539321</v>
      </c>
      <c r="CV103" s="37">
        <f t="shared" si="913"/>
        <v>15.291334470896105</v>
      </c>
      <c r="CW103" s="37">
        <f t="shared" si="913"/>
        <v>14.703721644557731</v>
      </c>
      <c r="CX103" s="37">
        <f t="shared" si="913"/>
        <v>14.152418033538876</v>
      </c>
      <c r="CY103" s="37">
        <f t="shared" si="913"/>
        <v>13.657552573448461</v>
      </c>
      <c r="CZ103" s="37">
        <f t="shared" si="913"/>
        <v>13.180031732535687</v>
      </c>
      <c r="DA103" s="37">
        <f t="shared" si="913"/>
        <v>12.721645721600357</v>
      </c>
      <c r="DB103" s="37">
        <f t="shared" si="913"/>
        <v>12.2893156260144</v>
      </c>
      <c r="DE103" s="134"/>
      <c r="DF103" s="13">
        <v>21.963277693474943</v>
      </c>
    </row>
    <row r="104" spans="1:110" s="13" customFormat="1" x14ac:dyDescent="0.2">
      <c r="A104" s="13" t="s">
        <v>461</v>
      </c>
      <c r="B104" s="13">
        <f t="shared" ref="B104:D104" si="916">+B96/B87</f>
        <v>2.3538558106642729</v>
      </c>
      <c r="C104" s="13">
        <f t="shared" si="916"/>
        <v>-0.23955860567643106</v>
      </c>
      <c r="D104" s="13">
        <f t="shared" si="916"/>
        <v>0.24644616683730661</v>
      </c>
      <c r="E104" s="13">
        <f t="shared" ref="E104:AE104" ca="1" si="917">+E96/E87</f>
        <v>18.255325944999296</v>
      </c>
      <c r="F104" s="13">
        <f t="shared" ca="1" si="917"/>
        <v>8.8732212321190964</v>
      </c>
      <c r="G104" s="13">
        <f t="shared" ca="1" si="917"/>
        <v>33.974045801526756</v>
      </c>
      <c r="H104" s="13">
        <f t="shared" ca="1" si="917"/>
        <v>31.240386918341919</v>
      </c>
      <c r="I104" s="13">
        <f t="shared" ca="1" si="917"/>
        <v>57.265170926816999</v>
      </c>
      <c r="J104" s="13">
        <f t="shared" ca="1" si="917"/>
        <v>39.059236360598234</v>
      </c>
      <c r="K104" s="13">
        <f t="shared" ca="1" si="917"/>
        <v>18.794580455245381</v>
      </c>
      <c r="L104" s="13">
        <f t="shared" ca="1" si="917"/>
        <v>12.933983563422418</v>
      </c>
      <c r="M104" s="13">
        <f t="shared" ca="1" si="917"/>
        <v>16.257965378614546</v>
      </c>
      <c r="N104" s="13">
        <f t="shared" ca="1" si="917"/>
        <v>15.592030500884254</v>
      </c>
      <c r="O104" s="13">
        <f t="shared" ca="1" si="917"/>
        <v>31.2919433764419</v>
      </c>
      <c r="P104" s="13">
        <f t="shared" ca="1" si="917"/>
        <v>49.289109964942227</v>
      </c>
      <c r="Q104" s="13">
        <f t="shared" ca="1" si="917"/>
        <v>29.123984457788836</v>
      </c>
      <c r="R104" s="13">
        <f t="shared" ca="1" si="917"/>
        <v>77.233911927219097</v>
      </c>
      <c r="S104" s="13">
        <f t="shared" ca="1" si="917"/>
        <v>170.13627254508876</v>
      </c>
      <c r="T104" s="13">
        <f t="shared" ca="1" si="917"/>
        <v>14.195198347720396</v>
      </c>
      <c r="U104" s="13">
        <f t="shared" ca="1" si="917"/>
        <v>8.3054129529606602</v>
      </c>
      <c r="V104" s="13">
        <f t="shared" ca="1" si="917"/>
        <v>13.530738664954644</v>
      </c>
      <c r="W104" s="13">
        <f t="shared" ca="1" si="917"/>
        <v>17.489759239817076</v>
      </c>
      <c r="X104" s="13">
        <f t="shared" ca="1" si="917"/>
        <v>22.474485284830109</v>
      </c>
      <c r="Y104" s="13">
        <f t="shared" ca="1" si="917"/>
        <v>35.356347376117881</v>
      </c>
      <c r="Z104" s="13">
        <f t="shared" ref="Z104:AA104" ca="1" si="918">+Z96/Z87</f>
        <v>39.941686340640793</v>
      </c>
      <c r="AA104" s="13">
        <f t="shared" ref="AA104" ca="1" si="919">+AA96/AA87</f>
        <v>39.941686340640793</v>
      </c>
      <c r="AB104" s="60">
        <f t="shared" ca="1" si="917"/>
        <v>32.915508345978772</v>
      </c>
      <c r="AC104" s="60">
        <f t="shared" ca="1" si="917"/>
        <v>32.915508345978765</v>
      </c>
      <c r="AD104" s="60">
        <f t="shared" ca="1" si="917"/>
        <v>32.915508345978743</v>
      </c>
      <c r="AE104" s="60">
        <f t="shared" ca="1" si="917"/>
        <v>32.915508345978743</v>
      </c>
      <c r="AL104" s="13">
        <f t="shared" ref="AL104:BQ104" si="920">+AL96/AL87</f>
        <v>11.715738386873138</v>
      </c>
      <c r="AM104" s="13">
        <f t="shared" si="920"/>
        <v>9.6663217563433577</v>
      </c>
      <c r="AN104" s="13">
        <f t="shared" si="920"/>
        <v>10.921599683231054</v>
      </c>
      <c r="AO104" s="13">
        <f t="shared" si="920"/>
        <v>13.898876810285687</v>
      </c>
      <c r="AP104" s="13">
        <f t="shared" si="920"/>
        <v>14.767463905498049</v>
      </c>
      <c r="AQ104" s="13">
        <f t="shared" si="920"/>
        <v>45.201030042918603</v>
      </c>
      <c r="AR104" s="13">
        <f t="shared" si="920"/>
        <v>136.61296625222195</v>
      </c>
      <c r="AS104" s="13">
        <f t="shared" si="920"/>
        <v>-256.01800391389384</v>
      </c>
      <c r="AT104" s="13">
        <f t="shared" si="920"/>
        <v>44.188250781635602</v>
      </c>
      <c r="AU104" s="13">
        <f t="shared" si="920"/>
        <v>35.153774637411573</v>
      </c>
      <c r="AV104" s="13">
        <f t="shared" si="920"/>
        <v>28.998427966214532</v>
      </c>
      <c r="AW104" s="13">
        <f t="shared" si="920"/>
        <v>21.480720802543043</v>
      </c>
      <c r="AX104" s="13">
        <f t="shared" si="920"/>
        <v>24.216335263025414</v>
      </c>
      <c r="AY104" s="13">
        <f t="shared" si="920"/>
        <v>20.914439251028586</v>
      </c>
      <c r="AZ104" s="13">
        <f t="shared" si="920"/>
        <v>36.321397464434291</v>
      </c>
      <c r="BA104" s="13">
        <f t="shared" si="920"/>
        <v>206.53731343283462</v>
      </c>
      <c r="BB104" s="13">
        <f t="shared" si="920"/>
        <v>61.597223474263252</v>
      </c>
      <c r="BC104" s="13">
        <f t="shared" si="920"/>
        <v>-32.014049694289064</v>
      </c>
      <c r="BD104" s="13">
        <f t="shared" si="920"/>
        <v>-31.51410904023685</v>
      </c>
      <c r="BE104" s="13">
        <f t="shared" si="920"/>
        <v>-80.350179822071055</v>
      </c>
      <c r="BF104" s="13">
        <f t="shared" si="920"/>
        <v>164.61197220737486</v>
      </c>
      <c r="BG104" s="13">
        <f t="shared" si="920"/>
        <v>19.442330233648502</v>
      </c>
      <c r="BH104" s="13">
        <f t="shared" si="920"/>
        <v>7.6554570467746901</v>
      </c>
      <c r="BI104" s="13">
        <f t="shared" si="920"/>
        <v>7.0524017467248941</v>
      </c>
      <c r="BJ104" s="13">
        <f t="shared" si="920"/>
        <v>11.970902036857421</v>
      </c>
      <c r="BK104" s="13">
        <f t="shared" si="920"/>
        <v>11.816520746098211</v>
      </c>
      <c r="BL104" s="13">
        <f t="shared" si="920"/>
        <v>23.016368220864084</v>
      </c>
      <c r="BM104" s="13">
        <f t="shared" si="920"/>
        <v>15.242507087889816</v>
      </c>
      <c r="BN104" s="13">
        <f t="shared" si="920"/>
        <v>5.4599605346770863</v>
      </c>
      <c r="BO104" s="13">
        <f t="shared" si="920"/>
        <v>5.0358626116608134</v>
      </c>
      <c r="BP104" s="13">
        <f t="shared" si="920"/>
        <v>5.0815720437558785</v>
      </c>
      <c r="BQ104" s="13">
        <f t="shared" si="920"/>
        <v>5.1895313425699756</v>
      </c>
      <c r="BR104" s="13">
        <f t="shared" ref="BR104:CH104" si="921">+BR96/BR87</f>
        <v>13.531208245848442</v>
      </c>
      <c r="BS104" s="13">
        <f t="shared" si="921"/>
        <v>15.183715244214481</v>
      </c>
      <c r="BT104" s="13">
        <f t="shared" si="921"/>
        <v>17.540535541636888</v>
      </c>
      <c r="BU104" s="13">
        <f t="shared" si="921"/>
        <v>19.530569421040919</v>
      </c>
      <c r="BV104" s="13">
        <f t="shared" si="921"/>
        <v>17.1024898214845</v>
      </c>
      <c r="BW104" s="13">
        <f t="shared" si="921"/>
        <v>20.913105257405174</v>
      </c>
      <c r="BX104" s="13">
        <f t="shared" si="921"/>
        <v>25.216623702965585</v>
      </c>
      <c r="BY104" s="13">
        <f t="shared" si="921"/>
        <v>24.728253568235413</v>
      </c>
      <c r="BZ104" s="13">
        <f t="shared" si="921"/>
        <v>20.472366315789476</v>
      </c>
      <c r="CA104" s="13">
        <f t="shared" si="921"/>
        <v>25.10325936975574</v>
      </c>
      <c r="CB104" s="13">
        <f t="shared" si="921"/>
        <v>37.758360139620834</v>
      </c>
      <c r="CC104" s="13">
        <f t="shared" si="921"/>
        <v>34.640044393034664</v>
      </c>
      <c r="CD104" s="13">
        <f t="shared" si="921"/>
        <v>35.356347376117895</v>
      </c>
      <c r="CE104" s="13">
        <f t="shared" si="921"/>
        <v>43.495702005730656</v>
      </c>
      <c r="CF104" s="13">
        <f t="shared" si="921"/>
        <v>45.179511728099577</v>
      </c>
      <c r="CG104" s="13">
        <f t="shared" si="921"/>
        <v>44.537013457974084</v>
      </c>
      <c r="CH104" s="13">
        <f t="shared" si="921"/>
        <v>34.79794748253434</v>
      </c>
      <c r="CI104" s="13">
        <f t="shared" ref="CI104:CJ104" si="922">+CI96/CI87</f>
        <v>36.819358384282488</v>
      </c>
      <c r="CJ104" s="13">
        <f t="shared" si="922"/>
        <v>35.090279590574994</v>
      </c>
      <c r="CK104" s="13">
        <f t="shared" ref="CK104:CL104" si="923">+CK96/CK87</f>
        <v>34.98628477415496</v>
      </c>
      <c r="CL104" s="13">
        <f t="shared" si="923"/>
        <v>32.915508345978758</v>
      </c>
      <c r="CM104" s="60">
        <f t="shared" ref="CM104:CM105" si="924">+CL104</f>
        <v>32.915508345978758</v>
      </c>
      <c r="CN104" s="60">
        <f t="shared" ref="CN104:CN105" si="925">+CM104</f>
        <v>32.915508345978758</v>
      </c>
      <c r="CO104" s="60">
        <f t="shared" ref="CO104:CO105" si="926">+CN104</f>
        <v>32.915508345978758</v>
      </c>
      <c r="CP104" s="60">
        <f t="shared" ref="CP104:CP105" si="927">+CO104</f>
        <v>32.915508345978758</v>
      </c>
      <c r="CQ104" s="60">
        <f t="shared" ref="CQ104:CQ105" si="928">+CP104</f>
        <v>32.915508345978758</v>
      </c>
      <c r="CR104" s="60">
        <f t="shared" ref="CR104:CR105" si="929">+CQ104</f>
        <v>32.915508345978758</v>
      </c>
      <c r="CS104" s="60">
        <f t="shared" ref="CS104:CS105" si="930">+CR104</f>
        <v>32.915508345978758</v>
      </c>
      <c r="CT104" s="60">
        <f t="shared" ref="CT104:CT105" si="931">+CS104</f>
        <v>32.915508345978758</v>
      </c>
      <c r="CU104" s="60">
        <f t="shared" ref="CU104:CU105" si="932">+CT104</f>
        <v>32.915508345978758</v>
      </c>
      <c r="CV104" s="60">
        <f t="shared" ref="CV104:CV105" si="933">+CU104</f>
        <v>32.915508345978758</v>
      </c>
      <c r="CW104" s="60">
        <f t="shared" ref="CW104:CW105" si="934">+CV104</f>
        <v>32.915508345978758</v>
      </c>
      <c r="CX104" s="60">
        <f t="shared" ref="CX104:CX105" si="935">+CW104</f>
        <v>32.915508345978758</v>
      </c>
      <c r="CY104" s="60">
        <f t="shared" ref="CY104:CY105" si="936">+CX104</f>
        <v>32.915508345978758</v>
      </c>
      <c r="CZ104" s="60">
        <f t="shared" ref="CZ104:CZ105" si="937">+CY104</f>
        <v>32.915508345978758</v>
      </c>
      <c r="DA104" s="60">
        <f t="shared" ref="DA104:DA105" si="938">+CZ104</f>
        <v>32.915508345978758</v>
      </c>
      <c r="DB104" s="60">
        <f t="shared" ref="DB104:DB105" si="939">+DA104</f>
        <v>32.915508345978758</v>
      </c>
      <c r="DE104" s="136"/>
      <c r="DF104" s="13">
        <v>44.363034901365666</v>
      </c>
    </row>
    <row r="105" spans="1:110" s="13" customFormat="1" x14ac:dyDescent="0.2">
      <c r="A105" s="13" t="s">
        <v>462</v>
      </c>
      <c r="B105" s="13">
        <f t="shared" ref="B105:D105" si="940">+B97/B87</f>
        <v>0.79656244646601515</v>
      </c>
      <c r="C105" s="13">
        <f t="shared" si="940"/>
        <v>-0.11786793098441403</v>
      </c>
      <c r="D105" s="13">
        <f t="shared" si="940"/>
        <v>7.5829589796094277E-2</v>
      </c>
      <c r="E105" s="13">
        <f t="shared" ref="E105:AE105" ca="1" si="941">+E97/E87</f>
        <v>2.4478340738337145</v>
      </c>
      <c r="F105" s="13">
        <f t="shared" ca="1" si="941"/>
        <v>1.1015994929346395</v>
      </c>
      <c r="G105" s="13">
        <f t="shared" ca="1" si="941"/>
        <v>4.2515139949109484</v>
      </c>
      <c r="H105" s="13">
        <f t="shared" ca="1" si="941"/>
        <v>9.4185385843180178</v>
      </c>
      <c r="I105" s="13">
        <f t="shared" ca="1" si="941"/>
        <v>19.878638537472327</v>
      </c>
      <c r="J105" s="13">
        <f t="shared" ca="1" si="941"/>
        <v>4.6578139360013395</v>
      </c>
      <c r="K105" s="13">
        <f t="shared" ca="1" si="941"/>
        <v>5.1797422905525163</v>
      </c>
      <c r="L105" s="13">
        <f t="shared" ca="1" si="941"/>
        <v>7.3961931081094434</v>
      </c>
      <c r="M105" s="13">
        <f t="shared" ca="1" si="941"/>
        <v>9.4523054526828769</v>
      </c>
      <c r="N105" s="13">
        <f t="shared" ca="1" si="941"/>
        <v>7.6199761963998851</v>
      </c>
      <c r="O105" s="13">
        <f t="shared" ca="1" si="941"/>
        <v>15.196609577071003</v>
      </c>
      <c r="P105" s="13">
        <f t="shared" ca="1" si="941"/>
        <v>22.82538866760904</v>
      </c>
      <c r="Q105" s="13">
        <f t="shared" ca="1" si="941"/>
        <v>12.820558106676119</v>
      </c>
      <c r="R105" s="13">
        <f t="shared" ca="1" si="941"/>
        <v>47.384048668861446</v>
      </c>
      <c r="S105" s="13">
        <f t="shared" ca="1" si="941"/>
        <v>67.454909819638715</v>
      </c>
      <c r="T105" s="13">
        <f t="shared" ca="1" si="941"/>
        <v>7.7537470118044336</v>
      </c>
      <c r="U105" s="13">
        <f t="shared" ca="1" si="941"/>
        <v>1.7198709051688112</v>
      </c>
      <c r="V105" s="13">
        <f t="shared" ca="1" si="941"/>
        <v>3.3875518384202987</v>
      </c>
      <c r="W105" s="13">
        <f t="shared" ca="1" si="941"/>
        <v>4.9075146360125999</v>
      </c>
      <c r="X105" s="13">
        <f t="shared" ca="1" si="941"/>
        <v>6.7553366174055816</v>
      </c>
      <c r="Y105" s="13">
        <f t="shared" ca="1" si="941"/>
        <v>11.992128353675682</v>
      </c>
      <c r="Z105" s="13">
        <f t="shared" ref="Z105:AA105" ca="1" si="942">+Z97/Z87</f>
        <v>20.453322091062386</v>
      </c>
      <c r="AA105" s="13">
        <f t="shared" ref="AA105" ca="1" si="943">+AA97/AA87</f>
        <v>20.453322091062386</v>
      </c>
      <c r="AB105" s="60">
        <f t="shared" ca="1" si="941"/>
        <v>19.378896496147064</v>
      </c>
      <c r="AC105" s="60">
        <f t="shared" ca="1" si="941"/>
        <v>19.34361610228051</v>
      </c>
      <c r="AD105" s="60">
        <f t="shared" ca="1" si="941"/>
        <v>19.407011687653643</v>
      </c>
      <c r="AE105" s="60">
        <f t="shared" ca="1" si="941"/>
        <v>19.609757782517793</v>
      </c>
      <c r="AL105" s="13">
        <f t="shared" ref="AL105:BQ105" si="944">+AL97/AL87</f>
        <v>7.1425930205685324</v>
      </c>
      <c r="AM105" s="13">
        <f t="shared" si="944"/>
        <v>6.8522359186611537</v>
      </c>
      <c r="AN105" s="13">
        <f t="shared" si="944"/>
        <v>6.8861611562066987</v>
      </c>
      <c r="AO105" s="13">
        <f t="shared" si="944"/>
        <v>10.292462710823804</v>
      </c>
      <c r="AP105" s="13">
        <f t="shared" si="944"/>
        <v>9.6131690243546846</v>
      </c>
      <c r="AQ105" s="13">
        <f t="shared" si="944"/>
        <v>21.348497854077323</v>
      </c>
      <c r="AR105" s="13">
        <f t="shared" si="944"/>
        <v>86.093072824157389</v>
      </c>
      <c r="AS105" s="13">
        <f t="shared" si="944"/>
        <v>-195.85596868884502</v>
      </c>
      <c r="AT105" s="13">
        <f t="shared" si="944"/>
        <v>29.479348362678905</v>
      </c>
      <c r="AU105" s="13">
        <f t="shared" si="944"/>
        <v>24.305132019337972</v>
      </c>
      <c r="AV105" s="13">
        <f t="shared" si="944"/>
        <v>18.475287096000599</v>
      </c>
      <c r="AW105" s="13">
        <f t="shared" si="944"/>
        <v>16.536102051768985</v>
      </c>
      <c r="AX105" s="13">
        <f t="shared" si="944"/>
        <v>12.058746539139186</v>
      </c>
      <c r="AY105" s="13">
        <f t="shared" si="944"/>
        <v>17.0204595706569</v>
      </c>
      <c r="AZ105" s="13">
        <f t="shared" si="944"/>
        <v>29.752056517952148</v>
      </c>
      <c r="BA105" s="13">
        <f t="shared" si="944"/>
        <v>126.71343283582014</v>
      </c>
      <c r="BB105" s="13">
        <f t="shared" si="944"/>
        <v>51.583881727215534</v>
      </c>
      <c r="BC105" s="13">
        <f t="shared" si="944"/>
        <v>-26.540522960842981</v>
      </c>
      <c r="BD105" s="13">
        <f t="shared" si="944"/>
        <v>-21.986587702490827</v>
      </c>
      <c r="BE105" s="13">
        <f t="shared" si="944"/>
        <v>-39.254779481355421</v>
      </c>
      <c r="BF105" s="13">
        <f t="shared" si="944"/>
        <v>103.66956173169375</v>
      </c>
      <c r="BG105" s="13">
        <f t="shared" si="944"/>
        <v>12.461065093381256</v>
      </c>
      <c r="BH105" s="13">
        <f t="shared" si="944"/>
        <v>5.431060837664325</v>
      </c>
      <c r="BI105" s="13">
        <f t="shared" si="944"/>
        <v>4.7956331877729284</v>
      </c>
      <c r="BJ105" s="13">
        <f t="shared" si="944"/>
        <v>8.4340446168768199</v>
      </c>
      <c r="BK105" s="13">
        <f t="shared" si="944"/>
        <v>7.6967548534449941</v>
      </c>
      <c r="BL105" s="13">
        <f t="shared" si="944"/>
        <v>11.963716398136643</v>
      </c>
      <c r="BM105" s="13">
        <f t="shared" si="944"/>
        <v>10.792831105710802</v>
      </c>
      <c r="BN105" s="13">
        <f t="shared" si="944"/>
        <v>1.7199188396749125</v>
      </c>
      <c r="BO105" s="13">
        <f t="shared" si="944"/>
        <v>2.8449353715226668</v>
      </c>
      <c r="BP105" s="13">
        <f t="shared" si="944"/>
        <v>3.3182943127258331</v>
      </c>
      <c r="BQ105" s="13">
        <f t="shared" si="944"/>
        <v>2.5073016598933591</v>
      </c>
      <c r="BR105" s="13">
        <f t="shared" ref="BR105:CH105" si="945">+BR97/BR87</f>
        <v>7.9921740790227114</v>
      </c>
      <c r="BS105" s="13">
        <f t="shared" si="945"/>
        <v>6.5338886677659653</v>
      </c>
      <c r="BT105" s="13">
        <f t="shared" si="945"/>
        <v>11.720416999453528</v>
      </c>
      <c r="BU105" s="13">
        <f t="shared" si="945"/>
        <v>12.69932915779099</v>
      </c>
      <c r="BV105" s="13">
        <f t="shared" si="945"/>
        <v>10.326182273723774</v>
      </c>
      <c r="BW105" s="13">
        <f t="shared" si="945"/>
        <v>10.315881517105693</v>
      </c>
      <c r="BX105" s="13">
        <f t="shared" si="945"/>
        <v>15.433788965188574</v>
      </c>
      <c r="BY105" s="13">
        <f t="shared" si="945"/>
        <v>16.541811241389219</v>
      </c>
      <c r="BZ105" s="13">
        <f t="shared" si="945"/>
        <v>16.530012631578945</v>
      </c>
      <c r="CA105" s="13">
        <f t="shared" si="945"/>
        <v>15.902148051463737</v>
      </c>
      <c r="CB105" s="13">
        <f t="shared" si="945"/>
        <v>22.540212853329681</v>
      </c>
      <c r="CC105" s="13">
        <f t="shared" si="945"/>
        <v>25.044799449776466</v>
      </c>
      <c r="CD105" s="13">
        <f t="shared" si="945"/>
        <v>24.930879127060017</v>
      </c>
      <c r="CE105" s="13">
        <f t="shared" si="945"/>
        <v>28.494412607449856</v>
      </c>
      <c r="CF105" s="13">
        <f t="shared" si="945"/>
        <v>35.164193393968411</v>
      </c>
      <c r="CG105" s="13">
        <f t="shared" si="945"/>
        <v>31.878459182851177</v>
      </c>
      <c r="CH105" s="13">
        <f t="shared" si="945"/>
        <v>20.4533220910624</v>
      </c>
      <c r="CI105" s="13">
        <f t="shared" ref="CI105:CJ105" si="946">+CI97/CI87</f>
        <v>17.884275606237555</v>
      </c>
      <c r="CJ105" s="13">
        <f t="shared" si="946"/>
        <v>27.313278834924787</v>
      </c>
      <c r="CK105" s="13">
        <f t="shared" ref="CK105:CL105" si="947">+CK97/CK87</f>
        <v>25.792910559377809</v>
      </c>
      <c r="CL105" s="13">
        <f t="shared" si="947"/>
        <v>21.79301972685888</v>
      </c>
      <c r="CM105" s="60">
        <f t="shared" si="924"/>
        <v>21.79301972685888</v>
      </c>
      <c r="CN105" s="60">
        <f t="shared" si="925"/>
        <v>21.79301972685888</v>
      </c>
      <c r="CO105" s="60">
        <f t="shared" si="926"/>
        <v>21.79301972685888</v>
      </c>
      <c r="CP105" s="60">
        <f t="shared" si="927"/>
        <v>21.79301972685888</v>
      </c>
      <c r="CQ105" s="60">
        <f t="shared" si="928"/>
        <v>21.79301972685888</v>
      </c>
      <c r="CR105" s="60">
        <f t="shared" si="929"/>
        <v>21.79301972685888</v>
      </c>
      <c r="CS105" s="60">
        <f t="shared" si="930"/>
        <v>21.79301972685888</v>
      </c>
      <c r="CT105" s="60">
        <f t="shared" si="931"/>
        <v>21.79301972685888</v>
      </c>
      <c r="CU105" s="60">
        <f t="shared" si="932"/>
        <v>21.79301972685888</v>
      </c>
      <c r="CV105" s="60">
        <f t="shared" si="933"/>
        <v>21.79301972685888</v>
      </c>
      <c r="CW105" s="60">
        <f t="shared" si="934"/>
        <v>21.79301972685888</v>
      </c>
      <c r="CX105" s="60">
        <f t="shared" si="935"/>
        <v>21.79301972685888</v>
      </c>
      <c r="CY105" s="60">
        <f t="shared" si="936"/>
        <v>21.79301972685888</v>
      </c>
      <c r="CZ105" s="60">
        <f t="shared" si="937"/>
        <v>21.79301972685888</v>
      </c>
      <c r="DA105" s="60">
        <f t="shared" si="938"/>
        <v>21.79301972685888</v>
      </c>
      <c r="DB105" s="60">
        <f t="shared" si="939"/>
        <v>21.79301972685888</v>
      </c>
      <c r="DE105" s="136"/>
      <c r="DF105" s="13">
        <v>21.548467374810301</v>
      </c>
    </row>
    <row r="106" spans="1:110" s="13" customFormat="1" x14ac:dyDescent="0.2">
      <c r="AB106" s="60"/>
      <c r="AC106" s="60"/>
      <c r="AD106" s="60"/>
      <c r="AE106" s="60"/>
      <c r="CM106" s="60"/>
      <c r="CN106" s="60"/>
      <c r="CO106" s="60"/>
      <c r="CP106" s="60"/>
      <c r="CQ106" s="60"/>
      <c r="CR106" s="60"/>
      <c r="CS106" s="60"/>
      <c r="CT106" s="60"/>
      <c r="CU106" s="60"/>
      <c r="CV106" s="60"/>
      <c r="CW106" s="60"/>
      <c r="CX106" s="60"/>
      <c r="CY106" s="60"/>
      <c r="CZ106" s="60"/>
      <c r="DA106" s="60"/>
      <c r="DB106" s="60"/>
      <c r="DE106" s="136"/>
    </row>
    <row r="107" spans="1:110" s="13" customFormat="1" x14ac:dyDescent="0.2">
      <c r="A107" s="13" t="s">
        <v>463</v>
      </c>
      <c r="B107" s="13">
        <f t="shared" ref="B107:AD107" si="948">+B96/C87</f>
        <v>-0.54410385438210518</v>
      </c>
      <c r="C107" s="13">
        <f t="shared" si="948"/>
        <v>0.20365661259522502</v>
      </c>
      <c r="D107" s="13">
        <f t="shared" ca="1" si="948"/>
        <v>7.8434119971432263</v>
      </c>
      <c r="E107" s="13">
        <f t="shared" ca="1" si="948"/>
        <v>2.4611684873792896</v>
      </c>
      <c r="F107" s="13">
        <f t="shared" ca="1" si="948"/>
        <v>4.5417684478371525</v>
      </c>
      <c r="G107" s="13">
        <f t="shared" ca="1" si="948"/>
        <v>18.673617630553487</v>
      </c>
      <c r="H107" s="13">
        <f t="shared" ca="1" si="948"/>
        <v>26.590183351635716</v>
      </c>
      <c r="I107" s="13">
        <f t="shared" ca="1" si="948"/>
        <v>66.986590358425971</v>
      </c>
      <c r="J107" s="13">
        <f t="shared" ca="1" si="948"/>
        <v>33.909933162373264</v>
      </c>
      <c r="K107" s="13">
        <f t="shared" ca="1" si="948"/>
        <v>13.825767386744213</v>
      </c>
      <c r="L107" s="13">
        <f t="shared" ca="1" si="948"/>
        <v>19.604081508864287</v>
      </c>
      <c r="M107" s="13">
        <f t="shared" ca="1" si="948"/>
        <v>21.627655210903963</v>
      </c>
      <c r="N107" s="13">
        <f t="shared" ca="1" si="948"/>
        <v>50.655365256903337</v>
      </c>
      <c r="O107" s="13">
        <f t="shared" ca="1" si="948"/>
        <v>26.292101833666951</v>
      </c>
      <c r="P107" s="13">
        <f t="shared" ca="1" si="948"/>
        <v>21.557753444012768</v>
      </c>
      <c r="Q107" s="13">
        <f t="shared" ca="1" si="948"/>
        <v>101.23904671540882</v>
      </c>
      <c r="R107" s="13">
        <f t="shared" ca="1" si="948"/>
        <v>110.9258517034059</v>
      </c>
      <c r="S107" s="13">
        <f t="shared" ca="1" si="948"/>
        <v>18.16409258699284</v>
      </c>
      <c r="T107" s="13">
        <f t="shared" ca="1" si="948"/>
        <v>11.094730857343531</v>
      </c>
      <c r="U107" s="13">
        <f t="shared" ca="1" si="948"/>
        <v>12.927209314431488</v>
      </c>
      <c r="V107" s="13">
        <f t="shared" ca="1" si="948"/>
        <v>5.5504030464259664</v>
      </c>
      <c r="W107" s="13">
        <f t="shared" ca="1" si="948"/>
        <v>10.345585449033724</v>
      </c>
      <c r="X107" s="13">
        <f t="shared" ca="1" si="948"/>
        <v>15.011853872546258</v>
      </c>
      <c r="Y107" s="13">
        <f t="shared" ca="1" si="948"/>
        <v>30.286701999518176</v>
      </c>
      <c r="Z107" s="13">
        <f t="shared" ref="Z107:AA107" ca="1" si="949">+Z96/AA87</f>
        <v>45.743672230652464</v>
      </c>
      <c r="AA107" s="13">
        <f t="shared" ca="1" si="949"/>
        <v>45.743672230652464</v>
      </c>
      <c r="AB107" s="37">
        <f t="shared" ca="1" si="948"/>
        <v>28.354817097071805</v>
      </c>
      <c r="AC107" s="37">
        <f t="shared" ca="1" si="948"/>
        <v>28.280490397373359</v>
      </c>
      <c r="AD107" s="37">
        <f t="shared" ca="1" si="948"/>
        <v>28.582329188964376</v>
      </c>
      <c r="AE107" s="37"/>
      <c r="AL107" s="13">
        <f t="shared" ref="AL107:BQ107" si="950">+AL96/AP87</f>
        <v>20.330829808954377</v>
      </c>
      <c r="AM107" s="13">
        <f t="shared" si="950"/>
        <v>24.590901287553724</v>
      </c>
      <c r="AN107" s="13">
        <f t="shared" si="950"/>
        <v>58.790408525755623</v>
      </c>
      <c r="AO107" s="13">
        <f t="shared" si="950"/>
        <v>-150.62465753424627</v>
      </c>
      <c r="AP107" s="13">
        <f t="shared" si="950"/>
        <v>22.21721244034882</v>
      </c>
      <c r="AQ107" s="13">
        <f t="shared" si="950"/>
        <v>29.374786165860833</v>
      </c>
      <c r="AR107" s="13">
        <f t="shared" si="950"/>
        <v>20.493218939010372</v>
      </c>
      <c r="AS107" s="13">
        <f t="shared" si="950"/>
        <v>13.502167361598485</v>
      </c>
      <c r="AT107" s="13">
        <f t="shared" si="950"/>
        <v>20.276768185250432</v>
      </c>
      <c r="AU107" s="13">
        <f t="shared" si="950"/>
        <v>26.457079683170548</v>
      </c>
      <c r="AV107" s="13">
        <f t="shared" si="950"/>
        <v>52.663311719732818</v>
      </c>
      <c r="AW107" s="13">
        <f t="shared" si="950"/>
        <v>258.86940298507312</v>
      </c>
      <c r="AX107" s="13">
        <f t="shared" si="950"/>
        <v>86.731722708014345</v>
      </c>
      <c r="AY107" s="13">
        <f t="shared" si="950"/>
        <v>-32.403278262000782</v>
      </c>
      <c r="AZ107" s="13">
        <f t="shared" si="950"/>
        <v>-32.686727051036364</v>
      </c>
      <c r="BA107" s="13">
        <f t="shared" si="950"/>
        <v>-52.386901381790821</v>
      </c>
      <c r="BB107" s="13">
        <f t="shared" si="950"/>
        <v>91.301175841795342</v>
      </c>
      <c r="BC107" s="13">
        <f t="shared" si="950"/>
        <v>14.42283347659607</v>
      </c>
      <c r="BD107" s="13">
        <f t="shared" si="950"/>
        <v>6.7043717517578747</v>
      </c>
      <c r="BE107" s="13">
        <f t="shared" si="950"/>
        <v>11.234352256186323</v>
      </c>
      <c r="BF107" s="13">
        <f t="shared" si="950"/>
        <v>17.572259941804074</v>
      </c>
      <c r="BG107" s="13">
        <f t="shared" si="950"/>
        <v>15.785020936429389</v>
      </c>
      <c r="BH107" s="13">
        <f t="shared" si="950"/>
        <v>35.315739988888332</v>
      </c>
      <c r="BI107" s="13">
        <f t="shared" si="950"/>
        <v>26.982077764277005</v>
      </c>
      <c r="BJ107" s="13">
        <f t="shared" si="950"/>
        <v>9.3563584878315247</v>
      </c>
      <c r="BK107" s="13">
        <f t="shared" si="950"/>
        <v>10.856534980983053</v>
      </c>
      <c r="BL107" s="13">
        <f t="shared" si="950"/>
        <v>6.6643567786962343</v>
      </c>
      <c r="BM107" s="13">
        <f t="shared" si="950"/>
        <v>4.6939019446840788</v>
      </c>
      <c r="BN107" s="13">
        <f t="shared" si="950"/>
        <v>8.4983775529681207</v>
      </c>
      <c r="BO107" s="13">
        <f t="shared" si="950"/>
        <v>3.2749189742423388</v>
      </c>
      <c r="BP107" s="13">
        <f t="shared" si="950"/>
        <v>3.452452814325949</v>
      </c>
      <c r="BQ107" s="13">
        <f t="shared" si="950"/>
        <v>3.9685403618096844</v>
      </c>
      <c r="BR107" s="13">
        <f t="shared" ref="BR107:CL107" si="951">+BR96/BV87</f>
        <v>5.5504227998747266</v>
      </c>
      <c r="BS107" s="13">
        <f t="shared" si="951"/>
        <v>10.301453710788063</v>
      </c>
      <c r="BT107" s="13">
        <f t="shared" si="951"/>
        <v>11.298870307389036</v>
      </c>
      <c r="BU107" s="13">
        <f t="shared" si="951"/>
        <v>11.383053140186139</v>
      </c>
      <c r="BV107" s="13">
        <f t="shared" si="951"/>
        <v>10.116896842105263</v>
      </c>
      <c r="BW107" s="13">
        <f t="shared" si="951"/>
        <v>12.13006899123625</v>
      </c>
      <c r="BX107" s="13">
        <f t="shared" si="951"/>
        <v>15.934227636712068</v>
      </c>
      <c r="BY107" s="13">
        <f t="shared" si="951"/>
        <v>16.68776377903523</v>
      </c>
      <c r="BZ107" s="13">
        <f t="shared" si="951"/>
        <v>13.67396085269138</v>
      </c>
      <c r="CA107" s="13">
        <f t="shared" si="951"/>
        <v>18.909598853868196</v>
      </c>
      <c r="CB107" s="13">
        <f t="shared" si="951"/>
        <v>31.069602680708478</v>
      </c>
      <c r="CC107" s="13">
        <f t="shared" si="951"/>
        <v>29.764179224756244</v>
      </c>
      <c r="CD107" s="13">
        <f t="shared" si="951"/>
        <v>30.286701999518197</v>
      </c>
      <c r="CE107" s="13">
        <f t="shared" si="951"/>
        <v>35.45510750841521</v>
      </c>
      <c r="CF107" s="13">
        <f t="shared" si="951"/>
        <v>36.739712852923006</v>
      </c>
      <c r="CG107" s="13">
        <f t="shared" si="951"/>
        <v>41.329629075680529</v>
      </c>
      <c r="CH107" s="13">
        <f t="shared" si="951"/>
        <v>39.852746585735972</v>
      </c>
      <c r="CI107" s="13">
        <f t="shared" si="951"/>
        <v>43.434063350780754</v>
      </c>
      <c r="CJ107" s="13">
        <f t="shared" si="951"/>
        <v>40.117352029519125</v>
      </c>
      <c r="CK107" s="13">
        <f t="shared" si="951"/>
        <v>33.998120167955094</v>
      </c>
      <c r="CL107" s="13">
        <f t="shared" si="951"/>
        <v>28.656385407391159</v>
      </c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E107" s="134"/>
      <c r="DF107" s="13">
        <v>38.622652052414452</v>
      </c>
    </row>
    <row r="108" spans="1:110" s="98" customFormat="1" x14ac:dyDescent="0.2">
      <c r="A108" s="98" t="s">
        <v>426</v>
      </c>
      <c r="AB108" s="99"/>
      <c r="AC108" s="99"/>
      <c r="AD108" s="99"/>
      <c r="AE108" s="99"/>
      <c r="AL108" s="171"/>
      <c r="AM108" s="171"/>
      <c r="AN108" s="171"/>
      <c r="AO108" s="171">
        <f t="shared" ref="AO108:CI108" si="952">+CORREL(AL87:AO87,AL104:AO104)</f>
        <v>-0.56299739662412096</v>
      </c>
      <c r="AP108" s="171">
        <f t="shared" si="952"/>
        <v>-0.83015999435567089</v>
      </c>
      <c r="AQ108" s="171">
        <f t="shared" si="952"/>
        <v>-0.99141386837959233</v>
      </c>
      <c r="AR108" s="171">
        <f t="shared" si="952"/>
        <v>-0.97611425263185903</v>
      </c>
      <c r="AS108" s="171">
        <f t="shared" si="952"/>
        <v>0.4991220146318236</v>
      </c>
      <c r="AT108" s="171">
        <f t="shared" si="952"/>
        <v>0.64426017417834969</v>
      </c>
      <c r="AU108" s="171">
        <f t="shared" si="952"/>
        <v>0.54742048338737936</v>
      </c>
      <c r="AV108" s="171">
        <f t="shared" si="952"/>
        <v>0.86529083876648549</v>
      </c>
      <c r="AW108" s="171">
        <f t="shared" si="952"/>
        <v>-0.99273789180970784</v>
      </c>
      <c r="AX108" s="171">
        <f t="shared" si="952"/>
        <v>-0.96772537786577373</v>
      </c>
      <c r="AY108" s="171">
        <f t="shared" si="952"/>
        <v>-0.32637445918686259</v>
      </c>
      <c r="AZ108" s="171">
        <f t="shared" si="952"/>
        <v>-0.87575787250756354</v>
      </c>
      <c r="BA108" s="171">
        <f t="shared" si="952"/>
        <v>-0.89470581484635536</v>
      </c>
      <c r="BB108" s="171">
        <f t="shared" si="952"/>
        <v>-0.80071270403331163</v>
      </c>
      <c r="BC108" s="171">
        <f t="shared" si="952"/>
        <v>0.37773328158147162</v>
      </c>
      <c r="BD108" s="171">
        <f t="shared" si="952"/>
        <v>0.75460814251434172</v>
      </c>
      <c r="BE108" s="171">
        <f t="shared" si="952"/>
        <v>0.82203227448469807</v>
      </c>
      <c r="BF108" s="171">
        <f t="shared" si="952"/>
        <v>0.90129316524868908</v>
      </c>
      <c r="BG108" s="171">
        <f t="shared" si="952"/>
        <v>0.36393433835341132</v>
      </c>
      <c r="BH108" s="171">
        <f t="shared" si="952"/>
        <v>7.8229098539734625E-3</v>
      </c>
      <c r="BI108" s="171">
        <f t="shared" si="952"/>
        <v>-0.86816789629895452</v>
      </c>
      <c r="BJ108" s="171">
        <f t="shared" si="952"/>
        <v>-0.95427890556930961</v>
      </c>
      <c r="BK108" s="171">
        <f t="shared" si="952"/>
        <v>-0.99069931749250717</v>
      </c>
      <c r="BL108" s="171">
        <f t="shared" si="952"/>
        <v>-0.95174692517753712</v>
      </c>
      <c r="BM108" s="171">
        <f t="shared" si="952"/>
        <v>-0.84957456785250751</v>
      </c>
      <c r="BN108" s="171">
        <f t="shared" si="952"/>
        <v>-0.93278150421217787</v>
      </c>
      <c r="BO108" s="171">
        <f t="shared" si="952"/>
        <v>-0.91562496170017971</v>
      </c>
      <c r="BP108" s="171">
        <f t="shared" si="952"/>
        <v>-0.93392211875622877</v>
      </c>
      <c r="BQ108" s="171">
        <f t="shared" si="952"/>
        <v>0.62390055051653448</v>
      </c>
      <c r="BR108" s="171">
        <f t="shared" si="952"/>
        <v>-0.72159279841757329</v>
      </c>
      <c r="BS108" s="171">
        <f t="shared" si="952"/>
        <v>-6.9929805494869865E-2</v>
      </c>
      <c r="BT108" s="171">
        <f t="shared" si="952"/>
        <v>0.2406229379609085</v>
      </c>
      <c r="BU108" s="171">
        <f t="shared" si="952"/>
        <v>0.89304194940719128</v>
      </c>
      <c r="BV108" s="171">
        <f t="shared" si="952"/>
        <v>0.49922852191421807</v>
      </c>
      <c r="BW108" s="171">
        <f t="shared" si="952"/>
        <v>0.54914872022764616</v>
      </c>
      <c r="BX108" s="171">
        <f t="shared" si="952"/>
        <v>0.85790070346325964</v>
      </c>
      <c r="BY108" s="171">
        <f t="shared" si="952"/>
        <v>0.87959097512748063</v>
      </c>
      <c r="BZ108" s="171">
        <f t="shared" si="952"/>
        <v>-3.616803572560752E-2</v>
      </c>
      <c r="CA108" s="171">
        <f t="shared" si="952"/>
        <v>-0.21365254396165595</v>
      </c>
      <c r="CB108" s="171">
        <f t="shared" si="952"/>
        <v>0.76931215956030441</v>
      </c>
      <c r="CC108" s="171">
        <f t="shared" si="952"/>
        <v>0.87393481814721885</v>
      </c>
      <c r="CD108" s="171">
        <f t="shared" si="952"/>
        <v>0.58973885605606635</v>
      </c>
      <c r="CE108" s="171">
        <f t="shared" si="952"/>
        <v>0.32008735388066845</v>
      </c>
      <c r="CF108" s="171">
        <f t="shared" si="952"/>
        <v>0.61266515202067473</v>
      </c>
      <c r="CG108" s="171">
        <f t="shared" si="952"/>
        <v>0.34100615469155116</v>
      </c>
      <c r="CH108" s="171">
        <f t="shared" si="952"/>
        <v>-0.94630597095605351</v>
      </c>
      <c r="CI108" s="171">
        <f t="shared" si="952"/>
        <v>-0.91404116842838035</v>
      </c>
      <c r="CJ108" s="171">
        <f>+CORREL(CG87:CJ87,CG104:CJ104)</f>
        <v>-0.88398412982391161</v>
      </c>
      <c r="CK108" s="171">
        <f>+CORREL(CH87:CK87,CH104:CK104)</f>
        <v>0.59136710314765017</v>
      </c>
      <c r="CL108" s="171">
        <f>+CORREL(CI87:CL87,CI104:CL104)</f>
        <v>0.88434412719510291</v>
      </c>
      <c r="CM108" s="99"/>
      <c r="CN108" s="99"/>
      <c r="CO108" s="99"/>
      <c r="CP108" s="99"/>
      <c r="CQ108" s="99"/>
      <c r="CR108" s="99"/>
      <c r="CS108" s="99"/>
      <c r="CT108" s="99"/>
      <c r="CU108" s="99"/>
      <c r="CV108" s="99"/>
      <c r="CW108" s="99"/>
      <c r="CX108" s="99"/>
      <c r="CY108" s="99"/>
      <c r="CZ108" s="99"/>
      <c r="DA108" s="99"/>
      <c r="DB108" s="99"/>
      <c r="DE108" s="137"/>
      <c r="DF108" s="171"/>
    </row>
    <row r="109" spans="1:110" s="4" customFormat="1" x14ac:dyDescent="0.2">
      <c r="A109" s="3"/>
      <c r="AB109" s="17"/>
      <c r="AC109" s="17"/>
      <c r="AD109" s="17"/>
      <c r="AE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E109" s="119"/>
    </row>
    <row r="110" spans="1:110" s="158" customFormat="1" x14ac:dyDescent="0.2">
      <c r="A110" s="49" t="s">
        <v>505</v>
      </c>
      <c r="E110" s="158">
        <f t="shared" ref="E110:AE110" ca="1" si="953">+E$138/E$83</f>
        <v>2.9023356862745091</v>
      </c>
      <c r="F110" s="158">
        <f t="shared" ca="1" si="953"/>
        <v>3.2667201426024954</v>
      </c>
      <c r="G110" s="158">
        <f t="shared" ca="1" si="953"/>
        <v>4.5750356506238861</v>
      </c>
      <c r="H110" s="158">
        <f t="shared" ca="1" si="953"/>
        <v>8.373605169340463</v>
      </c>
      <c r="I110" s="158">
        <f t="shared" ca="1" si="953"/>
        <v>10.549295900178253</v>
      </c>
      <c r="J110" s="158">
        <f t="shared" ca="1" si="953"/>
        <v>12.272727272727272</v>
      </c>
      <c r="K110" s="158">
        <f t="shared" ca="1" si="953"/>
        <v>14.532370766488413</v>
      </c>
      <c r="L110" s="158">
        <f t="shared" ca="1" si="953"/>
        <v>18.644870766488413</v>
      </c>
      <c r="M110" s="158">
        <f t="shared" ca="1" si="953"/>
        <v>20.440860071301248</v>
      </c>
      <c r="N110" s="158">
        <f t="shared" ca="1" si="953"/>
        <v>23.965757575757575</v>
      </c>
      <c r="O110" s="158">
        <f t="shared" ca="1" si="953"/>
        <v>23.71184046345811</v>
      </c>
      <c r="P110" s="158">
        <f t="shared" ca="1" si="953"/>
        <v>23.866671122994649</v>
      </c>
      <c r="Q110" s="158">
        <f t="shared" ca="1" si="953"/>
        <v>31.385182709447413</v>
      </c>
      <c r="R110" s="158">
        <f t="shared" ca="1" si="953"/>
        <v>31.633230837789664</v>
      </c>
      <c r="S110" s="158">
        <f t="shared" ca="1" si="953"/>
        <v>31.589656862745102</v>
      </c>
      <c r="T110" s="158">
        <f t="shared" ca="1" si="953"/>
        <v>34.227468805704099</v>
      </c>
      <c r="U110" s="158">
        <f t="shared" ca="1" si="953"/>
        <v>38.06567736185383</v>
      </c>
      <c r="V110" s="158">
        <f t="shared" ca="1" si="953"/>
        <v>40.964719251336902</v>
      </c>
      <c r="W110" s="158">
        <f t="shared" ca="1" si="953"/>
        <v>46.802040998217471</v>
      </c>
      <c r="X110" s="158">
        <f t="shared" ca="1" si="953"/>
        <v>57.001336898395728</v>
      </c>
      <c r="Y110" s="158">
        <f t="shared" ca="1" si="953"/>
        <v>71.480837789661308</v>
      </c>
      <c r="Z110" s="158">
        <f t="shared" ca="1" si="953"/>
        <v>89.068181818181813</v>
      </c>
      <c r="AA110" s="158">
        <f t="shared" ca="1" si="953"/>
        <v>89.068181818181813</v>
      </c>
      <c r="AB110" s="21">
        <f t="shared" ca="1" si="953"/>
        <v>121.30882294966601</v>
      </c>
      <c r="AC110" s="21">
        <f t="shared" ca="1" si="953"/>
        <v>142.84547170953149</v>
      </c>
      <c r="AD110" s="21">
        <f t="shared" ca="1" si="953"/>
        <v>167.91185959881668</v>
      </c>
      <c r="AE110" s="21">
        <f t="shared" ca="1" si="953"/>
        <v>196.77839788261289</v>
      </c>
      <c r="AL110" s="158">
        <f t="shared" ref="AL110:BQ110" si="954">+AL$138/AL$83</f>
        <v>23.965730837789664</v>
      </c>
      <c r="AM110" s="158">
        <f t="shared" si="954"/>
        <v>24.110873440285204</v>
      </c>
      <c r="AN110" s="158">
        <f t="shared" si="954"/>
        <v>21.757040998217466</v>
      </c>
      <c r="AO110" s="158">
        <f t="shared" si="954"/>
        <v>21.954590017825307</v>
      </c>
      <c r="AP110" s="158">
        <f t="shared" si="954"/>
        <v>23.711853832442067</v>
      </c>
      <c r="AQ110" s="158">
        <f t="shared" si="954"/>
        <v>23.413458110516935</v>
      </c>
      <c r="AR110" s="158">
        <f t="shared" si="954"/>
        <v>22.086185383244203</v>
      </c>
      <c r="AS110" s="158">
        <f t="shared" si="954"/>
        <v>21.91898395721925</v>
      </c>
      <c r="AT110" s="158">
        <f t="shared" si="954"/>
        <v>23.866666666666664</v>
      </c>
      <c r="AU110" s="158">
        <f t="shared" si="954"/>
        <v>23.954144385026741</v>
      </c>
      <c r="AV110" s="158">
        <f t="shared" si="954"/>
        <v>24.014661319073081</v>
      </c>
      <c r="AW110" s="158">
        <f t="shared" si="954"/>
        <v>24.33386809269162</v>
      </c>
      <c r="AX110" s="158">
        <f t="shared" si="954"/>
        <v>31.385160427807484</v>
      </c>
      <c r="AY110" s="158">
        <f t="shared" si="954"/>
        <v>31.294340463458109</v>
      </c>
      <c r="AZ110" s="158">
        <f t="shared" si="954"/>
        <v>34.710472370766489</v>
      </c>
      <c r="BA110" s="158">
        <f t="shared" si="954"/>
        <v>34.287878787878782</v>
      </c>
      <c r="BB110" s="158">
        <f t="shared" si="954"/>
        <v>31.633244206773618</v>
      </c>
      <c r="BC110" s="158">
        <f t="shared" si="954"/>
        <v>30.020409982174687</v>
      </c>
      <c r="BD110" s="158">
        <f t="shared" si="954"/>
        <v>29.523039215686275</v>
      </c>
      <c r="BE110" s="158">
        <f t="shared" si="954"/>
        <v>29.417513368983961</v>
      </c>
      <c r="BF110" s="158">
        <f t="shared" si="954"/>
        <v>31.589661319073084</v>
      </c>
      <c r="BG110" s="158">
        <f t="shared" si="954"/>
        <v>31.924420677361859</v>
      </c>
      <c r="BH110" s="158">
        <f t="shared" si="954"/>
        <v>34.23373440285205</v>
      </c>
      <c r="BI110" s="158">
        <f t="shared" si="954"/>
        <v>34.369385026737966</v>
      </c>
      <c r="BJ110" s="158">
        <f t="shared" si="954"/>
        <v>34.227450980392156</v>
      </c>
      <c r="BK110" s="158">
        <f t="shared" si="954"/>
        <v>34.247593582887703</v>
      </c>
      <c r="BL110" s="158">
        <f t="shared" si="954"/>
        <v>34.413814616755793</v>
      </c>
      <c r="BM110" s="158">
        <f t="shared" si="954"/>
        <v>34.827049910873441</v>
      </c>
      <c r="BN110" s="158">
        <f t="shared" si="954"/>
        <v>38.065686274509808</v>
      </c>
      <c r="BO110" s="158">
        <f t="shared" si="954"/>
        <v>37.146613190730839</v>
      </c>
      <c r="BP110" s="158">
        <f t="shared" si="954"/>
        <v>38.172147950089126</v>
      </c>
      <c r="BQ110" s="158">
        <f t="shared" si="954"/>
        <v>39.271613190730839</v>
      </c>
      <c r="BR110" s="158">
        <f t="shared" ref="BR110:DB110" si="955">+BR$138/BR$83</f>
        <v>40.964705882352938</v>
      </c>
      <c r="BS110" s="158">
        <f t="shared" si="955"/>
        <v>42.179901960784314</v>
      </c>
      <c r="BT110" s="158">
        <f t="shared" si="955"/>
        <v>43.556461675579321</v>
      </c>
      <c r="BU110" s="158">
        <f t="shared" si="955"/>
        <v>44.961942959001782</v>
      </c>
      <c r="BV110" s="158">
        <f t="shared" si="955"/>
        <v>46.802049910873443</v>
      </c>
      <c r="BW110" s="158">
        <f t="shared" si="955"/>
        <v>48.687522281639929</v>
      </c>
      <c r="BX110" s="158">
        <f t="shared" si="955"/>
        <v>50.443716577540108</v>
      </c>
      <c r="BY110" s="158">
        <f t="shared" si="955"/>
        <v>53.240062388591802</v>
      </c>
      <c r="BZ110" s="158">
        <f t="shared" si="955"/>
        <v>57.001336898395728</v>
      </c>
      <c r="CA110" s="158">
        <f t="shared" si="955"/>
        <v>60.252673796791449</v>
      </c>
      <c r="CB110" s="158">
        <f t="shared" si="955"/>
        <v>63.045008912655966</v>
      </c>
      <c r="CC110" s="158">
        <f t="shared" si="955"/>
        <v>67.07352941176471</v>
      </c>
      <c r="CD110" s="158">
        <f t="shared" si="955"/>
        <v>71.480837789661308</v>
      </c>
      <c r="CE110" s="158">
        <f t="shared" si="955"/>
        <v>74.749999999999986</v>
      </c>
      <c r="CF110" s="158">
        <f t="shared" si="955"/>
        <v>78.182263814616761</v>
      </c>
      <c r="CG110" s="158">
        <f t="shared" si="955"/>
        <v>82.974598930481278</v>
      </c>
      <c r="CH110" s="158">
        <f t="shared" si="955"/>
        <v>89.068181818181813</v>
      </c>
      <c r="CI110" s="158">
        <f t="shared" si="955"/>
        <v>96.88636363636364</v>
      </c>
      <c r="CJ110" s="158">
        <f t="shared" si="955"/>
        <v>100.00401069518716</v>
      </c>
      <c r="CK110" s="158">
        <f t="shared" si="955"/>
        <v>103.21212121212122</v>
      </c>
      <c r="CL110" s="158">
        <f t="shared" si="955"/>
        <v>102.75623885918003</v>
      </c>
      <c r="CM110" s="21">
        <f t="shared" si="955"/>
        <v>107.33387309896287</v>
      </c>
      <c r="CN110" s="21">
        <f t="shared" si="955"/>
        <v>111.76810287526149</v>
      </c>
      <c r="CO110" s="21">
        <f t="shared" si="955"/>
        <v>116.35025955742739</v>
      </c>
      <c r="CP110" s="21">
        <f t="shared" si="955"/>
        <v>121.30882294966601</v>
      </c>
      <c r="CQ110" s="21">
        <f t="shared" si="955"/>
        <v>126.44993278054328</v>
      </c>
      <c r="CR110" s="21">
        <f t="shared" si="955"/>
        <v>131.66226849047621</v>
      </c>
      <c r="CS110" s="21">
        <f t="shared" si="955"/>
        <v>137.14699174495269</v>
      </c>
      <c r="CT110" s="21">
        <f t="shared" si="955"/>
        <v>142.84547170953149</v>
      </c>
      <c r="CU110" s="21">
        <f t="shared" si="955"/>
        <v>148.77192802634548</v>
      </c>
      <c r="CV110" s="21">
        <f t="shared" si="955"/>
        <v>154.86168255569027</v>
      </c>
      <c r="CW110" s="21">
        <f t="shared" si="955"/>
        <v>161.27353661404052</v>
      </c>
      <c r="CX110" s="21">
        <f t="shared" si="955"/>
        <v>167.91185959881668</v>
      </c>
      <c r="CY110" s="21">
        <f t="shared" si="955"/>
        <v>174.74656719337068</v>
      </c>
      <c r="CZ110" s="21">
        <f t="shared" si="955"/>
        <v>181.77739923976159</v>
      </c>
      <c r="DA110" s="21">
        <f t="shared" si="955"/>
        <v>189.15907970833234</v>
      </c>
      <c r="DB110" s="21">
        <f t="shared" si="955"/>
        <v>196.77839788261289</v>
      </c>
      <c r="DE110" s="22"/>
      <c r="DF110" s="158">
        <v>102.75623885918003</v>
      </c>
    </row>
    <row r="111" spans="1:110" s="158" customFormat="1" x14ac:dyDescent="0.2">
      <c r="A111" s="49" t="s">
        <v>501</v>
      </c>
      <c r="AB111" s="21"/>
      <c r="AC111" s="21"/>
      <c r="AD111" s="21"/>
      <c r="AE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E111" s="22"/>
    </row>
    <row r="112" spans="1:110" s="158" customFormat="1" x14ac:dyDescent="0.2">
      <c r="A112" s="49" t="s">
        <v>502</v>
      </c>
      <c r="E112" s="158">
        <f t="shared" ref="E112:AE114" ca="1" si="956">+E95/E$110</f>
        <v>0.30262982241753628</v>
      </c>
      <c r="F112" s="158">
        <f t="shared" ca="1" si="956"/>
        <v>1.7530325270240048</v>
      </c>
      <c r="G112" s="158">
        <f t="shared" ca="1" si="956"/>
        <v>10.04327328620214</v>
      </c>
      <c r="H112" s="158">
        <f t="shared" ca="1" si="956"/>
        <v>7.7614916576948776</v>
      </c>
      <c r="I112" s="158">
        <f t="shared" ca="1" si="956"/>
        <v>8.9674231242676132</v>
      </c>
      <c r="J112" s="158">
        <f t="shared" ca="1" si="956"/>
        <v>1.2670370370370372</v>
      </c>
      <c r="K112" s="158">
        <f t="shared" ca="1" si="956"/>
        <v>2.4961515628028152</v>
      </c>
      <c r="L112" s="158">
        <f t="shared" ca="1" si="956"/>
        <v>1.8262395286321953</v>
      </c>
      <c r="M112" s="158">
        <f t="shared" ca="1" si="956"/>
        <v>1.4982246291582015</v>
      </c>
      <c r="N112" s="158">
        <f t="shared" ca="1" si="956"/>
        <v>0.64466979402430236</v>
      </c>
      <c r="O112" s="158">
        <f t="shared" ca="1" si="956"/>
        <v>0.71272409351961874</v>
      </c>
      <c r="P112" s="158">
        <f t="shared" ca="1" si="956"/>
        <v>1.3973461078058984</v>
      </c>
      <c r="Q112" s="158">
        <f t="shared" ca="1" si="956"/>
        <v>0.86824410908391303</v>
      </c>
      <c r="R112" s="158">
        <f t="shared" ca="1" si="956"/>
        <v>0.83535570980730145</v>
      </c>
      <c r="S112" s="158">
        <f t="shared" ca="1" si="956"/>
        <v>1.2179619477087467</v>
      </c>
      <c r="T112" s="158">
        <f t="shared" ca="1" si="956"/>
        <v>0.92396549039377429</v>
      </c>
      <c r="U112" s="158">
        <f t="shared" ca="1" si="956"/>
        <v>0.25022541722967317</v>
      </c>
      <c r="V112" s="158">
        <f t="shared" ca="1" si="956"/>
        <v>0.7732263415662558</v>
      </c>
      <c r="W112" s="158">
        <f t="shared" ca="1" si="956"/>
        <v>1.5367919532128818</v>
      </c>
      <c r="X112" s="158">
        <f t="shared" ca="1" si="956"/>
        <v>3.3499214297441182</v>
      </c>
      <c r="Y112" s="158">
        <f t="shared" ca="1" si="956"/>
        <v>6.6440883275250471</v>
      </c>
      <c r="Z112" s="158">
        <f t="shared" ca="1" si="956"/>
        <v>5.0422046440418482</v>
      </c>
      <c r="AA112" s="158">
        <f t="shared" ref="AA112" ca="1" si="957">+AA95/AA$110</f>
        <v>5.0422046440418482</v>
      </c>
      <c r="AB112" s="21">
        <f t="shared" ca="1" si="956"/>
        <v>2.9243544811838991</v>
      </c>
      <c r="AC112" s="21">
        <f t="shared" ca="1" si="956"/>
        <v>2.4834528932171183</v>
      </c>
      <c r="AD112" s="21">
        <f t="shared" ca="1" si="956"/>
        <v>2.1127155690347679</v>
      </c>
      <c r="AE112" s="21">
        <f t="shared" ca="1" si="956"/>
        <v>1.8027893499347638</v>
      </c>
      <c r="AL112" s="158">
        <f t="shared" ref="AL112:CI114" si="958">+AL95/AL$110</f>
        <v>0.64467051326630598</v>
      </c>
      <c r="AM112" s="158">
        <f t="shared" si="958"/>
        <v>0.58479839127027544</v>
      </c>
      <c r="AN112" s="158">
        <f t="shared" si="958"/>
        <v>0.61129636153600375</v>
      </c>
      <c r="AO112" s="158">
        <f t="shared" si="958"/>
        <v>0.73674798695248878</v>
      </c>
      <c r="AP112" s="158">
        <f t="shared" si="958"/>
        <v>0.712723691678538</v>
      </c>
      <c r="AQ112" s="158">
        <f t="shared" si="958"/>
        <v>1.3806162185619284</v>
      </c>
      <c r="AR112" s="158">
        <f t="shared" si="958"/>
        <v>1.0594858095211195</v>
      </c>
      <c r="AS112" s="158">
        <f t="shared" si="958"/>
        <v>1.1998731351476635</v>
      </c>
      <c r="AT112" s="158">
        <f t="shared" si="958"/>
        <v>1.397346368715084</v>
      </c>
      <c r="AU112" s="158">
        <f t="shared" si="958"/>
        <v>1.6583769122152954</v>
      </c>
      <c r="AV112" s="158">
        <f t="shared" si="958"/>
        <v>1.4917970120006163</v>
      </c>
      <c r="AW112" s="158">
        <f t="shared" si="958"/>
        <v>1.7311263396160075</v>
      </c>
      <c r="AX112" s="158">
        <f t="shared" si="958"/>
        <v>0.86824472548677167</v>
      </c>
      <c r="AY112" s="158">
        <f t="shared" si="958"/>
        <v>1.0345321077401761</v>
      </c>
      <c r="AZ112" s="158">
        <f t="shared" si="958"/>
        <v>0.83332199259728101</v>
      </c>
      <c r="BA112" s="158">
        <f t="shared" si="958"/>
        <v>0.83119752540874958</v>
      </c>
      <c r="BB112" s="158">
        <f t="shared" si="958"/>
        <v>0.83535535676551387</v>
      </c>
      <c r="BC112" s="158">
        <f t="shared" si="958"/>
        <v>0.95268519040818944</v>
      </c>
      <c r="BD112" s="158">
        <f t="shared" si="958"/>
        <v>0.97466252677370613</v>
      </c>
      <c r="BE112" s="158">
        <f t="shared" si="958"/>
        <v>1.7498079920742762</v>
      </c>
      <c r="BF112" s="158">
        <f t="shared" si="958"/>
        <v>1.2179617758918395</v>
      </c>
      <c r="BG112" s="158">
        <f t="shared" si="958"/>
        <v>0.9036968999865993</v>
      </c>
      <c r="BH112" s="158">
        <f t="shared" si="958"/>
        <v>0.78650490428987052</v>
      </c>
      <c r="BI112" s="158">
        <f t="shared" si="958"/>
        <v>1.0234399007324482</v>
      </c>
      <c r="BJ112" s="158">
        <f t="shared" si="958"/>
        <v>0.92396597158570126</v>
      </c>
      <c r="BK112" s="158">
        <f t="shared" si="958"/>
        <v>0.67449994534921853</v>
      </c>
      <c r="BL112" s="158">
        <f t="shared" si="958"/>
        <v>0.49616702449737515</v>
      </c>
      <c r="BM112" s="158">
        <f t="shared" si="958"/>
        <v>0.52688930147571589</v>
      </c>
      <c r="BN112" s="158">
        <f t="shared" si="958"/>
        <v>0.25022535864218198</v>
      </c>
      <c r="BO112" s="158">
        <f t="shared" si="958"/>
        <v>0.35467567210912099</v>
      </c>
      <c r="BP112" s="158">
        <f t="shared" si="958"/>
        <v>0.33270331071244702</v>
      </c>
      <c r="BQ112" s="158">
        <f t="shared" si="958"/>
        <v>0.5423764971546261</v>
      </c>
      <c r="BR112" s="158">
        <f t="shared" si="958"/>
        <v>0.77322659391154513</v>
      </c>
      <c r="BS112" s="158">
        <f t="shared" si="958"/>
        <v>1.6222180901135426</v>
      </c>
      <c r="BT112" s="158">
        <f t="shared" si="958"/>
        <v>1.9262354372334147</v>
      </c>
      <c r="BU112" s="158">
        <f t="shared" si="958"/>
        <v>2.0511791513123594</v>
      </c>
      <c r="BV112" s="158">
        <f t="shared" si="958"/>
        <v>1.5367916605569403</v>
      </c>
      <c r="BW112" s="158">
        <f t="shared" si="958"/>
        <v>2.678817772766048</v>
      </c>
      <c r="BX112" s="158">
        <f t="shared" si="958"/>
        <v>3.3854563380057723</v>
      </c>
      <c r="BY112" s="158">
        <f t="shared" si="958"/>
        <v>3.4236436214067552</v>
      </c>
      <c r="BZ112" s="158">
        <f t="shared" si="958"/>
        <v>3.3499214297441182</v>
      </c>
      <c r="CA112" s="158">
        <f t="shared" si="958"/>
        <v>4.8512369921675651</v>
      </c>
      <c r="CB112" s="158">
        <f t="shared" si="958"/>
        <v>6.1424370727983435</v>
      </c>
      <c r="CC112" s="158">
        <f t="shared" si="958"/>
        <v>6.9095812321859231</v>
      </c>
      <c r="CD112" s="158">
        <f t="shared" si="958"/>
        <v>6.6440883275250471</v>
      </c>
      <c r="CE112" s="158">
        <f t="shared" si="958"/>
        <v>8.8377926421404691</v>
      </c>
      <c r="CF112" s="158">
        <f t="shared" si="958"/>
        <v>8.9534373379084702</v>
      </c>
      <c r="CG112" s="158">
        <f t="shared" si="958"/>
        <v>7.6499315234028842</v>
      </c>
      <c r="CH112" s="158">
        <f t="shared" si="958"/>
        <v>5.0422046440418482</v>
      </c>
      <c r="CI112" s="158">
        <f t="shared" si="958"/>
        <v>6.760497302369223</v>
      </c>
      <c r="CJ112" s="158">
        <f>+CJ95/CJ$110</f>
        <v>5.6792722217023384</v>
      </c>
      <c r="CK112" s="158">
        <f>+CK95/CK$110</f>
        <v>4.6636964180857312</v>
      </c>
      <c r="CL112" s="158">
        <f>+CL95/CL$110</f>
        <v>3.4523451221892145</v>
      </c>
      <c r="CM112" s="21">
        <f t="shared" ref="CM112:DB112" si="959">+CM95/CM$110</f>
        <v>3.3051076026383308</v>
      </c>
      <c r="CN112" s="21">
        <f t="shared" si="959"/>
        <v>3.1739824768782006</v>
      </c>
      <c r="CO112" s="21">
        <f t="shared" si="959"/>
        <v>3.0489833142564229</v>
      </c>
      <c r="CP112" s="21">
        <f t="shared" si="959"/>
        <v>2.9243544811838991</v>
      </c>
      <c r="CQ112" s="21">
        <f t="shared" si="959"/>
        <v>2.805458193605185</v>
      </c>
      <c r="CR112" s="21">
        <f t="shared" si="959"/>
        <v>2.6943938006480637</v>
      </c>
      <c r="CS112" s="21">
        <f t="shared" si="959"/>
        <v>2.5866407675912848</v>
      </c>
      <c r="CT112" s="21">
        <f t="shared" si="959"/>
        <v>2.4834528932171183</v>
      </c>
      <c r="CU112" s="21">
        <f t="shared" si="959"/>
        <v>2.3845224344822542</v>
      </c>
      <c r="CV112" s="21">
        <f t="shared" si="959"/>
        <v>2.2907538788520352</v>
      </c>
      <c r="CW112" s="21">
        <f t="shared" si="959"/>
        <v>2.1996789271694768</v>
      </c>
      <c r="CX112" s="21">
        <f t="shared" si="959"/>
        <v>2.1127155690347679</v>
      </c>
      <c r="CY112" s="21">
        <f t="shared" si="959"/>
        <v>2.0300827976062128</v>
      </c>
      <c r="CZ112" s="21">
        <f t="shared" si="959"/>
        <v>1.9515627436834995</v>
      </c>
      <c r="DA112" s="21">
        <f t="shared" si="959"/>
        <v>1.8754056138727</v>
      </c>
      <c r="DB112" s="21">
        <f t="shared" si="959"/>
        <v>1.8027893499347638</v>
      </c>
      <c r="DE112" s="22"/>
      <c r="DF112" s="158">
        <v>3.4523451221892145</v>
      </c>
    </row>
    <row r="113" spans="1:110" s="158" customFormat="1" x14ac:dyDescent="0.2">
      <c r="A113" s="49" t="s">
        <v>503</v>
      </c>
      <c r="E113" s="158">
        <f t="shared" ca="1" si="956"/>
        <v>0.60813089552214616</v>
      </c>
      <c r="F113" s="158">
        <f t="shared" ca="1" si="956"/>
        <v>1.9479272957443663</v>
      </c>
      <c r="G113" s="158">
        <f t="shared" ca="1" si="956"/>
        <v>10.404290509410327</v>
      </c>
      <c r="H113" s="158">
        <f t="shared" ca="1" si="956"/>
        <v>9.5100415798092275</v>
      </c>
      <c r="I113" s="158">
        <f t="shared" ca="1" si="956"/>
        <v>16.257009152345621</v>
      </c>
      <c r="J113" s="158">
        <f t="shared" ca="1" si="956"/>
        <v>8.1481481481481488</v>
      </c>
      <c r="K113" s="158">
        <f t="shared" ca="1" si="956"/>
        <v>3.813899389892379</v>
      </c>
      <c r="L113" s="158">
        <f t="shared" ca="1" si="956"/>
        <v>2.7809256845691435</v>
      </c>
      <c r="M113" s="158">
        <f t="shared" ca="1" si="956"/>
        <v>2.1036296833894745</v>
      </c>
      <c r="N113" s="158">
        <f t="shared" ca="1" si="956"/>
        <v>1.2935122080746519</v>
      </c>
      <c r="O113" s="158">
        <f t="shared" ca="1" si="956"/>
        <v>0.807613395911284</v>
      </c>
      <c r="P113" s="158">
        <f t="shared" ca="1" si="956"/>
        <v>1.5041896632753147</v>
      </c>
      <c r="Q113" s="158">
        <f t="shared" ca="1" si="956"/>
        <v>1.5453152033236617</v>
      </c>
      <c r="R113" s="158">
        <f t="shared" ca="1" si="956"/>
        <v>1.1696560553593245</v>
      </c>
      <c r="S113" s="158">
        <f t="shared" ca="1" si="956"/>
        <v>1.796474087913486</v>
      </c>
      <c r="T113" s="158">
        <f t="shared" ca="1" si="956"/>
        <v>1.2957429090581467</v>
      </c>
      <c r="U113" s="158">
        <f t="shared" ca="1" si="956"/>
        <v>0.87217678236484519</v>
      </c>
      <c r="V113" s="158">
        <f t="shared" ca="1" si="956"/>
        <v>0.84829093510425846</v>
      </c>
      <c r="W113" s="158">
        <f t="shared" ca="1" si="956"/>
        <v>2.3396415554648669</v>
      </c>
      <c r="X113" s="158">
        <f t="shared" ca="1" si="956"/>
        <v>4.1731477355348634</v>
      </c>
      <c r="Y113" s="158">
        <f t="shared" ca="1" si="956"/>
        <v>7.8377648797092334</v>
      </c>
      <c r="Z113" s="158">
        <f t="shared" ca="1" si="956"/>
        <v>8.2953304414391429</v>
      </c>
      <c r="AA113" s="158">
        <f t="shared" ref="AA113" ca="1" si="960">+AA96/AA$110</f>
        <v>8.2953304414391429</v>
      </c>
      <c r="AB113" s="21">
        <f t="shared" ca="1" si="956"/>
        <v>5.0339927601411576</v>
      </c>
      <c r="AC113" s="21">
        <f t="shared" ca="1" si="956"/>
        <v>4.9626336314059314</v>
      </c>
      <c r="AD113" s="21">
        <f t="shared" ca="1" si="956"/>
        <v>4.9137261760105098</v>
      </c>
      <c r="AE113" s="21">
        <f t="shared" ca="1" si="956"/>
        <v>4.8285624439661374</v>
      </c>
      <c r="AL113" s="158">
        <f t="shared" si="958"/>
        <v>1.0368972333118256</v>
      </c>
      <c r="AM113" s="158">
        <f t="shared" si="958"/>
        <v>0.79424746048409756</v>
      </c>
      <c r="AN113" s="158">
        <f t="shared" si="958"/>
        <v>0.67794145358316205</v>
      </c>
      <c r="AO113" s="158">
        <f t="shared" si="958"/>
        <v>0.78115783469769284</v>
      </c>
      <c r="AP113" s="158">
        <f t="shared" si="958"/>
        <v>0.76122264111228477</v>
      </c>
      <c r="AQ113" s="158">
        <f t="shared" si="958"/>
        <v>1.5034088443427649</v>
      </c>
      <c r="AR113" s="158">
        <f t="shared" si="958"/>
        <v>1.5518750479203576</v>
      </c>
      <c r="AS113" s="158">
        <f t="shared" si="958"/>
        <v>1.3298974102492163</v>
      </c>
      <c r="AT113" s="158">
        <f t="shared" si="958"/>
        <v>1.5041899441340782</v>
      </c>
      <c r="AU113" s="158">
        <f t="shared" si="958"/>
        <v>1.7585683430350991</v>
      </c>
      <c r="AV113" s="158">
        <f t="shared" si="958"/>
        <v>2.019599583587715</v>
      </c>
      <c r="AW113" s="158">
        <f t="shared" si="958"/>
        <v>1.9057800356010051</v>
      </c>
      <c r="AX113" s="158">
        <f t="shared" si="958"/>
        <v>1.3660914717521224</v>
      </c>
      <c r="AY113" s="158">
        <f t="shared" si="958"/>
        <v>1.0640901679613239</v>
      </c>
      <c r="AZ113" s="158">
        <f t="shared" si="958"/>
        <v>0.96368610725597414</v>
      </c>
      <c r="BA113" s="158">
        <f t="shared" si="958"/>
        <v>1.0790985417587275</v>
      </c>
      <c r="BB113" s="158">
        <f t="shared" si="958"/>
        <v>0.96259491441853917</v>
      </c>
      <c r="BC113" s="158">
        <f t="shared" si="958"/>
        <v>1.0959210756793507</v>
      </c>
      <c r="BD113" s="158">
        <f t="shared" si="958"/>
        <v>1.0923672107194446</v>
      </c>
      <c r="BE113" s="158">
        <f t="shared" si="958"/>
        <v>1.9291229441518245</v>
      </c>
      <c r="BF113" s="158">
        <f t="shared" si="958"/>
        <v>1.737910370278414</v>
      </c>
      <c r="BG113" s="158">
        <f t="shared" si="958"/>
        <v>1.3892186313485504</v>
      </c>
      <c r="BH113" s="158">
        <f t="shared" si="958"/>
        <v>1.0756933370649762</v>
      </c>
      <c r="BI113" s="158">
        <f t="shared" si="958"/>
        <v>1.0365329485030128</v>
      </c>
      <c r="BJ113" s="158">
        <f t="shared" si="958"/>
        <v>1.0926901924839596</v>
      </c>
      <c r="BK113" s="158">
        <f t="shared" si="958"/>
        <v>0.96941117686554346</v>
      </c>
      <c r="BL113" s="158">
        <f t="shared" si="958"/>
        <v>0.69739435361270885</v>
      </c>
      <c r="BM113" s="158">
        <f t="shared" si="958"/>
        <v>0.57785543281737228</v>
      </c>
      <c r="BN113" s="158">
        <f t="shared" si="958"/>
        <v>0.57335101862106264</v>
      </c>
      <c r="BO113" s="158">
        <f t="shared" si="958"/>
        <v>0.41457346113703708</v>
      </c>
      <c r="BP113" s="158">
        <f t="shared" si="958"/>
        <v>0.47940713275888036</v>
      </c>
      <c r="BQ113" s="158">
        <f t="shared" si="958"/>
        <v>0.56656699820142864</v>
      </c>
      <c r="BR113" s="158">
        <f t="shared" si="958"/>
        <v>0.84829121194715684</v>
      </c>
      <c r="BS113" s="158">
        <f t="shared" si="958"/>
        <v>1.6927493114228271</v>
      </c>
      <c r="BT113" s="158">
        <f t="shared" si="958"/>
        <v>2.1345856945980537</v>
      </c>
      <c r="BU113" s="158">
        <f t="shared" si="958"/>
        <v>2.4353929744505654</v>
      </c>
      <c r="BV113" s="158">
        <f t="shared" si="958"/>
        <v>2.2878271401339507</v>
      </c>
      <c r="BW113" s="158">
        <f t="shared" si="958"/>
        <v>2.977148830074285</v>
      </c>
      <c r="BX113" s="158">
        <f t="shared" si="958"/>
        <v>4.1134954773016998</v>
      </c>
      <c r="BY113" s="158">
        <f t="shared" si="958"/>
        <v>4.4679699708798895</v>
      </c>
      <c r="BZ113" s="158">
        <f t="shared" si="958"/>
        <v>3.801226634144053</v>
      </c>
      <c r="CA113" s="158">
        <f t="shared" si="958"/>
        <v>4.978617231356365</v>
      </c>
      <c r="CB113" s="158">
        <f t="shared" si="958"/>
        <v>7.799189951439498</v>
      </c>
      <c r="CC113" s="158">
        <f t="shared" si="958"/>
        <v>7.3616969962727463</v>
      </c>
      <c r="CD113" s="158">
        <f t="shared" si="958"/>
        <v>7.8377648797092334</v>
      </c>
      <c r="CE113" s="158">
        <f t="shared" si="958"/>
        <v>9.2307692307692317</v>
      </c>
      <c r="CF113" s="158">
        <f t="shared" si="958"/>
        <v>9.1452967094350797</v>
      </c>
      <c r="CG113" s="158">
        <f t="shared" si="958"/>
        <v>8.9045323451220497</v>
      </c>
      <c r="CH113" s="158">
        <f t="shared" si="958"/>
        <v>7.2270477162541473</v>
      </c>
      <c r="CI113" s="158">
        <f t="shared" si="958"/>
        <v>7.3957776213933846</v>
      </c>
      <c r="CJ113" s="158">
        <f>+CJ96/CJ$110</f>
        <v>6.8287261206101357</v>
      </c>
      <c r="CK113" s="158">
        <f t="shared" ref="CK113" si="961">+CK96/CK$110</f>
        <v>6.0598502642395777</v>
      </c>
      <c r="CL113" s="158">
        <f>+CL96/CL$110</f>
        <v>5.1738950929158447</v>
      </c>
      <c r="CM113" s="94">
        <f t="shared" ref="CM113:DB113" si="962">+CL113</f>
        <v>5.1738950929158447</v>
      </c>
      <c r="CN113" s="94">
        <f t="shared" si="962"/>
        <v>5.1738950929158447</v>
      </c>
      <c r="CO113" s="94">
        <f t="shared" si="962"/>
        <v>5.1738950929158447</v>
      </c>
      <c r="CP113" s="94">
        <f t="shared" si="962"/>
        <v>5.1738950929158447</v>
      </c>
      <c r="CQ113" s="94">
        <f t="shared" si="962"/>
        <v>5.1738950929158447</v>
      </c>
      <c r="CR113" s="94">
        <f t="shared" si="962"/>
        <v>5.1738950929158447</v>
      </c>
      <c r="CS113" s="94">
        <f t="shared" si="962"/>
        <v>5.1738950929158447</v>
      </c>
      <c r="CT113" s="94">
        <f t="shared" si="962"/>
        <v>5.1738950929158447</v>
      </c>
      <c r="CU113" s="94">
        <f t="shared" si="962"/>
        <v>5.1738950929158447</v>
      </c>
      <c r="CV113" s="94">
        <f t="shared" si="962"/>
        <v>5.1738950929158447</v>
      </c>
      <c r="CW113" s="94">
        <f t="shared" si="962"/>
        <v>5.1738950929158447</v>
      </c>
      <c r="CX113" s="94">
        <f t="shared" si="962"/>
        <v>5.1738950929158447</v>
      </c>
      <c r="CY113" s="94">
        <f t="shared" si="962"/>
        <v>5.1738950929158447</v>
      </c>
      <c r="CZ113" s="94">
        <f t="shared" si="962"/>
        <v>5.1738950929158447</v>
      </c>
      <c r="DA113" s="94">
        <f t="shared" si="962"/>
        <v>5.1738950929158447</v>
      </c>
      <c r="DB113" s="94">
        <f t="shared" si="962"/>
        <v>5.1738950929158447</v>
      </c>
      <c r="DC113" s="94"/>
      <c r="DE113" s="22"/>
      <c r="DF113" s="158">
        <v>6.973299217208405</v>
      </c>
    </row>
    <row r="114" spans="1:110" s="158" customFormat="1" x14ac:dyDescent="0.2">
      <c r="A114" s="49" t="s">
        <v>504</v>
      </c>
      <c r="E114" s="158">
        <f t="shared" ca="1" si="956"/>
        <v>8.1543519512884688E-2</v>
      </c>
      <c r="F114" s="158">
        <f t="shared" ca="1" si="956"/>
        <v>0.24183277584673396</v>
      </c>
      <c r="G114" s="158">
        <f t="shared" ca="1" si="956"/>
        <v>1.301993497221027</v>
      </c>
      <c r="H114" s="158">
        <f t="shared" ca="1" si="956"/>
        <v>2.8671441807691882</v>
      </c>
      <c r="I114" s="158">
        <f t="shared" ca="1" si="956"/>
        <v>5.6433466173156983</v>
      </c>
      <c r="J114" s="158">
        <f t="shared" ca="1" si="956"/>
        <v>0.97166666666666679</v>
      </c>
      <c r="K114" s="158">
        <f t="shared" ca="1" si="956"/>
        <v>1.0511017263077327</v>
      </c>
      <c r="L114" s="158">
        <f t="shared" ca="1" si="956"/>
        <v>1.5902496923331746</v>
      </c>
      <c r="M114" s="158">
        <f t="shared" ca="1" si="956"/>
        <v>1.2230405135985318</v>
      </c>
      <c r="N114" s="158">
        <f t="shared" ca="1" si="956"/>
        <v>0.63215193394616065</v>
      </c>
      <c r="O114" s="158">
        <f t="shared" ca="1" si="956"/>
        <v>0.3922091165522163</v>
      </c>
      <c r="P114" s="158">
        <f t="shared" ca="1" si="956"/>
        <v>0.69657808222707818</v>
      </c>
      <c r="Q114" s="158">
        <f t="shared" ca="1" si="956"/>
        <v>0.68025731115381816</v>
      </c>
      <c r="R114" s="158">
        <f t="shared" ca="1" si="956"/>
        <v>0.71759979612585589</v>
      </c>
      <c r="S114" s="158">
        <f t="shared" ca="1" si="956"/>
        <v>0.71225844895248347</v>
      </c>
      <c r="T114" s="158">
        <f t="shared" ca="1" si="956"/>
        <v>0.70776486971665398</v>
      </c>
      <c r="U114" s="158">
        <f t="shared" ca="1" si="956"/>
        <v>0.18060889695055152</v>
      </c>
      <c r="V114" s="158">
        <f t="shared" ca="1" si="956"/>
        <v>0.21237787440020284</v>
      </c>
      <c r="W114" s="158">
        <f t="shared" ca="1" si="956"/>
        <v>0.65648846385075832</v>
      </c>
      <c r="X114" s="158">
        <f t="shared" ca="1" si="956"/>
        <v>1.2543565447850458</v>
      </c>
      <c r="Y114" s="158">
        <f t="shared" ca="1" si="956"/>
        <v>2.658404767990624</v>
      </c>
      <c r="Z114" s="158">
        <f t="shared" ca="1" si="956"/>
        <v>4.2478693544271504</v>
      </c>
      <c r="AA114" s="158">
        <f t="shared" ref="AA114" ca="1" si="963">+AA97/AA$110</f>
        <v>4.2478693544271504</v>
      </c>
      <c r="AB114" s="21">
        <f t="shared" ca="1" si="956"/>
        <v>2.9637465609139548</v>
      </c>
      <c r="AC114" s="21">
        <f t="shared" ca="1" si="956"/>
        <v>2.916414925547099</v>
      </c>
      <c r="AD114" s="21">
        <f t="shared" ca="1" si="956"/>
        <v>2.8971371283535325</v>
      </c>
      <c r="AE114" s="21">
        <f t="shared" ca="1" si="956"/>
        <v>2.8766664931518795</v>
      </c>
      <c r="AL114" s="158">
        <f t="shared" si="958"/>
        <v>0.63215263922230003</v>
      </c>
      <c r="AM114" s="158">
        <f t="shared" si="958"/>
        <v>0.56302398308468016</v>
      </c>
      <c r="AN114" s="158">
        <f t="shared" si="958"/>
        <v>0.42744783175073947</v>
      </c>
      <c r="AO114" s="158">
        <f t="shared" si="958"/>
        <v>0.57846673473240229</v>
      </c>
      <c r="AP114" s="158">
        <f t="shared" si="958"/>
        <v>0.49553274421436816</v>
      </c>
      <c r="AQ114" s="158">
        <f t="shared" si="958"/>
        <v>0.71006170560222914</v>
      </c>
      <c r="AR114" s="158">
        <f t="shared" si="958"/>
        <v>0.97798690109641806</v>
      </c>
      <c r="AS114" s="158">
        <f t="shared" si="958"/>
        <v>1.0173829244788173</v>
      </c>
      <c r="AT114" s="158">
        <f t="shared" si="958"/>
        <v>1.0034916201117319</v>
      </c>
      <c r="AU114" s="158">
        <f t="shared" si="958"/>
        <v>1.2158647594278282</v>
      </c>
      <c r="AV114" s="158">
        <f t="shared" si="958"/>
        <v>1.286713961502276</v>
      </c>
      <c r="AW114" s="158">
        <f t="shared" si="958"/>
        <v>1.4670910462739815</v>
      </c>
      <c r="AX114" s="158">
        <f t="shared" si="958"/>
        <v>0.68025779409697529</v>
      </c>
      <c r="AY114" s="158">
        <f t="shared" si="958"/>
        <v>0.86597127783038697</v>
      </c>
      <c r="AZ114" s="158">
        <f t="shared" si="958"/>
        <v>0.7893871252261192</v>
      </c>
      <c r="BA114" s="158">
        <f t="shared" si="958"/>
        <v>0.66204153778170582</v>
      </c>
      <c r="BB114" s="158">
        <f t="shared" si="958"/>
        <v>0.80611396773966337</v>
      </c>
      <c r="BC114" s="158">
        <f t="shared" si="958"/>
        <v>0.90854855134207568</v>
      </c>
      <c r="BD114" s="158">
        <f t="shared" si="958"/>
        <v>0.76211665864147304</v>
      </c>
      <c r="BE114" s="158">
        <f t="shared" si="958"/>
        <v>0.94246579077725712</v>
      </c>
      <c r="BF114" s="158">
        <f t="shared" si="958"/>
        <v>1.0945036621562145</v>
      </c>
      <c r="BG114" s="158">
        <f t="shared" si="958"/>
        <v>0.89038420735248125</v>
      </c>
      <c r="BH114" s="158">
        <f t="shared" si="958"/>
        <v>0.76313614204541758</v>
      </c>
      <c r="BI114" s="158">
        <f t="shared" si="958"/>
        <v>0.70484240498204864</v>
      </c>
      <c r="BJ114" s="158">
        <f t="shared" si="958"/>
        <v>0.76984990834097167</v>
      </c>
      <c r="BK114" s="158">
        <f t="shared" si="958"/>
        <v>0.6314312258951017</v>
      </c>
      <c r="BL114" s="158">
        <f t="shared" si="958"/>
        <v>0.36249977338827266</v>
      </c>
      <c r="BM114" s="158">
        <f t="shared" si="958"/>
        <v>0.40916471640484747</v>
      </c>
      <c r="BN114" s="158">
        <f t="shared" si="958"/>
        <v>0.18060885466299223</v>
      </c>
      <c r="BO114" s="158">
        <f t="shared" si="958"/>
        <v>0.23420708518780664</v>
      </c>
      <c r="BP114" s="158">
        <f t="shared" si="958"/>
        <v>0.31305547740265682</v>
      </c>
      <c r="BQ114" s="158">
        <f t="shared" si="958"/>
        <v>0.2737346171085554</v>
      </c>
      <c r="BR114" s="158">
        <f t="shared" si="958"/>
        <v>0.50104106835152207</v>
      </c>
      <c r="BS114" s="158">
        <f t="shared" si="958"/>
        <v>0.72842748730345053</v>
      </c>
      <c r="BT114" s="158">
        <f t="shared" si="958"/>
        <v>1.4263096130885087</v>
      </c>
      <c r="BU114" s="158">
        <f t="shared" si="958"/>
        <v>1.5835614591861211</v>
      </c>
      <c r="BV114" s="158">
        <f t="shared" si="958"/>
        <v>1.3813497511992521</v>
      </c>
      <c r="BW114" s="158">
        <f t="shared" si="958"/>
        <v>1.4685487502608581</v>
      </c>
      <c r="BX114" s="158">
        <f t="shared" si="958"/>
        <v>2.517657472854534</v>
      </c>
      <c r="BY114" s="158">
        <f t="shared" si="958"/>
        <v>2.988820689926484</v>
      </c>
      <c r="BZ114" s="158">
        <f t="shared" si="958"/>
        <v>3.0692262588831292</v>
      </c>
      <c r="CA114" s="158">
        <f t="shared" si="958"/>
        <v>3.1538019481239874</v>
      </c>
      <c r="CB114" s="158">
        <f t="shared" si="958"/>
        <v>4.6558007535006682</v>
      </c>
      <c r="CC114" s="158">
        <f t="shared" si="958"/>
        <v>5.3225169918877437</v>
      </c>
      <c r="CD114" s="158">
        <f t="shared" si="958"/>
        <v>5.526655985237185</v>
      </c>
      <c r="CE114" s="158">
        <f t="shared" si="958"/>
        <v>6.0471571906354527</v>
      </c>
      <c r="CF114" s="158">
        <f t="shared" si="958"/>
        <v>7.1179826836372335</v>
      </c>
      <c r="CG114" s="158">
        <f t="shared" si="958"/>
        <v>6.373637315717394</v>
      </c>
      <c r="CH114" s="158">
        <f t="shared" si="958"/>
        <v>4.2478693544271504</v>
      </c>
      <c r="CI114" s="158">
        <f t="shared" si="958"/>
        <v>3.5923528031902414</v>
      </c>
      <c r="CJ114" s="158">
        <f>+CJ97/CJ$110</f>
        <v>5.3152868200473238</v>
      </c>
      <c r="CK114" s="158">
        <f t="shared" ref="CK114" si="964">+CK97/CK$110</f>
        <v>4.4674985320023488</v>
      </c>
      <c r="CL114" s="158">
        <f>+CL97/CL$110</f>
        <v>3.4255827569009263</v>
      </c>
      <c r="CM114" s="94">
        <f t="shared" ref="CM114:DB114" si="965">+CL114</f>
        <v>3.4255827569009263</v>
      </c>
      <c r="CN114" s="94">
        <f t="shared" si="965"/>
        <v>3.4255827569009263</v>
      </c>
      <c r="CO114" s="94">
        <f t="shared" si="965"/>
        <v>3.4255827569009263</v>
      </c>
      <c r="CP114" s="94">
        <f t="shared" si="965"/>
        <v>3.4255827569009263</v>
      </c>
      <c r="CQ114" s="94">
        <f t="shared" si="965"/>
        <v>3.4255827569009263</v>
      </c>
      <c r="CR114" s="94">
        <f t="shared" si="965"/>
        <v>3.4255827569009263</v>
      </c>
      <c r="CS114" s="94">
        <f t="shared" si="965"/>
        <v>3.4255827569009263</v>
      </c>
      <c r="CT114" s="94">
        <f t="shared" si="965"/>
        <v>3.4255827569009263</v>
      </c>
      <c r="CU114" s="94">
        <f t="shared" si="965"/>
        <v>3.4255827569009263</v>
      </c>
      <c r="CV114" s="94">
        <f t="shared" si="965"/>
        <v>3.4255827569009263</v>
      </c>
      <c r="CW114" s="94">
        <f t="shared" si="965"/>
        <v>3.4255827569009263</v>
      </c>
      <c r="CX114" s="94">
        <f t="shared" si="965"/>
        <v>3.4255827569009263</v>
      </c>
      <c r="CY114" s="94">
        <f t="shared" si="965"/>
        <v>3.4255827569009263</v>
      </c>
      <c r="CZ114" s="94">
        <f t="shared" si="965"/>
        <v>3.4255827569009263</v>
      </c>
      <c r="DA114" s="94">
        <f t="shared" si="965"/>
        <v>3.4255827569009263</v>
      </c>
      <c r="DB114" s="94">
        <f t="shared" si="965"/>
        <v>3.4255827569009263</v>
      </c>
      <c r="DC114" s="94"/>
      <c r="DE114" s="22"/>
      <c r="DF114" s="158">
        <v>3.3871422685777484</v>
      </c>
    </row>
    <row r="115" spans="1:110" s="4" customFormat="1" x14ac:dyDescent="0.2">
      <c r="A115" s="3"/>
      <c r="AB115" s="17"/>
      <c r="AC115" s="17"/>
      <c r="AD115" s="17"/>
      <c r="AE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E115" s="119"/>
    </row>
    <row r="116" spans="1:110" s="173" customFormat="1" x14ac:dyDescent="0.2">
      <c r="A116" s="173" t="s">
        <v>510</v>
      </c>
      <c r="E116" s="173">
        <f t="shared" ref="E116:Y116" si="966">+E28</f>
        <v>166.0430704</v>
      </c>
      <c r="F116" s="173">
        <f t="shared" si="966"/>
        <v>287.7278</v>
      </c>
      <c r="G116" s="173">
        <f t="shared" si="966"/>
        <v>456.51639999999998</v>
      </c>
      <c r="H116" s="173">
        <f t="shared" si="966"/>
        <v>743.1096</v>
      </c>
      <c r="I116" s="173">
        <f t="shared" si="966"/>
        <v>847.74080000000004</v>
      </c>
      <c r="J116" s="173">
        <f t="shared" si="966"/>
        <v>975.03239999999994</v>
      </c>
      <c r="K116" s="173">
        <f t="shared" si="966"/>
        <v>1065.7248999999999</v>
      </c>
      <c r="L116" s="173">
        <f t="shared" si="966"/>
        <v>1282.5638000000001</v>
      </c>
      <c r="M116" s="173">
        <f t="shared" si="966"/>
        <v>1613.2168999999999</v>
      </c>
      <c r="N116" s="173">
        <f t="shared" si="966"/>
        <v>1526.8466000000001</v>
      </c>
      <c r="O116" s="173">
        <f t="shared" si="966"/>
        <v>1292.9178999999999</v>
      </c>
      <c r="P116" s="173">
        <f t="shared" si="966"/>
        <v>1328.8905</v>
      </c>
      <c r="Q116" s="173">
        <f t="shared" si="966"/>
        <v>1280.3594000000001</v>
      </c>
      <c r="R116" s="173">
        <f t="shared" si="966"/>
        <v>1201.5323000000001</v>
      </c>
      <c r="S116" s="173">
        <f t="shared" si="966"/>
        <v>1180.2299</v>
      </c>
      <c r="T116" s="173">
        <f t="shared" si="966"/>
        <v>1224.8443</v>
      </c>
      <c r="U116" s="173">
        <f t="shared" si="966"/>
        <v>1088.4648999999999</v>
      </c>
      <c r="V116" s="173">
        <f t="shared" si="966"/>
        <v>1044.4395999999999</v>
      </c>
      <c r="W116" s="173">
        <f t="shared" si="966"/>
        <v>1211.9458</v>
      </c>
      <c r="X116" s="173">
        <f t="shared" si="966"/>
        <v>1529.68</v>
      </c>
      <c r="Y116" s="173">
        <f t="shared" si="966"/>
        <v>1937.42</v>
      </c>
      <c r="Z116" s="173">
        <f>+Z28</f>
        <v>2226.96</v>
      </c>
      <c r="AA116" s="173">
        <f>+AA28</f>
        <v>2366.0500000000002</v>
      </c>
      <c r="AB116" s="174">
        <f t="shared" ref="AB116:AE116" si="967">+AB28</f>
        <v>2865.1300830132104</v>
      </c>
      <c r="AC116" s="174">
        <f t="shared" si="967"/>
        <v>3167.4321353137275</v>
      </c>
      <c r="AD116" s="174">
        <f t="shared" si="967"/>
        <v>3484.0632532338823</v>
      </c>
      <c r="AE116" s="174">
        <f t="shared" si="967"/>
        <v>3832.3829853830684</v>
      </c>
      <c r="AL116" s="173">
        <f t="shared" ref="AL116:BQ116" si="968">+SUM(AI26:AL26)</f>
        <v>948.625</v>
      </c>
      <c r="AM116" s="173">
        <f t="shared" si="968"/>
        <v>818.18000000000006</v>
      </c>
      <c r="AN116" s="173">
        <f t="shared" si="968"/>
        <v>609.12900000000002</v>
      </c>
      <c r="AO116" s="173">
        <f t="shared" si="968"/>
        <v>519.62400000000002</v>
      </c>
      <c r="AP116" s="173">
        <f t="shared" si="968"/>
        <v>501.23199999999997</v>
      </c>
      <c r="AQ116" s="173">
        <f t="shared" si="968"/>
        <v>663.75900000000001</v>
      </c>
      <c r="AR116" s="173">
        <f t="shared" si="968"/>
        <v>841.48099999999999</v>
      </c>
      <c r="AS116" s="173">
        <f t="shared" si="968"/>
        <v>1034.203</v>
      </c>
      <c r="AT116" s="173">
        <f t="shared" si="968"/>
        <v>1335.193</v>
      </c>
      <c r="AU116" s="173">
        <f t="shared" si="968"/>
        <v>1327.828</v>
      </c>
      <c r="AV116" s="173">
        <f t="shared" si="968"/>
        <v>1334.7650000000001</v>
      </c>
      <c r="AW116" s="173">
        <f t="shared" si="968"/>
        <v>1378.325</v>
      </c>
      <c r="AX116" s="173">
        <f t="shared" si="968"/>
        <v>1367.5620000000001</v>
      </c>
      <c r="AY116" s="173">
        <f t="shared" si="968"/>
        <v>1370.3090000000002</v>
      </c>
      <c r="AZ116" s="173">
        <f t="shared" si="968"/>
        <v>1324.816</v>
      </c>
      <c r="BA116" s="173">
        <f t="shared" si="968"/>
        <v>1281.2759999999998</v>
      </c>
      <c r="BB116" s="173">
        <f t="shared" si="968"/>
        <v>1274.655</v>
      </c>
      <c r="BC116" s="173">
        <f t="shared" si="968"/>
        <v>1254.079</v>
      </c>
      <c r="BD116" s="173">
        <f t="shared" si="968"/>
        <v>1243.893</v>
      </c>
      <c r="BE116" s="173">
        <f t="shared" si="968"/>
        <v>1198.002</v>
      </c>
      <c r="BF116" s="173">
        <f t="shared" si="968"/>
        <v>1188.501</v>
      </c>
      <c r="BG116" s="173">
        <f t="shared" si="968"/>
        <v>1249.326</v>
      </c>
      <c r="BH116" s="173">
        <f t="shared" si="968"/>
        <v>1320.4780000000001</v>
      </c>
      <c r="BI116" s="173">
        <f t="shared" si="968"/>
        <v>1334.0330000000001</v>
      </c>
      <c r="BJ116" s="173">
        <f t="shared" si="968"/>
        <v>1224.8440000000001</v>
      </c>
      <c r="BK116" s="173">
        <f t="shared" si="968"/>
        <v>1192.741</v>
      </c>
      <c r="BL116" s="173">
        <f t="shared" si="968"/>
        <v>1138.1390000000001</v>
      </c>
      <c r="BM116" s="173">
        <f t="shared" si="968"/>
        <v>1144.9960000000001</v>
      </c>
      <c r="BN116" s="173">
        <f t="shared" si="968"/>
        <v>1085.5349999999999</v>
      </c>
      <c r="BO116" s="173">
        <f t="shared" si="968"/>
        <v>948.93500000000006</v>
      </c>
      <c r="BP116" s="173">
        <f t="shared" si="968"/>
        <v>946.428</v>
      </c>
      <c r="BQ116" s="173">
        <f t="shared" si="968"/>
        <v>963.06799999999998</v>
      </c>
      <c r="BR116" s="173">
        <f t="shared" ref="BR116:CW116" si="969">+SUM(BO26:BR26)</f>
        <v>1044.7060000000001</v>
      </c>
      <c r="BS116" s="173">
        <f t="shared" si="969"/>
        <v>1204.133</v>
      </c>
      <c r="BT116" s="173">
        <f t="shared" si="969"/>
        <v>1254.502</v>
      </c>
      <c r="BU116" s="173">
        <f t="shared" si="969"/>
        <v>1230.5530000000001</v>
      </c>
      <c r="BV116" s="173">
        <f t="shared" si="969"/>
        <v>1211.9459999999999</v>
      </c>
      <c r="BW116" s="173">
        <f t="shared" si="969"/>
        <v>1245.4569999999999</v>
      </c>
      <c r="BX116" s="173">
        <f t="shared" si="969"/>
        <v>1320.0239999999999</v>
      </c>
      <c r="BY116" s="173">
        <f t="shared" si="969"/>
        <v>1436.655</v>
      </c>
      <c r="BZ116" s="173">
        <f t="shared" si="969"/>
        <v>1529.6699999999998</v>
      </c>
      <c r="CA116" s="173">
        <f t="shared" si="969"/>
        <v>1616.29</v>
      </c>
      <c r="CB116" s="173">
        <f t="shared" si="969"/>
        <v>1712.6</v>
      </c>
      <c r="CC116" s="173">
        <f t="shared" si="969"/>
        <v>1797.34</v>
      </c>
      <c r="CD116" s="173">
        <f t="shared" si="969"/>
        <v>1937.42</v>
      </c>
      <c r="CE116" s="173">
        <f t="shared" si="969"/>
        <v>1915.44</v>
      </c>
      <c r="CF116" s="173">
        <f t="shared" si="969"/>
        <v>1938.6799999999998</v>
      </c>
      <c r="CG116" s="173">
        <f t="shared" si="969"/>
        <v>1994.0099999999998</v>
      </c>
      <c r="CH116" s="173">
        <f t="shared" si="969"/>
        <v>2226.96</v>
      </c>
      <c r="CI116" s="173">
        <f t="shared" si="969"/>
        <v>2325.17</v>
      </c>
      <c r="CJ116" s="173">
        <f t="shared" si="969"/>
        <v>2395.16</v>
      </c>
      <c r="CK116" s="173">
        <f t="shared" si="969"/>
        <v>2418.0100000000002</v>
      </c>
      <c r="CL116" s="173">
        <f t="shared" si="969"/>
        <v>2366.0500000000002</v>
      </c>
      <c r="CM116" s="174">
        <f t="shared" si="969"/>
        <v>2576.5736000588754</v>
      </c>
      <c r="CN116" s="174">
        <f t="shared" si="969"/>
        <v>2697.5930997167015</v>
      </c>
      <c r="CO116" s="174">
        <f t="shared" si="969"/>
        <v>2861.5701141245941</v>
      </c>
      <c r="CP116" s="174">
        <f t="shared" si="969"/>
        <v>2865.1300830132104</v>
      </c>
      <c r="CQ116" s="174">
        <f t="shared" si="969"/>
        <v>2929.1898747586138</v>
      </c>
      <c r="CR116" s="174">
        <f t="shared" si="969"/>
        <v>3003.4784690598108</v>
      </c>
      <c r="CS116" s="174">
        <f t="shared" si="969"/>
        <v>3091.433647582513</v>
      </c>
      <c r="CT116" s="174">
        <f t="shared" si="969"/>
        <v>3167.4321353137275</v>
      </c>
      <c r="CU116" s="174">
        <f t="shared" si="969"/>
        <v>3240.7509216807275</v>
      </c>
      <c r="CV116" s="174">
        <f t="shared" si="969"/>
        <v>3319.413747610572</v>
      </c>
      <c r="CW116" s="174">
        <f t="shared" si="969"/>
        <v>3402.1707314919381</v>
      </c>
      <c r="CX116" s="174">
        <f t="shared" ref="CX116:DB116" si="970">+SUM(CU26:CX26)</f>
        <v>3484.0632532338823</v>
      </c>
      <c r="CY116" s="174">
        <f t="shared" si="970"/>
        <v>3567.3245185703595</v>
      </c>
      <c r="CZ116" s="174">
        <f t="shared" si="970"/>
        <v>3652.9489254175933</v>
      </c>
      <c r="DA116" s="174">
        <f t="shared" si="970"/>
        <v>3741.8935060875497</v>
      </c>
      <c r="DB116" s="174">
        <f t="shared" si="970"/>
        <v>3832.3829853830684</v>
      </c>
      <c r="DE116" s="175"/>
      <c r="DF116" s="173">
        <v>2366.0500000000002</v>
      </c>
    </row>
    <row r="117" spans="1:110" s="159" customFormat="1" x14ac:dyDescent="0.2">
      <c r="A117" s="159" t="s">
        <v>511</v>
      </c>
      <c r="E117" s="159">
        <f t="shared" ref="E117:AE117" ca="1" si="971">+E116/E83</f>
        <v>7.3994238146167559</v>
      </c>
      <c r="F117" s="159">
        <f t="shared" ca="1" si="971"/>
        <v>12.822094474153298</v>
      </c>
      <c r="G117" s="159">
        <f t="shared" ca="1" si="971"/>
        <v>20.343868092691618</v>
      </c>
      <c r="H117" s="159">
        <f t="shared" ca="1" si="971"/>
        <v>33.115401069518718</v>
      </c>
      <c r="I117" s="159">
        <f t="shared" ca="1" si="971"/>
        <v>37.778110516934049</v>
      </c>
      <c r="J117" s="159">
        <f t="shared" ca="1" si="971"/>
        <v>43.450641711229942</v>
      </c>
      <c r="K117" s="159">
        <f t="shared" ca="1" si="971"/>
        <v>47.492196969696963</v>
      </c>
      <c r="L117" s="159">
        <f t="shared" ca="1" si="971"/>
        <v>57.155249554367202</v>
      </c>
      <c r="M117" s="159">
        <f t="shared" ca="1" si="971"/>
        <v>71.89023618538323</v>
      </c>
      <c r="N117" s="159">
        <f t="shared" ca="1" si="971"/>
        <v>68.04129233511587</v>
      </c>
      <c r="O117" s="159">
        <f t="shared" ca="1" si="971"/>
        <v>57.616662210338674</v>
      </c>
      <c r="P117" s="159">
        <f t="shared" ca="1" si="971"/>
        <v>59.21971925133689</v>
      </c>
      <c r="Q117" s="159">
        <f t="shared" ca="1" si="971"/>
        <v>57.057014260249552</v>
      </c>
      <c r="R117" s="159">
        <f t="shared" ca="1" si="971"/>
        <v>53.544220142602498</v>
      </c>
      <c r="S117" s="159">
        <f t="shared" ca="1" si="971"/>
        <v>52.59491532976827</v>
      </c>
      <c r="T117" s="159">
        <f t="shared" ca="1" si="971"/>
        <v>54.583079322638142</v>
      </c>
      <c r="U117" s="159">
        <f t="shared" ca="1" si="971"/>
        <v>48.505565953654184</v>
      </c>
      <c r="V117" s="159">
        <f t="shared" ca="1" si="971"/>
        <v>46.543654188948302</v>
      </c>
      <c r="W117" s="159">
        <f t="shared" ca="1" si="971"/>
        <v>54.008279857397497</v>
      </c>
      <c r="X117" s="159">
        <f t="shared" ca="1" si="971"/>
        <v>68.167557932263819</v>
      </c>
      <c r="Y117" s="159">
        <f t="shared" ca="1" si="971"/>
        <v>86.337789661319079</v>
      </c>
      <c r="Z117" s="159">
        <f t="shared" ref="Z117:AA117" ca="1" si="972">+Z116/Z83</f>
        <v>99.240641711229941</v>
      </c>
      <c r="AA117" s="159">
        <f t="shared" ref="AA117" ca="1" si="973">+AA116/AA83</f>
        <v>99.240641711229941</v>
      </c>
      <c r="AB117" s="94">
        <f t="shared" ca="1" si="971"/>
        <v>127.67959371716623</v>
      </c>
      <c r="AC117" s="94">
        <f t="shared" ca="1" si="971"/>
        <v>141.15116467529978</v>
      </c>
      <c r="AD117" s="94">
        <f t="shared" ca="1" si="971"/>
        <v>155.26128579473627</v>
      </c>
      <c r="AE117" s="94">
        <f t="shared" ca="1" si="971"/>
        <v>170.78355549835419</v>
      </c>
      <c r="AL117" s="159">
        <f t="shared" ref="AL117:BQ117" si="974">+AL116/AL83</f>
        <v>42.273841354723707</v>
      </c>
      <c r="AM117" s="159">
        <f t="shared" si="974"/>
        <v>36.46078431372549</v>
      </c>
      <c r="AN117" s="159">
        <f t="shared" si="974"/>
        <v>27.144786096256684</v>
      </c>
      <c r="AO117" s="159">
        <f t="shared" si="974"/>
        <v>23.156149732620321</v>
      </c>
      <c r="AP117" s="159">
        <f t="shared" si="974"/>
        <v>22.336541889483062</v>
      </c>
      <c r="AQ117" s="159">
        <f t="shared" si="974"/>
        <v>29.579278074866309</v>
      </c>
      <c r="AR117" s="159">
        <f t="shared" si="974"/>
        <v>37.49915329768271</v>
      </c>
      <c r="AS117" s="159">
        <f t="shared" si="974"/>
        <v>46.08747771836007</v>
      </c>
      <c r="AT117" s="159">
        <f t="shared" si="974"/>
        <v>59.500579322638139</v>
      </c>
      <c r="AU117" s="159">
        <f t="shared" si="974"/>
        <v>59.172370766488406</v>
      </c>
      <c r="AV117" s="159">
        <f t="shared" si="974"/>
        <v>59.481506238859183</v>
      </c>
      <c r="AW117" s="159">
        <f t="shared" si="974"/>
        <v>61.422682709447415</v>
      </c>
      <c r="AX117" s="159">
        <f t="shared" si="974"/>
        <v>60.943048128342248</v>
      </c>
      <c r="AY117" s="159">
        <f t="shared" si="974"/>
        <v>61.065463458110521</v>
      </c>
      <c r="AZ117" s="159">
        <f t="shared" si="974"/>
        <v>59.038146167557933</v>
      </c>
      <c r="BA117" s="159">
        <f t="shared" si="974"/>
        <v>57.097860962566834</v>
      </c>
      <c r="BB117" s="159">
        <f t="shared" si="974"/>
        <v>56.802807486631011</v>
      </c>
      <c r="BC117" s="159">
        <f t="shared" si="974"/>
        <v>55.885873440285202</v>
      </c>
      <c r="BD117" s="159">
        <f t="shared" si="974"/>
        <v>55.431951871657752</v>
      </c>
      <c r="BE117" s="159">
        <f t="shared" si="974"/>
        <v>53.386898395721921</v>
      </c>
      <c r="BF117" s="159">
        <f t="shared" si="974"/>
        <v>52.963502673796789</v>
      </c>
      <c r="BG117" s="159">
        <f t="shared" si="974"/>
        <v>55.674064171122993</v>
      </c>
      <c r="BH117" s="159">
        <f t="shared" si="974"/>
        <v>58.844830659536541</v>
      </c>
      <c r="BI117" s="159">
        <f t="shared" si="974"/>
        <v>59.448885918003569</v>
      </c>
      <c r="BJ117" s="159">
        <f t="shared" si="974"/>
        <v>54.583065953654192</v>
      </c>
      <c r="BK117" s="159">
        <f t="shared" si="974"/>
        <v>53.152450980392153</v>
      </c>
      <c r="BL117" s="159">
        <f t="shared" si="974"/>
        <v>50.719206773618538</v>
      </c>
      <c r="BM117" s="159">
        <f t="shared" si="974"/>
        <v>51.024777183600712</v>
      </c>
      <c r="BN117" s="159">
        <f t="shared" si="974"/>
        <v>48.374999999999993</v>
      </c>
      <c r="BO117" s="159">
        <f t="shared" si="974"/>
        <v>42.287655971479502</v>
      </c>
      <c r="BP117" s="159">
        <f t="shared" si="974"/>
        <v>42.175935828877002</v>
      </c>
      <c r="BQ117" s="159">
        <f t="shared" si="974"/>
        <v>42.917468805704097</v>
      </c>
      <c r="BR117" s="159">
        <f t="shared" ref="BR117:CW117" si="975">+BR116/BR83</f>
        <v>46.555525846702324</v>
      </c>
      <c r="BS117" s="159">
        <f t="shared" si="975"/>
        <v>53.660115864527626</v>
      </c>
      <c r="BT117" s="159">
        <f t="shared" si="975"/>
        <v>55.904723707664878</v>
      </c>
      <c r="BU117" s="159">
        <f t="shared" si="975"/>
        <v>54.83747771836007</v>
      </c>
      <c r="BV117" s="159">
        <f t="shared" si="975"/>
        <v>54.008288770053468</v>
      </c>
      <c r="BW117" s="159">
        <f t="shared" si="975"/>
        <v>55.501648841354715</v>
      </c>
      <c r="BX117" s="159">
        <f t="shared" si="975"/>
        <v>58.824598930481272</v>
      </c>
      <c r="BY117" s="159">
        <f t="shared" si="975"/>
        <v>64.022058823529406</v>
      </c>
      <c r="BZ117" s="159">
        <f t="shared" si="975"/>
        <v>68.167112299465231</v>
      </c>
      <c r="CA117" s="159">
        <f t="shared" si="975"/>
        <v>72.027183600713002</v>
      </c>
      <c r="CB117" s="159">
        <f t="shared" si="975"/>
        <v>76.31907308377896</v>
      </c>
      <c r="CC117" s="159">
        <f t="shared" si="975"/>
        <v>80.095365418894829</v>
      </c>
      <c r="CD117" s="159">
        <f t="shared" si="975"/>
        <v>86.337789661319079</v>
      </c>
      <c r="CE117" s="159">
        <f t="shared" si="975"/>
        <v>85.358288770053477</v>
      </c>
      <c r="CF117" s="159">
        <f t="shared" si="975"/>
        <v>86.393939393939377</v>
      </c>
      <c r="CG117" s="159">
        <f t="shared" si="975"/>
        <v>88.859625668449183</v>
      </c>
      <c r="CH117" s="159">
        <f t="shared" si="975"/>
        <v>99.240641711229941</v>
      </c>
      <c r="CI117" s="159">
        <f t="shared" si="975"/>
        <v>103.61720142602495</v>
      </c>
      <c r="CJ117" s="159">
        <f t="shared" si="975"/>
        <v>106.73618538324419</v>
      </c>
      <c r="CK117" s="159">
        <f t="shared" ref="CK117:CL117" si="976">+CK116/CK83</f>
        <v>107.75445632798575</v>
      </c>
      <c r="CL117" s="159">
        <f t="shared" si="976"/>
        <v>105.43894830659536</v>
      </c>
      <c r="CM117" s="50">
        <f t="shared" si="975"/>
        <v>114.82057041260585</v>
      </c>
      <c r="CN117" s="50">
        <f t="shared" si="975"/>
        <v>120.21359624405977</v>
      </c>
      <c r="CO117" s="50">
        <f t="shared" si="975"/>
        <v>127.52094982729919</v>
      </c>
      <c r="CP117" s="50">
        <f t="shared" si="975"/>
        <v>127.67959371716623</v>
      </c>
      <c r="CQ117" s="50">
        <f t="shared" si="975"/>
        <v>130.53430814432323</v>
      </c>
      <c r="CR117" s="50">
        <f t="shared" si="975"/>
        <v>133.84485156238014</v>
      </c>
      <c r="CS117" s="50">
        <f t="shared" si="975"/>
        <v>137.76442279779468</v>
      </c>
      <c r="CT117" s="50">
        <f t="shared" si="975"/>
        <v>141.15116467529978</v>
      </c>
      <c r="CU117" s="50">
        <f t="shared" si="975"/>
        <v>144.41849027097714</v>
      </c>
      <c r="CV117" s="50">
        <f t="shared" si="975"/>
        <v>147.92396379726256</v>
      </c>
      <c r="CW117" s="50">
        <f t="shared" si="975"/>
        <v>151.61188643012201</v>
      </c>
      <c r="CX117" s="50">
        <f t="shared" ref="CX117:DB117" si="977">+CX116/CX83</f>
        <v>155.26128579473627</v>
      </c>
      <c r="CY117" s="50">
        <f t="shared" si="977"/>
        <v>158.97168086320673</v>
      </c>
      <c r="CZ117" s="50">
        <f t="shared" si="977"/>
        <v>162.78738526816369</v>
      </c>
      <c r="DA117" s="50">
        <f t="shared" si="977"/>
        <v>166.75104750835783</v>
      </c>
      <c r="DB117" s="50">
        <f t="shared" si="977"/>
        <v>170.78355549835419</v>
      </c>
      <c r="DE117" s="160"/>
      <c r="DF117" s="159">
        <v>105.43894830659536</v>
      </c>
    </row>
    <row r="118" spans="1:110" s="159" customFormat="1" x14ac:dyDescent="0.2">
      <c r="AB118" s="94"/>
      <c r="AC118" s="94"/>
      <c r="AD118" s="94"/>
      <c r="AE118" s="94"/>
      <c r="CM118" s="94"/>
      <c r="CN118" s="94"/>
      <c r="CO118" s="94"/>
      <c r="CP118" s="94"/>
      <c r="CQ118" s="94"/>
      <c r="CR118" s="94"/>
      <c r="CS118" s="94"/>
      <c r="CT118" s="94"/>
      <c r="CU118" s="94"/>
      <c r="CV118" s="94"/>
      <c r="CW118" s="94"/>
      <c r="CX118" s="94"/>
      <c r="CY118" s="94"/>
      <c r="CZ118" s="94"/>
      <c r="DA118" s="94"/>
      <c r="DB118" s="94"/>
      <c r="DE118" s="160"/>
    </row>
    <row r="119" spans="1:110" s="159" customFormat="1" x14ac:dyDescent="0.2">
      <c r="A119" s="159" t="s">
        <v>506</v>
      </c>
      <c r="AB119" s="94"/>
      <c r="AC119" s="94"/>
      <c r="AD119" s="94"/>
      <c r="AE119" s="94"/>
      <c r="CM119" s="94"/>
      <c r="CN119" s="94"/>
      <c r="CO119" s="94"/>
      <c r="CP119" s="94"/>
      <c r="CQ119" s="94"/>
      <c r="CR119" s="94"/>
      <c r="CS119" s="94"/>
      <c r="CT119" s="94"/>
      <c r="CU119" s="94"/>
      <c r="CV119" s="94"/>
      <c r="CW119" s="94"/>
      <c r="CX119" s="94"/>
      <c r="CY119" s="94"/>
      <c r="CZ119" s="94"/>
      <c r="DA119" s="94"/>
      <c r="DB119" s="94"/>
      <c r="DE119" s="160"/>
    </row>
    <row r="120" spans="1:110" s="159" customFormat="1" x14ac:dyDescent="0.2">
      <c r="A120" s="159" t="s">
        <v>507</v>
      </c>
      <c r="E120" s="159">
        <f t="shared" ref="E120:AE122" ca="1" si="978">+E95/E$117</f>
        <v>0.11870293624731713</v>
      </c>
      <c r="F120" s="159">
        <f t="shared" ca="1" si="978"/>
        <v>0.44662490033983532</v>
      </c>
      <c r="G120" s="159">
        <f t="shared" ca="1" si="978"/>
        <v>2.2585839194385997</v>
      </c>
      <c r="H120" s="159">
        <f t="shared" ca="1" si="978"/>
        <v>1.9625812935265547</v>
      </c>
      <c r="I120" s="159">
        <f t="shared" ca="1" si="978"/>
        <v>2.5040955914826792</v>
      </c>
      <c r="J120" s="159">
        <f t="shared" ca="1" si="978"/>
        <v>0.35787733822999118</v>
      </c>
      <c r="K120" s="159">
        <f t="shared" ca="1" si="978"/>
        <v>0.76380968484455991</v>
      </c>
      <c r="L120" s="159">
        <f t="shared" ca="1" si="978"/>
        <v>0.59574580227509921</v>
      </c>
      <c r="M120" s="159">
        <f t="shared" ca="1" si="978"/>
        <v>0.42599665302291351</v>
      </c>
      <c r="N120" s="159">
        <f t="shared" ca="1" si="978"/>
        <v>0.22706799753164461</v>
      </c>
      <c r="O120" s="159">
        <f t="shared" ca="1" si="978"/>
        <v>0.29331792838508924</v>
      </c>
      <c r="P120" s="159">
        <f t="shared" ca="1" si="978"/>
        <v>0.56315700955044834</v>
      </c>
      <c r="Q120" s="159">
        <f t="shared" ca="1" si="978"/>
        <v>0.4775924634911104</v>
      </c>
      <c r="R120" s="159">
        <f t="shared" ca="1" si="978"/>
        <v>0.49351731950942973</v>
      </c>
      <c r="S120" s="159">
        <f t="shared" ca="1" si="978"/>
        <v>0.73153459338727145</v>
      </c>
      <c r="T120" s="159">
        <f t="shared" ca="1" si="978"/>
        <v>0.57939200925374768</v>
      </c>
      <c r="U120" s="159">
        <f t="shared" ca="1" si="978"/>
        <v>0.19636921686680023</v>
      </c>
      <c r="V120" s="159">
        <f t="shared" ca="1" si="978"/>
        <v>0.68054390124618036</v>
      </c>
      <c r="W120" s="159">
        <f t="shared" ca="1" si="978"/>
        <v>1.3317402477899591</v>
      </c>
      <c r="X120" s="159">
        <f t="shared" ca="1" si="978"/>
        <v>2.8011858689399087</v>
      </c>
      <c r="Y120" s="159">
        <f t="shared" ca="1" si="978"/>
        <v>5.5007778385688182</v>
      </c>
      <c r="Z120" s="159">
        <f ca="1">+Z95/Z$117</f>
        <v>4.5253637245392824</v>
      </c>
      <c r="AA120" s="159">
        <f ca="1">+AA95/AA$117</f>
        <v>4.5253637245392824</v>
      </c>
      <c r="AB120" s="50">
        <f t="shared" ref="AB120:AE120" ca="1" si="979">+AB95/AB$117</f>
        <v>2.7784392922320578</v>
      </c>
      <c r="AC120" s="50">
        <f t="shared" ca="1" si="979"/>
        <v>2.5132630029377161</v>
      </c>
      <c r="AD120" s="50">
        <f t="shared" ca="1" si="979"/>
        <v>2.2848580583636187</v>
      </c>
      <c r="AE120" s="50">
        <f t="shared" ca="1" si="979"/>
        <v>2.0771906227436436</v>
      </c>
      <c r="AL120" s="159">
        <f t="shared" ref="AL120:BQ120" si="980">+AL95/AL117</f>
        <v>0.36547423903017523</v>
      </c>
      <c r="AM120" s="159">
        <f t="shared" si="980"/>
        <v>0.38671685937079858</v>
      </c>
      <c r="AN120" s="159">
        <f t="shared" si="980"/>
        <v>0.48996517978950277</v>
      </c>
      <c r="AO120" s="159">
        <f t="shared" si="980"/>
        <v>0.698518544178098</v>
      </c>
      <c r="AP120" s="159">
        <f t="shared" si="980"/>
        <v>0.75660771858141551</v>
      </c>
      <c r="AQ120" s="159">
        <f t="shared" si="980"/>
        <v>1.0928258599883394</v>
      </c>
      <c r="AR120" s="159">
        <f t="shared" si="980"/>
        <v>0.6240140894446814</v>
      </c>
      <c r="AS120" s="159">
        <f t="shared" si="980"/>
        <v>0.57065392384280456</v>
      </c>
      <c r="AT120" s="159">
        <f t="shared" si="980"/>
        <v>0.56049874437628133</v>
      </c>
      <c r="AU120" s="159">
        <f t="shared" si="980"/>
        <v>0.67134372825396071</v>
      </c>
      <c r="AV120" s="159">
        <f t="shared" si="980"/>
        <v>0.60228804321359941</v>
      </c>
      <c r="AW120" s="159">
        <f t="shared" si="980"/>
        <v>0.68582155877605067</v>
      </c>
      <c r="AX120" s="159">
        <f t="shared" si="980"/>
        <v>0.44713877688909165</v>
      </c>
      <c r="AY120" s="159">
        <f t="shared" si="980"/>
        <v>0.53016874296235372</v>
      </c>
      <c r="AZ120" s="159">
        <f t="shared" si="980"/>
        <v>0.48993747056194975</v>
      </c>
      <c r="BA120" s="159">
        <f t="shared" si="980"/>
        <v>0.49914304178022545</v>
      </c>
      <c r="BB120" s="159">
        <f t="shared" si="980"/>
        <v>0.46520587923791151</v>
      </c>
      <c r="BC120" s="159">
        <f t="shared" si="980"/>
        <v>0.5117572337946813</v>
      </c>
      <c r="BD120" s="159">
        <f t="shared" si="980"/>
        <v>0.5191049390904201</v>
      </c>
      <c r="BE120" s="159">
        <f t="shared" si="980"/>
        <v>0.96418787280822582</v>
      </c>
      <c r="BF120" s="159">
        <f t="shared" si="980"/>
        <v>0.72644364624009583</v>
      </c>
      <c r="BG120" s="159">
        <f t="shared" si="980"/>
        <v>0.51819461053399996</v>
      </c>
      <c r="BH120" s="159">
        <f t="shared" si="980"/>
        <v>0.45755930806874484</v>
      </c>
      <c r="BI120" s="159">
        <f t="shared" si="980"/>
        <v>0.59168476342039511</v>
      </c>
      <c r="BJ120" s="159">
        <f t="shared" si="980"/>
        <v>0.57939215116373999</v>
      </c>
      <c r="BK120" s="159">
        <f t="shared" si="980"/>
        <v>0.43459896155158584</v>
      </c>
      <c r="BL120" s="159">
        <f t="shared" si="980"/>
        <v>0.33665747329631968</v>
      </c>
      <c r="BM120" s="159">
        <f t="shared" si="980"/>
        <v>0.35962920394481729</v>
      </c>
      <c r="BN120" s="159">
        <f t="shared" si="980"/>
        <v>0.19689922480620159</v>
      </c>
      <c r="BO120" s="159">
        <f t="shared" si="980"/>
        <v>0.31155663981199977</v>
      </c>
      <c r="BP120" s="159">
        <f t="shared" si="980"/>
        <v>0.30111957803446221</v>
      </c>
      <c r="BQ120" s="159">
        <f t="shared" si="980"/>
        <v>0.49630140343153345</v>
      </c>
      <c r="BR120" s="159">
        <f t="shared" ref="BR120:DB120" si="981">+BR95/BR117</f>
        <v>0.680370362570905</v>
      </c>
      <c r="BS120" s="159">
        <f t="shared" si="981"/>
        <v>1.2751556514105999</v>
      </c>
      <c r="BT120" s="159">
        <f t="shared" si="981"/>
        <v>1.5007676352847588</v>
      </c>
      <c r="BU120" s="159">
        <f t="shared" si="981"/>
        <v>1.6817877815908782</v>
      </c>
      <c r="BV120" s="159">
        <f t="shared" si="981"/>
        <v>1.3317400280210505</v>
      </c>
      <c r="BW120" s="159">
        <f t="shared" si="981"/>
        <v>2.3499301862689763</v>
      </c>
      <c r="BX120" s="159">
        <f t="shared" si="981"/>
        <v>2.9031222159597103</v>
      </c>
      <c r="BY120" s="159">
        <f t="shared" si="981"/>
        <v>2.8470655794188588</v>
      </c>
      <c r="BZ120" s="159">
        <f t="shared" si="981"/>
        <v>2.8012041812940049</v>
      </c>
      <c r="CA120" s="159">
        <f t="shared" si="981"/>
        <v>4.0581900525277028</v>
      </c>
      <c r="CB120" s="159">
        <f t="shared" si="981"/>
        <v>5.0740920238234271</v>
      </c>
      <c r="CC120" s="159">
        <f t="shared" si="981"/>
        <v>5.7862274249724592</v>
      </c>
      <c r="CD120" s="159">
        <f t="shared" si="981"/>
        <v>5.5007778385688182</v>
      </c>
      <c r="CE120" s="159">
        <f t="shared" si="981"/>
        <v>7.7394358476381404</v>
      </c>
      <c r="CF120" s="159">
        <f t="shared" si="981"/>
        <v>8.1024202034373918</v>
      </c>
      <c r="CG120" s="159">
        <f t="shared" si="981"/>
        <v>7.1432891510072682</v>
      </c>
      <c r="CH120" s="159">
        <f t="shared" si="981"/>
        <v>4.5253637245392824</v>
      </c>
      <c r="CI120" s="159">
        <f t="shared" si="981"/>
        <v>6.3213442457970821</v>
      </c>
      <c r="CJ120" s="159">
        <f t="shared" si="981"/>
        <v>5.3210633110105388</v>
      </c>
      <c r="CK120" s="159">
        <f t="shared" ref="CK120:CL120" si="982">+CK95/CK117</f>
        <v>4.4671006323381626</v>
      </c>
      <c r="CL120" s="159">
        <f t="shared" si="982"/>
        <v>3.3645062445848568</v>
      </c>
      <c r="CM120" s="50">
        <f t="shared" si="981"/>
        <v>3.0896031845618923</v>
      </c>
      <c r="CN120" s="50">
        <f t="shared" si="981"/>
        <v>2.9509973171402364</v>
      </c>
      <c r="CO120" s="50">
        <f t="shared" si="981"/>
        <v>2.7818958412749879</v>
      </c>
      <c r="CP120" s="50">
        <f t="shared" si="981"/>
        <v>2.7784392922320578</v>
      </c>
      <c r="CQ120" s="50">
        <f t="shared" si="981"/>
        <v>2.7176763338552816</v>
      </c>
      <c r="CR120" s="50">
        <f t="shared" si="981"/>
        <v>2.6504568226493501</v>
      </c>
      <c r="CS120" s="50">
        <f t="shared" si="981"/>
        <v>2.5750479898622913</v>
      </c>
      <c r="CT120" s="50">
        <f t="shared" si="981"/>
        <v>2.5132630029377161</v>
      </c>
      <c r="CU120" s="50">
        <f t="shared" si="981"/>
        <v>2.4564029116657498</v>
      </c>
      <c r="CV120" s="50">
        <f t="shared" si="981"/>
        <v>2.3981915498573527</v>
      </c>
      <c r="CW120" s="50">
        <f t="shared" si="981"/>
        <v>2.3398561178348269</v>
      </c>
      <c r="CX120" s="50">
        <f t="shared" si="981"/>
        <v>2.2848580583636187</v>
      </c>
      <c r="CY120" s="50">
        <f t="shared" si="981"/>
        <v>2.231529528238795</v>
      </c>
      <c r="CZ120" s="50">
        <f t="shared" si="981"/>
        <v>2.179222913468458</v>
      </c>
      <c r="DA120" s="50">
        <f t="shared" si="981"/>
        <v>2.1274229175814883</v>
      </c>
      <c r="DB120" s="50">
        <f t="shared" si="981"/>
        <v>2.0771906227436436</v>
      </c>
      <c r="DE120" s="106"/>
      <c r="DF120" s="159">
        <v>3.3645062445848568</v>
      </c>
    </row>
    <row r="121" spans="1:110" s="159" customFormat="1" x14ac:dyDescent="0.2">
      <c r="A121" s="159" t="s">
        <v>508</v>
      </c>
      <c r="E121" s="159">
        <f t="shared" ca="1" si="978"/>
        <v>0.23853208631102257</v>
      </c>
      <c r="F121" s="159">
        <f t="shared" ca="1" si="978"/>
        <v>0.49627877459181879</v>
      </c>
      <c r="G121" s="159">
        <f t="shared" ca="1" si="978"/>
        <v>2.3397713641831932</v>
      </c>
      <c r="H121" s="159">
        <f t="shared" ca="1" si="978"/>
        <v>2.4047219952480754</v>
      </c>
      <c r="I121" s="159">
        <f t="shared" ca="1" si="978"/>
        <v>4.5396658978782192</v>
      </c>
      <c r="J121" s="159">
        <f t="shared" ca="1" si="978"/>
        <v>2.3014619821864382</v>
      </c>
      <c r="K121" s="159">
        <f t="shared" ca="1" si="978"/>
        <v>1.1670338189527147</v>
      </c>
      <c r="L121" s="159">
        <f t="shared" ca="1" si="978"/>
        <v>0.90717826278895441</v>
      </c>
      <c r="M121" s="159">
        <f t="shared" ca="1" si="978"/>
        <v>0.59813407608115199</v>
      </c>
      <c r="N121" s="159">
        <f t="shared" ca="1" si="978"/>
        <v>0.45560569084019309</v>
      </c>
      <c r="O121" s="159">
        <f t="shared" ca="1" si="978"/>
        <v>0.33236913186831124</v>
      </c>
      <c r="P121" s="159">
        <f t="shared" ca="1" si="978"/>
        <v>0.60621699079043767</v>
      </c>
      <c r="Q121" s="159">
        <f t="shared" ca="1" si="978"/>
        <v>0.85002695336949929</v>
      </c>
      <c r="R121" s="159">
        <f t="shared" ca="1" si="978"/>
        <v>0.69101762807375211</v>
      </c>
      <c r="S121" s="159">
        <f t="shared" ca="1" si="978"/>
        <v>1.07900164196823</v>
      </c>
      <c r="T121" s="159">
        <f t="shared" ca="1" si="978"/>
        <v>0.81252286515110539</v>
      </c>
      <c r="U121" s="159">
        <f t="shared" ca="1" si="978"/>
        <v>0.68445753280606492</v>
      </c>
      <c r="V121" s="159">
        <f t="shared" ca="1" si="978"/>
        <v>0.74661090981230516</v>
      </c>
      <c r="W121" s="159">
        <f t="shared" ca="1" si="978"/>
        <v>2.0274669048731391</v>
      </c>
      <c r="X121" s="159">
        <f t="shared" ca="1" si="978"/>
        <v>3.4895631766121018</v>
      </c>
      <c r="Y121" s="159">
        <f t="shared" ca="1" si="978"/>
        <v>6.4890472896945415</v>
      </c>
      <c r="Z121" s="159">
        <f t="shared" ref="Z121:AA122" ca="1" si="983">+Z96/Z$117</f>
        <v>7.4450344864748361</v>
      </c>
      <c r="AA121" s="159">
        <f t="shared" ref="AA121" ca="1" si="984">+AA96/AA$117</f>
        <v>7.4450344864748361</v>
      </c>
      <c r="AB121" s="94">
        <f t="shared" ca="1" si="978"/>
        <v>4.7828139069944529</v>
      </c>
      <c r="AC121" s="94">
        <f t="shared" ca="1" si="978"/>
        <v>5.0222025700636319</v>
      </c>
      <c r="AD121" s="94">
        <f t="shared" ca="1" si="978"/>
        <v>5.3140929211683696</v>
      </c>
      <c r="AE121" s="94">
        <f t="shared" ca="1" si="978"/>
        <v>5.5635144673455796</v>
      </c>
      <c r="AL121" s="159">
        <f t="shared" ref="AL121:BQ121" si="985">+AL96/AL117</f>
        <v>0.58783397022005535</v>
      </c>
      <c r="AM121" s="159">
        <f t="shared" si="985"/>
        <v>0.52522183382629739</v>
      </c>
      <c r="AN121" s="159">
        <f t="shared" si="985"/>
        <v>0.5433824362327192</v>
      </c>
      <c r="AO121" s="159">
        <f t="shared" si="985"/>
        <v>0.74062398965405751</v>
      </c>
      <c r="AP121" s="159">
        <f t="shared" si="985"/>
        <v>0.80809285919494389</v>
      </c>
      <c r="AQ121" s="159">
        <f t="shared" si="985"/>
        <v>1.1900222821837445</v>
      </c>
      <c r="AR121" s="159">
        <f t="shared" si="985"/>
        <v>0.91402063742378015</v>
      </c>
      <c r="AS121" s="159">
        <f t="shared" si="985"/>
        <v>0.63249284714896392</v>
      </c>
      <c r="AT121" s="159">
        <f t="shared" si="985"/>
        <v>0.60335546995827571</v>
      </c>
      <c r="AU121" s="159">
        <f t="shared" si="985"/>
        <v>0.71190319830580473</v>
      </c>
      <c r="AV121" s="159">
        <f t="shared" si="985"/>
        <v>0.8153794862766105</v>
      </c>
      <c r="AW121" s="159">
        <f t="shared" si="985"/>
        <v>0.75501423829648306</v>
      </c>
      <c r="AX121" s="159">
        <f t="shared" si="985"/>
        <v>0.70352569024292866</v>
      </c>
      <c r="AY121" s="159">
        <f t="shared" si="985"/>
        <v>0.54531642133270664</v>
      </c>
      <c r="AZ121" s="159">
        <f t="shared" si="985"/>
        <v>0.566582831125228</v>
      </c>
      <c r="BA121" s="159">
        <f t="shared" si="985"/>
        <v>0.64801026476731016</v>
      </c>
      <c r="BB121" s="159">
        <f t="shared" si="985"/>
        <v>0.53606505289666617</v>
      </c>
      <c r="BC121" s="159">
        <f t="shared" si="985"/>
        <v>0.5886997549596158</v>
      </c>
      <c r="BD121" s="159">
        <f t="shared" si="985"/>
        <v>0.58179441479291227</v>
      </c>
      <c r="BE121" s="159">
        <f t="shared" si="985"/>
        <v>1.0629948864859993</v>
      </c>
      <c r="BF121" s="159">
        <f t="shared" si="985"/>
        <v>1.0365628636408384</v>
      </c>
      <c r="BG121" s="159">
        <f t="shared" si="985"/>
        <v>0.79660072711205887</v>
      </c>
      <c r="BH121" s="159">
        <f t="shared" si="985"/>
        <v>0.62579838513023323</v>
      </c>
      <c r="BI121" s="159">
        <f t="shared" si="985"/>
        <v>0.59925429131063468</v>
      </c>
      <c r="BJ121" s="159">
        <f t="shared" si="985"/>
        <v>0.68519419615885768</v>
      </c>
      <c r="BK121" s="159">
        <f t="shared" si="985"/>
        <v>0.62461842093128361</v>
      </c>
      <c r="BL121" s="159">
        <f t="shared" si="985"/>
        <v>0.4731935202993659</v>
      </c>
      <c r="BM121" s="159">
        <f t="shared" si="985"/>
        <v>0.3944162250348473</v>
      </c>
      <c r="BN121" s="159">
        <f t="shared" si="985"/>
        <v>0.45116279069767445</v>
      </c>
      <c r="BO121" s="159">
        <f t="shared" si="985"/>
        <v>0.36417246702882705</v>
      </c>
      <c r="BP121" s="159">
        <f t="shared" si="985"/>
        <v>0.43389671480556369</v>
      </c>
      <c r="BQ121" s="159">
        <f t="shared" si="985"/>
        <v>0.5184369120352873</v>
      </c>
      <c r="BR121" s="159">
        <f t="shared" ref="BR121:CJ121" si="986">+BR96/BR117</f>
        <v>0.74642052405174264</v>
      </c>
      <c r="BS121" s="159">
        <f t="shared" si="986"/>
        <v>1.3305972014719307</v>
      </c>
      <c r="BT121" s="159">
        <f t="shared" si="986"/>
        <v>1.6630973884457738</v>
      </c>
      <c r="BU121" s="159">
        <f t="shared" si="986"/>
        <v>1.9968095644803596</v>
      </c>
      <c r="BV121" s="159">
        <f t="shared" si="986"/>
        <v>1.9825660549232396</v>
      </c>
      <c r="BW121" s="159">
        <f t="shared" si="986"/>
        <v>2.6116341230568381</v>
      </c>
      <c r="BX121" s="159">
        <f t="shared" si="986"/>
        <v>3.5274358648024586</v>
      </c>
      <c r="BY121" s="159">
        <f t="shared" si="986"/>
        <v>3.7155162512920641</v>
      </c>
      <c r="BZ121" s="159">
        <f t="shared" si="986"/>
        <v>3.1785855772813751</v>
      </c>
      <c r="CA121" s="159">
        <f t="shared" si="986"/>
        <v>4.1647470441566803</v>
      </c>
      <c r="CB121" s="159">
        <f t="shared" si="986"/>
        <v>6.4426883101716692</v>
      </c>
      <c r="CC121" s="159">
        <f t="shared" si="986"/>
        <v>6.1648385948123332</v>
      </c>
      <c r="CD121" s="159">
        <f t="shared" si="986"/>
        <v>6.4890472896945415</v>
      </c>
      <c r="CE121" s="159">
        <f t="shared" si="986"/>
        <v>8.0835734870316998</v>
      </c>
      <c r="CF121" s="159">
        <f t="shared" si="986"/>
        <v>8.2760434935110503</v>
      </c>
      <c r="CG121" s="159">
        <f t="shared" si="986"/>
        <v>8.3147998254773068</v>
      </c>
      <c r="CH121" s="159">
        <f t="shared" si="986"/>
        <v>6.4862539066709779</v>
      </c>
      <c r="CI121" s="159">
        <f t="shared" si="986"/>
        <v>6.9153575867570973</v>
      </c>
      <c r="CJ121" s="159">
        <f t="shared" si="986"/>
        <v>6.398017668965748</v>
      </c>
      <c r="CK121" s="159">
        <f t="shared" ref="CK121:CL121" si="987">+CK96/CK117</f>
        <v>5.8044003126537937</v>
      </c>
      <c r="CL121" s="159">
        <f t="shared" si="987"/>
        <v>5.0422543902284396</v>
      </c>
      <c r="CM121" s="94">
        <f t="shared" ref="CM121:DB121" si="988">+CL121</f>
        <v>5.0422543902284396</v>
      </c>
      <c r="CN121" s="94">
        <f t="shared" si="988"/>
        <v>5.0422543902284396</v>
      </c>
      <c r="CO121" s="94">
        <f t="shared" si="988"/>
        <v>5.0422543902284396</v>
      </c>
      <c r="CP121" s="94">
        <f t="shared" si="988"/>
        <v>5.0422543902284396</v>
      </c>
      <c r="CQ121" s="94">
        <f t="shared" si="988"/>
        <v>5.0422543902284396</v>
      </c>
      <c r="CR121" s="94">
        <f t="shared" si="988"/>
        <v>5.0422543902284396</v>
      </c>
      <c r="CS121" s="94">
        <f t="shared" si="988"/>
        <v>5.0422543902284396</v>
      </c>
      <c r="CT121" s="94">
        <f t="shared" si="988"/>
        <v>5.0422543902284396</v>
      </c>
      <c r="CU121" s="94">
        <f t="shared" si="988"/>
        <v>5.0422543902284396</v>
      </c>
      <c r="CV121" s="94">
        <f t="shared" si="988"/>
        <v>5.0422543902284396</v>
      </c>
      <c r="CW121" s="94">
        <f t="shared" si="988"/>
        <v>5.0422543902284396</v>
      </c>
      <c r="CX121" s="94">
        <f t="shared" si="988"/>
        <v>5.0422543902284396</v>
      </c>
      <c r="CY121" s="94">
        <f t="shared" si="988"/>
        <v>5.0422543902284396</v>
      </c>
      <c r="CZ121" s="94">
        <f t="shared" si="988"/>
        <v>5.0422543902284396</v>
      </c>
      <c r="DA121" s="94">
        <f t="shared" si="988"/>
        <v>5.0422543902284396</v>
      </c>
      <c r="DB121" s="94">
        <f t="shared" si="988"/>
        <v>5.0422543902284396</v>
      </c>
      <c r="DE121" s="160"/>
      <c r="DF121" s="159">
        <v>6.7958758267999402</v>
      </c>
    </row>
    <row r="122" spans="1:110" s="159" customFormat="1" x14ac:dyDescent="0.2">
      <c r="A122" s="159" t="s">
        <v>509</v>
      </c>
      <c r="E122" s="159">
        <f t="shared" ca="1" si="978"/>
        <v>3.1984472385425171E-2</v>
      </c>
      <c r="F122" s="159">
        <f t="shared" ca="1" si="978"/>
        <v>6.1612398940943489E-2</v>
      </c>
      <c r="G122" s="159">
        <f t="shared" ca="1" si="978"/>
        <v>0.29279911959351318</v>
      </c>
      <c r="H122" s="159">
        <f t="shared" ca="1" si="978"/>
        <v>0.72498996110398684</v>
      </c>
      <c r="I122" s="159">
        <f t="shared" ca="1" si="978"/>
        <v>1.5758684730049553</v>
      </c>
      <c r="J122" s="159">
        <f t="shared" ca="1" si="978"/>
        <v>0.27444934137573279</v>
      </c>
      <c r="K122" s="159">
        <f t="shared" ca="1" si="978"/>
        <v>0.32163178321159624</v>
      </c>
      <c r="L122" s="159">
        <f t="shared" ca="1" si="978"/>
        <v>0.51876249742897773</v>
      </c>
      <c r="M122" s="159">
        <f t="shared" ca="1" si="978"/>
        <v>0.34775236981462326</v>
      </c>
      <c r="N122" s="159">
        <f t="shared" ca="1" si="978"/>
        <v>0.22265891020093306</v>
      </c>
      <c r="O122" s="159">
        <f t="shared" ca="1" si="978"/>
        <v>0.16141164106398406</v>
      </c>
      <c r="P122" s="159">
        <f t="shared" ca="1" si="978"/>
        <v>0.28073419141757733</v>
      </c>
      <c r="Q122" s="159">
        <f t="shared" ca="1" si="978"/>
        <v>0.37418712277193422</v>
      </c>
      <c r="R122" s="159">
        <f t="shared" ca="1" si="978"/>
        <v>0.42394865289930195</v>
      </c>
      <c r="S122" s="159">
        <f t="shared" ca="1" si="978"/>
        <v>0.42779800782881372</v>
      </c>
      <c r="T122" s="159">
        <f t="shared" ca="1" si="978"/>
        <v>0.44381885926235692</v>
      </c>
      <c r="U122" s="159">
        <f t="shared" ca="1" si="978"/>
        <v>0.14173631138679807</v>
      </c>
      <c r="V122" s="159">
        <f t="shared" ca="1" si="978"/>
        <v>0.18692129252854833</v>
      </c>
      <c r="W122" s="159">
        <f t="shared" ca="1" si="978"/>
        <v>0.56889425253175518</v>
      </c>
      <c r="X122" s="159">
        <f t="shared" ca="1" si="978"/>
        <v>1.0488860415250247</v>
      </c>
      <c r="Y122" s="159">
        <f t="shared" ca="1" si="978"/>
        <v>2.2009481681824279</v>
      </c>
      <c r="Z122" s="159">
        <f t="shared" ca="1" si="983"/>
        <v>3.8124501562668396</v>
      </c>
      <c r="AA122" s="159">
        <f t="shared" ref="AA122" ca="1" si="989">+AA97/AA$117</f>
        <v>3.8124501562668396</v>
      </c>
      <c r="AB122" s="94">
        <f t="shared" ca="1" si="978"/>
        <v>2.8158658432295329</v>
      </c>
      <c r="AC122" s="94">
        <f t="shared" ca="1" si="978"/>
        <v>2.9514220920445182</v>
      </c>
      <c r="AD122" s="94">
        <f t="shared" ca="1" si="978"/>
        <v>3.1331937014726794</v>
      </c>
      <c r="AE122" s="94">
        <f t="shared" ca="1" si="978"/>
        <v>3.3145218350397698</v>
      </c>
      <c r="AL122" s="159">
        <f t="shared" ref="AL122:BQ122" si="990">+AL97/AL117</f>
        <v>0.35837765186454079</v>
      </c>
      <c r="AM122" s="159">
        <f t="shared" si="990"/>
        <v>0.37231782737294972</v>
      </c>
      <c r="AN122" s="159">
        <f t="shared" si="990"/>
        <v>0.34260723098062973</v>
      </c>
      <c r="AO122" s="159">
        <f t="shared" si="990"/>
        <v>0.54845041799454985</v>
      </c>
      <c r="AP122" s="159">
        <f t="shared" si="990"/>
        <v>0.52604382800778893</v>
      </c>
      <c r="AQ122" s="159">
        <f t="shared" si="990"/>
        <v>0.56204887617343047</v>
      </c>
      <c r="AR122" s="159">
        <f t="shared" si="990"/>
        <v>0.57601300564124447</v>
      </c>
      <c r="AS122" s="159">
        <f t="shared" si="990"/>
        <v>0.48386245253591414</v>
      </c>
      <c r="AT122" s="159">
        <f t="shared" si="990"/>
        <v>0.40251708928971319</v>
      </c>
      <c r="AU122" s="159">
        <f t="shared" si="990"/>
        <v>0.49220606885831603</v>
      </c>
      <c r="AV122" s="159">
        <f t="shared" si="990"/>
        <v>0.51948919847313946</v>
      </c>
      <c r="AW122" s="159">
        <f t="shared" si="990"/>
        <v>0.58121850797163233</v>
      </c>
      <c r="AX122" s="159">
        <f t="shared" si="990"/>
        <v>0.35032707840668287</v>
      </c>
      <c r="AY122" s="159">
        <f t="shared" si="990"/>
        <v>0.4437860365800706</v>
      </c>
      <c r="AZ122" s="159">
        <f t="shared" si="990"/>
        <v>0.46410671368703271</v>
      </c>
      <c r="BA122" s="159">
        <f t="shared" si="990"/>
        <v>0.3975630543302146</v>
      </c>
      <c r="BB122" s="159">
        <f t="shared" si="990"/>
        <v>0.44892147286912931</v>
      </c>
      <c r="BC122" s="159">
        <f t="shared" si="990"/>
        <v>0.48804820111013741</v>
      </c>
      <c r="BD122" s="159">
        <f t="shared" si="990"/>
        <v>0.40590308008807835</v>
      </c>
      <c r="BE122" s="159">
        <f t="shared" si="990"/>
        <v>0.51932217141540671</v>
      </c>
      <c r="BF122" s="159">
        <f t="shared" si="990"/>
        <v>0.65280803297599255</v>
      </c>
      <c r="BG122" s="159">
        <f t="shared" si="990"/>
        <v>0.51056089443427899</v>
      </c>
      <c r="BH122" s="159">
        <f t="shared" si="990"/>
        <v>0.44396423113448313</v>
      </c>
      <c r="BI122" s="159">
        <f t="shared" si="990"/>
        <v>0.40749291809123162</v>
      </c>
      <c r="BJ122" s="159">
        <f t="shared" si="990"/>
        <v>0.48275045638464981</v>
      </c>
      <c r="BK122" s="159">
        <f t="shared" si="990"/>
        <v>0.40684859495900622</v>
      </c>
      <c r="BL122" s="159">
        <f t="shared" si="990"/>
        <v>0.24596204857227455</v>
      </c>
      <c r="BM122" s="159">
        <f t="shared" si="990"/>
        <v>0.27927608480728316</v>
      </c>
      <c r="BN122" s="159">
        <f t="shared" si="990"/>
        <v>0.14211886304909563</v>
      </c>
      <c r="BO122" s="159">
        <f t="shared" si="990"/>
        <v>0.20573379630849317</v>
      </c>
      <c r="BP122" s="159">
        <f t="shared" si="990"/>
        <v>0.28333692578833258</v>
      </c>
      <c r="BQ122" s="159">
        <f t="shared" si="990"/>
        <v>0.25048075525300395</v>
      </c>
      <c r="BR122" s="159">
        <f t="shared" ref="BR122:CJ122" si="991">+BR97/BR117</f>
        <v>0.44087140305502209</v>
      </c>
      <c r="BS122" s="159">
        <f t="shared" si="991"/>
        <v>0.57258542038130344</v>
      </c>
      <c r="BT122" s="159">
        <f t="shared" si="991"/>
        <v>1.1112656655788513</v>
      </c>
      <c r="BU122" s="159">
        <f t="shared" si="991"/>
        <v>1.2983821095068642</v>
      </c>
      <c r="BV122" s="159">
        <f t="shared" si="991"/>
        <v>1.1970384819125608</v>
      </c>
      <c r="BW122" s="159">
        <f t="shared" si="991"/>
        <v>1.2882500158576331</v>
      </c>
      <c r="BX122" s="159">
        <f t="shared" si="991"/>
        <v>2.1589607461682521</v>
      </c>
      <c r="BY122" s="159">
        <f t="shared" si="991"/>
        <v>2.4854714597450331</v>
      </c>
      <c r="BZ122" s="159">
        <f t="shared" si="991"/>
        <v>2.5664868893290711</v>
      </c>
      <c r="CA122" s="159">
        <f t="shared" si="991"/>
        <v>2.6382400435565403</v>
      </c>
      <c r="CB122" s="159">
        <f t="shared" si="991"/>
        <v>3.8460241737708749</v>
      </c>
      <c r="CC122" s="159">
        <f t="shared" si="991"/>
        <v>4.4571867315032216</v>
      </c>
      <c r="CD122" s="159">
        <f t="shared" si="991"/>
        <v>4.5756325422469057</v>
      </c>
      <c r="CE122" s="159">
        <f t="shared" si="991"/>
        <v>5.2956192832978317</v>
      </c>
      <c r="CF122" s="159">
        <f t="shared" si="991"/>
        <v>6.441424061732727</v>
      </c>
      <c r="CG122" s="159">
        <f t="shared" si="991"/>
        <v>5.9515218078144052</v>
      </c>
      <c r="CH122" s="159">
        <f t="shared" si="991"/>
        <v>3.8124501562668396</v>
      </c>
      <c r="CI122" s="159">
        <f t="shared" si="991"/>
        <v>3.358998266793396</v>
      </c>
      <c r="CJ122" s="159">
        <f t="shared" si="991"/>
        <v>4.9800355717363356</v>
      </c>
      <c r="CK122" s="159">
        <f t="shared" ref="CK122:CL122" si="992">+CK97/CK117</f>
        <v>4.2791733698371797</v>
      </c>
      <c r="CL122" s="159">
        <f t="shared" si="992"/>
        <v>3.3384248008283848</v>
      </c>
      <c r="CM122" s="94">
        <f t="shared" ref="CM122:DB122" si="993">+CL122</f>
        <v>3.3384248008283848</v>
      </c>
      <c r="CN122" s="94">
        <f t="shared" si="993"/>
        <v>3.3384248008283848</v>
      </c>
      <c r="CO122" s="94">
        <f t="shared" si="993"/>
        <v>3.3384248008283848</v>
      </c>
      <c r="CP122" s="94">
        <f t="shared" si="993"/>
        <v>3.3384248008283848</v>
      </c>
      <c r="CQ122" s="94">
        <f t="shared" si="993"/>
        <v>3.3384248008283848</v>
      </c>
      <c r="CR122" s="94">
        <f t="shared" si="993"/>
        <v>3.3384248008283848</v>
      </c>
      <c r="CS122" s="94">
        <f t="shared" si="993"/>
        <v>3.3384248008283848</v>
      </c>
      <c r="CT122" s="94">
        <f t="shared" si="993"/>
        <v>3.3384248008283848</v>
      </c>
      <c r="CU122" s="94">
        <f t="shared" si="993"/>
        <v>3.3384248008283848</v>
      </c>
      <c r="CV122" s="94">
        <f t="shared" si="993"/>
        <v>3.3384248008283848</v>
      </c>
      <c r="CW122" s="94">
        <f t="shared" si="993"/>
        <v>3.3384248008283848</v>
      </c>
      <c r="CX122" s="94">
        <f t="shared" si="993"/>
        <v>3.3384248008283848</v>
      </c>
      <c r="CY122" s="94">
        <f t="shared" si="993"/>
        <v>3.3384248008283848</v>
      </c>
      <c r="CZ122" s="94">
        <f t="shared" si="993"/>
        <v>3.3384248008283848</v>
      </c>
      <c r="DA122" s="94">
        <f t="shared" si="993"/>
        <v>3.3384248008283848</v>
      </c>
      <c r="DB122" s="94">
        <f t="shared" si="993"/>
        <v>3.3384248008283848</v>
      </c>
      <c r="DE122" s="160"/>
      <c r="DF122" s="159">
        <v>3.3009623634327254</v>
      </c>
    </row>
    <row r="123" spans="1:110" s="4" customFormat="1" x14ac:dyDescent="0.2">
      <c r="A123" s="3"/>
      <c r="AB123" s="17"/>
      <c r="AC123" s="17"/>
      <c r="AD123" s="17"/>
      <c r="AE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E123" s="119"/>
    </row>
    <row r="124" spans="1:110" s="4" customFormat="1" x14ac:dyDescent="0.2">
      <c r="A124" s="3"/>
      <c r="AB124" s="17"/>
      <c r="AC124" s="17"/>
      <c r="AD124" s="17"/>
      <c r="AE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E124" s="119"/>
    </row>
    <row r="125" spans="1:110" s="158" customFormat="1" x14ac:dyDescent="0.2">
      <c r="A125" s="49" t="s">
        <v>340</v>
      </c>
      <c r="B125" s="158">
        <f t="shared" ref="B125:AE125" si="994">+B96*B83</f>
        <v>0.80381468999999806</v>
      </c>
      <c r="C125" s="158">
        <f t="shared" si="994"/>
        <v>0.3539043600000002</v>
      </c>
      <c r="D125" s="158">
        <f t="shared" si="994"/>
        <v>0.42826192499999977</v>
      </c>
      <c r="E125" s="158">
        <f t="shared" ca="1" si="994"/>
        <v>39.6066</v>
      </c>
      <c r="F125" s="158">
        <f t="shared" ca="1" si="994"/>
        <v>142.79319999999993</v>
      </c>
      <c r="G125" s="158">
        <f t="shared" ca="1" si="994"/>
        <v>1068.144</v>
      </c>
      <c r="H125" s="158">
        <f t="shared" ca="1" si="994"/>
        <v>1786.9719999999993</v>
      </c>
      <c r="I125" s="158">
        <f t="shared" ca="1" si="994"/>
        <v>3848.46</v>
      </c>
      <c r="J125" s="158">
        <f t="shared" ca="1" si="994"/>
        <v>2244</v>
      </c>
      <c r="K125" s="158">
        <f t="shared" ca="1" si="994"/>
        <v>1243.7370000000001</v>
      </c>
      <c r="L125" s="158">
        <f t="shared" ca="1" si="994"/>
        <v>1163.5140000000001</v>
      </c>
      <c r="M125" s="158">
        <f t="shared" ca="1" si="994"/>
        <v>964.92000000000007</v>
      </c>
      <c r="N125" s="158">
        <f t="shared" ca="1" si="994"/>
        <v>695.64</v>
      </c>
      <c r="O125" s="158">
        <f t="shared" ca="1" si="994"/>
        <v>429.726</v>
      </c>
      <c r="P125" s="158">
        <f t="shared" ca="1" si="994"/>
        <v>805.596</v>
      </c>
      <c r="Q125" s="158">
        <f t="shared" ca="1" si="994"/>
        <v>1088.3400000000001</v>
      </c>
      <c r="R125" s="158">
        <f t="shared" ca="1" si="994"/>
        <v>830.28000000000009</v>
      </c>
      <c r="S125" s="158">
        <f t="shared" ca="1" si="994"/>
        <v>1273.47</v>
      </c>
      <c r="T125" s="158">
        <f t="shared" ca="1" si="994"/>
        <v>995.21400000000006</v>
      </c>
      <c r="U125" s="158">
        <f t="shared" ca="1" si="994"/>
        <v>745.00800000000015</v>
      </c>
      <c r="V125" s="158">
        <f t="shared" ca="1" si="994"/>
        <v>779.79000000000008</v>
      </c>
      <c r="W125" s="158">
        <f t="shared" ca="1" si="994"/>
        <v>2457.1800000000003</v>
      </c>
      <c r="X125" s="158">
        <f t="shared" ca="1" si="994"/>
        <v>5337.915</v>
      </c>
      <c r="Y125" s="158">
        <f t="shared" ca="1" si="994"/>
        <v>12572.01</v>
      </c>
      <c r="Z125" s="158">
        <f t="shared" ca="1" si="994"/>
        <v>16579.794000000002</v>
      </c>
      <c r="AA125" s="158">
        <f t="shared" ref="AA125" ca="1" si="995">+AA96*AA83</f>
        <v>16579.794000000002</v>
      </c>
      <c r="AB125" s="21">
        <f t="shared" ca="1" si="994"/>
        <v>13703.384006383752</v>
      </c>
      <c r="AC125" s="21">
        <f t="shared" ca="1" si="994"/>
        <v>15907.48581047474</v>
      </c>
      <c r="AD125" s="21">
        <f t="shared" ca="1" si="994"/>
        <v>18514.635870913011</v>
      </c>
      <c r="AE125" s="21">
        <f t="shared" ca="1" si="994"/>
        <v>21321.518183587741</v>
      </c>
      <c r="AL125" s="158">
        <f t="shared" ref="AL125:BQ125" si="996">+AL96*AL83</f>
        <v>557.63400000000001</v>
      </c>
      <c r="AM125" s="158">
        <f t="shared" si="996"/>
        <v>429.726</v>
      </c>
      <c r="AN125" s="158">
        <f t="shared" si="996"/>
        <v>330.99</v>
      </c>
      <c r="AO125" s="158">
        <f t="shared" si="996"/>
        <v>384.846</v>
      </c>
      <c r="AP125" s="158">
        <f t="shared" si="996"/>
        <v>405.04200000000003</v>
      </c>
      <c r="AQ125" s="158">
        <f t="shared" si="996"/>
        <v>789.88800000000015</v>
      </c>
      <c r="AR125" s="158">
        <f t="shared" si="996"/>
        <v>769.13099999999997</v>
      </c>
      <c r="AS125" s="158">
        <f t="shared" si="996"/>
        <v>654.12599999999998</v>
      </c>
      <c r="AT125" s="158">
        <f t="shared" si="996"/>
        <v>805.596</v>
      </c>
      <c r="AU125" s="158">
        <f t="shared" si="996"/>
        <v>945.28500000000008</v>
      </c>
      <c r="AV125" s="158">
        <f t="shared" si="996"/>
        <v>1088.3400000000001</v>
      </c>
      <c r="AW125" s="158">
        <f t="shared" si="996"/>
        <v>1040.655</v>
      </c>
      <c r="AX125" s="158">
        <f t="shared" si="996"/>
        <v>962.11500000000001</v>
      </c>
      <c r="AY125" s="158">
        <f t="shared" si="996"/>
        <v>747.25199999999995</v>
      </c>
      <c r="AZ125" s="158">
        <f t="shared" si="996"/>
        <v>750.61800000000005</v>
      </c>
      <c r="BA125" s="158">
        <f t="shared" si="996"/>
        <v>830.28000000000009</v>
      </c>
      <c r="BB125" s="158">
        <f t="shared" si="996"/>
        <v>683.298</v>
      </c>
      <c r="BC125" s="158">
        <f t="shared" si="996"/>
        <v>738.27599999999995</v>
      </c>
      <c r="BD125" s="158">
        <f t="shared" si="996"/>
        <v>723.69</v>
      </c>
      <c r="BE125" s="158">
        <f t="shared" si="996"/>
        <v>1273.47</v>
      </c>
      <c r="BF125" s="158">
        <f t="shared" si="996"/>
        <v>1231.9560000000001</v>
      </c>
      <c r="BG125" s="158">
        <f t="shared" si="996"/>
        <v>995.21400000000006</v>
      </c>
      <c r="BH125" s="158">
        <f t="shared" si="996"/>
        <v>826.35300000000007</v>
      </c>
      <c r="BI125" s="158">
        <f t="shared" si="996"/>
        <v>799.42500000000007</v>
      </c>
      <c r="BJ125" s="158">
        <f t="shared" si="996"/>
        <v>839.25599999999997</v>
      </c>
      <c r="BK125" s="158">
        <f t="shared" si="996"/>
        <v>745.00800000000015</v>
      </c>
      <c r="BL125" s="158">
        <f t="shared" si="996"/>
        <v>538.56000000000006</v>
      </c>
      <c r="BM125" s="158">
        <f t="shared" si="996"/>
        <v>451.60500000000002</v>
      </c>
      <c r="BN125" s="158">
        <f t="shared" si="996"/>
        <v>489.75299999999999</v>
      </c>
      <c r="BO125" s="158">
        <f t="shared" si="996"/>
        <v>345.57600000000002</v>
      </c>
      <c r="BP125" s="158">
        <f t="shared" si="996"/>
        <v>410.65200000000004</v>
      </c>
      <c r="BQ125" s="158">
        <f t="shared" si="996"/>
        <v>499.29</v>
      </c>
      <c r="BR125" s="158">
        <f t="shared" ref="BR125:CJ125" si="997">+BR96*BR83</f>
        <v>779.79000000000008</v>
      </c>
      <c r="BS125" s="158">
        <f t="shared" si="997"/>
        <v>1602.2160000000001</v>
      </c>
      <c r="BT125" s="158">
        <f t="shared" si="997"/>
        <v>2086.3589999999999</v>
      </c>
      <c r="BU125" s="158">
        <f t="shared" si="997"/>
        <v>2457.1800000000003</v>
      </c>
      <c r="BV125" s="158">
        <f t="shared" si="997"/>
        <v>2402.7630000000004</v>
      </c>
      <c r="BW125" s="158">
        <f t="shared" si="997"/>
        <v>3252.6779999999999</v>
      </c>
      <c r="BX125" s="158">
        <f t="shared" si="997"/>
        <v>4656.3</v>
      </c>
      <c r="BY125" s="158">
        <f t="shared" si="997"/>
        <v>5337.915</v>
      </c>
      <c r="BZ125" s="158">
        <f t="shared" si="997"/>
        <v>4862.1870000000008</v>
      </c>
      <c r="CA125" s="158">
        <f t="shared" si="997"/>
        <v>6731.4390000000012</v>
      </c>
      <c r="CB125" s="158">
        <f t="shared" si="997"/>
        <v>11033.748</v>
      </c>
      <c r="CC125" s="158">
        <f t="shared" si="997"/>
        <v>11080.311</v>
      </c>
      <c r="CD125" s="158">
        <f t="shared" si="997"/>
        <v>12572.01</v>
      </c>
      <c r="CE125" s="158">
        <f t="shared" si="997"/>
        <v>15483.6</v>
      </c>
      <c r="CF125" s="158">
        <f t="shared" si="997"/>
        <v>16044.6</v>
      </c>
      <c r="CG125" s="158">
        <f t="shared" si="997"/>
        <v>16579.794000000002</v>
      </c>
      <c r="CH125" s="158">
        <f t="shared" si="997"/>
        <v>14444.628000000002</v>
      </c>
      <c r="CI125" s="158">
        <f t="shared" si="997"/>
        <v>16079.382</v>
      </c>
      <c r="CJ125" s="158">
        <f t="shared" si="997"/>
        <v>15324.276</v>
      </c>
      <c r="CK125" s="158">
        <f t="shared" ref="CK125:CL125" si="998">+CK96*CK83</f>
        <v>14035.098000000002</v>
      </c>
      <c r="CL125" s="158">
        <f t="shared" si="998"/>
        <v>11930.226000000001</v>
      </c>
      <c r="CM125" s="21">
        <f t="shared" ref="CM125:DB125" si="999">+CM96*CM83</f>
        <v>12185.390718450173</v>
      </c>
      <c r="CN125" s="21">
        <f t="shared" si="999"/>
        <v>12573.27089292758</v>
      </c>
      <c r="CO125" s="21">
        <f t="shared" si="999"/>
        <v>13588.174377684023</v>
      </c>
      <c r="CP125" s="21">
        <f t="shared" si="999"/>
        <v>13703.384006383752</v>
      </c>
      <c r="CQ125" s="21">
        <f t="shared" si="999"/>
        <v>14119.580605484503</v>
      </c>
      <c r="CR125" s="21">
        <f t="shared" si="999"/>
        <v>14694.30832827676</v>
      </c>
      <c r="CS125" s="21">
        <f t="shared" si="999"/>
        <v>15360.965666757167</v>
      </c>
      <c r="CT125" s="21">
        <f t="shared" si="999"/>
        <v>15907.48581047474</v>
      </c>
      <c r="CU125" s="21">
        <f t="shared" si="999"/>
        <v>16487.561579023532</v>
      </c>
      <c r="CV125" s="21">
        <f t="shared" si="999"/>
        <v>17135.644183483724</v>
      </c>
      <c r="CW125" s="21">
        <f t="shared" si="999"/>
        <v>17820.445253117174</v>
      </c>
      <c r="CX125" s="21">
        <f t="shared" si="999"/>
        <v>18514.635870913011</v>
      </c>
      <c r="CY125" s="21">
        <f t="shared" si="999"/>
        <v>19185.492069297936</v>
      </c>
      <c r="CZ125" s="21">
        <f t="shared" si="999"/>
        <v>19880.594516103192</v>
      </c>
      <c r="DA125" s="21">
        <f t="shared" si="999"/>
        <v>20596.931585589904</v>
      </c>
      <c r="DB125" s="21">
        <f t="shared" si="999"/>
        <v>21321.518183587748</v>
      </c>
      <c r="DE125" s="22"/>
      <c r="DF125" s="158">
        <v>16079.382</v>
      </c>
    </row>
    <row r="126" spans="1:110" s="158" customFormat="1" x14ac:dyDescent="0.2">
      <c r="A126" s="49" t="s">
        <v>341</v>
      </c>
      <c r="B126" s="158">
        <f t="shared" ref="B126:AE126" si="1000">+B97*B83</f>
        <v>0.27201691500000019</v>
      </c>
      <c r="C126" s="158">
        <f t="shared" si="1000"/>
        <v>0.17412847499999981</v>
      </c>
      <c r="D126" s="158">
        <f t="shared" si="1000"/>
        <v>0.1317728999999998</v>
      </c>
      <c r="E126" s="158">
        <f t="shared" ca="1" si="1000"/>
        <v>5.3108000000000075</v>
      </c>
      <c r="F126" s="158">
        <f t="shared" ca="1" si="1000"/>
        <v>17.727600000000002</v>
      </c>
      <c r="G126" s="158">
        <f t="shared" ca="1" si="1000"/>
        <v>133.66760000000008</v>
      </c>
      <c r="H126" s="158">
        <f t="shared" ca="1" si="1000"/>
        <v>538.74699999999928</v>
      </c>
      <c r="I126" s="158">
        <f t="shared" ca="1" si="1000"/>
        <v>1335.9279999999994</v>
      </c>
      <c r="J126" s="158">
        <f t="shared" ca="1" si="1000"/>
        <v>267.59700000000004</v>
      </c>
      <c r="K126" s="158">
        <f t="shared" ca="1" si="1000"/>
        <v>342.77100000000002</v>
      </c>
      <c r="L126" s="158">
        <f t="shared" ca="1" si="1000"/>
        <v>665.346</v>
      </c>
      <c r="M126" s="158">
        <f t="shared" ca="1" si="1000"/>
        <v>561</v>
      </c>
      <c r="N126" s="158">
        <f t="shared" ca="1" si="1000"/>
        <v>339.96600000000001</v>
      </c>
      <c r="O126" s="158">
        <f t="shared" ca="1" si="1000"/>
        <v>208.69200000000004</v>
      </c>
      <c r="P126" s="158">
        <f t="shared" ca="1" si="1000"/>
        <v>373.065</v>
      </c>
      <c r="Q126" s="158">
        <f t="shared" ca="1" si="1000"/>
        <v>479.09400000000005</v>
      </c>
      <c r="R126" s="158">
        <f t="shared" ca="1" si="1000"/>
        <v>509.38800000000003</v>
      </c>
      <c r="S126" s="158">
        <f t="shared" ca="1" si="1000"/>
        <v>504.90000000000003</v>
      </c>
      <c r="T126" s="158">
        <f t="shared" ca="1" si="1000"/>
        <v>543.60900000000004</v>
      </c>
      <c r="U126" s="158">
        <f t="shared" ca="1" si="1000"/>
        <v>154.27500000000001</v>
      </c>
      <c r="V126" s="158">
        <f t="shared" ca="1" si="1000"/>
        <v>195.22800000000001</v>
      </c>
      <c r="W126" s="158">
        <f t="shared" ca="1" si="1000"/>
        <v>689.46900000000005</v>
      </c>
      <c r="X126" s="158">
        <f t="shared" ca="1" si="1000"/>
        <v>1604.46</v>
      </c>
      <c r="Y126" s="158">
        <f t="shared" ca="1" si="1000"/>
        <v>4264.1610000000001</v>
      </c>
      <c r="Z126" s="158">
        <f t="shared" ca="1" si="1000"/>
        <v>8490.1740000000009</v>
      </c>
      <c r="AA126" s="158">
        <f t="shared" ref="AA126" ca="1" si="1001">+AA97*AA83</f>
        <v>8490.1740000000009</v>
      </c>
      <c r="AB126" s="21">
        <f t="shared" ca="1" si="1000"/>
        <v>8067.8219371662954</v>
      </c>
      <c r="AC126" s="21">
        <f t="shared" ca="1" si="1000"/>
        <v>9348.4291792166769</v>
      </c>
      <c r="AD126" s="21">
        <f t="shared" ca="1" si="1000"/>
        <v>10916.245040564812</v>
      </c>
      <c r="AE126" s="21">
        <f t="shared" ca="1" si="1000"/>
        <v>12702.517085287078</v>
      </c>
      <c r="AL126" s="158">
        <f t="shared" ref="AL126:BQ126" si="1002">+AL97*AL83</f>
        <v>339.96600000000001</v>
      </c>
      <c r="AM126" s="158">
        <f t="shared" si="1002"/>
        <v>304.62299999999999</v>
      </c>
      <c r="AN126" s="158">
        <f t="shared" si="1002"/>
        <v>208.69200000000004</v>
      </c>
      <c r="AO126" s="158">
        <f t="shared" si="1002"/>
        <v>284.988</v>
      </c>
      <c r="AP126" s="158">
        <f t="shared" si="1002"/>
        <v>263.67</v>
      </c>
      <c r="AQ126" s="158">
        <f t="shared" si="1002"/>
        <v>373.065</v>
      </c>
      <c r="AR126" s="158">
        <f t="shared" si="1002"/>
        <v>484.70400000000006</v>
      </c>
      <c r="AS126" s="158">
        <f t="shared" si="1002"/>
        <v>500.41200000000003</v>
      </c>
      <c r="AT126" s="158">
        <f t="shared" si="1002"/>
        <v>537.43799999999999</v>
      </c>
      <c r="AU126" s="158">
        <f t="shared" si="1002"/>
        <v>653.56500000000005</v>
      </c>
      <c r="AV126" s="158">
        <f t="shared" si="1002"/>
        <v>693.39599999999996</v>
      </c>
      <c r="AW126" s="158">
        <f t="shared" si="1002"/>
        <v>801.10800000000006</v>
      </c>
      <c r="AX126" s="158">
        <f t="shared" si="1002"/>
        <v>479.09400000000005</v>
      </c>
      <c r="AY126" s="158">
        <f t="shared" si="1002"/>
        <v>608.12400000000002</v>
      </c>
      <c r="AZ126" s="158">
        <f t="shared" si="1002"/>
        <v>614.85599999999999</v>
      </c>
      <c r="BA126" s="158">
        <f t="shared" si="1002"/>
        <v>509.38800000000003</v>
      </c>
      <c r="BB126" s="158">
        <f t="shared" si="1002"/>
        <v>572.22</v>
      </c>
      <c r="BC126" s="158">
        <f t="shared" si="1002"/>
        <v>612.05100000000004</v>
      </c>
      <c r="BD126" s="158">
        <f t="shared" si="1002"/>
        <v>504.90000000000003</v>
      </c>
      <c r="BE126" s="158">
        <f t="shared" si="1002"/>
        <v>622.14900000000011</v>
      </c>
      <c r="BF126" s="158">
        <f t="shared" si="1002"/>
        <v>775.86300000000006</v>
      </c>
      <c r="BG126" s="158">
        <f t="shared" si="1002"/>
        <v>637.85700000000008</v>
      </c>
      <c r="BH126" s="158">
        <f t="shared" si="1002"/>
        <v>586.245</v>
      </c>
      <c r="BI126" s="158">
        <f t="shared" si="1002"/>
        <v>543.60900000000004</v>
      </c>
      <c r="BJ126" s="158">
        <f t="shared" si="1002"/>
        <v>591.2940000000001</v>
      </c>
      <c r="BK126" s="158">
        <f t="shared" si="1002"/>
        <v>485.26500000000004</v>
      </c>
      <c r="BL126" s="158">
        <f t="shared" si="1002"/>
        <v>279.93900000000002</v>
      </c>
      <c r="BM126" s="158">
        <f t="shared" si="1002"/>
        <v>319.77000000000004</v>
      </c>
      <c r="BN126" s="158">
        <f t="shared" si="1002"/>
        <v>154.27500000000001</v>
      </c>
      <c r="BO126" s="158">
        <f t="shared" si="1002"/>
        <v>195.22800000000001</v>
      </c>
      <c r="BP126" s="158">
        <f t="shared" si="1002"/>
        <v>268.15800000000002</v>
      </c>
      <c r="BQ126" s="158">
        <f t="shared" si="1002"/>
        <v>241.23000000000002</v>
      </c>
      <c r="BR126" s="158">
        <f t="shared" ref="BR126:CJ126" si="1003">+BR97*BR83</f>
        <v>460.58100000000002</v>
      </c>
      <c r="BS126" s="158">
        <f t="shared" si="1003"/>
        <v>689.46900000000005</v>
      </c>
      <c r="BT126" s="158">
        <f t="shared" si="1003"/>
        <v>1394.085</v>
      </c>
      <c r="BU126" s="158">
        <f t="shared" si="1003"/>
        <v>1597.7280000000001</v>
      </c>
      <c r="BV126" s="158">
        <f t="shared" si="1003"/>
        <v>1450.7460000000003</v>
      </c>
      <c r="BW126" s="158">
        <f t="shared" si="1003"/>
        <v>1604.46</v>
      </c>
      <c r="BX126" s="158">
        <f t="shared" si="1003"/>
        <v>2849.88</v>
      </c>
      <c r="BY126" s="158">
        <f t="shared" si="1003"/>
        <v>3570.7650000000003</v>
      </c>
      <c r="BZ126" s="158">
        <f t="shared" si="1003"/>
        <v>3925.8780000000002</v>
      </c>
      <c r="CA126" s="158">
        <f t="shared" si="1003"/>
        <v>4264.1610000000001</v>
      </c>
      <c r="CB126" s="158">
        <f t="shared" si="1003"/>
        <v>6586.701</v>
      </c>
      <c r="CC126" s="158">
        <f t="shared" si="1003"/>
        <v>8011.0800000000008</v>
      </c>
      <c r="CD126" s="158">
        <f t="shared" si="1003"/>
        <v>8864.9220000000005</v>
      </c>
      <c r="CE126" s="158">
        <f t="shared" si="1003"/>
        <v>10143.441000000001</v>
      </c>
      <c r="CF126" s="158">
        <f t="shared" si="1003"/>
        <v>12487.86</v>
      </c>
      <c r="CG126" s="158">
        <f t="shared" si="1003"/>
        <v>11867.394000000002</v>
      </c>
      <c r="CH126" s="158">
        <f t="shared" si="1003"/>
        <v>8490.1740000000009</v>
      </c>
      <c r="CI126" s="158">
        <f t="shared" si="1003"/>
        <v>7810.2420000000011</v>
      </c>
      <c r="CJ126" s="158">
        <f t="shared" si="1003"/>
        <v>11927.982</v>
      </c>
      <c r="CK126" s="158">
        <f t="shared" ref="CK126:CL126" si="1004">+CK97*CK83</f>
        <v>10347.084000000001</v>
      </c>
      <c r="CL126" s="158">
        <f t="shared" si="1004"/>
        <v>7898.88</v>
      </c>
      <c r="CM126" s="21">
        <f t="shared" ref="CM126:DB126" si="1005">+CM97*CM83</f>
        <v>8067.8219371662954</v>
      </c>
      <c r="CN126" s="21">
        <f t="shared" si="1005"/>
        <v>8324.633413543701</v>
      </c>
      <c r="CO126" s="21">
        <f t="shared" si="1005"/>
        <v>8996.5905782841637</v>
      </c>
      <c r="CP126" s="21">
        <f t="shared" si="1005"/>
        <v>9072.86968916972</v>
      </c>
      <c r="CQ126" s="21">
        <f t="shared" si="1005"/>
        <v>9348.4291792166769</v>
      </c>
      <c r="CR126" s="21">
        <f t="shared" si="1005"/>
        <v>9728.9504966677705</v>
      </c>
      <c r="CS126" s="21">
        <f t="shared" si="1005"/>
        <v>10170.337467692134</v>
      </c>
      <c r="CT126" s="21">
        <f t="shared" si="1005"/>
        <v>10532.182836992588</v>
      </c>
      <c r="CU126" s="21">
        <f t="shared" si="1005"/>
        <v>10916.245040564816</v>
      </c>
      <c r="CV126" s="21">
        <f t="shared" si="1005"/>
        <v>11345.333871130013</v>
      </c>
      <c r="CW126" s="21">
        <f t="shared" si="1005"/>
        <v>11798.733620045603</v>
      </c>
      <c r="CX126" s="21">
        <f t="shared" si="1005"/>
        <v>12258.350092281353</v>
      </c>
      <c r="CY126" s="21">
        <f t="shared" si="1005"/>
        <v>12702.517085287076</v>
      </c>
      <c r="CZ126" s="21">
        <f t="shared" si="1005"/>
        <v>13162.737270136977</v>
      </c>
      <c r="DA126" s="21">
        <f t="shared" si="1005"/>
        <v>13637.016680386809</v>
      </c>
      <c r="DB126" s="21">
        <f t="shared" si="1005"/>
        <v>14116.758018664323</v>
      </c>
      <c r="DE126" s="22"/>
      <c r="DF126" s="158">
        <v>7810.2420000000011</v>
      </c>
    </row>
    <row r="127" spans="1:110" s="158" customFormat="1" x14ac:dyDescent="0.2">
      <c r="A127" s="49" t="s">
        <v>80</v>
      </c>
      <c r="B127" s="158">
        <f>+B186</f>
        <v>56.422837400000006</v>
      </c>
      <c r="C127" s="158">
        <f t="shared" ref="C127:W127" si="1006">+C186</f>
        <v>54.375205099999995</v>
      </c>
      <c r="D127" s="158">
        <f t="shared" si="1006"/>
        <v>55.429872799999998</v>
      </c>
      <c r="E127" s="158">
        <f t="shared" si="1006"/>
        <v>66.195261299999999</v>
      </c>
      <c r="F127" s="158">
        <f t="shared" si="1006"/>
        <v>87.674899999999994</v>
      </c>
      <c r="G127" s="158">
        <f t="shared" si="1006"/>
        <v>181.03370000000001</v>
      </c>
      <c r="H127" s="158">
        <f t="shared" si="1006"/>
        <v>270.90050000000002</v>
      </c>
      <c r="I127" s="158">
        <f t="shared" si="1006"/>
        <v>401.73849999999999</v>
      </c>
      <c r="J127" s="158">
        <f t="shared" si="1006"/>
        <v>531.02329999999995</v>
      </c>
      <c r="K127" s="158">
        <f t="shared" si="1006"/>
        <v>482.76340000000005</v>
      </c>
      <c r="L127" s="158">
        <f t="shared" si="1006"/>
        <v>620.72990000000004</v>
      </c>
      <c r="M127" s="158">
        <f t="shared" si="1006"/>
        <v>638.46840000000009</v>
      </c>
      <c r="N127" s="158">
        <f t="shared" si="1006"/>
        <v>657.16760000000011</v>
      </c>
      <c r="O127" s="158">
        <f t="shared" si="1006"/>
        <v>601.48210000000006</v>
      </c>
      <c r="P127" s="158">
        <f t="shared" si="1006"/>
        <v>510.9174999999999</v>
      </c>
      <c r="Q127" s="158">
        <f t="shared" si="1006"/>
        <v>583.71029999999996</v>
      </c>
      <c r="R127" s="158">
        <f t="shared" si="1006"/>
        <v>490.89170000000001</v>
      </c>
      <c r="S127" s="158">
        <f t="shared" si="1006"/>
        <v>507.72019999999998</v>
      </c>
      <c r="T127" s="158">
        <f t="shared" si="1006"/>
        <v>472.56989999999996</v>
      </c>
      <c r="U127" s="158">
        <f t="shared" si="1006"/>
        <v>312.56060000000002</v>
      </c>
      <c r="V127" s="158">
        <f t="shared" si="1006"/>
        <v>144.70529999999999</v>
      </c>
      <c r="W127" s="158">
        <f t="shared" si="1006"/>
        <v>-12.116899999999987</v>
      </c>
      <c r="X127" s="158">
        <f t="shared" ref="X127:Y127" si="1007">+X186</f>
        <v>-229.43</v>
      </c>
      <c r="Y127" s="158">
        <f t="shared" si="1007"/>
        <v>-466.59000000000003</v>
      </c>
      <c r="Z127" s="158">
        <f t="shared" ref="Z127:AA127" si="1008">+Z186</f>
        <v>-769.68000000000006</v>
      </c>
      <c r="AA127" s="158">
        <f t="shared" ref="AA127" si="1009">+AA186</f>
        <v>-807</v>
      </c>
      <c r="AB127" s="21">
        <f t="shared" ref="AB127:AD127" si="1010">+AB186</f>
        <v>-1328.669762063369</v>
      </c>
      <c r="AC127" s="21">
        <f t="shared" si="1010"/>
        <v>-1826.5359213535387</v>
      </c>
      <c r="AD127" s="21">
        <f t="shared" si="1010"/>
        <v>-2381.8474756066184</v>
      </c>
      <c r="AE127" s="21">
        <f t="shared" ref="AE127" si="1011">+AE186</f>
        <v>-3000.8574836904704</v>
      </c>
      <c r="AL127" s="158">
        <f t="shared" ref="AL127:AM127" si="1012">+AL186</f>
        <v>583.62400000000002</v>
      </c>
      <c r="AM127" s="158">
        <f t="shared" si="1012"/>
        <v>290.60669641351285</v>
      </c>
      <c r="AN127" s="158">
        <f t="shared" ref="AN127:AO127" si="1013">+AN186</f>
        <v>249.547</v>
      </c>
      <c r="AO127" s="158">
        <f t="shared" si="1013"/>
        <v>241.26543022937722</v>
      </c>
      <c r="AP127" s="158">
        <f t="shared" ref="AP127:CD127" si="1014">+AP186</f>
        <v>545.51700000000005</v>
      </c>
      <c r="AQ127" s="158">
        <f t="shared" si="1014"/>
        <v>1013.155604499537</v>
      </c>
      <c r="AR127" s="158">
        <f t="shared" si="1014"/>
        <v>205.97200000000001</v>
      </c>
      <c r="AS127" s="158">
        <f t="shared" si="1014"/>
        <v>211.26883570803705</v>
      </c>
      <c r="AT127" s="158">
        <f t="shared" si="1014"/>
        <v>462.029</v>
      </c>
      <c r="AU127" s="158">
        <f t="shared" si="1014"/>
        <v>157.7363148725621</v>
      </c>
      <c r="AV127" s="158">
        <f t="shared" si="1014"/>
        <v>549.44799999999998</v>
      </c>
      <c r="AW127" s="158">
        <f t="shared" si="1014"/>
        <v>606.05500708834211</v>
      </c>
      <c r="AX127" s="158">
        <f t="shared" si="1014"/>
        <v>529.34900000000005</v>
      </c>
      <c r="AY127" s="158">
        <f t="shared" si="1014"/>
        <v>296.37628896277249</v>
      </c>
      <c r="AZ127" s="158">
        <f t="shared" si="1014"/>
        <v>484.48600000000005</v>
      </c>
      <c r="BA127" s="158">
        <f t="shared" si="1014"/>
        <v>544.66990874028556</v>
      </c>
      <c r="BB127" s="158">
        <f t="shared" si="1014"/>
        <v>410.59000000000003</v>
      </c>
      <c r="BC127" s="158">
        <f t="shared" si="1014"/>
        <v>234.4109960214488</v>
      </c>
      <c r="BD127" s="158">
        <f t="shared" si="1014"/>
        <v>431.12699999999995</v>
      </c>
      <c r="BE127" s="158">
        <f t="shared" si="1014"/>
        <v>449.70101515958851</v>
      </c>
      <c r="BF127" s="158">
        <f t="shared" si="1014"/>
        <v>461.61099999999999</v>
      </c>
      <c r="BG127" s="158">
        <f t="shared" si="1014"/>
        <v>317.39773692421738</v>
      </c>
      <c r="BH127" s="158">
        <f t="shared" si="1014"/>
        <v>389.13</v>
      </c>
      <c r="BI127" s="158">
        <f t="shared" si="1014"/>
        <v>311.95726972874064</v>
      </c>
      <c r="BJ127" s="158">
        <f t="shared" si="1014"/>
        <v>449.69799999999998</v>
      </c>
      <c r="BK127" s="158">
        <f t="shared" si="1014"/>
        <v>361.09317186199326</v>
      </c>
      <c r="BL127" s="158">
        <f t="shared" si="1014"/>
        <v>373.84300000000002</v>
      </c>
      <c r="BM127" s="158">
        <f t="shared" si="1014"/>
        <v>387.97750958254585</v>
      </c>
      <c r="BN127" s="158">
        <f t="shared" si="1014"/>
        <v>294.08999999999997</v>
      </c>
      <c r="BO127" s="158">
        <f t="shared" si="1014"/>
        <v>115.82826901159797</v>
      </c>
      <c r="BP127" s="158">
        <f t="shared" si="1014"/>
        <v>235.51699999999997</v>
      </c>
      <c r="BQ127" s="158">
        <f t="shared" si="1014"/>
        <v>260.69600248052359</v>
      </c>
      <c r="BR127" s="158">
        <f t="shared" si="1014"/>
        <v>144.70499999999998</v>
      </c>
      <c r="BS127" s="158">
        <f t="shared" si="1014"/>
        <v>64.150931602938243</v>
      </c>
      <c r="BT127" s="158">
        <f t="shared" si="1014"/>
        <v>55.299000000000007</v>
      </c>
      <c r="BU127" s="158">
        <f t="shared" si="1014"/>
        <v>-17.936250994353969</v>
      </c>
      <c r="BV127" s="158">
        <f t="shared" si="1014"/>
        <v>-12.116</v>
      </c>
      <c r="BW127" s="158">
        <f t="shared" si="1014"/>
        <v>-59.089901063268286</v>
      </c>
      <c r="BX127" s="158">
        <f t="shared" si="1014"/>
        <v>-106.21599999999999</v>
      </c>
      <c r="BY127" s="158">
        <f t="shared" si="1014"/>
        <v>-168.70790802645467</v>
      </c>
      <c r="BZ127" s="158">
        <f t="shared" si="1014"/>
        <v>-229.43</v>
      </c>
      <c r="CA127" s="158">
        <f t="shared" si="1014"/>
        <v>-312.69090921939039</v>
      </c>
      <c r="CB127" s="158">
        <f t="shared" si="1014"/>
        <v>-356.77000000000004</v>
      </c>
      <c r="CC127" s="158">
        <f t="shared" si="1014"/>
        <v>-456.73965972365443</v>
      </c>
      <c r="CD127" s="158">
        <f t="shared" si="1014"/>
        <v>-466.59000000000003</v>
      </c>
      <c r="CE127" s="158">
        <f t="shared" ref="CE127:CF127" si="1015">+CE186</f>
        <v>-688.50754631433529</v>
      </c>
      <c r="CF127" s="158">
        <f t="shared" si="1015"/>
        <v>-531.68000000000006</v>
      </c>
      <c r="CG127" s="158">
        <f t="shared" ref="CG127:CH127" si="1016">+CG186</f>
        <v>-618.61619002637087</v>
      </c>
      <c r="CH127" s="158">
        <f t="shared" si="1016"/>
        <v>-769.68000000000006</v>
      </c>
      <c r="CI127" s="158">
        <f t="shared" ref="CI127:CJ127" si="1017">+CI186</f>
        <v>-1065.9205915468237</v>
      </c>
      <c r="CJ127" s="158">
        <f t="shared" si="1017"/>
        <v>-819.06</v>
      </c>
      <c r="CK127" s="158">
        <f t="shared" ref="CK127:CL127" si="1018">+CK186</f>
        <v>-943.36764378254009</v>
      </c>
      <c r="CL127" s="158">
        <f t="shared" si="1018"/>
        <v>-807</v>
      </c>
      <c r="CM127" s="21">
        <f t="shared" ref="CM127:DB127" si="1019">+CM186</f>
        <v>-982.81686307452719</v>
      </c>
      <c r="CN127" s="21">
        <f t="shared" si="1019"/>
        <v>-1112.0844679405786</v>
      </c>
      <c r="CO127" s="21">
        <f t="shared" si="1019"/>
        <v>-1225.1045346444334</v>
      </c>
      <c r="CP127" s="21">
        <f t="shared" si="1019"/>
        <v>-1328.669762063369</v>
      </c>
      <c r="CQ127" s="21">
        <f t="shared" si="1019"/>
        <v>-1452.3265640307307</v>
      </c>
      <c r="CR127" s="21">
        <f t="shared" si="1019"/>
        <v>-1584.0118087017404</v>
      </c>
      <c r="CS127" s="21">
        <f t="shared" si="1019"/>
        <v>-1699.0948248626069</v>
      </c>
      <c r="CT127" s="21">
        <f t="shared" si="1019"/>
        <v>-1826.5359213535387</v>
      </c>
      <c r="CU127" s="21">
        <f t="shared" si="1019"/>
        <v>-1966.1672088353014</v>
      </c>
      <c r="CV127" s="21">
        <f t="shared" si="1019"/>
        <v>-2108.196163813137</v>
      </c>
      <c r="CW127" s="21">
        <f t="shared" si="1019"/>
        <v>-2236.1651426214721</v>
      </c>
      <c r="CX127" s="21">
        <f t="shared" si="1019"/>
        <v>-2381.8474756066184</v>
      </c>
      <c r="CY127" s="21">
        <f t="shared" si="1019"/>
        <v>-2536.9890380742686</v>
      </c>
      <c r="CZ127" s="21">
        <f t="shared" si="1019"/>
        <v>-2694.4544232976696</v>
      </c>
      <c r="DA127" s="21">
        <f t="shared" si="1019"/>
        <v>-2837.7231947863861</v>
      </c>
      <c r="DB127" s="21">
        <f t="shared" si="1019"/>
        <v>-3000.8574836904704</v>
      </c>
      <c r="DE127" s="22"/>
      <c r="DF127" s="158">
        <v>-807</v>
      </c>
    </row>
    <row r="128" spans="1:110" s="158" customFormat="1" x14ac:dyDescent="0.2">
      <c r="A128" s="49" t="s">
        <v>342</v>
      </c>
      <c r="B128" s="158">
        <f>+B125+B127</f>
        <v>57.226652090000002</v>
      </c>
      <c r="C128" s="158">
        <f t="shared" ref="C128:W128" si="1020">+C125+C127</f>
        <v>54.729109459999997</v>
      </c>
      <c r="D128" s="158">
        <f t="shared" si="1020"/>
        <v>55.858134724999999</v>
      </c>
      <c r="E128" s="158">
        <f t="shared" ca="1" si="1020"/>
        <v>105.8018613</v>
      </c>
      <c r="F128" s="158">
        <f t="shared" ca="1" si="1020"/>
        <v>230.46809999999994</v>
      </c>
      <c r="G128" s="158">
        <f t="shared" ca="1" si="1020"/>
        <v>1249.1777</v>
      </c>
      <c r="H128" s="158">
        <f t="shared" ca="1" si="1020"/>
        <v>2057.8724999999995</v>
      </c>
      <c r="I128" s="158">
        <f t="shared" ca="1" si="1020"/>
        <v>4250.1985000000004</v>
      </c>
      <c r="J128" s="158">
        <f t="shared" ca="1" si="1020"/>
        <v>2775.0232999999998</v>
      </c>
      <c r="K128" s="158">
        <f t="shared" ca="1" si="1020"/>
        <v>1726.5004000000001</v>
      </c>
      <c r="L128" s="158">
        <f t="shared" ca="1" si="1020"/>
        <v>1784.2439000000002</v>
      </c>
      <c r="M128" s="158">
        <f t="shared" ca="1" si="1020"/>
        <v>1603.3884000000003</v>
      </c>
      <c r="N128" s="158">
        <f t="shared" ca="1" si="1020"/>
        <v>1352.8076000000001</v>
      </c>
      <c r="O128" s="158">
        <f t="shared" ca="1" si="1020"/>
        <v>1031.2081000000001</v>
      </c>
      <c r="P128" s="158">
        <f t="shared" ca="1" si="1020"/>
        <v>1316.5135</v>
      </c>
      <c r="Q128" s="158">
        <f t="shared" ca="1" si="1020"/>
        <v>1672.0503000000001</v>
      </c>
      <c r="R128" s="158">
        <f t="shared" ca="1" si="1020"/>
        <v>1321.1717000000001</v>
      </c>
      <c r="S128" s="158">
        <f t="shared" ca="1" si="1020"/>
        <v>1781.1902</v>
      </c>
      <c r="T128" s="158">
        <f t="shared" ca="1" si="1020"/>
        <v>1467.7838999999999</v>
      </c>
      <c r="U128" s="158">
        <f t="shared" ca="1" si="1020"/>
        <v>1057.5686000000001</v>
      </c>
      <c r="V128" s="158">
        <f t="shared" ca="1" si="1020"/>
        <v>924.49530000000004</v>
      </c>
      <c r="W128" s="158">
        <f t="shared" ca="1" si="1020"/>
        <v>2445.0631000000003</v>
      </c>
      <c r="X128" s="158">
        <f t="shared" ref="X128:Y128" ca="1" si="1021">+X125+X127</f>
        <v>5108.4849999999997</v>
      </c>
      <c r="Y128" s="158">
        <f t="shared" ca="1" si="1021"/>
        <v>12105.42</v>
      </c>
      <c r="Z128" s="158">
        <f t="shared" ref="Z128:AA128" ca="1" si="1022">+Z125+Z127</f>
        <v>15810.114000000001</v>
      </c>
      <c r="AA128" s="158">
        <f t="shared" ref="AA128" ca="1" si="1023">+AA125+AA127</f>
        <v>15810.114000000001</v>
      </c>
      <c r="AB128" s="21">
        <f t="shared" ref="AB128:AD128" ca="1" si="1024">+AB125+AB127</f>
        <v>12374.714244320383</v>
      </c>
      <c r="AC128" s="21">
        <f t="shared" ca="1" si="1024"/>
        <v>14080.949889121201</v>
      </c>
      <c r="AD128" s="21">
        <f t="shared" ca="1" si="1024"/>
        <v>16132.788395306392</v>
      </c>
      <c r="AE128" s="21">
        <f t="shared" ref="AE128" ca="1" si="1025">+AE125+AE127</f>
        <v>18320.660699897271</v>
      </c>
      <c r="AL128" s="158">
        <f t="shared" ref="AL128" si="1026">+AL125+AL127</f>
        <v>1141.258</v>
      </c>
      <c r="AM128" s="158">
        <f t="shared" ref="AM128:AO128" si="1027">+AM125+AM127</f>
        <v>720.33269641351285</v>
      </c>
      <c r="AN128" s="158">
        <f t="shared" si="1027"/>
        <v>580.53700000000003</v>
      </c>
      <c r="AO128" s="158">
        <f t="shared" si="1027"/>
        <v>626.11143022937722</v>
      </c>
      <c r="AP128" s="158">
        <f t="shared" ref="AP128:CD128" si="1028">+AP125+AP127</f>
        <v>950.55900000000008</v>
      </c>
      <c r="AQ128" s="158">
        <f t="shared" si="1028"/>
        <v>1803.0436044995372</v>
      </c>
      <c r="AR128" s="158">
        <f t="shared" si="1028"/>
        <v>975.10299999999995</v>
      </c>
      <c r="AS128" s="158">
        <f t="shared" si="1028"/>
        <v>865.39483570803702</v>
      </c>
      <c r="AT128" s="158">
        <f t="shared" si="1028"/>
        <v>1267.625</v>
      </c>
      <c r="AU128" s="158">
        <f t="shared" si="1028"/>
        <v>1103.0213148725622</v>
      </c>
      <c r="AV128" s="158">
        <f t="shared" si="1028"/>
        <v>1637.788</v>
      </c>
      <c r="AW128" s="158">
        <f t="shared" si="1028"/>
        <v>1646.7100070883421</v>
      </c>
      <c r="AX128" s="158">
        <f t="shared" si="1028"/>
        <v>1491.4639999999999</v>
      </c>
      <c r="AY128" s="158">
        <f t="shared" si="1028"/>
        <v>1043.6282889627723</v>
      </c>
      <c r="AZ128" s="158">
        <f t="shared" si="1028"/>
        <v>1235.104</v>
      </c>
      <c r="BA128" s="158">
        <f t="shared" si="1028"/>
        <v>1374.9499087402855</v>
      </c>
      <c r="BB128" s="158">
        <f t="shared" si="1028"/>
        <v>1093.8879999999999</v>
      </c>
      <c r="BC128" s="158">
        <f t="shared" si="1028"/>
        <v>972.68699602144875</v>
      </c>
      <c r="BD128" s="158">
        <f t="shared" si="1028"/>
        <v>1154.817</v>
      </c>
      <c r="BE128" s="158">
        <f t="shared" si="1028"/>
        <v>1723.1710151595885</v>
      </c>
      <c r="BF128" s="158">
        <f t="shared" si="1028"/>
        <v>1693.567</v>
      </c>
      <c r="BG128" s="158">
        <f t="shared" si="1028"/>
        <v>1312.6117369242174</v>
      </c>
      <c r="BH128" s="158">
        <f t="shared" si="1028"/>
        <v>1215.4830000000002</v>
      </c>
      <c r="BI128" s="158">
        <f t="shared" si="1028"/>
        <v>1111.3822697287408</v>
      </c>
      <c r="BJ128" s="158">
        <f t="shared" si="1028"/>
        <v>1288.954</v>
      </c>
      <c r="BK128" s="158">
        <f t="shared" si="1028"/>
        <v>1106.1011718619934</v>
      </c>
      <c r="BL128" s="158">
        <f t="shared" si="1028"/>
        <v>912.40300000000002</v>
      </c>
      <c r="BM128" s="158">
        <f t="shared" si="1028"/>
        <v>839.58250958254587</v>
      </c>
      <c r="BN128" s="158">
        <f t="shared" si="1028"/>
        <v>783.84299999999996</v>
      </c>
      <c r="BO128" s="158">
        <f t="shared" si="1028"/>
        <v>461.40426901159799</v>
      </c>
      <c r="BP128" s="158">
        <f t="shared" si="1028"/>
        <v>646.16899999999998</v>
      </c>
      <c r="BQ128" s="158">
        <f t="shared" si="1028"/>
        <v>759.98600248052367</v>
      </c>
      <c r="BR128" s="158">
        <f t="shared" si="1028"/>
        <v>924.49500000000012</v>
      </c>
      <c r="BS128" s="158">
        <f t="shared" si="1028"/>
        <v>1666.3669316029384</v>
      </c>
      <c r="BT128" s="158">
        <f t="shared" si="1028"/>
        <v>2141.6579999999999</v>
      </c>
      <c r="BU128" s="158">
        <f t="shared" si="1028"/>
        <v>2439.2437490056464</v>
      </c>
      <c r="BV128" s="158">
        <f t="shared" si="1028"/>
        <v>2390.6470000000004</v>
      </c>
      <c r="BW128" s="158">
        <f t="shared" si="1028"/>
        <v>3193.5880989367315</v>
      </c>
      <c r="BX128" s="158">
        <f t="shared" si="1028"/>
        <v>4550.0839999999998</v>
      </c>
      <c r="BY128" s="158">
        <f t="shared" si="1028"/>
        <v>5169.2070919735452</v>
      </c>
      <c r="BZ128" s="158">
        <f t="shared" si="1028"/>
        <v>4632.7570000000005</v>
      </c>
      <c r="CA128" s="158">
        <f t="shared" si="1028"/>
        <v>6418.7480907806112</v>
      </c>
      <c r="CB128" s="158">
        <f t="shared" si="1028"/>
        <v>10676.977999999999</v>
      </c>
      <c r="CC128" s="158">
        <f t="shared" si="1028"/>
        <v>10623.571340276345</v>
      </c>
      <c r="CD128" s="158">
        <f t="shared" si="1028"/>
        <v>12105.42</v>
      </c>
      <c r="CE128" s="158">
        <f t="shared" ref="CE128:CF128" si="1029">+CE125+CE127</f>
        <v>14795.092453685666</v>
      </c>
      <c r="CF128" s="158">
        <f t="shared" si="1029"/>
        <v>15512.92</v>
      </c>
      <c r="CG128" s="158">
        <f t="shared" ref="CG128:CH128" si="1030">+CG125+CG127</f>
        <v>15961.177809973631</v>
      </c>
      <c r="CH128" s="158">
        <f t="shared" si="1030"/>
        <v>13674.948000000002</v>
      </c>
      <c r="CI128" s="158">
        <f t="shared" ref="CI128:CJ128" si="1031">+CI125+CI127</f>
        <v>15013.461408453175</v>
      </c>
      <c r="CJ128" s="158">
        <f t="shared" si="1031"/>
        <v>14505.216</v>
      </c>
      <c r="CK128" s="158">
        <f t="shared" ref="CK128:CL128" si="1032">+CK125+CK127</f>
        <v>13091.730356217462</v>
      </c>
      <c r="CL128" s="158">
        <f t="shared" si="1032"/>
        <v>11123.226000000001</v>
      </c>
      <c r="CM128" s="21">
        <f t="shared" ref="CM128:DB128" si="1033">+CM125+CM127</f>
        <v>11202.573855375646</v>
      </c>
      <c r="CN128" s="21">
        <f t="shared" si="1033"/>
        <v>11461.186424987001</v>
      </c>
      <c r="CO128" s="21">
        <f t="shared" si="1033"/>
        <v>12363.06984303959</v>
      </c>
      <c r="CP128" s="21">
        <f t="shared" si="1033"/>
        <v>12374.714244320383</v>
      </c>
      <c r="CQ128" s="21">
        <f t="shared" si="1033"/>
        <v>12667.254041453773</v>
      </c>
      <c r="CR128" s="21">
        <f t="shared" si="1033"/>
        <v>13110.29651957502</v>
      </c>
      <c r="CS128" s="21">
        <f t="shared" si="1033"/>
        <v>13661.870841894561</v>
      </c>
      <c r="CT128" s="21">
        <f t="shared" si="1033"/>
        <v>14080.949889121201</v>
      </c>
      <c r="CU128" s="21">
        <f t="shared" si="1033"/>
        <v>14521.394370188231</v>
      </c>
      <c r="CV128" s="21">
        <f t="shared" si="1033"/>
        <v>15027.448019670588</v>
      </c>
      <c r="CW128" s="21">
        <f t="shared" si="1033"/>
        <v>15584.280110495702</v>
      </c>
      <c r="CX128" s="21">
        <f t="shared" si="1033"/>
        <v>16132.788395306392</v>
      </c>
      <c r="CY128" s="21">
        <f t="shared" si="1033"/>
        <v>16648.503031223667</v>
      </c>
      <c r="CZ128" s="21">
        <f t="shared" si="1033"/>
        <v>17186.140092805523</v>
      </c>
      <c r="DA128" s="21">
        <f t="shared" si="1033"/>
        <v>17759.208390803517</v>
      </c>
      <c r="DB128" s="21">
        <f t="shared" si="1033"/>
        <v>18320.660699897278</v>
      </c>
      <c r="DE128" s="22"/>
      <c r="DF128" s="158">
        <v>15272.382</v>
      </c>
    </row>
    <row r="129" spans="1:110" s="158" customFormat="1" x14ac:dyDescent="0.2">
      <c r="A129" s="49" t="s">
        <v>345</v>
      </c>
      <c r="B129" s="158">
        <f>+B126+B127</f>
        <v>56.694854315000008</v>
      </c>
      <c r="C129" s="158">
        <f t="shared" ref="C129:W129" si="1034">+C126+C127</f>
        <v>54.549333574999991</v>
      </c>
      <c r="D129" s="158">
        <f t="shared" si="1034"/>
        <v>55.5616457</v>
      </c>
      <c r="E129" s="158">
        <f t="shared" ca="1" si="1034"/>
        <v>71.506061299999999</v>
      </c>
      <c r="F129" s="158">
        <f t="shared" ca="1" si="1034"/>
        <v>105.4025</v>
      </c>
      <c r="G129" s="158">
        <f t="shared" ca="1" si="1034"/>
        <v>314.70130000000006</v>
      </c>
      <c r="H129" s="158">
        <f t="shared" ca="1" si="1034"/>
        <v>809.64749999999935</v>
      </c>
      <c r="I129" s="158">
        <f t="shared" ca="1" si="1034"/>
        <v>1737.6664999999994</v>
      </c>
      <c r="J129" s="158">
        <f t="shared" ca="1" si="1034"/>
        <v>798.62030000000004</v>
      </c>
      <c r="K129" s="158">
        <f t="shared" ca="1" si="1034"/>
        <v>825.53440000000001</v>
      </c>
      <c r="L129" s="158">
        <f t="shared" ca="1" si="1034"/>
        <v>1286.0759</v>
      </c>
      <c r="M129" s="158">
        <f t="shared" ca="1" si="1034"/>
        <v>1199.4684000000002</v>
      </c>
      <c r="N129" s="158">
        <f t="shared" ca="1" si="1034"/>
        <v>997.13360000000011</v>
      </c>
      <c r="O129" s="158">
        <f t="shared" ca="1" si="1034"/>
        <v>810.17410000000007</v>
      </c>
      <c r="P129" s="158">
        <f t="shared" ca="1" si="1034"/>
        <v>883.98249999999985</v>
      </c>
      <c r="Q129" s="158">
        <f t="shared" ca="1" si="1034"/>
        <v>1062.8043</v>
      </c>
      <c r="R129" s="158">
        <f t="shared" ca="1" si="1034"/>
        <v>1000.2797</v>
      </c>
      <c r="S129" s="158">
        <f t="shared" ca="1" si="1034"/>
        <v>1012.6202000000001</v>
      </c>
      <c r="T129" s="158">
        <f t="shared" ca="1" si="1034"/>
        <v>1016.1789</v>
      </c>
      <c r="U129" s="158">
        <f t="shared" ca="1" si="1034"/>
        <v>466.8356</v>
      </c>
      <c r="V129" s="158">
        <f t="shared" ca="1" si="1034"/>
        <v>339.93330000000003</v>
      </c>
      <c r="W129" s="158">
        <f t="shared" ca="1" si="1034"/>
        <v>677.35210000000006</v>
      </c>
      <c r="X129" s="158">
        <f t="shared" ref="X129:Y129" ca="1" si="1035">+X126+X127</f>
        <v>1375.03</v>
      </c>
      <c r="Y129" s="158">
        <f t="shared" ca="1" si="1035"/>
        <v>3797.5709999999999</v>
      </c>
      <c r="Z129" s="158">
        <f t="shared" ref="Z129:AA129" ca="1" si="1036">+Z126+Z127</f>
        <v>7720.4940000000006</v>
      </c>
      <c r="AA129" s="158">
        <f t="shared" ref="AA129" ca="1" si="1037">+AA126+AA127</f>
        <v>7720.4940000000006</v>
      </c>
      <c r="AB129" s="21">
        <f t="shared" ref="AB129:AD129" ca="1" si="1038">+AB126+AB127</f>
        <v>6739.1521751029259</v>
      </c>
      <c r="AC129" s="21">
        <f t="shared" ca="1" si="1038"/>
        <v>7521.8932578631375</v>
      </c>
      <c r="AD129" s="21">
        <f t="shared" ca="1" si="1038"/>
        <v>8534.3975649581935</v>
      </c>
      <c r="AE129" s="21">
        <f t="shared" ref="AE129" ca="1" si="1039">+AE126+AE127</f>
        <v>9701.6596015966061</v>
      </c>
      <c r="AL129" s="158">
        <f t="shared" ref="AL129:AM129" si="1040">+AL126+AL127</f>
        <v>923.59</v>
      </c>
      <c r="AM129" s="158">
        <f t="shared" si="1040"/>
        <v>595.22969641351278</v>
      </c>
      <c r="AN129" s="158">
        <f t="shared" ref="AN129:AO129" si="1041">+AN126+AN127</f>
        <v>458.23900000000003</v>
      </c>
      <c r="AO129" s="158">
        <f t="shared" si="1041"/>
        <v>526.25343022937727</v>
      </c>
      <c r="AP129" s="158">
        <f t="shared" ref="AP129:CD129" si="1042">+AP126+AP127</f>
        <v>809.18700000000013</v>
      </c>
      <c r="AQ129" s="158">
        <f t="shared" si="1042"/>
        <v>1386.2206044995371</v>
      </c>
      <c r="AR129" s="158">
        <f t="shared" si="1042"/>
        <v>690.67600000000004</v>
      </c>
      <c r="AS129" s="158">
        <f t="shared" si="1042"/>
        <v>711.68083570803708</v>
      </c>
      <c r="AT129" s="158">
        <f t="shared" si="1042"/>
        <v>999.46699999999998</v>
      </c>
      <c r="AU129" s="158">
        <f t="shared" si="1042"/>
        <v>811.30131487256222</v>
      </c>
      <c r="AV129" s="158">
        <f t="shared" si="1042"/>
        <v>1242.8440000000001</v>
      </c>
      <c r="AW129" s="158">
        <f t="shared" si="1042"/>
        <v>1407.1630070883421</v>
      </c>
      <c r="AX129" s="158">
        <f t="shared" si="1042"/>
        <v>1008.4430000000001</v>
      </c>
      <c r="AY129" s="158">
        <f t="shared" si="1042"/>
        <v>904.50028896277252</v>
      </c>
      <c r="AZ129" s="158">
        <f t="shared" si="1042"/>
        <v>1099.3420000000001</v>
      </c>
      <c r="BA129" s="158">
        <f t="shared" si="1042"/>
        <v>1054.0579087402857</v>
      </c>
      <c r="BB129" s="158">
        <f t="shared" si="1042"/>
        <v>982.81000000000006</v>
      </c>
      <c r="BC129" s="158">
        <f t="shared" si="1042"/>
        <v>846.46199602144884</v>
      </c>
      <c r="BD129" s="158">
        <f t="shared" si="1042"/>
        <v>936.02700000000004</v>
      </c>
      <c r="BE129" s="158">
        <f t="shared" si="1042"/>
        <v>1071.8500151595886</v>
      </c>
      <c r="BF129" s="158">
        <f t="shared" si="1042"/>
        <v>1237.4740000000002</v>
      </c>
      <c r="BG129" s="158">
        <f t="shared" si="1042"/>
        <v>955.25473692421747</v>
      </c>
      <c r="BH129" s="158">
        <f t="shared" si="1042"/>
        <v>975.375</v>
      </c>
      <c r="BI129" s="158">
        <f t="shared" si="1042"/>
        <v>855.56626972874074</v>
      </c>
      <c r="BJ129" s="158">
        <f t="shared" si="1042"/>
        <v>1040.9920000000002</v>
      </c>
      <c r="BK129" s="158">
        <f t="shared" si="1042"/>
        <v>846.35817186199324</v>
      </c>
      <c r="BL129" s="158">
        <f t="shared" si="1042"/>
        <v>653.78200000000004</v>
      </c>
      <c r="BM129" s="158">
        <f t="shared" si="1042"/>
        <v>707.74750958254594</v>
      </c>
      <c r="BN129" s="158">
        <f t="shared" si="1042"/>
        <v>448.36500000000001</v>
      </c>
      <c r="BO129" s="158">
        <f t="shared" si="1042"/>
        <v>311.05626901159798</v>
      </c>
      <c r="BP129" s="158">
        <f t="shared" si="1042"/>
        <v>503.67499999999995</v>
      </c>
      <c r="BQ129" s="158">
        <f t="shared" si="1042"/>
        <v>501.92600248052361</v>
      </c>
      <c r="BR129" s="158">
        <f t="shared" si="1042"/>
        <v>605.28600000000006</v>
      </c>
      <c r="BS129" s="158">
        <f t="shared" si="1042"/>
        <v>753.61993160293832</v>
      </c>
      <c r="BT129" s="158">
        <f t="shared" si="1042"/>
        <v>1449.384</v>
      </c>
      <c r="BU129" s="158">
        <f t="shared" si="1042"/>
        <v>1579.7917490056461</v>
      </c>
      <c r="BV129" s="158">
        <f t="shared" si="1042"/>
        <v>1438.6300000000003</v>
      </c>
      <c r="BW129" s="158">
        <f t="shared" si="1042"/>
        <v>1545.3700989367317</v>
      </c>
      <c r="BX129" s="158">
        <f t="shared" si="1042"/>
        <v>2743.6640000000002</v>
      </c>
      <c r="BY129" s="158">
        <f t="shared" si="1042"/>
        <v>3402.0570919735455</v>
      </c>
      <c r="BZ129" s="158">
        <f t="shared" si="1042"/>
        <v>3696.4480000000003</v>
      </c>
      <c r="CA129" s="158">
        <f t="shared" si="1042"/>
        <v>3951.4700907806096</v>
      </c>
      <c r="CB129" s="158">
        <f t="shared" si="1042"/>
        <v>6229.9309999999996</v>
      </c>
      <c r="CC129" s="158">
        <f t="shared" si="1042"/>
        <v>7554.3403402763461</v>
      </c>
      <c r="CD129" s="158">
        <f t="shared" si="1042"/>
        <v>8398.3320000000003</v>
      </c>
      <c r="CE129" s="158">
        <f t="shared" ref="CE129:CF129" si="1043">+CE126+CE127</f>
        <v>9454.9334536856659</v>
      </c>
      <c r="CF129" s="158">
        <f t="shared" si="1043"/>
        <v>11956.18</v>
      </c>
      <c r="CG129" s="158">
        <f t="shared" ref="CG129:CH129" si="1044">+CG126+CG127</f>
        <v>11248.777809973632</v>
      </c>
      <c r="CH129" s="158">
        <f t="shared" si="1044"/>
        <v>7720.4940000000006</v>
      </c>
      <c r="CI129" s="158">
        <f t="shared" ref="CI129:CJ129" si="1045">+CI126+CI127</f>
        <v>6744.3214084531774</v>
      </c>
      <c r="CJ129" s="158">
        <f t="shared" si="1045"/>
        <v>11108.922</v>
      </c>
      <c r="CK129" s="158">
        <f t="shared" ref="CK129:CL129" si="1046">+CK126+CK127</f>
        <v>9403.716356217461</v>
      </c>
      <c r="CL129" s="158">
        <f t="shared" si="1046"/>
        <v>7091.88</v>
      </c>
      <c r="CM129" s="21">
        <f t="shared" ref="CM129:DB129" si="1047">+CM126+CM127</f>
        <v>7085.0050740917686</v>
      </c>
      <c r="CN129" s="21">
        <f t="shared" si="1047"/>
        <v>7212.5489456031228</v>
      </c>
      <c r="CO129" s="21">
        <f t="shared" si="1047"/>
        <v>7771.4860436397303</v>
      </c>
      <c r="CP129" s="21">
        <f t="shared" si="1047"/>
        <v>7744.1999271063505</v>
      </c>
      <c r="CQ129" s="21">
        <f t="shared" si="1047"/>
        <v>7896.102615185946</v>
      </c>
      <c r="CR129" s="21">
        <f t="shared" si="1047"/>
        <v>8144.9386879660306</v>
      </c>
      <c r="CS129" s="21">
        <f t="shared" si="1047"/>
        <v>8471.2426428295275</v>
      </c>
      <c r="CT129" s="21">
        <f t="shared" si="1047"/>
        <v>8705.6469156390485</v>
      </c>
      <c r="CU129" s="21">
        <f t="shared" si="1047"/>
        <v>8950.0778317295153</v>
      </c>
      <c r="CV129" s="21">
        <f t="shared" si="1047"/>
        <v>9237.1377073168769</v>
      </c>
      <c r="CW129" s="21">
        <f t="shared" si="1047"/>
        <v>9562.5684774241308</v>
      </c>
      <c r="CX129" s="21">
        <f t="shared" si="1047"/>
        <v>9876.5026166747339</v>
      </c>
      <c r="CY129" s="21">
        <f t="shared" si="1047"/>
        <v>10165.528047212807</v>
      </c>
      <c r="CZ129" s="21">
        <f t="shared" si="1047"/>
        <v>10468.282846839307</v>
      </c>
      <c r="DA129" s="21">
        <f t="shared" si="1047"/>
        <v>10799.293485600423</v>
      </c>
      <c r="DB129" s="21">
        <f t="shared" si="1047"/>
        <v>11115.900534973853</v>
      </c>
      <c r="DE129" s="22"/>
      <c r="DF129" s="158">
        <v>7003.2420000000011</v>
      </c>
    </row>
    <row r="130" spans="1:110" s="158" customFormat="1" x14ac:dyDescent="0.2">
      <c r="A130" s="49" t="s">
        <v>13</v>
      </c>
      <c r="B130" s="158">
        <f t="shared" ref="B130:AE130" si="1048">+B46</f>
        <v>12.241993199999989</v>
      </c>
      <c r="C130" s="158">
        <f t="shared" si="1048"/>
        <v>11.499346299999985</v>
      </c>
      <c r="D130" s="158">
        <f t="shared" si="1048"/>
        <v>11.848633100000015</v>
      </c>
      <c r="E130" s="158">
        <f t="shared" si="1048"/>
        <v>15.668042900000003</v>
      </c>
      <c r="F130" s="158">
        <f t="shared" si="1048"/>
        <v>40.901200000000017</v>
      </c>
      <c r="G130" s="158">
        <f t="shared" si="1048"/>
        <v>63.873999999999967</v>
      </c>
      <c r="H130" s="158">
        <f t="shared" si="1048"/>
        <v>115.26099999999997</v>
      </c>
      <c r="I130" s="158">
        <f t="shared" si="1048"/>
        <v>136.57260000000011</v>
      </c>
      <c r="J130" s="158">
        <f t="shared" si="1048"/>
        <v>158.16409999999996</v>
      </c>
      <c r="K130" s="158">
        <f t="shared" si="1048"/>
        <v>156.91840000000002</v>
      </c>
      <c r="L130" s="158">
        <f t="shared" si="1048"/>
        <v>195.90720000000022</v>
      </c>
      <c r="M130" s="158">
        <f t="shared" si="1048"/>
        <v>214.51389999999998</v>
      </c>
      <c r="N130" s="158">
        <f t="shared" si="1048"/>
        <v>216.33469999999994</v>
      </c>
      <c r="O130" s="158">
        <f t="shared" si="1048"/>
        <v>156.65369999999996</v>
      </c>
      <c r="P130" s="158">
        <f t="shared" si="1048"/>
        <v>175.95289999999989</v>
      </c>
      <c r="Q130" s="158">
        <f t="shared" si="1048"/>
        <v>171.9575999999999</v>
      </c>
      <c r="R130" s="158">
        <f t="shared" si="1048"/>
        <v>174.24750000000012</v>
      </c>
      <c r="S130" s="158">
        <f t="shared" si="1048"/>
        <v>125.61950000000007</v>
      </c>
      <c r="T130" s="158">
        <f t="shared" si="1048"/>
        <v>106.54500000000007</v>
      </c>
      <c r="U130" s="158">
        <f t="shared" si="1048"/>
        <v>112.37679999999995</v>
      </c>
      <c r="V130" s="158">
        <f t="shared" si="1048"/>
        <v>112.24059999999992</v>
      </c>
      <c r="W130" s="158">
        <f t="shared" si="1048"/>
        <v>239.78519999999997</v>
      </c>
      <c r="X130" s="158">
        <f t="shared" si="1048"/>
        <v>333.28000000000003</v>
      </c>
      <c r="Y130" s="158">
        <f t="shared" si="1048"/>
        <v>474.72000000000014</v>
      </c>
      <c r="Z130" s="158">
        <f t="shared" si="1048"/>
        <v>546.70000000000016</v>
      </c>
      <c r="AA130" s="158">
        <f t="shared" ref="AA130" si="1049">+AA46</f>
        <v>520.37000000000023</v>
      </c>
      <c r="AB130" s="21">
        <f t="shared" si="1048"/>
        <v>604.76039583662271</v>
      </c>
      <c r="AC130" s="21">
        <f t="shared" si="1048"/>
        <v>649.84976803347922</v>
      </c>
      <c r="AD130" s="21">
        <f t="shared" si="1048"/>
        <v>712.83615929770122</v>
      </c>
      <c r="AE130" s="21">
        <f t="shared" si="1048"/>
        <v>783.70484402671377</v>
      </c>
      <c r="AL130" s="158">
        <f t="shared" ref="AL130:BQ130" si="1050">+SUM(AI46:AL46)</f>
        <v>148.44199999999995</v>
      </c>
      <c r="AM130" s="158">
        <f t="shared" si="1050"/>
        <v>134.46599999999998</v>
      </c>
      <c r="AN130" s="158">
        <f t="shared" si="1050"/>
        <v>98.497999999999962</v>
      </c>
      <c r="AO130" s="158">
        <f t="shared" si="1050"/>
        <v>91.353999999999985</v>
      </c>
      <c r="AP130" s="158">
        <f t="shared" si="1050"/>
        <v>100.06899999999997</v>
      </c>
      <c r="AQ130" s="158">
        <f t="shared" si="1050"/>
        <v>108.55499999999995</v>
      </c>
      <c r="AR130" s="158">
        <f t="shared" si="1050"/>
        <v>109.02099999999994</v>
      </c>
      <c r="AS130" s="158">
        <f t="shared" si="1050"/>
        <v>122.58</v>
      </c>
      <c r="AT130" s="158">
        <f t="shared" si="1050"/>
        <v>173.40600000000003</v>
      </c>
      <c r="AU130" s="158">
        <f t="shared" si="1050"/>
        <v>172.73800000000011</v>
      </c>
      <c r="AV130" s="158">
        <f t="shared" si="1050"/>
        <v>190.5750000000001</v>
      </c>
      <c r="AW130" s="158">
        <f t="shared" si="1050"/>
        <v>172.00799999999998</v>
      </c>
      <c r="AX130" s="158">
        <f t="shared" si="1050"/>
        <v>163.803</v>
      </c>
      <c r="AY130" s="158">
        <f t="shared" si="1050"/>
        <v>172.72699999999998</v>
      </c>
      <c r="AZ130" s="158">
        <f t="shared" si="1050"/>
        <v>144.66500000000002</v>
      </c>
      <c r="BA130" s="158">
        <f t="shared" si="1050"/>
        <v>151.53300000000002</v>
      </c>
      <c r="BB130" s="158">
        <f t="shared" si="1050"/>
        <v>163.12899999999996</v>
      </c>
      <c r="BC130" s="158">
        <f t="shared" si="1050"/>
        <v>119.423</v>
      </c>
      <c r="BD130" s="158">
        <f t="shared" si="1050"/>
        <v>126.71899999999997</v>
      </c>
      <c r="BE130" s="158">
        <f t="shared" si="1050"/>
        <v>126.86200000000005</v>
      </c>
      <c r="BF130" s="158">
        <f t="shared" si="1050"/>
        <v>117.95600000000005</v>
      </c>
      <c r="BG130" s="158">
        <f t="shared" si="1050"/>
        <v>162.84700000000004</v>
      </c>
      <c r="BH130" s="158">
        <f t="shared" si="1050"/>
        <v>173.95</v>
      </c>
      <c r="BI130" s="158">
        <f t="shared" si="1050"/>
        <v>172.12799999999996</v>
      </c>
      <c r="BJ130" s="158">
        <f t="shared" si="1050"/>
        <v>141.53100000000001</v>
      </c>
      <c r="BK130" s="158">
        <f t="shared" si="1050"/>
        <v>137.74299999999999</v>
      </c>
      <c r="BL130" s="158">
        <f t="shared" si="1050"/>
        <v>144.62800000000004</v>
      </c>
      <c r="BM130" s="158">
        <f t="shared" si="1050"/>
        <v>157.25700000000003</v>
      </c>
      <c r="BN130" s="158">
        <f t="shared" si="1050"/>
        <v>137.44600000000003</v>
      </c>
      <c r="BO130" s="158">
        <f t="shared" si="1050"/>
        <v>103.075</v>
      </c>
      <c r="BP130" s="158">
        <f t="shared" si="1050"/>
        <v>121.83499999999999</v>
      </c>
      <c r="BQ130" s="158">
        <f t="shared" si="1050"/>
        <v>140.36100000000002</v>
      </c>
      <c r="BR130" s="158">
        <f t="shared" ref="BR130:CW130" si="1051">+SUM(BO46:BR46)</f>
        <v>185.60700000000003</v>
      </c>
      <c r="BS130" s="158">
        <f t="shared" si="1051"/>
        <v>247.12999999999997</v>
      </c>
      <c r="BT130" s="158">
        <f t="shared" si="1051"/>
        <v>255.00900000000001</v>
      </c>
      <c r="BU130" s="158">
        <f t="shared" si="1051"/>
        <v>251.4</v>
      </c>
      <c r="BV130" s="158">
        <f t="shared" si="1051"/>
        <v>246.43799999999999</v>
      </c>
      <c r="BW130" s="158">
        <f t="shared" si="1051"/>
        <v>252.46000000000004</v>
      </c>
      <c r="BX130" s="158">
        <f t="shared" si="1051"/>
        <v>278.37599999999998</v>
      </c>
      <c r="BY130" s="158">
        <f t="shared" si="1051"/>
        <v>314.56899999999996</v>
      </c>
      <c r="BZ130" s="158">
        <f t="shared" si="1051"/>
        <v>338.87</v>
      </c>
      <c r="CA130" s="158">
        <f t="shared" si="1051"/>
        <v>373.94999999999993</v>
      </c>
      <c r="CB130" s="158">
        <f t="shared" si="1051"/>
        <v>400.1</v>
      </c>
      <c r="CC130" s="158">
        <f t="shared" si="1051"/>
        <v>431.95000000000005</v>
      </c>
      <c r="CD130" s="158">
        <f t="shared" si="1051"/>
        <v>474.46</v>
      </c>
      <c r="CE130" s="158">
        <f t="shared" si="1051"/>
        <v>466.87</v>
      </c>
      <c r="CF130" s="158">
        <f t="shared" si="1051"/>
        <v>460.42999999999995</v>
      </c>
      <c r="CG130" s="158">
        <f t="shared" si="1051"/>
        <v>482.61999999999989</v>
      </c>
      <c r="CH130" s="158">
        <f t="shared" si="1051"/>
        <v>542.58999999999992</v>
      </c>
      <c r="CI130" s="158">
        <f t="shared" si="1051"/>
        <v>580.50999999999988</v>
      </c>
      <c r="CJ130" s="158">
        <f t="shared" si="1051"/>
        <v>593.84999999999991</v>
      </c>
      <c r="CK130" s="158">
        <f t="shared" si="1051"/>
        <v>560.45000000000005</v>
      </c>
      <c r="CL130" s="158">
        <f t="shared" si="1051"/>
        <v>523.14</v>
      </c>
      <c r="CM130" s="21">
        <f t="shared" si="1051"/>
        <v>547.16096771074012</v>
      </c>
      <c r="CN130" s="21">
        <f t="shared" si="1051"/>
        <v>567.52675672605301</v>
      </c>
      <c r="CO130" s="21">
        <f t="shared" si="1051"/>
        <v>606.26962852200302</v>
      </c>
      <c r="CP130" s="21">
        <f t="shared" si="1051"/>
        <v>604.76039583662293</v>
      </c>
      <c r="CQ130" s="21">
        <f t="shared" si="1051"/>
        <v>609.6629860991701</v>
      </c>
      <c r="CR130" s="21">
        <f t="shared" si="1051"/>
        <v>622.28650155293303</v>
      </c>
      <c r="CS130" s="21">
        <f t="shared" si="1051"/>
        <v>638.43219139412702</v>
      </c>
      <c r="CT130" s="21">
        <f t="shared" si="1051"/>
        <v>649.84976803347922</v>
      </c>
      <c r="CU130" s="21">
        <f t="shared" si="1051"/>
        <v>662.69045367052422</v>
      </c>
      <c r="CV130" s="21">
        <f t="shared" si="1051"/>
        <v>678.30822762231674</v>
      </c>
      <c r="CW130" s="21">
        <f t="shared" si="1051"/>
        <v>695.37245414111408</v>
      </c>
      <c r="CX130" s="21">
        <f t="shared" ref="CX130:DB130" si="1052">+SUM(CU46:CX46)</f>
        <v>712.8361592977011</v>
      </c>
      <c r="CY130" s="21">
        <f t="shared" si="1052"/>
        <v>729.36554345271475</v>
      </c>
      <c r="CZ130" s="21">
        <f t="shared" si="1052"/>
        <v>746.84253889211527</v>
      </c>
      <c r="DA130" s="21">
        <f t="shared" si="1052"/>
        <v>765.12285781064656</v>
      </c>
      <c r="DB130" s="21">
        <f t="shared" si="1052"/>
        <v>783.70484402671366</v>
      </c>
      <c r="DE130" s="22"/>
      <c r="DF130" s="158">
        <v>523.14000000000033</v>
      </c>
    </row>
    <row r="131" spans="1:110" s="158" customFormat="1" x14ac:dyDescent="0.2">
      <c r="A131" s="49" t="s">
        <v>343</v>
      </c>
      <c r="B131" s="158">
        <f>+B128/B130</f>
        <v>4.6746188431145388</v>
      </c>
      <c r="C131" s="158">
        <f t="shared" ref="C131:W131" si="1053">+C128/C130</f>
        <v>4.7593235330255315</v>
      </c>
      <c r="D131" s="158">
        <f t="shared" si="1053"/>
        <v>4.7143104401637626</v>
      </c>
      <c r="E131" s="158">
        <f t="shared" ca="1" si="1053"/>
        <v>6.7527171054656723</v>
      </c>
      <c r="F131" s="158">
        <f t="shared" ca="1" si="1053"/>
        <v>5.6347515476318506</v>
      </c>
      <c r="G131" s="158">
        <f t="shared" ca="1" si="1053"/>
        <v>19.556904217678564</v>
      </c>
      <c r="H131" s="158">
        <f t="shared" ca="1" si="1053"/>
        <v>17.854022609555706</v>
      </c>
      <c r="I131" s="158">
        <f t="shared" ca="1" si="1053"/>
        <v>31.120433381219929</v>
      </c>
      <c r="J131" s="158">
        <f t="shared" ca="1" si="1053"/>
        <v>17.545216012989044</v>
      </c>
      <c r="K131" s="158">
        <f t="shared" ca="1" si="1053"/>
        <v>11.002536350102982</v>
      </c>
      <c r="L131" s="158">
        <f t="shared" ca="1" si="1053"/>
        <v>9.1075973726335651</v>
      </c>
      <c r="M131" s="158">
        <f t="shared" ca="1" si="1053"/>
        <v>7.4745198329805218</v>
      </c>
      <c r="N131" s="158">
        <f t="shared" ca="1" si="1053"/>
        <v>6.2533084151548524</v>
      </c>
      <c r="O131" s="158">
        <f t="shared" ca="1" si="1053"/>
        <v>6.5827241871720892</v>
      </c>
      <c r="P131" s="158">
        <f t="shared" ca="1" si="1053"/>
        <v>7.4821926776995484</v>
      </c>
      <c r="Q131" s="158">
        <f t="shared" ca="1" si="1053"/>
        <v>9.7236196597300797</v>
      </c>
      <c r="R131" s="158">
        <f t="shared" ca="1" si="1053"/>
        <v>7.5821558415472197</v>
      </c>
      <c r="S131" s="158">
        <f t="shared" ca="1" si="1053"/>
        <v>14.179249240762772</v>
      </c>
      <c r="T131" s="158">
        <f t="shared" ca="1" si="1053"/>
        <v>13.776187526397287</v>
      </c>
      <c r="U131" s="158">
        <f t="shared" ca="1" si="1053"/>
        <v>9.4109157762100413</v>
      </c>
      <c r="V131" s="158">
        <f t="shared" ca="1" si="1053"/>
        <v>8.2367280645328051</v>
      </c>
      <c r="W131" s="158">
        <f t="shared" ca="1" si="1053"/>
        <v>10.196889132440203</v>
      </c>
      <c r="X131" s="158">
        <f t="shared" ref="X131:Y131" ca="1" si="1054">+X128/X130</f>
        <v>15.327907465194428</v>
      </c>
      <c r="Y131" s="158">
        <f t="shared" ca="1" si="1054"/>
        <v>25.500126390293218</v>
      </c>
      <c r="Z131" s="158">
        <f t="shared" ref="Z131:AA131" ca="1" si="1055">+Z128/Z130</f>
        <v>29.122667992926598</v>
      </c>
      <c r="AA131" s="158">
        <f t="shared" ref="AA131" ca="1" si="1056">+AA128/AA130</f>
        <v>29.122667992926598</v>
      </c>
      <c r="AB131" s="21">
        <f t="shared" ref="AB131:AD131" ca="1" si="1057">+AB128/AB130</f>
        <v>20.462176970436797</v>
      </c>
      <c r="AC131" s="21">
        <f t="shared" ca="1" si="1057"/>
        <v>21.668007871622066</v>
      </c>
      <c r="AD131" s="21">
        <f t="shared" ca="1" si="1057"/>
        <v>22.631832272931693</v>
      </c>
      <c r="AE131" s="21">
        <f t="shared" ref="AE131" ca="1" si="1058">+AE128/AE130</f>
        <v>23.376990508014245</v>
      </c>
      <c r="AL131" s="158">
        <f t="shared" ref="AL131" si="1059">+AL128/AL130</f>
        <v>7.6882418722464019</v>
      </c>
      <c r="AM131" s="158">
        <f t="shared" ref="AM131:AO131" si="1060">+AM128/AM130</f>
        <v>5.356987613326142</v>
      </c>
      <c r="AN131" s="158">
        <f t="shared" si="1060"/>
        <v>5.8938963227679775</v>
      </c>
      <c r="AO131" s="158">
        <f t="shared" si="1060"/>
        <v>6.8536838039864412</v>
      </c>
      <c r="AP131" s="158">
        <f t="shared" ref="AP131:CD131" si="1061">+AP128/AP130</f>
        <v>9.499035665390883</v>
      </c>
      <c r="AQ131" s="158">
        <f t="shared" si="1061"/>
        <v>16.609493846433033</v>
      </c>
      <c r="AR131" s="158">
        <f t="shared" si="1061"/>
        <v>8.9441758927179205</v>
      </c>
      <c r="AS131" s="158">
        <f t="shared" si="1061"/>
        <v>7.0598371325504736</v>
      </c>
      <c r="AT131" s="158">
        <f t="shared" si="1061"/>
        <v>7.310156511308719</v>
      </c>
      <c r="AU131" s="158">
        <f t="shared" si="1061"/>
        <v>6.3855163014076899</v>
      </c>
      <c r="AV131" s="158">
        <f t="shared" si="1061"/>
        <v>8.5939288993834406</v>
      </c>
      <c r="AW131" s="158">
        <f t="shared" si="1061"/>
        <v>9.5734501132990459</v>
      </c>
      <c r="AX131" s="158">
        <f t="shared" si="1061"/>
        <v>9.1052300629414606</v>
      </c>
      <c r="AY131" s="158">
        <f t="shared" si="1061"/>
        <v>6.0420680551550854</v>
      </c>
      <c r="AZ131" s="158">
        <f t="shared" si="1061"/>
        <v>8.537683613866518</v>
      </c>
      <c r="BA131" s="158">
        <f t="shared" si="1061"/>
        <v>9.0736005275437392</v>
      </c>
      <c r="BB131" s="158">
        <f t="shared" si="1061"/>
        <v>6.7056623898877588</v>
      </c>
      <c r="BC131" s="158">
        <f t="shared" si="1061"/>
        <v>8.1448883047775453</v>
      </c>
      <c r="BD131" s="158">
        <f t="shared" si="1061"/>
        <v>9.1132111206685682</v>
      </c>
      <c r="BE131" s="158">
        <f t="shared" si="1061"/>
        <v>13.583035228512776</v>
      </c>
      <c r="BF131" s="158">
        <f t="shared" si="1061"/>
        <v>14.35761639933534</v>
      </c>
      <c r="BG131" s="158">
        <f t="shared" si="1061"/>
        <v>8.0603986375199863</v>
      </c>
      <c r="BH131" s="158">
        <f t="shared" si="1061"/>
        <v>6.9875423972405875</v>
      </c>
      <c r="BI131" s="158">
        <f t="shared" si="1061"/>
        <v>6.4567198232056437</v>
      </c>
      <c r="BJ131" s="158">
        <f t="shared" si="1061"/>
        <v>9.1072203262889388</v>
      </c>
      <c r="BK131" s="158">
        <f t="shared" si="1061"/>
        <v>8.0301806397566011</v>
      </c>
      <c r="BL131" s="158">
        <f t="shared" si="1061"/>
        <v>6.3086193544818414</v>
      </c>
      <c r="BM131" s="158">
        <f t="shared" si="1061"/>
        <v>5.3389197910588759</v>
      </c>
      <c r="BN131" s="158">
        <f t="shared" si="1061"/>
        <v>5.7029160543049624</v>
      </c>
      <c r="BO131" s="158">
        <f t="shared" si="1061"/>
        <v>4.476393587306311</v>
      </c>
      <c r="BP131" s="158">
        <f t="shared" si="1061"/>
        <v>5.3036401690811346</v>
      </c>
      <c r="BQ131" s="158">
        <f t="shared" si="1061"/>
        <v>5.4145097461582887</v>
      </c>
      <c r="BR131" s="158">
        <f t="shared" si="1061"/>
        <v>4.9809274434692652</v>
      </c>
      <c r="BS131" s="158">
        <f t="shared" si="1061"/>
        <v>6.7428759422285385</v>
      </c>
      <c r="BT131" s="158">
        <f t="shared" si="1061"/>
        <v>8.3983624107384429</v>
      </c>
      <c r="BU131" s="158">
        <f t="shared" si="1061"/>
        <v>9.7026402108418708</v>
      </c>
      <c r="BV131" s="158">
        <f t="shared" si="1061"/>
        <v>9.7008050706465738</v>
      </c>
      <c r="BW131" s="158">
        <f t="shared" si="1061"/>
        <v>12.649877600161336</v>
      </c>
      <c r="BX131" s="158">
        <f t="shared" si="1061"/>
        <v>16.345101589217464</v>
      </c>
      <c r="BY131" s="158">
        <f t="shared" si="1061"/>
        <v>16.432665303871474</v>
      </c>
      <c r="BZ131" s="158">
        <f t="shared" si="1061"/>
        <v>13.671192492696315</v>
      </c>
      <c r="CA131" s="158">
        <f t="shared" si="1061"/>
        <v>17.164722799252875</v>
      </c>
      <c r="CB131" s="158">
        <f t="shared" si="1061"/>
        <v>26.685773556610844</v>
      </c>
      <c r="CC131" s="158">
        <f t="shared" si="1061"/>
        <v>24.594446904216561</v>
      </c>
      <c r="CD131" s="158">
        <f t="shared" si="1061"/>
        <v>25.514100240273155</v>
      </c>
      <c r="CE131" s="158">
        <f t="shared" ref="CE131:CF131" si="1062">+CE128/CE130</f>
        <v>31.689961774553229</v>
      </c>
      <c r="CF131" s="158">
        <f t="shared" si="1062"/>
        <v>33.692244206502622</v>
      </c>
      <c r="CG131" s="158">
        <f t="shared" ref="CG131:CH131" si="1063">+CG128/CG130</f>
        <v>33.071936119459686</v>
      </c>
      <c r="CH131" s="158">
        <f t="shared" si="1063"/>
        <v>25.203096260528216</v>
      </c>
      <c r="CI131" s="158">
        <f t="shared" ref="CI131:CJ131" si="1064">+CI128/CI130</f>
        <v>25.862537094026248</v>
      </c>
      <c r="CJ131" s="158">
        <f t="shared" si="1064"/>
        <v>24.42572366759283</v>
      </c>
      <c r="CK131" s="158">
        <f t="shared" ref="CK131:CL131" si="1065">+CK128/CK130</f>
        <v>23.359319040445108</v>
      </c>
      <c r="CL131" s="158">
        <f t="shared" si="1065"/>
        <v>21.262426883816953</v>
      </c>
      <c r="CM131" s="21">
        <f t="shared" ref="CM131:DB131" si="1066">+CM128/CM130</f>
        <v>20.474000370029962</v>
      </c>
      <c r="CN131" s="21">
        <f t="shared" si="1066"/>
        <v>20.19497105494068</v>
      </c>
      <c r="CO131" s="21">
        <f t="shared" si="1066"/>
        <v>20.39203229292378</v>
      </c>
      <c r="CP131" s="21">
        <f t="shared" si="1066"/>
        <v>20.46217697043679</v>
      </c>
      <c r="CQ131" s="21">
        <f t="shared" si="1066"/>
        <v>20.777469405684517</v>
      </c>
      <c r="CR131" s="21">
        <f t="shared" si="1066"/>
        <v>21.067942960128359</v>
      </c>
      <c r="CS131" s="21">
        <f t="shared" si="1066"/>
        <v>21.399094572692999</v>
      </c>
      <c r="CT131" s="21">
        <f t="shared" si="1066"/>
        <v>21.668007871622066</v>
      </c>
      <c r="CU131" s="21">
        <f t="shared" si="1066"/>
        <v>21.912786414466691</v>
      </c>
      <c r="CV131" s="21">
        <f t="shared" si="1066"/>
        <v>22.154305974359932</v>
      </c>
      <c r="CW131" s="21">
        <f t="shared" si="1066"/>
        <v>22.411414225121341</v>
      </c>
      <c r="CX131" s="21">
        <f t="shared" si="1066"/>
        <v>22.631832272931696</v>
      </c>
      <c r="CY131" s="21">
        <f t="shared" si="1066"/>
        <v>22.826007042246573</v>
      </c>
      <c r="CZ131" s="21">
        <f t="shared" si="1066"/>
        <v>23.011731654037636</v>
      </c>
      <c r="DA131" s="21">
        <f t="shared" si="1066"/>
        <v>23.210923852961905</v>
      </c>
      <c r="DB131" s="21">
        <f t="shared" si="1066"/>
        <v>23.376990508014256</v>
      </c>
      <c r="DE131" s="22"/>
      <c r="DF131" s="158">
        <v>29.193680467943551</v>
      </c>
    </row>
    <row r="132" spans="1:110" s="158" customFormat="1" x14ac:dyDescent="0.2">
      <c r="A132" s="49" t="s">
        <v>344</v>
      </c>
      <c r="B132" s="158">
        <f>+B129/B130</f>
        <v>4.6311783864575302</v>
      </c>
      <c r="C132" s="158">
        <f t="shared" ref="C132:W132" si="1067">+C129/C130</f>
        <v>4.7436899587066144</v>
      </c>
      <c r="D132" s="158">
        <f t="shared" si="1067"/>
        <v>4.6892873828627479</v>
      </c>
      <c r="E132" s="158">
        <f t="shared" ca="1" si="1067"/>
        <v>4.5638157717834682</v>
      </c>
      <c r="F132" s="158">
        <f t="shared" ca="1" si="1067"/>
        <v>2.5770026307296598</v>
      </c>
      <c r="G132" s="158">
        <f t="shared" ca="1" si="1067"/>
        <v>4.9269076619594863</v>
      </c>
      <c r="H132" s="158">
        <f t="shared" ca="1" si="1067"/>
        <v>7.0244705494486395</v>
      </c>
      <c r="I132" s="158">
        <f t="shared" ca="1" si="1067"/>
        <v>12.723390343304573</v>
      </c>
      <c r="J132" s="158">
        <f t="shared" ca="1" si="1067"/>
        <v>5.0493146042622836</v>
      </c>
      <c r="K132" s="158">
        <f t="shared" ca="1" si="1067"/>
        <v>5.2609152272773612</v>
      </c>
      <c r="L132" s="158">
        <f t="shared" ca="1" si="1067"/>
        <v>6.5647199286192572</v>
      </c>
      <c r="M132" s="158">
        <f t="shared" ca="1" si="1067"/>
        <v>5.5915649288927209</v>
      </c>
      <c r="N132" s="158">
        <f t="shared" ca="1" si="1067"/>
        <v>4.6092171066407763</v>
      </c>
      <c r="O132" s="158">
        <f t="shared" ca="1" si="1067"/>
        <v>5.1717520875663983</v>
      </c>
      <c r="P132" s="158">
        <f t="shared" ca="1" si="1067"/>
        <v>5.0239723244118197</v>
      </c>
      <c r="Q132" s="158">
        <f t="shared" ca="1" si="1067"/>
        <v>6.1806183617356876</v>
      </c>
      <c r="R132" s="158">
        <f t="shared" ca="1" si="1067"/>
        <v>5.740568444310532</v>
      </c>
      <c r="S132" s="158">
        <f t="shared" ca="1" si="1067"/>
        <v>8.0610112283522817</v>
      </c>
      <c r="T132" s="158">
        <f t="shared" ca="1" si="1067"/>
        <v>9.5375559622694563</v>
      </c>
      <c r="U132" s="158">
        <f t="shared" ca="1" si="1067"/>
        <v>4.154199087356111</v>
      </c>
      <c r="V132" s="158">
        <f t="shared" ca="1" si="1067"/>
        <v>3.0286126410585856</v>
      </c>
      <c r="W132" s="158">
        <f t="shared" ca="1" si="1067"/>
        <v>2.824828638297944</v>
      </c>
      <c r="X132" s="158">
        <f t="shared" ref="X132:Y132" ca="1" si="1068">+X129/X130</f>
        <v>4.1257501200192026</v>
      </c>
      <c r="Y132" s="158">
        <f t="shared" ca="1" si="1068"/>
        <v>7.9996018705763374</v>
      </c>
      <c r="Z132" s="158">
        <f t="shared" ref="Z132:AA132" ca="1" si="1069">+Z129/Z130</f>
        <v>14.221363837312106</v>
      </c>
      <c r="AA132" s="158">
        <f t="shared" ref="AA132" ca="1" si="1070">+AA129/AA130</f>
        <v>14.221363837312106</v>
      </c>
      <c r="AB132" s="21">
        <f t="shared" ref="AB132:AD132" ca="1" si="1071">+AB129/AB130</f>
        <v>11.143507778448379</v>
      </c>
      <c r="AC132" s="21">
        <f t="shared" ca="1" si="1071"/>
        <v>11.5748187163708</v>
      </c>
      <c r="AD132" s="21">
        <f t="shared" ca="1" si="1071"/>
        <v>11.972453211922405</v>
      </c>
      <c r="AE132" s="21">
        <f t="shared" ref="AE132" ca="1" si="1072">+AE129/AE130</f>
        <v>12.37922628083936</v>
      </c>
      <c r="AL132" s="158">
        <f t="shared" ref="AL132:AM132" si="1073">+AL129/AL130</f>
        <v>6.2218913784508452</v>
      </c>
      <c r="AM132" s="158">
        <f t="shared" si="1073"/>
        <v>4.4266185981103989</v>
      </c>
      <c r="AN132" s="158">
        <f t="shared" ref="AN132:AO132" si="1074">+AN129/AN130</f>
        <v>4.6522670511076392</v>
      </c>
      <c r="AO132" s="158">
        <f t="shared" si="1074"/>
        <v>5.7605953787395991</v>
      </c>
      <c r="AP132" s="158">
        <f t="shared" ref="AP132:CD132" si="1075">+AP129/AP130</f>
        <v>8.0862904595828908</v>
      </c>
      <c r="AQ132" s="158">
        <f t="shared" si="1075"/>
        <v>12.769753622583369</v>
      </c>
      <c r="AR132" s="158">
        <f t="shared" si="1075"/>
        <v>6.3352565102136325</v>
      </c>
      <c r="AS132" s="158">
        <f t="shared" si="1075"/>
        <v>5.8058479010282031</v>
      </c>
      <c r="AT132" s="158">
        <f t="shared" si="1075"/>
        <v>5.7637394323149129</v>
      </c>
      <c r="AU132" s="158">
        <f t="shared" si="1075"/>
        <v>4.6967159216418022</v>
      </c>
      <c r="AV132" s="158">
        <f t="shared" si="1075"/>
        <v>6.5215479470024889</v>
      </c>
      <c r="AW132" s="158">
        <f t="shared" si="1075"/>
        <v>8.1807997714544793</v>
      </c>
      <c r="AX132" s="158">
        <f t="shared" si="1075"/>
        <v>6.15643791627748</v>
      </c>
      <c r="AY132" s="158">
        <f t="shared" si="1075"/>
        <v>5.2365888886090346</v>
      </c>
      <c r="AZ132" s="158">
        <f t="shared" si="1075"/>
        <v>7.5992257975322293</v>
      </c>
      <c r="BA132" s="158">
        <f t="shared" si="1075"/>
        <v>6.9559627852697803</v>
      </c>
      <c r="BB132" s="158">
        <f t="shared" si="1075"/>
        <v>6.0247411557724275</v>
      </c>
      <c r="BC132" s="158">
        <f t="shared" si="1075"/>
        <v>7.0879311022286231</v>
      </c>
      <c r="BD132" s="158">
        <f t="shared" si="1075"/>
        <v>7.3866349955413177</v>
      </c>
      <c r="BE132" s="158">
        <f t="shared" si="1075"/>
        <v>8.4489446418910958</v>
      </c>
      <c r="BF132" s="158">
        <f t="shared" si="1075"/>
        <v>10.49097968734104</v>
      </c>
      <c r="BG132" s="158">
        <f t="shared" si="1075"/>
        <v>5.8659645982070119</v>
      </c>
      <c r="BH132" s="158">
        <f t="shared" si="1075"/>
        <v>5.6072147168726652</v>
      </c>
      <c r="BI132" s="158">
        <f t="shared" si="1075"/>
        <v>4.9705235041872387</v>
      </c>
      <c r="BJ132" s="158">
        <f t="shared" si="1075"/>
        <v>7.3552225307529806</v>
      </c>
      <c r="BK132" s="158">
        <f t="shared" si="1075"/>
        <v>6.1444731990881083</v>
      </c>
      <c r="BL132" s="158">
        <f t="shared" si="1075"/>
        <v>4.5204386425864964</v>
      </c>
      <c r="BM132" s="158">
        <f t="shared" si="1075"/>
        <v>4.500578731519397</v>
      </c>
      <c r="BN132" s="158">
        <f t="shared" si="1075"/>
        <v>3.2621174861400108</v>
      </c>
      <c r="BO132" s="158">
        <f t="shared" si="1075"/>
        <v>3.0177663741120346</v>
      </c>
      <c r="BP132" s="158">
        <f t="shared" si="1075"/>
        <v>4.1340747732589156</v>
      </c>
      <c r="BQ132" s="158">
        <f t="shared" si="1075"/>
        <v>3.5759648512088367</v>
      </c>
      <c r="BR132" s="158">
        <f t="shared" si="1075"/>
        <v>3.2611162294525529</v>
      </c>
      <c r="BS132" s="158">
        <f t="shared" si="1075"/>
        <v>3.049487846894098</v>
      </c>
      <c r="BT132" s="158">
        <f t="shared" si="1075"/>
        <v>5.6836582238273943</v>
      </c>
      <c r="BU132" s="158">
        <f t="shared" si="1075"/>
        <v>6.2839767263549966</v>
      </c>
      <c r="BV132" s="158">
        <f t="shared" si="1075"/>
        <v>5.837695485274188</v>
      </c>
      <c r="BW132" s="158">
        <f t="shared" si="1075"/>
        <v>6.1212473220974868</v>
      </c>
      <c r="BX132" s="158">
        <f t="shared" si="1075"/>
        <v>9.8559645946489649</v>
      </c>
      <c r="BY132" s="158">
        <f t="shared" si="1075"/>
        <v>10.814978882132523</v>
      </c>
      <c r="BZ132" s="158">
        <f t="shared" si="1075"/>
        <v>10.908159471183641</v>
      </c>
      <c r="CA132" s="158">
        <f t="shared" si="1075"/>
        <v>10.566840729457441</v>
      </c>
      <c r="CB132" s="158">
        <f t="shared" si="1075"/>
        <v>15.570934766308421</v>
      </c>
      <c r="CC132" s="158">
        <f t="shared" si="1075"/>
        <v>17.488923116741162</v>
      </c>
      <c r="CD132" s="158">
        <f t="shared" si="1075"/>
        <v>17.700821987101126</v>
      </c>
      <c r="CE132" s="158">
        <f t="shared" ref="CE132:CF132" si="1076">+CE129/CE130</f>
        <v>20.251747710681059</v>
      </c>
      <c r="CF132" s="158">
        <f t="shared" si="1076"/>
        <v>25.967421757921947</v>
      </c>
      <c r="CG132" s="158">
        <f t="shared" ref="CG132:CH132" si="1077">+CG129/CG130</f>
        <v>23.307732398105411</v>
      </c>
      <c r="CH132" s="158">
        <f t="shared" si="1077"/>
        <v>14.228964780036495</v>
      </c>
      <c r="CI132" s="158">
        <f t="shared" ref="CI132:CJ132" si="1078">+CI129/CI130</f>
        <v>11.617924598117481</v>
      </c>
      <c r="CJ132" s="158">
        <f t="shared" si="1078"/>
        <v>18.706612781005308</v>
      </c>
      <c r="CK132" s="158">
        <f t="shared" ref="CK132:CL132" si="1079">+CK129/CK130</f>
        <v>16.778867617481417</v>
      </c>
      <c r="CL132" s="158">
        <f t="shared" si="1079"/>
        <v>13.556371143479758</v>
      </c>
      <c r="CM132" s="21">
        <f t="shared" ref="CM132:DB132" si="1080">+CM129/CM130</f>
        <v>12.948666831507795</v>
      </c>
      <c r="CN132" s="21">
        <f t="shared" si="1080"/>
        <v>12.708738152207761</v>
      </c>
      <c r="CO132" s="21">
        <f t="shared" si="1080"/>
        <v>12.818531026509575</v>
      </c>
      <c r="CP132" s="21">
        <f t="shared" si="1080"/>
        <v>12.805401908623757</v>
      </c>
      <c r="CQ132" s="21">
        <f t="shared" si="1080"/>
        <v>12.95158603232235</v>
      </c>
      <c r="CR132" s="21">
        <f t="shared" si="1080"/>
        <v>13.088727889228053</v>
      </c>
      <c r="CS132" s="21">
        <f t="shared" si="1080"/>
        <v>13.268821273456004</v>
      </c>
      <c r="CT132" s="21">
        <f t="shared" si="1080"/>
        <v>13.39639920467056</v>
      </c>
      <c r="CU132" s="21">
        <f t="shared" si="1080"/>
        <v>13.505668871728316</v>
      </c>
      <c r="CV132" s="21">
        <f t="shared" si="1080"/>
        <v>13.617906036162857</v>
      </c>
      <c r="CW132" s="21">
        <f t="shared" si="1080"/>
        <v>13.751721714710847</v>
      </c>
      <c r="CX132" s="21">
        <f t="shared" si="1080"/>
        <v>13.855221130203665</v>
      </c>
      <c r="CY132" s="21">
        <f t="shared" si="1080"/>
        <v>13.93749422147174</v>
      </c>
      <c r="CZ132" s="21">
        <f t="shared" si="1080"/>
        <v>14.016720127335297</v>
      </c>
      <c r="DA132" s="21">
        <f t="shared" si="1080"/>
        <v>14.114456750778505</v>
      </c>
      <c r="DB132" s="21">
        <f t="shared" si="1080"/>
        <v>14.183784392424849</v>
      </c>
      <c r="DE132" s="22"/>
      <c r="DF132" s="158">
        <v>13.386936575295326</v>
      </c>
    </row>
    <row r="133" spans="1:110" s="10" customFormat="1" x14ac:dyDescent="0.2">
      <c r="A133" s="149" t="s">
        <v>490</v>
      </c>
      <c r="AB133" s="20"/>
      <c r="AC133" s="20"/>
      <c r="AD133" s="20"/>
      <c r="AE133" s="20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E133" s="126"/>
      <c r="DF133" s="193"/>
    </row>
    <row r="134" spans="1:110" x14ac:dyDescent="0.2">
      <c r="A134" s="152" t="s">
        <v>491</v>
      </c>
      <c r="AA134" s="2"/>
      <c r="DF134" s="111"/>
    </row>
    <row r="135" spans="1:110" s="23" customFormat="1" outlineLevel="1" x14ac:dyDescent="0.2">
      <c r="A135" s="23" t="s">
        <v>41</v>
      </c>
      <c r="B135" s="23">
        <f>'Annual Raw'!C41</f>
        <v>5.6474099999999998</v>
      </c>
      <c r="C135" s="23">
        <f>'Annual Raw'!D41</f>
        <v>5.6474099999999998</v>
      </c>
      <c r="D135" s="23">
        <f>'Annual Raw'!E41</f>
        <v>5.6474099999999998</v>
      </c>
      <c r="E135" s="23">
        <f>'Annual Raw'!F41</f>
        <v>5.6474099999999998</v>
      </c>
      <c r="F135" s="23">
        <f>'Annual Raw'!G41</f>
        <v>5.6474000000000002</v>
      </c>
      <c r="G135" s="23">
        <f>'Annual Raw'!H41</f>
        <v>5.7077999999999998</v>
      </c>
      <c r="H135" s="23">
        <f>'Annual Raw'!I41</f>
        <v>6.1847000000000003</v>
      </c>
      <c r="I135" s="23">
        <f>'Annual Raw'!J41</f>
        <v>18.572299999999998</v>
      </c>
      <c r="J135" s="23">
        <f>'Annual Raw'!K41</f>
        <v>18.572299999999998</v>
      </c>
      <c r="K135" s="23">
        <f>'Annual Raw'!L41</f>
        <v>18.572299999999998</v>
      </c>
      <c r="L135" s="23">
        <f>'Annual Raw'!M41</f>
        <v>18.572299999999998</v>
      </c>
      <c r="M135" s="23">
        <f>'Annual Raw'!N41</f>
        <v>18.572299999999998</v>
      </c>
      <c r="N135" s="23">
        <f>'Annual Raw'!O41</f>
        <v>18.572299999999998</v>
      </c>
      <c r="O135" s="23">
        <f>'Annual Raw'!P41</f>
        <v>21.787199999999999</v>
      </c>
      <c r="P135" s="23">
        <f>'Annual Raw'!Q41</f>
        <v>21.787199999999999</v>
      </c>
      <c r="Q135" s="23">
        <f>'Annual Raw'!R41</f>
        <v>21.787199999999999</v>
      </c>
      <c r="R135" s="23">
        <f>'Annual Raw'!S41</f>
        <v>22.44</v>
      </c>
      <c r="S135" s="23">
        <f>'Annual Raw'!T41</f>
        <v>22.44</v>
      </c>
      <c r="T135" s="23">
        <f>'Annual Raw'!U41</f>
        <v>22.44</v>
      </c>
      <c r="U135" s="23">
        <f>'Annual Raw'!V41</f>
        <v>22.44</v>
      </c>
      <c r="V135" s="23">
        <f>'Annual Raw'!W41</f>
        <v>22.44</v>
      </c>
      <c r="W135" s="23">
        <f>'Annual Raw'!X41</f>
        <v>22.44</v>
      </c>
      <c r="X135" s="23">
        <f>'Annual Raw'!Y41</f>
        <v>22.44</v>
      </c>
      <c r="Y135" s="23">
        <f>'Annual Raw'!Z41</f>
        <v>22.44</v>
      </c>
      <c r="Z135" s="23">
        <f>'Annual Raw'!AA41</f>
        <v>22.44</v>
      </c>
      <c r="AA135" s="23">
        <f>'Annual Raw'!AB41</f>
        <v>22.44</v>
      </c>
      <c r="AB135" s="24">
        <f>+CP135</f>
        <v>22.44</v>
      </c>
      <c r="AC135" s="24">
        <f>+CT135</f>
        <v>22.44</v>
      </c>
      <c r="AD135" s="24">
        <f>+CX135</f>
        <v>22.44</v>
      </c>
      <c r="AE135" s="24">
        <f>+DB135</f>
        <v>22.44</v>
      </c>
      <c r="AJ135" s="23">
        <f>+'QTR Raw'!D56</f>
        <v>18.571999999999999</v>
      </c>
      <c r="AK135" s="23">
        <f t="shared" ref="AK135:CE135" si="1081">+AJ135</f>
        <v>18.571999999999999</v>
      </c>
      <c r="AL135" s="23">
        <f>+'QTR Raw'!F56</f>
        <v>21.786999999999999</v>
      </c>
      <c r="AM135" s="23">
        <f t="shared" si="1081"/>
        <v>21.786999999999999</v>
      </c>
      <c r="AN135" s="23">
        <f>+'QTR Raw'!H56</f>
        <v>21.786999999999999</v>
      </c>
      <c r="AO135" s="23">
        <f t="shared" si="1081"/>
        <v>21.786999999999999</v>
      </c>
      <c r="AP135" s="23">
        <f>+'QTR Raw'!J56</f>
        <v>21.786999999999999</v>
      </c>
      <c r="AQ135" s="23">
        <f t="shared" si="1081"/>
        <v>21.786999999999999</v>
      </c>
      <c r="AR135" s="23">
        <f>+'QTR Raw'!L56</f>
        <v>21.786999999999999</v>
      </c>
      <c r="AS135" s="23">
        <f t="shared" si="1081"/>
        <v>21.786999999999999</v>
      </c>
      <c r="AT135" s="23">
        <f>+'QTR Raw'!N56</f>
        <v>21.786999999999999</v>
      </c>
      <c r="AU135" s="23">
        <f t="shared" si="1081"/>
        <v>21.786999999999999</v>
      </c>
      <c r="AV135" s="23">
        <f>+'QTR Raw'!P56</f>
        <v>21.786999999999999</v>
      </c>
      <c r="AW135" s="23">
        <f t="shared" si="1081"/>
        <v>21.786999999999999</v>
      </c>
      <c r="AX135" s="23">
        <f>+'QTR Raw'!R56</f>
        <v>21.786999999999999</v>
      </c>
      <c r="AY135" s="23">
        <f t="shared" si="1081"/>
        <v>21.786999999999999</v>
      </c>
      <c r="AZ135" s="23">
        <f>+'QTR Raw'!T56</f>
        <v>21.786999999999999</v>
      </c>
      <c r="BA135" s="23">
        <f t="shared" si="1081"/>
        <v>21.786999999999999</v>
      </c>
      <c r="BB135" s="23">
        <f>+'QTR Raw'!V56</f>
        <v>22.44</v>
      </c>
      <c r="BC135" s="23">
        <f t="shared" si="1081"/>
        <v>22.44</v>
      </c>
      <c r="BD135" s="23">
        <f>+'QTR Raw'!X56</f>
        <v>22.44</v>
      </c>
      <c r="BE135" s="23">
        <f t="shared" si="1081"/>
        <v>22.44</v>
      </c>
      <c r="BF135" s="23">
        <f>+'QTR Raw'!Z56</f>
        <v>22.44</v>
      </c>
      <c r="BG135" s="23">
        <f t="shared" si="1081"/>
        <v>22.44</v>
      </c>
      <c r="BH135" s="23">
        <f>+'QTR Raw'!AB56</f>
        <v>22.44</v>
      </c>
      <c r="BI135" s="23">
        <f t="shared" si="1081"/>
        <v>22.44</v>
      </c>
      <c r="BJ135" s="23">
        <f>+'QTR Raw'!AD56</f>
        <v>22.44</v>
      </c>
      <c r="BK135" s="23">
        <f t="shared" si="1081"/>
        <v>22.44</v>
      </c>
      <c r="BL135" s="23">
        <f>+'QTR Raw'!AF56</f>
        <v>22.44</v>
      </c>
      <c r="BM135" s="23">
        <f t="shared" si="1081"/>
        <v>22.44</v>
      </c>
      <c r="BN135" s="23">
        <f>+'QTR Raw'!AH56</f>
        <v>22.44</v>
      </c>
      <c r="BO135" s="23">
        <f t="shared" si="1081"/>
        <v>22.44</v>
      </c>
      <c r="BP135" s="23">
        <f>+'QTR Raw'!AJ56</f>
        <v>22.44</v>
      </c>
      <c r="BQ135" s="23">
        <f t="shared" si="1081"/>
        <v>22.44</v>
      </c>
      <c r="BR135" s="23">
        <f>+'QTR Raw'!AL56</f>
        <v>22.44</v>
      </c>
      <c r="BS135" s="23">
        <f t="shared" si="1081"/>
        <v>22.44</v>
      </c>
      <c r="BT135" s="23">
        <f>+'QTR Raw'!AN56</f>
        <v>22.44</v>
      </c>
      <c r="BU135" s="23">
        <f t="shared" si="1081"/>
        <v>22.44</v>
      </c>
      <c r="BV135" s="23">
        <f>+'QTR Raw'!AP56</f>
        <v>22.44</v>
      </c>
      <c r="BW135" s="23">
        <f t="shared" si="1081"/>
        <v>22.44</v>
      </c>
      <c r="BX135" s="23">
        <f>+'QTR Raw'!AR56</f>
        <v>22.44</v>
      </c>
      <c r="BY135" s="23">
        <f t="shared" si="1081"/>
        <v>22.44</v>
      </c>
      <c r="BZ135" s="23">
        <f>+'QTR Raw'!AT56</f>
        <v>22.44</v>
      </c>
      <c r="CA135" s="23">
        <f t="shared" si="1081"/>
        <v>22.44</v>
      </c>
      <c r="CB135" s="23">
        <f>+'QTR Raw'!AV56</f>
        <v>22.44</v>
      </c>
      <c r="CC135" s="23">
        <f t="shared" si="1081"/>
        <v>22.44</v>
      </c>
      <c r="CD135" s="23">
        <f>+'QTR Raw'!AX56</f>
        <v>22.44</v>
      </c>
      <c r="CE135" s="23">
        <f t="shared" si="1081"/>
        <v>22.44</v>
      </c>
      <c r="CF135" s="23">
        <f>+'QTR Raw'!AZ56</f>
        <v>22.44</v>
      </c>
      <c r="CG135" s="23">
        <f t="shared" ref="CG135:CG136" si="1082">+CF135</f>
        <v>22.44</v>
      </c>
      <c r="CH135" s="23">
        <f>Z135</f>
        <v>22.44</v>
      </c>
      <c r="CI135" s="23">
        <f>CH135</f>
        <v>22.44</v>
      </c>
      <c r="CJ135" s="23">
        <f>+'QTR Raw'!BD56</f>
        <v>22.44</v>
      </c>
      <c r="CK135" s="23">
        <f t="shared" ref="CK135:DB135" si="1083">CJ135</f>
        <v>22.44</v>
      </c>
      <c r="CL135" s="23">
        <f>+'QTR Raw'!BF56</f>
        <v>22.44</v>
      </c>
      <c r="CM135" s="24">
        <f t="shared" si="1083"/>
        <v>22.44</v>
      </c>
      <c r="CN135" s="24">
        <f t="shared" si="1083"/>
        <v>22.44</v>
      </c>
      <c r="CO135" s="24">
        <f t="shared" si="1083"/>
        <v>22.44</v>
      </c>
      <c r="CP135" s="24">
        <f t="shared" si="1083"/>
        <v>22.44</v>
      </c>
      <c r="CQ135" s="24">
        <f t="shared" si="1083"/>
        <v>22.44</v>
      </c>
      <c r="CR135" s="24">
        <f t="shared" si="1083"/>
        <v>22.44</v>
      </c>
      <c r="CS135" s="24">
        <f t="shared" si="1083"/>
        <v>22.44</v>
      </c>
      <c r="CT135" s="24">
        <f t="shared" si="1083"/>
        <v>22.44</v>
      </c>
      <c r="CU135" s="24">
        <f t="shared" si="1083"/>
        <v>22.44</v>
      </c>
      <c r="CV135" s="24">
        <f t="shared" si="1083"/>
        <v>22.44</v>
      </c>
      <c r="CW135" s="24">
        <f t="shared" si="1083"/>
        <v>22.44</v>
      </c>
      <c r="CX135" s="24">
        <f t="shared" si="1083"/>
        <v>22.44</v>
      </c>
      <c r="CY135" s="24">
        <f t="shared" si="1083"/>
        <v>22.44</v>
      </c>
      <c r="CZ135" s="24">
        <f t="shared" si="1083"/>
        <v>22.44</v>
      </c>
      <c r="DA135" s="24">
        <f t="shared" si="1083"/>
        <v>22.44</v>
      </c>
      <c r="DB135" s="24">
        <f t="shared" si="1083"/>
        <v>22.44</v>
      </c>
      <c r="DE135" s="123"/>
      <c r="DF135" s="23">
        <v>22.44</v>
      </c>
    </row>
    <row r="136" spans="1:110" s="23" customFormat="1" outlineLevel="1" x14ac:dyDescent="0.2">
      <c r="A136" s="23" t="s">
        <v>42</v>
      </c>
      <c r="B136" s="23">
        <f>'Annual Raw'!C42</f>
        <v>0</v>
      </c>
      <c r="C136" s="23">
        <f>'Annual Raw'!D42</f>
        <v>0</v>
      </c>
      <c r="D136" s="23">
        <f>'Annual Raw'!E42</f>
        <v>0</v>
      </c>
      <c r="E136" s="23">
        <f>'Annual Raw'!F42</f>
        <v>0</v>
      </c>
      <c r="F136" s="23">
        <f>'Annual Raw'!G42</f>
        <v>0</v>
      </c>
      <c r="G136" s="23">
        <f>'Annual Raw'!H42</f>
        <v>0</v>
      </c>
      <c r="H136" s="23">
        <f>'Annual Raw'!I42</f>
        <v>0</v>
      </c>
      <c r="I136" s="23">
        <f>'Annual Raw'!J42</f>
        <v>0</v>
      </c>
      <c r="J136" s="23">
        <f>'Annual Raw'!K42</f>
        <v>0</v>
      </c>
      <c r="K136" s="23">
        <f>'Annual Raw'!L42</f>
        <v>0</v>
      </c>
      <c r="L136" s="23">
        <f>'Annual Raw'!M42</f>
        <v>0</v>
      </c>
      <c r="M136" s="23">
        <f>'Annual Raw'!N42</f>
        <v>0</v>
      </c>
      <c r="N136" s="23">
        <f>'Annual Raw'!O42</f>
        <v>3.2149000000000001</v>
      </c>
      <c r="O136" s="23">
        <f>'Annual Raw'!P42</f>
        <v>0</v>
      </c>
      <c r="P136" s="23">
        <f>'Annual Raw'!Q42</f>
        <v>0</v>
      </c>
      <c r="Q136" s="23">
        <f>'Annual Raw'!R42</f>
        <v>0.65280000000000005</v>
      </c>
      <c r="R136" s="23">
        <f>'Annual Raw'!S42</f>
        <v>0</v>
      </c>
      <c r="S136" s="23">
        <f>'Annual Raw'!T42</f>
        <v>0</v>
      </c>
      <c r="T136" s="23">
        <f>'Annual Raw'!U42</f>
        <v>0</v>
      </c>
      <c r="U136" s="23">
        <f>'Annual Raw'!V42</f>
        <v>0</v>
      </c>
      <c r="V136" s="23">
        <f>'Annual Raw'!W42</f>
        <v>0</v>
      </c>
      <c r="W136" s="23">
        <f>'Annual Raw'!X42</f>
        <v>0</v>
      </c>
      <c r="X136" s="23">
        <f>'Annual Raw'!Y42</f>
        <v>0</v>
      </c>
      <c r="Y136" s="23">
        <f>'Annual Raw'!Z42</f>
        <v>0</v>
      </c>
      <c r="Z136" s="23">
        <f>'Annual Raw'!AA42</f>
        <v>0</v>
      </c>
      <c r="AA136" s="23">
        <f>'Annual Raw'!AB42</f>
        <v>0</v>
      </c>
      <c r="AB136" s="24">
        <f t="shared" ref="AB136:AB137" si="1084">+CP136</f>
        <v>0</v>
      </c>
      <c r="AC136" s="24">
        <f t="shared" ref="AC136:AC137" si="1085">+CT136</f>
        <v>0</v>
      </c>
      <c r="AD136" s="24">
        <f t="shared" ref="AD136:AD137" si="1086">+CX136</f>
        <v>0</v>
      </c>
      <c r="AE136" s="24">
        <f t="shared" ref="AE136:AE137" si="1087">+DB136</f>
        <v>0</v>
      </c>
      <c r="AJ136" s="23">
        <f>+'QTR Raw'!D57</f>
        <v>0</v>
      </c>
      <c r="AK136" s="23">
        <f t="shared" ref="AK136:CE136" si="1088">+AJ136</f>
        <v>0</v>
      </c>
      <c r="AL136" s="23">
        <f>+'QTR Raw'!F57</f>
        <v>0</v>
      </c>
      <c r="AM136" s="23">
        <f t="shared" si="1088"/>
        <v>0</v>
      </c>
      <c r="AN136" s="23">
        <f>+'QTR Raw'!H57</f>
        <v>0</v>
      </c>
      <c r="AO136" s="23">
        <f t="shared" si="1088"/>
        <v>0</v>
      </c>
      <c r="AP136" s="23">
        <f>+'QTR Raw'!J57</f>
        <v>0</v>
      </c>
      <c r="AQ136" s="23">
        <f t="shared" si="1088"/>
        <v>0</v>
      </c>
      <c r="AR136" s="23">
        <f>+'QTR Raw'!L57</f>
        <v>0</v>
      </c>
      <c r="AS136" s="23">
        <f t="shared" si="1088"/>
        <v>0</v>
      </c>
      <c r="AT136" s="23">
        <f>+'QTR Raw'!N57</f>
        <v>0</v>
      </c>
      <c r="AU136" s="23">
        <f t="shared" si="1088"/>
        <v>0</v>
      </c>
      <c r="AV136" s="23">
        <f>+'QTR Raw'!P57</f>
        <v>0</v>
      </c>
      <c r="AW136" s="23">
        <f t="shared" si="1088"/>
        <v>0</v>
      </c>
      <c r="AX136" s="23">
        <f>+'QTR Raw'!R57</f>
        <v>0</v>
      </c>
      <c r="AY136" s="23">
        <f t="shared" si="1088"/>
        <v>0</v>
      </c>
      <c r="AZ136" s="23">
        <f>+'QTR Raw'!T57</f>
        <v>0</v>
      </c>
      <c r="BA136" s="23">
        <f t="shared" si="1088"/>
        <v>0</v>
      </c>
      <c r="BB136" s="23">
        <f>+'QTR Raw'!V57</f>
        <v>0</v>
      </c>
      <c r="BC136" s="23">
        <f t="shared" si="1088"/>
        <v>0</v>
      </c>
      <c r="BD136" s="23">
        <f>+'QTR Raw'!X57</f>
        <v>0</v>
      </c>
      <c r="BE136" s="23">
        <f t="shared" si="1088"/>
        <v>0</v>
      </c>
      <c r="BF136" s="23">
        <f>+'QTR Raw'!Z57</f>
        <v>0</v>
      </c>
      <c r="BG136" s="23">
        <f t="shared" si="1088"/>
        <v>0</v>
      </c>
      <c r="BH136" s="23">
        <f>+'QTR Raw'!AB57</f>
        <v>0</v>
      </c>
      <c r="BI136" s="23">
        <f t="shared" si="1088"/>
        <v>0</v>
      </c>
      <c r="BJ136" s="23">
        <f>+'QTR Raw'!AD57</f>
        <v>0</v>
      </c>
      <c r="BK136" s="23">
        <f t="shared" si="1088"/>
        <v>0</v>
      </c>
      <c r="BL136" s="23">
        <f>+'QTR Raw'!AF57</f>
        <v>0</v>
      </c>
      <c r="BM136" s="23">
        <f t="shared" si="1088"/>
        <v>0</v>
      </c>
      <c r="BN136" s="23">
        <f>+'QTR Raw'!AH57</f>
        <v>0</v>
      </c>
      <c r="BO136" s="23">
        <f t="shared" si="1088"/>
        <v>0</v>
      </c>
      <c r="BP136" s="23">
        <f>+'QTR Raw'!AJ57</f>
        <v>0</v>
      </c>
      <c r="BQ136" s="23">
        <f t="shared" si="1088"/>
        <v>0</v>
      </c>
      <c r="BR136" s="23">
        <f>+'QTR Raw'!AL57</f>
        <v>0</v>
      </c>
      <c r="BS136" s="23">
        <f t="shared" si="1088"/>
        <v>0</v>
      </c>
      <c r="BT136" s="23">
        <f>+'QTR Raw'!AN57</f>
        <v>0</v>
      </c>
      <c r="BU136" s="23">
        <f t="shared" si="1088"/>
        <v>0</v>
      </c>
      <c r="BV136" s="23">
        <f>+'QTR Raw'!AP57</f>
        <v>0</v>
      </c>
      <c r="BW136" s="23">
        <f t="shared" si="1088"/>
        <v>0</v>
      </c>
      <c r="BX136" s="23">
        <f>+'QTR Raw'!AR57</f>
        <v>0</v>
      </c>
      <c r="BY136" s="23">
        <f t="shared" si="1088"/>
        <v>0</v>
      </c>
      <c r="BZ136" s="23">
        <f>+'QTR Raw'!AT57</f>
        <v>0</v>
      </c>
      <c r="CA136" s="23">
        <f t="shared" si="1088"/>
        <v>0</v>
      </c>
      <c r="CB136" s="23">
        <f>+'QTR Raw'!AV57</f>
        <v>0</v>
      </c>
      <c r="CC136" s="23">
        <f t="shared" si="1088"/>
        <v>0</v>
      </c>
      <c r="CD136" s="23">
        <f>+'QTR Raw'!AX57</f>
        <v>0</v>
      </c>
      <c r="CE136" s="23">
        <f t="shared" si="1088"/>
        <v>0</v>
      </c>
      <c r="CF136" s="23">
        <f>+'QTR Raw'!AZ57</f>
        <v>0</v>
      </c>
      <c r="CG136" s="23">
        <f t="shared" si="1082"/>
        <v>0</v>
      </c>
      <c r="CH136" s="23">
        <f t="shared" ref="CH136:CH137" si="1089">Z136</f>
        <v>0</v>
      </c>
      <c r="CI136" s="23">
        <f>CH136</f>
        <v>0</v>
      </c>
      <c r="CJ136" s="23">
        <f>+'QTR Raw'!BD57</f>
        <v>0</v>
      </c>
      <c r="CK136" s="23">
        <f t="shared" ref="CK136:DB136" si="1090">CJ136</f>
        <v>0</v>
      </c>
      <c r="CL136" s="23">
        <f>+'QTR Raw'!BF57</f>
        <v>0</v>
      </c>
      <c r="CM136" s="24">
        <f t="shared" si="1090"/>
        <v>0</v>
      </c>
      <c r="CN136" s="24">
        <f t="shared" si="1090"/>
        <v>0</v>
      </c>
      <c r="CO136" s="24">
        <f t="shared" si="1090"/>
        <v>0</v>
      </c>
      <c r="CP136" s="24">
        <f t="shared" si="1090"/>
        <v>0</v>
      </c>
      <c r="CQ136" s="24">
        <f t="shared" si="1090"/>
        <v>0</v>
      </c>
      <c r="CR136" s="24">
        <f t="shared" si="1090"/>
        <v>0</v>
      </c>
      <c r="CS136" s="24">
        <f t="shared" si="1090"/>
        <v>0</v>
      </c>
      <c r="CT136" s="24">
        <f t="shared" si="1090"/>
        <v>0</v>
      </c>
      <c r="CU136" s="24">
        <f t="shared" si="1090"/>
        <v>0</v>
      </c>
      <c r="CV136" s="24">
        <f t="shared" si="1090"/>
        <v>0</v>
      </c>
      <c r="CW136" s="24">
        <f t="shared" si="1090"/>
        <v>0</v>
      </c>
      <c r="CX136" s="24">
        <f t="shared" si="1090"/>
        <v>0</v>
      </c>
      <c r="CY136" s="24">
        <f t="shared" si="1090"/>
        <v>0</v>
      </c>
      <c r="CZ136" s="24">
        <f t="shared" si="1090"/>
        <v>0</v>
      </c>
      <c r="DA136" s="24">
        <f t="shared" si="1090"/>
        <v>0</v>
      </c>
      <c r="DB136" s="24">
        <f t="shared" si="1090"/>
        <v>0</v>
      </c>
      <c r="DE136" s="123"/>
      <c r="DF136" s="23">
        <v>0</v>
      </c>
    </row>
    <row r="137" spans="1:110" s="23" customFormat="1" outlineLevel="1" x14ac:dyDescent="0.2">
      <c r="A137" s="23" t="s">
        <v>43</v>
      </c>
      <c r="B137" s="23">
        <f>'Annual Raw'!C43</f>
        <v>68.2470134</v>
      </c>
      <c r="C137" s="23">
        <f>'Annual Raw'!D43</f>
        <v>56.210759299999999</v>
      </c>
      <c r="D137" s="23">
        <f>'Annual Raw'!E43</f>
        <v>57.948509700000002</v>
      </c>
      <c r="E137" s="23">
        <f>'Annual Raw'!F43</f>
        <v>59.481002799999999</v>
      </c>
      <c r="F137" s="23">
        <f>'Annual Raw'!G43</f>
        <v>67.657799999999995</v>
      </c>
      <c r="G137" s="23">
        <f>'Annual Raw'!H43</f>
        <v>96.956000000000003</v>
      </c>
      <c r="H137" s="23">
        <f>'Annual Raw'!I43</f>
        <v>181.71899999999999</v>
      </c>
      <c r="I137" s="23">
        <f>'Annual Raw'!J43</f>
        <v>218.15389999999999</v>
      </c>
      <c r="J137" s="23">
        <f>'Annual Raw'!K43</f>
        <v>256.82769999999999</v>
      </c>
      <c r="K137" s="23">
        <f>'Annual Raw'!L43</f>
        <v>307.53410000000002</v>
      </c>
      <c r="L137" s="23">
        <f>'Annual Raw'!M43</f>
        <v>399.8186</v>
      </c>
      <c r="M137" s="23">
        <f>'Annual Raw'!N43</f>
        <v>440.12060000000002</v>
      </c>
      <c r="N137" s="23">
        <f>'Annual Raw'!O43</f>
        <v>516.00440000000003</v>
      </c>
      <c r="O137" s="23">
        <f>'Annual Raw'!P43</f>
        <v>510.30650000000003</v>
      </c>
      <c r="P137" s="23">
        <f>'Annual Raw'!Q43</f>
        <v>513.78089999999997</v>
      </c>
      <c r="Q137" s="23">
        <f>'Annual Raw'!R43</f>
        <v>681.84349999999995</v>
      </c>
      <c r="R137" s="23">
        <f>'Annual Raw'!S43</f>
        <v>687.40970000000004</v>
      </c>
      <c r="S137" s="23">
        <f>'Annual Raw'!T43</f>
        <v>686.43190000000004</v>
      </c>
      <c r="T137" s="23">
        <f>'Annual Raw'!U43</f>
        <v>745.62440000000004</v>
      </c>
      <c r="U137" s="23">
        <f>'Annual Raw'!V43</f>
        <v>831.75379999999996</v>
      </c>
      <c r="V137" s="23">
        <f>'Annual Raw'!W43</f>
        <v>896.80830000000003</v>
      </c>
      <c r="W137" s="23">
        <f>'Annual Raw'!X43</f>
        <v>1027.7978000000001</v>
      </c>
      <c r="X137" s="23">
        <f>'Annual Raw'!Y43</f>
        <v>1256.67</v>
      </c>
      <c r="Y137" s="23">
        <f>'Annual Raw'!Z43</f>
        <v>1581.59</v>
      </c>
      <c r="Z137" s="23">
        <f>'Annual Raw'!AA43</f>
        <v>1976.25</v>
      </c>
      <c r="AA137" s="23">
        <f>'Annual Raw'!AB43</f>
        <v>2283.41</v>
      </c>
      <c r="AB137" s="24">
        <f t="shared" si="1084"/>
        <v>2699.7299869905055</v>
      </c>
      <c r="AC137" s="24">
        <f t="shared" si="1085"/>
        <v>3183.0123851618869</v>
      </c>
      <c r="AD137" s="24">
        <f t="shared" si="1086"/>
        <v>3745.5021293974464</v>
      </c>
      <c r="AE137" s="24">
        <f t="shared" si="1087"/>
        <v>4393.267248485834</v>
      </c>
      <c r="AJ137" s="23">
        <f>+'QTR Raw'!D58</f>
        <v>455.57100000000003</v>
      </c>
      <c r="AK137" s="23">
        <f>+AJ137+AK66</f>
        <v>462.62100000000004</v>
      </c>
      <c r="AL137" s="23">
        <f>+'QTR Raw'!F58</f>
        <v>516.00400000000002</v>
      </c>
      <c r="AM137" s="23">
        <f>+AL137+AM66</f>
        <v>519.26099999999997</v>
      </c>
      <c r="AN137" s="23">
        <f>+'QTR Raw'!H58</f>
        <v>466.44099999999997</v>
      </c>
      <c r="AO137" s="23">
        <f>+AN137+AO66</f>
        <v>470.87399999999997</v>
      </c>
      <c r="AP137" s="23">
        <f>+'QTR Raw'!J58</f>
        <v>510.30700000000002</v>
      </c>
      <c r="AQ137" s="23">
        <f>+AP137+AQ66</f>
        <v>503.61099999999999</v>
      </c>
      <c r="AR137" s="23">
        <f>+'QTR Raw'!L58</f>
        <v>473.827</v>
      </c>
      <c r="AS137" s="23">
        <f>+AR137+AS66</f>
        <v>470.07500000000005</v>
      </c>
      <c r="AT137" s="23">
        <f>+'QTR Raw'!N58</f>
        <v>513.78099999999995</v>
      </c>
      <c r="AU137" s="23">
        <f>+AT137+AU66</f>
        <v>515.74400000000003</v>
      </c>
      <c r="AV137" s="23">
        <f>+'QTR Raw'!P58</f>
        <v>517.10199999999998</v>
      </c>
      <c r="AW137" s="23">
        <f>+AV137+AW66</f>
        <v>524.26499999999999</v>
      </c>
      <c r="AX137" s="23">
        <f>+'QTR Raw'!R58</f>
        <v>682.49599999999998</v>
      </c>
      <c r="AY137" s="23">
        <f>+AX137+AY66</f>
        <v>680.45799999999997</v>
      </c>
      <c r="AZ137" s="23">
        <f>+'QTR Raw'!T58</f>
        <v>757.11599999999999</v>
      </c>
      <c r="BA137" s="23">
        <f>+AZ137+BA66</f>
        <v>747.63299999999992</v>
      </c>
      <c r="BB137" s="23">
        <f>+'QTR Raw'!V58</f>
        <v>687.41</v>
      </c>
      <c r="BC137" s="23">
        <f>+BB137+BC66</f>
        <v>651.21799999999996</v>
      </c>
      <c r="BD137" s="23">
        <f>+'QTR Raw'!X58</f>
        <v>640.05700000000002</v>
      </c>
      <c r="BE137" s="23">
        <f>+BD137+BE66</f>
        <v>637.68900000000008</v>
      </c>
      <c r="BF137" s="23">
        <f>+'QTR Raw'!Z58</f>
        <v>686.43200000000002</v>
      </c>
      <c r="BG137" s="23">
        <f>+BF137+BG66</f>
        <v>693.94400000000007</v>
      </c>
      <c r="BH137" s="23">
        <f>+'QTR Raw'!AB58</f>
        <v>745.76499999999999</v>
      </c>
      <c r="BI137" s="23">
        <f>+BH137+BI66</f>
        <v>748.80899999999997</v>
      </c>
      <c r="BJ137" s="23">
        <f>+'QTR Raw'!AD58</f>
        <v>745.62400000000002</v>
      </c>
      <c r="BK137" s="23">
        <f>+BJ137+BK66</f>
        <v>746.07600000000002</v>
      </c>
      <c r="BL137" s="23">
        <f>+'QTR Raw'!AF58</f>
        <v>749.80600000000004</v>
      </c>
      <c r="BM137" s="23">
        <f>+BL137+BM66</f>
        <v>759.07900000000006</v>
      </c>
      <c r="BN137" s="23">
        <f>+'QTR Raw'!AH58</f>
        <v>831.75400000000002</v>
      </c>
      <c r="BO137" s="23">
        <f>+BN137+BO66</f>
        <v>811.13</v>
      </c>
      <c r="BP137" s="23">
        <f>+'QTR Raw'!AJ58</f>
        <v>834.14300000000003</v>
      </c>
      <c r="BQ137" s="23">
        <f>+BP137+BQ66</f>
        <v>858.81500000000005</v>
      </c>
      <c r="BR137" s="23">
        <f>+'QTR Raw'!AL58</f>
        <v>896.80799999999999</v>
      </c>
      <c r="BS137" s="23">
        <f>+BR137+BS66</f>
        <v>924.077</v>
      </c>
      <c r="BT137" s="23">
        <f>+'QTR Raw'!AN58</f>
        <v>954.96699999999998</v>
      </c>
      <c r="BU137" s="23">
        <f>+BT137+BU66</f>
        <v>986.50599999999997</v>
      </c>
      <c r="BV137" s="23">
        <f>+'QTR Raw'!AP58</f>
        <v>1027.798</v>
      </c>
      <c r="BW137" s="23">
        <f>+BV137+BW66</f>
        <v>1070.1079999999999</v>
      </c>
      <c r="BX137" s="23">
        <f>+'QTR Raw'!AR58</f>
        <v>1109.5170000000001</v>
      </c>
      <c r="BY137" s="23">
        <f>+BX137+BY66</f>
        <v>1172.2670000000001</v>
      </c>
      <c r="BZ137" s="23">
        <f>+'QTR Raw'!AT58</f>
        <v>1256.67</v>
      </c>
      <c r="CA137" s="23">
        <f>+BZ137+CA66</f>
        <v>1329.63</v>
      </c>
      <c r="CB137" s="23">
        <f>+'QTR Raw'!AV58</f>
        <v>1392.29</v>
      </c>
      <c r="CC137" s="23">
        <f>+CB137+CC66</f>
        <v>1482.69</v>
      </c>
      <c r="CD137" s="23">
        <f>+'QTR Raw'!AX58</f>
        <v>1581.59</v>
      </c>
      <c r="CE137" s="23">
        <f>+CD137+CE66</f>
        <v>1654.9499999999998</v>
      </c>
      <c r="CF137" s="23">
        <f>+'QTR Raw'!AZ58</f>
        <v>1731.97</v>
      </c>
      <c r="CG137" s="23">
        <f>+CF137+CG66</f>
        <v>1839.51</v>
      </c>
      <c r="CH137" s="23">
        <f t="shared" si="1089"/>
        <v>1976.25</v>
      </c>
      <c r="CI137" s="23">
        <f>CH137+CI66</f>
        <v>2151.69</v>
      </c>
      <c r="CJ137" s="23">
        <f>+'QTR Raw'!BD58</f>
        <v>2221.65</v>
      </c>
      <c r="CK137" s="23">
        <f t="shared" ref="CK137:DB137" si="1091">CJ137+CK66</f>
        <v>2293.6400000000003</v>
      </c>
      <c r="CL137" s="23">
        <f>+'QTR Raw'!BF58</f>
        <v>2283.41</v>
      </c>
      <c r="CM137" s="24">
        <f t="shared" si="1091"/>
        <v>2386.132112340727</v>
      </c>
      <c r="CN137" s="24">
        <f t="shared" si="1091"/>
        <v>2485.6362285208679</v>
      </c>
      <c r="CO137" s="24">
        <f t="shared" si="1091"/>
        <v>2588.4598244686708</v>
      </c>
      <c r="CP137" s="24">
        <f t="shared" si="1091"/>
        <v>2699.7299869905055</v>
      </c>
      <c r="CQ137" s="24">
        <f t="shared" si="1091"/>
        <v>2815.0964915953914</v>
      </c>
      <c r="CR137" s="24">
        <f t="shared" si="1091"/>
        <v>2932.0613049262865</v>
      </c>
      <c r="CS137" s="24">
        <f t="shared" si="1091"/>
        <v>3055.1384947567385</v>
      </c>
      <c r="CT137" s="24">
        <f t="shared" si="1091"/>
        <v>3183.0123851618869</v>
      </c>
      <c r="CU137" s="24">
        <f t="shared" si="1091"/>
        <v>3316.0020649111925</v>
      </c>
      <c r="CV137" s="24">
        <f t="shared" si="1091"/>
        <v>3452.65615654969</v>
      </c>
      <c r="CW137" s="24">
        <f t="shared" si="1091"/>
        <v>3596.5381616190693</v>
      </c>
      <c r="CX137" s="24">
        <f t="shared" si="1091"/>
        <v>3745.5021293974464</v>
      </c>
      <c r="CY137" s="24">
        <f t="shared" si="1091"/>
        <v>3898.8729678192381</v>
      </c>
      <c r="CZ137" s="24">
        <f t="shared" si="1091"/>
        <v>4056.6448389402503</v>
      </c>
      <c r="DA137" s="24">
        <f t="shared" si="1091"/>
        <v>4222.2897486549782</v>
      </c>
      <c r="DB137" s="24">
        <f t="shared" si="1091"/>
        <v>4393.267248485834</v>
      </c>
      <c r="DE137" s="123"/>
      <c r="DF137" s="23">
        <v>2283.41</v>
      </c>
    </row>
    <row r="138" spans="1:110" s="22" customFormat="1" x14ac:dyDescent="0.2">
      <c r="A138" s="22" t="s">
        <v>44</v>
      </c>
      <c r="B138" s="22">
        <f>B135+B136+B137</f>
        <v>73.894423399999994</v>
      </c>
      <c r="C138" s="22">
        <f t="shared" ref="C138:V138" si="1092">C135+C136+C137</f>
        <v>61.8581693</v>
      </c>
      <c r="D138" s="22">
        <f t="shared" si="1092"/>
        <v>63.595919700000003</v>
      </c>
      <c r="E138" s="22">
        <f t="shared" si="1092"/>
        <v>65.128412799999992</v>
      </c>
      <c r="F138" s="22">
        <f t="shared" si="1092"/>
        <v>73.305199999999999</v>
      </c>
      <c r="G138" s="22">
        <f t="shared" si="1092"/>
        <v>102.66380000000001</v>
      </c>
      <c r="H138" s="22">
        <f t="shared" si="1092"/>
        <v>187.90369999999999</v>
      </c>
      <c r="I138" s="22">
        <f t="shared" si="1092"/>
        <v>236.72620000000001</v>
      </c>
      <c r="J138" s="22">
        <f t="shared" si="1092"/>
        <v>275.39999999999998</v>
      </c>
      <c r="K138" s="22">
        <f t="shared" si="1092"/>
        <v>326.10640000000001</v>
      </c>
      <c r="L138" s="22">
        <f t="shared" si="1092"/>
        <v>418.39089999999999</v>
      </c>
      <c r="M138" s="22">
        <f>M135+M136+M137</f>
        <v>458.69290000000001</v>
      </c>
      <c r="N138" s="22">
        <f t="shared" si="1092"/>
        <v>537.79160000000002</v>
      </c>
      <c r="O138" s="22">
        <f t="shared" si="1092"/>
        <v>532.09370000000001</v>
      </c>
      <c r="P138" s="22">
        <f t="shared" si="1092"/>
        <v>535.56809999999996</v>
      </c>
      <c r="Q138" s="22">
        <f t="shared" si="1092"/>
        <v>704.2835</v>
      </c>
      <c r="R138" s="22">
        <f t="shared" si="1092"/>
        <v>709.8497000000001</v>
      </c>
      <c r="S138" s="22">
        <f t="shared" si="1092"/>
        <v>708.8719000000001</v>
      </c>
      <c r="T138" s="22">
        <f t="shared" si="1092"/>
        <v>768.06440000000009</v>
      </c>
      <c r="U138" s="22">
        <f t="shared" si="1092"/>
        <v>854.19380000000001</v>
      </c>
      <c r="V138" s="22">
        <f t="shared" si="1092"/>
        <v>919.24830000000009</v>
      </c>
      <c r="W138" s="22">
        <f t="shared" ref="W138" si="1093">W135+W136+W137</f>
        <v>1050.2378000000001</v>
      </c>
      <c r="X138" s="22">
        <f t="shared" ref="X138:Y138" si="1094">X135+X136+X137</f>
        <v>1279.1100000000001</v>
      </c>
      <c r="Y138" s="22">
        <f t="shared" si="1094"/>
        <v>1604.03</v>
      </c>
      <c r="Z138" s="22">
        <f t="shared" ref="Z138:AA138" si="1095">Z135+Z136+Z137</f>
        <v>1998.69</v>
      </c>
      <c r="AA138" s="22">
        <f t="shared" ref="AA138" si="1096">AA135+AA136+AA137</f>
        <v>2305.85</v>
      </c>
      <c r="AB138" s="21">
        <f t="shared" ref="AB138:AD138" si="1097">AB135+AB136+AB137</f>
        <v>2722.1699869905055</v>
      </c>
      <c r="AC138" s="21">
        <f t="shared" si="1097"/>
        <v>3205.4523851618869</v>
      </c>
      <c r="AD138" s="21">
        <f t="shared" si="1097"/>
        <v>3767.9421293974465</v>
      </c>
      <c r="AE138" s="21">
        <f t="shared" ref="AE138" si="1098">AE135+AE136+AE137</f>
        <v>4415.7072484858336</v>
      </c>
      <c r="AJ138" s="22">
        <f t="shared" ref="AJ138" si="1099">AJ135+AJ136+AJ137</f>
        <v>474.14300000000003</v>
      </c>
      <c r="AK138" s="22">
        <f t="shared" ref="AK138" si="1100">AK135+AK136+AK137</f>
        <v>481.19300000000004</v>
      </c>
      <c r="AL138" s="22">
        <f t="shared" ref="AL138:AM138" si="1101">AL135+AL136+AL137</f>
        <v>537.79100000000005</v>
      </c>
      <c r="AM138" s="22">
        <f t="shared" si="1101"/>
        <v>541.048</v>
      </c>
      <c r="AN138" s="22">
        <f t="shared" ref="AN138:AO138" si="1102">AN135+AN136+AN137</f>
        <v>488.22799999999995</v>
      </c>
      <c r="AO138" s="22">
        <f t="shared" si="1102"/>
        <v>492.66099999999994</v>
      </c>
      <c r="AP138" s="22">
        <f t="shared" ref="AP138:CE138" si="1103">AP135+AP136+AP137</f>
        <v>532.09400000000005</v>
      </c>
      <c r="AQ138" s="22">
        <f t="shared" si="1103"/>
        <v>525.39800000000002</v>
      </c>
      <c r="AR138" s="22">
        <f t="shared" si="1103"/>
        <v>495.61399999999998</v>
      </c>
      <c r="AS138" s="22">
        <f t="shared" si="1103"/>
        <v>491.86200000000002</v>
      </c>
      <c r="AT138" s="22">
        <f t="shared" si="1103"/>
        <v>535.56799999999998</v>
      </c>
      <c r="AU138" s="22">
        <f t="shared" si="1103"/>
        <v>537.53100000000006</v>
      </c>
      <c r="AV138" s="22">
        <f t="shared" si="1103"/>
        <v>538.88900000000001</v>
      </c>
      <c r="AW138" s="22">
        <f t="shared" si="1103"/>
        <v>546.05200000000002</v>
      </c>
      <c r="AX138" s="22">
        <f t="shared" si="1103"/>
        <v>704.28300000000002</v>
      </c>
      <c r="AY138" s="22">
        <f t="shared" si="1103"/>
        <v>702.245</v>
      </c>
      <c r="AZ138" s="22">
        <f t="shared" si="1103"/>
        <v>778.90300000000002</v>
      </c>
      <c r="BA138" s="22">
        <f t="shared" si="1103"/>
        <v>769.42</v>
      </c>
      <c r="BB138" s="22">
        <f t="shared" si="1103"/>
        <v>709.85</v>
      </c>
      <c r="BC138" s="22">
        <f t="shared" si="1103"/>
        <v>673.65800000000002</v>
      </c>
      <c r="BD138" s="22">
        <f t="shared" si="1103"/>
        <v>662.49700000000007</v>
      </c>
      <c r="BE138" s="22">
        <f t="shared" si="1103"/>
        <v>660.12900000000013</v>
      </c>
      <c r="BF138" s="22">
        <f t="shared" si="1103"/>
        <v>708.87200000000007</v>
      </c>
      <c r="BG138" s="22">
        <f t="shared" si="1103"/>
        <v>716.38400000000013</v>
      </c>
      <c r="BH138" s="22">
        <f t="shared" si="1103"/>
        <v>768.20500000000004</v>
      </c>
      <c r="BI138" s="22">
        <f t="shared" si="1103"/>
        <v>771.24900000000002</v>
      </c>
      <c r="BJ138" s="22">
        <f t="shared" si="1103"/>
        <v>768.06400000000008</v>
      </c>
      <c r="BK138" s="22">
        <f t="shared" si="1103"/>
        <v>768.51600000000008</v>
      </c>
      <c r="BL138" s="22">
        <f t="shared" si="1103"/>
        <v>772.24600000000009</v>
      </c>
      <c r="BM138" s="22">
        <f t="shared" si="1103"/>
        <v>781.51900000000012</v>
      </c>
      <c r="BN138" s="22">
        <f t="shared" si="1103"/>
        <v>854.19400000000007</v>
      </c>
      <c r="BO138" s="22">
        <f t="shared" si="1103"/>
        <v>833.57</v>
      </c>
      <c r="BP138" s="22">
        <f t="shared" si="1103"/>
        <v>856.58300000000008</v>
      </c>
      <c r="BQ138" s="22">
        <f t="shared" si="1103"/>
        <v>881.25500000000011</v>
      </c>
      <c r="BR138" s="22">
        <f t="shared" si="1103"/>
        <v>919.24800000000005</v>
      </c>
      <c r="BS138" s="22">
        <f t="shared" si="1103"/>
        <v>946.51700000000005</v>
      </c>
      <c r="BT138" s="22">
        <f t="shared" si="1103"/>
        <v>977.40700000000004</v>
      </c>
      <c r="BU138" s="22">
        <f t="shared" si="1103"/>
        <v>1008.946</v>
      </c>
      <c r="BV138" s="22">
        <f t="shared" si="1103"/>
        <v>1050.2380000000001</v>
      </c>
      <c r="BW138" s="22">
        <f t="shared" si="1103"/>
        <v>1092.548</v>
      </c>
      <c r="BX138" s="22">
        <f t="shared" si="1103"/>
        <v>1131.9570000000001</v>
      </c>
      <c r="BY138" s="22">
        <f t="shared" si="1103"/>
        <v>1194.7070000000001</v>
      </c>
      <c r="BZ138" s="22">
        <f t="shared" si="1103"/>
        <v>1279.1100000000001</v>
      </c>
      <c r="CA138" s="22">
        <f t="shared" si="1103"/>
        <v>1352.0700000000002</v>
      </c>
      <c r="CB138" s="22">
        <f t="shared" si="1103"/>
        <v>1414.73</v>
      </c>
      <c r="CC138" s="22">
        <f t="shared" si="1103"/>
        <v>1505.13</v>
      </c>
      <c r="CD138" s="22">
        <f t="shared" si="1103"/>
        <v>1604.03</v>
      </c>
      <c r="CE138" s="22">
        <f t="shared" si="1103"/>
        <v>1677.3899999999999</v>
      </c>
      <c r="CF138" s="22">
        <f t="shared" ref="CF138:CG138" si="1104">CF135+CF136+CF137</f>
        <v>1754.41</v>
      </c>
      <c r="CG138" s="22">
        <f t="shared" si="1104"/>
        <v>1861.95</v>
      </c>
      <c r="CH138" s="22">
        <f t="shared" ref="CH138:CI138" si="1105">CH135+CH136+CH137</f>
        <v>1998.69</v>
      </c>
      <c r="CI138" s="22">
        <f t="shared" si="1105"/>
        <v>2174.13</v>
      </c>
      <c r="CJ138" s="22">
        <f t="shared" ref="CJ138:DB138" si="1106">CJ135+CJ136+CJ137</f>
        <v>2244.09</v>
      </c>
      <c r="CK138" s="22">
        <f t="shared" si="1106"/>
        <v>2316.0800000000004</v>
      </c>
      <c r="CL138" s="22">
        <f t="shared" ref="CL138" si="1107">CL135+CL136+CL137</f>
        <v>2305.85</v>
      </c>
      <c r="CM138" s="21">
        <f t="shared" si="1106"/>
        <v>2408.572112340727</v>
      </c>
      <c r="CN138" s="21">
        <f t="shared" si="1106"/>
        <v>2508.076228520868</v>
      </c>
      <c r="CO138" s="21">
        <f t="shared" si="1106"/>
        <v>2610.8998244686709</v>
      </c>
      <c r="CP138" s="21">
        <f t="shared" si="1106"/>
        <v>2722.1699869905055</v>
      </c>
      <c r="CQ138" s="21">
        <f t="shared" si="1106"/>
        <v>2837.5364915953915</v>
      </c>
      <c r="CR138" s="21">
        <f t="shared" si="1106"/>
        <v>2954.5013049262866</v>
      </c>
      <c r="CS138" s="21">
        <f t="shared" si="1106"/>
        <v>3077.5784947567386</v>
      </c>
      <c r="CT138" s="21">
        <f t="shared" si="1106"/>
        <v>3205.4523851618869</v>
      </c>
      <c r="CU138" s="21">
        <f t="shared" si="1106"/>
        <v>3338.4420649111926</v>
      </c>
      <c r="CV138" s="21">
        <f t="shared" si="1106"/>
        <v>3475.09615654969</v>
      </c>
      <c r="CW138" s="21">
        <f t="shared" si="1106"/>
        <v>3618.9781616190694</v>
      </c>
      <c r="CX138" s="21">
        <f t="shared" si="1106"/>
        <v>3767.9421293974465</v>
      </c>
      <c r="CY138" s="21">
        <f t="shared" si="1106"/>
        <v>3921.3129678192381</v>
      </c>
      <c r="CZ138" s="21">
        <f t="shared" si="1106"/>
        <v>4079.0848389402504</v>
      </c>
      <c r="DA138" s="21">
        <f t="shared" si="1106"/>
        <v>4244.7297486549778</v>
      </c>
      <c r="DB138" s="21">
        <f t="shared" si="1106"/>
        <v>4415.7072484858336</v>
      </c>
      <c r="DE138" s="126"/>
      <c r="DF138" s="22">
        <v>2305.85</v>
      </c>
    </row>
    <row r="139" spans="1:110" s="22" customFormat="1" x14ac:dyDescent="0.2">
      <c r="AB139" s="21"/>
      <c r="AC139" s="21"/>
      <c r="AD139" s="21"/>
      <c r="AE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E139" s="126"/>
    </row>
    <row r="140" spans="1:110" s="23" customFormat="1" x14ac:dyDescent="0.2">
      <c r="A140" s="23" t="s">
        <v>23</v>
      </c>
      <c r="B140" s="23">
        <f>'Annual Raw'!C45</f>
        <v>0</v>
      </c>
      <c r="C140" s="23">
        <f>'Annual Raw'!D45</f>
        <v>0</v>
      </c>
      <c r="D140" s="23">
        <f>'Annual Raw'!E45</f>
        <v>0</v>
      </c>
      <c r="E140" s="23">
        <f>'Annual Raw'!F45</f>
        <v>0</v>
      </c>
      <c r="F140" s="23">
        <f>'Annual Raw'!G45</f>
        <v>0</v>
      </c>
      <c r="G140" s="23">
        <f>'Annual Raw'!H45</f>
        <v>0</v>
      </c>
      <c r="H140" s="23">
        <f>'Annual Raw'!I45</f>
        <v>0</v>
      </c>
      <c r="I140" s="23">
        <f>'Annual Raw'!J45</f>
        <v>0</v>
      </c>
      <c r="J140" s="23">
        <f>'Annual Raw'!K45</f>
        <v>0</v>
      </c>
      <c r="K140" s="23">
        <f>'Annual Raw'!L45</f>
        <v>0</v>
      </c>
      <c r="L140" s="23">
        <f>'Annual Raw'!M45</f>
        <v>0</v>
      </c>
      <c r="M140" s="23">
        <f>'Annual Raw'!N45</f>
        <v>0</v>
      </c>
      <c r="N140" s="23">
        <f>'Annual Raw'!O45</f>
        <v>34.344700000000003</v>
      </c>
      <c r="O140" s="23">
        <f>'Annual Raw'!P45</f>
        <v>35.0334</v>
      </c>
      <c r="P140" s="23">
        <f>'Annual Raw'!Q45</f>
        <v>36.035299999999999</v>
      </c>
      <c r="Q140" s="23">
        <f>'Annual Raw'!R45</f>
        <v>0</v>
      </c>
      <c r="R140" s="23">
        <f>'Annual Raw'!S45</f>
        <v>0</v>
      </c>
      <c r="S140" s="23">
        <f>'Annual Raw'!T45</f>
        <v>0</v>
      </c>
      <c r="T140" s="23">
        <f>'Annual Raw'!U45</f>
        <v>0</v>
      </c>
      <c r="U140" s="23">
        <f>'Annual Raw'!V45</f>
        <v>0</v>
      </c>
      <c r="V140" s="23">
        <f>'Annual Raw'!W45</f>
        <v>0</v>
      </c>
      <c r="W140" s="23">
        <f>'Annual Raw'!X45</f>
        <v>0</v>
      </c>
      <c r="X140" s="23">
        <f>'Annual Raw'!Y45</f>
        <v>0</v>
      </c>
      <c r="Y140" s="23">
        <f>'Annual Raw'!Z45</f>
        <v>0</v>
      </c>
      <c r="Z140" s="23">
        <f>'Annual Raw'!AA45</f>
        <v>0</v>
      </c>
      <c r="AA140" s="23">
        <f>'Annual Raw'!AB45</f>
        <v>0</v>
      </c>
      <c r="AB140" s="24">
        <f>+CP140</f>
        <v>0</v>
      </c>
      <c r="AC140" s="24">
        <f>+CT140</f>
        <v>0</v>
      </c>
      <c r="AD140" s="24">
        <f>+CX140</f>
        <v>0</v>
      </c>
      <c r="AE140" s="24">
        <f>+DB140</f>
        <v>0</v>
      </c>
      <c r="AJ140" s="23">
        <f>+'QTR Raw'!D60</f>
        <v>0</v>
      </c>
      <c r="AK140" s="23">
        <f t="shared" ref="AK140:CE140" si="1108">+AJ140</f>
        <v>0</v>
      </c>
      <c r="AL140" s="23">
        <f>+'QTR Raw'!F60</f>
        <v>34.344999999999999</v>
      </c>
      <c r="AM140" s="23">
        <f t="shared" si="1108"/>
        <v>34.344999999999999</v>
      </c>
      <c r="AN140" s="23">
        <f>+'QTR Raw'!H60</f>
        <v>0</v>
      </c>
      <c r="AO140" s="23">
        <f t="shared" si="1108"/>
        <v>0</v>
      </c>
      <c r="AP140" s="23">
        <f>+'QTR Raw'!J60</f>
        <v>35.033000000000001</v>
      </c>
      <c r="AQ140" s="23">
        <f t="shared" si="1108"/>
        <v>35.033000000000001</v>
      </c>
      <c r="AR140" s="23">
        <f>+'QTR Raw'!L60</f>
        <v>0</v>
      </c>
      <c r="AS140" s="23">
        <f t="shared" si="1108"/>
        <v>0</v>
      </c>
      <c r="AT140" s="23">
        <f>+'QTR Raw'!N60</f>
        <v>36.034999999999997</v>
      </c>
      <c r="AU140" s="23">
        <f t="shared" si="1108"/>
        <v>36.034999999999997</v>
      </c>
      <c r="AV140" s="23">
        <f>+'QTR Raw'!P60</f>
        <v>27.795000000000002</v>
      </c>
      <c r="AW140" s="23">
        <f t="shared" si="1108"/>
        <v>27.795000000000002</v>
      </c>
      <c r="AX140" s="23">
        <f>+'QTR Raw'!R60</f>
        <v>0</v>
      </c>
      <c r="AY140" s="23">
        <f t="shared" si="1108"/>
        <v>0</v>
      </c>
      <c r="AZ140" s="23">
        <f>+'QTR Raw'!T60</f>
        <v>0</v>
      </c>
      <c r="BA140" s="23">
        <f t="shared" si="1108"/>
        <v>0</v>
      </c>
      <c r="BB140" s="23">
        <f>+'QTR Raw'!V60</f>
        <v>0</v>
      </c>
      <c r="BC140" s="23">
        <f t="shared" si="1108"/>
        <v>0</v>
      </c>
      <c r="BD140" s="23">
        <f>+'QTR Raw'!X60</f>
        <v>0</v>
      </c>
      <c r="BE140" s="23">
        <f t="shared" si="1108"/>
        <v>0</v>
      </c>
      <c r="BF140" s="23">
        <f>+'QTR Raw'!Z60</f>
        <v>0</v>
      </c>
      <c r="BG140" s="23">
        <f t="shared" si="1108"/>
        <v>0</v>
      </c>
      <c r="BH140" s="22">
        <f>+'QTR Raw'!AB60</f>
        <v>0</v>
      </c>
      <c r="BI140" s="23">
        <f t="shared" si="1108"/>
        <v>0</v>
      </c>
      <c r="BJ140" s="23">
        <f>+'QTR Raw'!AD60</f>
        <v>0</v>
      </c>
      <c r="BK140" s="23">
        <f t="shared" si="1108"/>
        <v>0</v>
      </c>
      <c r="BL140" s="23">
        <f>+'QTR Raw'!AF60</f>
        <v>0</v>
      </c>
      <c r="BM140" s="23">
        <f t="shared" si="1108"/>
        <v>0</v>
      </c>
      <c r="BN140" s="23">
        <f>+'QTR Raw'!AH60</f>
        <v>0</v>
      </c>
      <c r="BO140" s="23">
        <f t="shared" si="1108"/>
        <v>0</v>
      </c>
      <c r="BP140" s="23">
        <f>+'QTR Raw'!AJ60</f>
        <v>0</v>
      </c>
      <c r="BQ140" s="23">
        <f t="shared" si="1108"/>
        <v>0</v>
      </c>
      <c r="BR140" s="23">
        <f>+'QTR Raw'!AL60</f>
        <v>0</v>
      </c>
      <c r="BS140" s="23">
        <f t="shared" si="1108"/>
        <v>0</v>
      </c>
      <c r="BT140" s="23">
        <f>+'QTR Raw'!AN60</f>
        <v>0</v>
      </c>
      <c r="BU140" s="23">
        <f t="shared" si="1108"/>
        <v>0</v>
      </c>
      <c r="BV140" s="23">
        <f>+'QTR Raw'!AP60</f>
        <v>0</v>
      </c>
      <c r="BW140" s="23">
        <f t="shared" si="1108"/>
        <v>0</v>
      </c>
      <c r="BX140" s="23">
        <f>+'QTR Raw'!AR60</f>
        <v>0</v>
      </c>
      <c r="BY140" s="23">
        <f t="shared" si="1108"/>
        <v>0</v>
      </c>
      <c r="BZ140" s="23">
        <f>+'QTR Raw'!AT60</f>
        <v>0</v>
      </c>
      <c r="CA140" s="23">
        <f t="shared" si="1108"/>
        <v>0</v>
      </c>
      <c r="CB140" s="23">
        <f>+'QTR Raw'!AV60</f>
        <v>0</v>
      </c>
      <c r="CC140" s="23">
        <f t="shared" si="1108"/>
        <v>0</v>
      </c>
      <c r="CD140" s="23">
        <f>+'QTR Raw'!AX60</f>
        <v>0</v>
      </c>
      <c r="CE140" s="23">
        <f t="shared" si="1108"/>
        <v>0</v>
      </c>
      <c r="CF140" s="23">
        <f>+'QTR Raw'!AZ60</f>
        <v>0</v>
      </c>
      <c r="CG140" s="23">
        <f t="shared" ref="CG140:CI140" si="1109">+CF140</f>
        <v>0</v>
      </c>
      <c r="CH140" s="23">
        <f t="shared" ref="CH140:CH145" si="1110">Z140</f>
        <v>0</v>
      </c>
      <c r="CI140" s="23">
        <f t="shared" si="1109"/>
        <v>0</v>
      </c>
      <c r="CJ140" s="23">
        <f>+'QTR Raw'!BD60</f>
        <v>0</v>
      </c>
      <c r="CK140" s="23">
        <f t="shared" ref="CK140" si="1111">+CJ140</f>
        <v>0</v>
      </c>
      <c r="CL140" s="23">
        <f>+'QTR Raw'!BF60</f>
        <v>0</v>
      </c>
      <c r="CM140" s="24">
        <f t="shared" ref="CM140" si="1112">+CL140</f>
        <v>0</v>
      </c>
      <c r="CN140" s="24">
        <f t="shared" ref="CN140" si="1113">+CM140</f>
        <v>0</v>
      </c>
      <c r="CO140" s="24">
        <f t="shared" ref="CO140" si="1114">+CN140</f>
        <v>0</v>
      </c>
      <c r="CP140" s="24">
        <f t="shared" ref="CP140" si="1115">+CO140</f>
        <v>0</v>
      </c>
      <c r="CQ140" s="24">
        <f t="shared" ref="CQ140" si="1116">+CP140</f>
        <v>0</v>
      </c>
      <c r="CR140" s="24">
        <f t="shared" ref="CR140" si="1117">+CQ140</f>
        <v>0</v>
      </c>
      <c r="CS140" s="24">
        <f t="shared" ref="CS140" si="1118">+CR140</f>
        <v>0</v>
      </c>
      <c r="CT140" s="24">
        <f t="shared" ref="CT140" si="1119">+CS140</f>
        <v>0</v>
      </c>
      <c r="CU140" s="24">
        <f t="shared" ref="CU140" si="1120">+CT140</f>
        <v>0</v>
      </c>
      <c r="CV140" s="24">
        <f t="shared" ref="CV140" si="1121">+CU140</f>
        <v>0</v>
      </c>
      <c r="CW140" s="24">
        <f t="shared" ref="CW140" si="1122">+CV140</f>
        <v>0</v>
      </c>
      <c r="CX140" s="24">
        <f t="shared" ref="CX140" si="1123">+CW140</f>
        <v>0</v>
      </c>
      <c r="CY140" s="24">
        <f t="shared" ref="CY140" si="1124">+CX140</f>
        <v>0</v>
      </c>
      <c r="CZ140" s="24">
        <f t="shared" ref="CZ140" si="1125">+CY140</f>
        <v>0</v>
      </c>
      <c r="DA140" s="24">
        <f t="shared" ref="DA140" si="1126">+CZ140</f>
        <v>0</v>
      </c>
      <c r="DB140" s="24">
        <f t="shared" ref="DB140" si="1127">+DA140</f>
        <v>0</v>
      </c>
      <c r="DE140" s="123"/>
      <c r="DF140" s="23">
        <v>0</v>
      </c>
    </row>
    <row r="141" spans="1:110" s="23" customFormat="1" x14ac:dyDescent="0.2">
      <c r="AB141" s="24"/>
      <c r="AC141" s="24"/>
      <c r="AD141" s="24"/>
      <c r="AE141" s="24"/>
      <c r="BH141" s="22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45</v>
      </c>
      <c r="B142" s="23">
        <f>'Annual Raw'!C47</f>
        <v>42.821278800000002</v>
      </c>
      <c r="C142" s="23">
        <f>'Annual Raw'!D47</f>
        <v>43.6866135</v>
      </c>
      <c r="D142" s="23">
        <f>'Annual Raw'!E47</f>
        <v>40.3346102</v>
      </c>
      <c r="E142" s="23">
        <f>'Annual Raw'!F47</f>
        <v>33.509765199999997</v>
      </c>
      <c r="F142" s="23">
        <f>'Annual Raw'!G47</f>
        <v>66.957599999999999</v>
      </c>
      <c r="G142" s="23">
        <f>'Annual Raw'!H47</f>
        <v>150.61490000000001</v>
      </c>
      <c r="H142" s="23">
        <f>'Annual Raw'!I47</f>
        <v>267.28570000000002</v>
      </c>
      <c r="I142" s="23">
        <f>'Annual Raw'!J47</f>
        <v>320.91059999999999</v>
      </c>
      <c r="J142" s="23">
        <f>'Annual Raw'!K47</f>
        <v>523.60919999999999</v>
      </c>
      <c r="K142" s="23">
        <f>'Annual Raw'!L47</f>
        <v>332.87700000000001</v>
      </c>
      <c r="L142" s="23">
        <f>'Annual Raw'!M47</f>
        <v>203.39660000000001</v>
      </c>
      <c r="M142" s="23">
        <f>'Annual Raw'!N47</f>
        <v>194.06059999999999</v>
      </c>
      <c r="N142" s="23">
        <f>'Annual Raw'!O47</f>
        <v>181.39490000000001</v>
      </c>
      <c r="O142" s="23">
        <f>'Annual Raw'!P47</f>
        <v>137.79839999999999</v>
      </c>
      <c r="P142" s="23">
        <f>'Annual Raw'!Q47</f>
        <v>163.16579999999999</v>
      </c>
      <c r="Q142" s="23">
        <f>'Annual Raw'!R47</f>
        <v>178.89150000000001</v>
      </c>
      <c r="R142" s="23">
        <f>'Annual Raw'!S47</f>
        <v>139.44759999999999</v>
      </c>
      <c r="S142" s="23">
        <f>'Annual Raw'!T47</f>
        <v>186.97120000000001</v>
      </c>
      <c r="T142" s="23">
        <f>'Annual Raw'!U47</f>
        <v>243.85650000000001</v>
      </c>
      <c r="U142" s="23">
        <f>'Annual Raw'!V47</f>
        <v>146.4316</v>
      </c>
      <c r="V142" s="23">
        <f>'Annual Raw'!W47</f>
        <v>117.41589999999999</v>
      </c>
      <c r="W142" s="23">
        <f>'Annual Raw'!X47</f>
        <v>19.6629</v>
      </c>
      <c r="X142" s="23">
        <f>'Annual Raw'!Y47</f>
        <v>0</v>
      </c>
      <c r="Y142" s="23">
        <f>'Annual Raw'!Z47</f>
        <v>0</v>
      </c>
      <c r="Z142" s="23">
        <f>'Annual Raw'!AA47</f>
        <v>0</v>
      </c>
      <c r="AA142" s="23">
        <f>'Annual Raw'!AB47</f>
        <v>0</v>
      </c>
      <c r="AB142" s="24">
        <f t="shared" ref="AB142:AB145" si="1128">+CP142</f>
        <v>0</v>
      </c>
      <c r="AC142" s="24">
        <f t="shared" ref="AC142:AC145" si="1129">+CT142</f>
        <v>0</v>
      </c>
      <c r="AD142" s="24">
        <f t="shared" ref="AD142:AD145" si="1130">+CX142</f>
        <v>0</v>
      </c>
      <c r="AE142" s="24">
        <f t="shared" ref="AE142:AE145" si="1131">+DB142</f>
        <v>0</v>
      </c>
      <c r="AJ142" s="23">
        <f>+'QTR Raw'!D62</f>
        <v>0</v>
      </c>
      <c r="AK142" s="23">
        <f t="shared" ref="AK142:CC145" si="1132">+AJ142</f>
        <v>0</v>
      </c>
      <c r="AL142" s="23">
        <f>+'QTR Raw'!F62</f>
        <v>0</v>
      </c>
      <c r="AM142" s="23">
        <f t="shared" si="1132"/>
        <v>0</v>
      </c>
      <c r="AN142" s="23">
        <f>+'QTR Raw'!H62</f>
        <v>0</v>
      </c>
      <c r="AO142" s="23">
        <f t="shared" si="1132"/>
        <v>0</v>
      </c>
      <c r="AP142" s="23">
        <f>+'QTR Raw'!J62</f>
        <v>0</v>
      </c>
      <c r="AQ142" s="23">
        <f t="shared" si="1132"/>
        <v>0</v>
      </c>
      <c r="AR142" s="23">
        <f>+'QTR Raw'!L62</f>
        <v>0</v>
      </c>
      <c r="AS142" s="23">
        <f t="shared" si="1132"/>
        <v>0</v>
      </c>
      <c r="AT142" s="23">
        <f>+'QTR Raw'!N62</f>
        <v>0</v>
      </c>
      <c r="AU142" s="23">
        <f t="shared" si="1132"/>
        <v>0</v>
      </c>
      <c r="AV142" s="23">
        <f>+'QTR Raw'!P62</f>
        <v>0</v>
      </c>
      <c r="AW142" s="23">
        <f t="shared" si="1132"/>
        <v>0</v>
      </c>
      <c r="AX142" s="23">
        <f>+'QTR Raw'!R62</f>
        <v>0</v>
      </c>
      <c r="AY142" s="23">
        <f t="shared" si="1132"/>
        <v>0</v>
      </c>
      <c r="AZ142" s="23">
        <f>+'QTR Raw'!T62</f>
        <v>0</v>
      </c>
      <c r="BA142" s="23">
        <f t="shared" si="1132"/>
        <v>0</v>
      </c>
      <c r="BB142" s="23">
        <f>+'QTR Raw'!V62</f>
        <v>0</v>
      </c>
      <c r="BC142" s="23">
        <f t="shared" si="1132"/>
        <v>0</v>
      </c>
      <c r="BD142" s="23">
        <f>+'QTR Raw'!X62</f>
        <v>0</v>
      </c>
      <c r="BE142" s="23">
        <f t="shared" si="1132"/>
        <v>0</v>
      </c>
      <c r="BF142" s="23">
        <f>+'QTR Raw'!Z62</f>
        <v>0</v>
      </c>
      <c r="BG142" s="23">
        <f t="shared" si="1132"/>
        <v>0</v>
      </c>
      <c r="BH142" s="22">
        <f>+'QTR Raw'!AB62</f>
        <v>0</v>
      </c>
      <c r="BI142" s="23">
        <f t="shared" si="1132"/>
        <v>0</v>
      </c>
      <c r="BJ142" s="23">
        <f>+'QTR Raw'!AD62</f>
        <v>0</v>
      </c>
      <c r="BK142" s="23">
        <f t="shared" si="1132"/>
        <v>0</v>
      </c>
      <c r="BL142" s="23">
        <f>+'QTR Raw'!AF62</f>
        <v>0</v>
      </c>
      <c r="BM142" s="23">
        <f t="shared" si="1132"/>
        <v>0</v>
      </c>
      <c r="BN142" s="23">
        <f>+'QTR Raw'!AH62</f>
        <v>0</v>
      </c>
      <c r="BO142" s="23">
        <f t="shared" si="1132"/>
        <v>0</v>
      </c>
      <c r="BP142" s="23">
        <f>+'QTR Raw'!AJ62</f>
        <v>0</v>
      </c>
      <c r="BQ142" s="23">
        <f t="shared" si="1132"/>
        <v>0</v>
      </c>
      <c r="BR142" s="23">
        <f>+'QTR Raw'!AL62</f>
        <v>0</v>
      </c>
      <c r="BS142" s="23">
        <f t="shared" si="1132"/>
        <v>0</v>
      </c>
      <c r="BT142" s="23">
        <f>+'QTR Raw'!AN62</f>
        <v>0</v>
      </c>
      <c r="BU142" s="23">
        <f t="shared" si="1132"/>
        <v>0</v>
      </c>
      <c r="BV142" s="23">
        <f>+'QTR Raw'!AP62</f>
        <v>0</v>
      </c>
      <c r="BW142" s="23">
        <f t="shared" si="1132"/>
        <v>0</v>
      </c>
      <c r="BX142" s="23">
        <f>+'QTR Raw'!AR62</f>
        <v>0</v>
      </c>
      <c r="BY142" s="23">
        <f t="shared" si="1132"/>
        <v>0</v>
      </c>
      <c r="BZ142" s="23">
        <f>+'QTR Raw'!AT62</f>
        <v>0</v>
      </c>
      <c r="CA142" s="23">
        <f t="shared" si="1132"/>
        <v>0</v>
      </c>
      <c r="CB142" s="23">
        <f>+'QTR Raw'!AV62</f>
        <v>0</v>
      </c>
      <c r="CC142" s="23">
        <f t="shared" si="1132"/>
        <v>0</v>
      </c>
      <c r="CD142" s="23">
        <f>+'QTR Raw'!AX62</f>
        <v>0</v>
      </c>
      <c r="CE142" s="23">
        <f t="shared" ref="CE142:CE145" si="1133">+CD142</f>
        <v>0</v>
      </c>
      <c r="CF142" s="23">
        <f>+'QTR Raw'!AZ62</f>
        <v>0</v>
      </c>
      <c r="CG142" s="23">
        <f t="shared" ref="CG142:CI145" si="1134">+CF142</f>
        <v>0</v>
      </c>
      <c r="CH142" s="23">
        <f t="shared" si="1110"/>
        <v>0</v>
      </c>
      <c r="CI142" s="23">
        <f t="shared" si="1134"/>
        <v>0</v>
      </c>
      <c r="CJ142" s="23">
        <f>+'QTR Raw'!BD62</f>
        <v>0</v>
      </c>
      <c r="CK142" s="23">
        <f t="shared" ref="CK142:CK145" si="1135">+CJ142</f>
        <v>0</v>
      </c>
      <c r="CL142" s="23">
        <f>+'QTR Raw'!BF62</f>
        <v>0</v>
      </c>
      <c r="CM142" s="24">
        <f t="shared" ref="CM142:CM145" si="1136">+CL142</f>
        <v>0</v>
      </c>
      <c r="CN142" s="24">
        <f t="shared" ref="CN142:CN145" si="1137">+CM142</f>
        <v>0</v>
      </c>
      <c r="CO142" s="24">
        <f t="shared" ref="CO142:CO145" si="1138">+CN142</f>
        <v>0</v>
      </c>
      <c r="CP142" s="24">
        <f t="shared" ref="CP142:CP145" si="1139">+CO142</f>
        <v>0</v>
      </c>
      <c r="CQ142" s="24">
        <f t="shared" ref="CQ142:CQ145" si="1140">+CP142</f>
        <v>0</v>
      </c>
      <c r="CR142" s="24">
        <f t="shared" ref="CR142:CR145" si="1141">+CQ142</f>
        <v>0</v>
      </c>
      <c r="CS142" s="24">
        <f t="shared" ref="CS142:CS145" si="1142">+CR142</f>
        <v>0</v>
      </c>
      <c r="CT142" s="24">
        <f t="shared" ref="CT142:CT145" si="1143">+CS142</f>
        <v>0</v>
      </c>
      <c r="CU142" s="24">
        <f t="shared" ref="CU142:CU145" si="1144">+CT142</f>
        <v>0</v>
      </c>
      <c r="CV142" s="24">
        <f t="shared" ref="CV142:CV145" si="1145">+CU142</f>
        <v>0</v>
      </c>
      <c r="CW142" s="24">
        <f t="shared" ref="CW142:CW145" si="1146">+CV142</f>
        <v>0</v>
      </c>
      <c r="CX142" s="24">
        <f t="shared" ref="CX142:CX145" si="1147">+CW142</f>
        <v>0</v>
      </c>
      <c r="CY142" s="24">
        <f t="shared" ref="CY142:CY145" si="1148">+CX142</f>
        <v>0</v>
      </c>
      <c r="CZ142" s="24">
        <f t="shared" ref="CZ142:CZ145" si="1149">+CY142</f>
        <v>0</v>
      </c>
      <c r="DA142" s="24">
        <f t="shared" ref="DA142:DA145" si="1150">+CZ142</f>
        <v>0</v>
      </c>
      <c r="DB142" s="24">
        <f t="shared" ref="DB142:DB145" si="1151">+DA142</f>
        <v>0</v>
      </c>
      <c r="DE142" s="123"/>
      <c r="DF142" s="23">
        <v>0</v>
      </c>
    </row>
    <row r="143" spans="1:110" s="23" customFormat="1" outlineLevel="1" x14ac:dyDescent="0.2">
      <c r="A143" s="23" t="s">
        <v>46</v>
      </c>
      <c r="B143" s="23">
        <f>'Annual Raw'!C48</f>
        <v>14.870937400000001</v>
      </c>
      <c r="C143" s="23">
        <f>'Annual Raw'!D48</f>
        <v>12.558703299999999</v>
      </c>
      <c r="D143" s="23">
        <f>'Annual Raw'!E48</f>
        <v>16.825001499999999</v>
      </c>
      <c r="E143" s="23">
        <f>'Annual Raw'!F48</f>
        <v>35.347245399999998</v>
      </c>
      <c r="F143" s="23">
        <f>'Annual Raw'!G48</f>
        <v>29.1891</v>
      </c>
      <c r="G143" s="23">
        <f>'Annual Raw'!H48</f>
        <v>55.125700000000002</v>
      </c>
      <c r="H143" s="23">
        <f>'Annual Raw'!I48</f>
        <v>16.373799999999999</v>
      </c>
      <c r="I143" s="23">
        <f>'Annual Raw'!J48</f>
        <v>88.350300000000004</v>
      </c>
      <c r="J143" s="23">
        <f>'Annual Raw'!K48</f>
        <v>68.472800000000007</v>
      </c>
      <c r="K143" s="23">
        <f>'Annual Raw'!L48</f>
        <v>188.69890000000001</v>
      </c>
      <c r="L143" s="23">
        <f>'Annual Raw'!M48</f>
        <v>0</v>
      </c>
      <c r="M143" s="23">
        <f>'Annual Raw'!N48</f>
        <v>5.0099</v>
      </c>
      <c r="N143" s="23">
        <f>'Annual Raw'!O48</f>
        <v>2.6404999999999998</v>
      </c>
      <c r="O143" s="23">
        <f>'Annual Raw'!P48</f>
        <v>0</v>
      </c>
      <c r="P143" s="23">
        <f>'Annual Raw'!Q48</f>
        <v>0</v>
      </c>
      <c r="Q143" s="23">
        <f>'Annual Raw'!R48</f>
        <v>0</v>
      </c>
      <c r="R143" s="23">
        <f>'Annual Raw'!S48</f>
        <v>0</v>
      </c>
      <c r="S143" s="23">
        <f>'Annual Raw'!T48</f>
        <v>0</v>
      </c>
      <c r="T143" s="23">
        <f>'Annual Raw'!U48</f>
        <v>0</v>
      </c>
      <c r="U143" s="23">
        <f>'Annual Raw'!V48</f>
        <v>0</v>
      </c>
      <c r="V143" s="23">
        <f>'Annual Raw'!W48</f>
        <v>0</v>
      </c>
      <c r="W143" s="23">
        <f>'Annual Raw'!X48</f>
        <v>0</v>
      </c>
      <c r="X143" s="23">
        <f>'Annual Raw'!Y48</f>
        <v>0</v>
      </c>
      <c r="Y143" s="23">
        <f>'Annual Raw'!Z48</f>
        <v>0</v>
      </c>
      <c r="Z143" s="23">
        <f>'Annual Raw'!AA48</f>
        <v>0</v>
      </c>
      <c r="AA143" s="23">
        <f>'Annual Raw'!AB48</f>
        <v>0</v>
      </c>
      <c r="AB143" s="24">
        <f t="shared" si="1128"/>
        <v>0</v>
      </c>
      <c r="AC143" s="24">
        <f t="shared" si="1129"/>
        <v>0</v>
      </c>
      <c r="AD143" s="24">
        <f t="shared" si="1130"/>
        <v>0</v>
      </c>
      <c r="AE143" s="24">
        <f t="shared" si="1131"/>
        <v>0</v>
      </c>
      <c r="AJ143" s="23">
        <f>+'QTR Raw'!D63</f>
        <v>84.587000000000003</v>
      </c>
      <c r="AK143" s="23">
        <f t="shared" si="1132"/>
        <v>84.587000000000003</v>
      </c>
      <c r="AL143" s="23">
        <f>+'QTR Raw'!F63</f>
        <v>184.035</v>
      </c>
      <c r="AM143" s="23">
        <f t="shared" si="1132"/>
        <v>184.035</v>
      </c>
      <c r="AN143" s="23">
        <f>+'QTR Raw'!H63</f>
        <v>79.254999999999995</v>
      </c>
      <c r="AO143" s="23">
        <f t="shared" si="1132"/>
        <v>79.254999999999995</v>
      </c>
      <c r="AP143" s="23">
        <f>+'QTR Raw'!J63</f>
        <v>137.798</v>
      </c>
      <c r="AQ143" s="23">
        <f t="shared" si="1132"/>
        <v>137.798</v>
      </c>
      <c r="AR143" s="23">
        <f>+'QTR Raw'!L63</f>
        <v>23.198</v>
      </c>
      <c r="AS143" s="23">
        <f t="shared" si="1132"/>
        <v>23.198</v>
      </c>
      <c r="AT143" s="23">
        <f>+'QTR Raw'!N63</f>
        <v>163.166</v>
      </c>
      <c r="AU143" s="23">
        <f t="shared" si="1132"/>
        <v>163.166</v>
      </c>
      <c r="AV143" s="23">
        <f>+'QTR Raw'!P63</f>
        <v>215.97300000000001</v>
      </c>
      <c r="AW143" s="23">
        <f t="shared" si="1132"/>
        <v>215.97300000000001</v>
      </c>
      <c r="AX143" s="23">
        <f>+'QTR Raw'!R63</f>
        <v>178.892</v>
      </c>
      <c r="AY143" s="23">
        <f t="shared" si="1132"/>
        <v>178.892</v>
      </c>
      <c r="AZ143" s="23">
        <f>+'QTR Raw'!T63</f>
        <v>141.64500000000001</v>
      </c>
      <c r="BA143" s="23">
        <f t="shared" si="1132"/>
        <v>141.64500000000001</v>
      </c>
      <c r="BB143" s="23">
        <f>+'QTR Raw'!V63</f>
        <v>139.44800000000001</v>
      </c>
      <c r="BC143" s="23">
        <f t="shared" si="1132"/>
        <v>139.44800000000001</v>
      </c>
      <c r="BD143" s="23">
        <f>+'QTR Raw'!X63</f>
        <v>133.57300000000001</v>
      </c>
      <c r="BE143" s="23">
        <f t="shared" si="1132"/>
        <v>133.57300000000001</v>
      </c>
      <c r="BF143" s="23">
        <f>+'QTR Raw'!Z63</f>
        <v>186.971</v>
      </c>
      <c r="BG143" s="23">
        <f t="shared" si="1132"/>
        <v>186.971</v>
      </c>
      <c r="BH143" s="23">
        <f>+'QTR Raw'!AB63</f>
        <v>174.35400000000001</v>
      </c>
      <c r="BI143" s="23">
        <f t="shared" si="1132"/>
        <v>174.35400000000001</v>
      </c>
      <c r="BJ143" s="23">
        <f>+'QTR Raw'!AD63</f>
        <v>243.85599999999999</v>
      </c>
      <c r="BK143" s="23">
        <f t="shared" si="1132"/>
        <v>243.85599999999999</v>
      </c>
      <c r="BL143" s="23">
        <f>+'QTR Raw'!AF63</f>
        <v>165.369</v>
      </c>
      <c r="BM143" s="23">
        <f t="shared" si="1132"/>
        <v>165.369</v>
      </c>
      <c r="BN143" s="23">
        <f>+'QTR Raw'!AH63</f>
        <v>146.43199999999999</v>
      </c>
      <c r="BO143" s="23">
        <f t="shared" si="1132"/>
        <v>146.43199999999999</v>
      </c>
      <c r="BP143" s="23">
        <f>+'QTR Raw'!AJ63</f>
        <v>131.999</v>
      </c>
      <c r="BQ143" s="23">
        <f t="shared" si="1132"/>
        <v>131.999</v>
      </c>
      <c r="BR143" s="23">
        <f>+'QTR Raw'!AL63</f>
        <v>117.416</v>
      </c>
      <c r="BS143" s="23">
        <f t="shared" si="1132"/>
        <v>117.416</v>
      </c>
      <c r="BT143" s="23">
        <f>+'QTR Raw'!AN63</f>
        <v>22.693000000000001</v>
      </c>
      <c r="BU143" s="23">
        <f t="shared" si="1132"/>
        <v>22.693000000000001</v>
      </c>
      <c r="BV143" s="23">
        <f>+'QTR Raw'!AP63</f>
        <v>19.663</v>
      </c>
      <c r="BW143" s="23">
        <f t="shared" si="1132"/>
        <v>19.663</v>
      </c>
      <c r="BX143" s="23">
        <f>+'QTR Raw'!AR63</f>
        <v>0</v>
      </c>
      <c r="BY143" s="23">
        <f t="shared" si="1132"/>
        <v>0</v>
      </c>
      <c r="BZ143" s="23">
        <f>+'QTR Raw'!AT63</f>
        <v>0</v>
      </c>
      <c r="CA143" s="23">
        <f t="shared" si="1132"/>
        <v>0</v>
      </c>
      <c r="CB143" s="23">
        <f>+'QTR Raw'!AV63</f>
        <v>0</v>
      </c>
      <c r="CC143" s="23">
        <f t="shared" si="1132"/>
        <v>0</v>
      </c>
      <c r="CD143" s="23">
        <f>+'QTR Raw'!AX63</f>
        <v>0</v>
      </c>
      <c r="CE143" s="23">
        <f t="shared" si="1133"/>
        <v>0</v>
      </c>
      <c r="CF143" s="23">
        <f>+'QTR Raw'!AZ63</f>
        <v>0</v>
      </c>
      <c r="CG143" s="23">
        <f t="shared" si="1134"/>
        <v>0</v>
      </c>
      <c r="CH143" s="23">
        <f t="shared" si="1110"/>
        <v>0</v>
      </c>
      <c r="CI143" s="23">
        <f t="shared" si="1134"/>
        <v>0</v>
      </c>
      <c r="CJ143" s="23">
        <f>+'QTR Raw'!BD63</f>
        <v>0</v>
      </c>
      <c r="CK143" s="23">
        <f t="shared" si="1135"/>
        <v>0</v>
      </c>
      <c r="CL143" s="23">
        <f>+'QTR Raw'!BF63</f>
        <v>0</v>
      </c>
      <c r="CM143" s="24">
        <f t="shared" si="1136"/>
        <v>0</v>
      </c>
      <c r="CN143" s="24">
        <f t="shared" si="1137"/>
        <v>0</v>
      </c>
      <c r="CO143" s="24">
        <f t="shared" si="1138"/>
        <v>0</v>
      </c>
      <c r="CP143" s="24">
        <f t="shared" si="1139"/>
        <v>0</v>
      </c>
      <c r="CQ143" s="24">
        <f t="shared" si="1140"/>
        <v>0</v>
      </c>
      <c r="CR143" s="24">
        <f t="shared" si="1141"/>
        <v>0</v>
      </c>
      <c r="CS143" s="24">
        <f t="shared" si="1142"/>
        <v>0</v>
      </c>
      <c r="CT143" s="24">
        <f t="shared" si="1143"/>
        <v>0</v>
      </c>
      <c r="CU143" s="24">
        <f t="shared" si="1144"/>
        <v>0</v>
      </c>
      <c r="CV143" s="24">
        <f t="shared" si="1145"/>
        <v>0</v>
      </c>
      <c r="CW143" s="24">
        <f t="shared" si="1146"/>
        <v>0</v>
      </c>
      <c r="CX143" s="24">
        <f t="shared" si="1147"/>
        <v>0</v>
      </c>
      <c r="CY143" s="24">
        <f t="shared" si="1148"/>
        <v>0</v>
      </c>
      <c r="CZ143" s="24">
        <f t="shared" si="1149"/>
        <v>0</v>
      </c>
      <c r="DA143" s="24">
        <f t="shared" si="1150"/>
        <v>0</v>
      </c>
      <c r="DB143" s="24">
        <f t="shared" si="1151"/>
        <v>0</v>
      </c>
      <c r="DE143" s="123"/>
      <c r="DF143" s="23">
        <v>0</v>
      </c>
    </row>
    <row r="144" spans="1:110" s="23" customFormat="1" outlineLevel="1" x14ac:dyDescent="0.2">
      <c r="A144" s="23" t="s">
        <v>47</v>
      </c>
      <c r="B144" s="23">
        <f>'Annual Raw'!C87+'Annual Raw'!C88+'Annual Raw'!C89+'Annual Raw'!C90</f>
        <v>0</v>
      </c>
      <c r="C144" s="23">
        <f>'Annual Raw'!D87+'Annual Raw'!D88+'Annual Raw'!D89+'Annual Raw'!D90</f>
        <v>0</v>
      </c>
      <c r="D144" s="23">
        <f>'Annual Raw'!E87+'Annual Raw'!E88+'Annual Raw'!E89+'Annual Raw'!E90</f>
        <v>0</v>
      </c>
      <c r="E144" s="23">
        <f>'Annual Raw'!F87+'Annual Raw'!F88+'Annual Raw'!F89+'Annual Raw'!F90</f>
        <v>0</v>
      </c>
      <c r="F144" s="23">
        <f>'Annual Raw'!G87+'Annual Raw'!G88+'Annual Raw'!G89+'Annual Raw'!G90</f>
        <v>0</v>
      </c>
      <c r="G144" s="23">
        <f>'Annual Raw'!H87+'Annual Raw'!H88+'Annual Raw'!H89+'Annual Raw'!H90</f>
        <v>0</v>
      </c>
      <c r="H144" s="23">
        <f>'Annual Raw'!I87+'Annual Raw'!I88+'Annual Raw'!I89+'Annual Raw'!I90</f>
        <v>0</v>
      </c>
      <c r="I144" s="23">
        <f>'Annual Raw'!J87+'Annual Raw'!J88+'Annual Raw'!J89+'Annual Raw'!J90</f>
        <v>0</v>
      </c>
      <c r="J144" s="23">
        <f>'Annual Raw'!K87+'Annual Raw'!K88+'Annual Raw'!K89+'Annual Raw'!K90</f>
        <v>0</v>
      </c>
      <c r="K144" s="23">
        <f>'Annual Raw'!L87+'Annual Raw'!L88+'Annual Raw'!L89+'Annual Raw'!L90</f>
        <v>0</v>
      </c>
      <c r="L144" s="23">
        <f>'Annual Raw'!M87+'Annual Raw'!M88+'Annual Raw'!M89+'Annual Raw'!M90</f>
        <v>69.7761</v>
      </c>
      <c r="M144" s="23">
        <f>'Annual Raw'!N87+'Annual Raw'!N88+'Annual Raw'!N89+'Annual Raw'!N90</f>
        <v>85.504800000000003</v>
      </c>
      <c r="N144" s="23">
        <f>'Annual Raw'!O87+'Annual Raw'!O88+'Annual Raw'!O89+'Annual Raw'!O90</f>
        <v>73.543300000000002</v>
      </c>
      <c r="O144" s="23">
        <f>'Annual Raw'!P87+'Annual Raw'!P88+'Annual Raw'!P89+'Annual Raw'!P90</f>
        <v>55.964400000000005</v>
      </c>
      <c r="P144" s="23">
        <f>'Annual Raw'!Q87+'Annual Raw'!Q88+'Annual Raw'!Q89+'Annual Raw'!Q90</f>
        <v>48.888399999999997</v>
      </c>
      <c r="Q144" s="23">
        <f>'Annual Raw'!R87+'Annual Raw'!R88+'Annual Raw'!R89+'Annual Raw'!R90</f>
        <v>54.361699999999999</v>
      </c>
      <c r="R144" s="23">
        <f>'Annual Raw'!S87+'Annual Raw'!S88+'Annual Raw'!S89+'Annual Raw'!S90</f>
        <v>80.3018</v>
      </c>
      <c r="S144" s="23">
        <f>'Annual Raw'!T87+'Annual Raw'!T88+'Annual Raw'!T89+'Annual Raw'!T90</f>
        <v>46.108800000000002</v>
      </c>
      <c r="T144" s="23">
        <f>'Annual Raw'!U87+'Annual Raw'!U88+'Annual Raw'!U89+'Annual Raw'!U90</f>
        <v>22.870799999999999</v>
      </c>
      <c r="U144" s="23">
        <f>'Annual Raw'!V87+'Annual Raw'!V88+'Annual Raw'!V89+'Annual Raw'!V90</f>
        <v>18.470599999999997</v>
      </c>
      <c r="V144" s="23">
        <f>'Annual Raw'!W87+'Annual Raw'!W88+'Annual Raw'!W89+'Annual Raw'!W90</f>
        <v>38.607700000000001</v>
      </c>
      <c r="W144" s="23">
        <f>'Annual Raw'!X87+'Annual Raw'!X88+'Annual Raw'!X89+'Annual Raw'!X90</f>
        <v>0</v>
      </c>
      <c r="X144" s="23">
        <f>'Annual Raw'!Y87+'Annual Raw'!Y88+'Annual Raw'!Y89+'Annual Raw'!Y90</f>
        <v>0</v>
      </c>
      <c r="Y144" s="23">
        <f>'Annual Raw'!Z87+'Annual Raw'!Z88+'Annual Raw'!Z89+'Annual Raw'!Z90</f>
        <v>0</v>
      </c>
      <c r="Z144" s="23">
        <f>'Annual Raw'!AA87+'Annual Raw'!AA88+'Annual Raw'!AA89+'Annual Raw'!AA90</f>
        <v>0</v>
      </c>
      <c r="AA144" s="23">
        <f>'Annual Raw'!AB87+'Annual Raw'!AB88+'Annual Raw'!AB89+'Annual Raw'!AB90</f>
        <v>0</v>
      </c>
      <c r="AB144" s="24">
        <f t="shared" si="1128"/>
        <v>0</v>
      </c>
      <c r="AC144" s="24">
        <f t="shared" si="1129"/>
        <v>0</v>
      </c>
      <c r="AD144" s="24">
        <f t="shared" si="1130"/>
        <v>0</v>
      </c>
      <c r="AE144" s="24">
        <f t="shared" si="1131"/>
        <v>0</v>
      </c>
      <c r="AJ144" s="23">
        <f>+'QTR Raw'!D90</f>
        <v>0</v>
      </c>
      <c r="AK144" s="23">
        <f t="shared" si="1132"/>
        <v>0</v>
      </c>
      <c r="AL144" s="23">
        <f>+'QTR Raw'!F90</f>
        <v>0</v>
      </c>
      <c r="AM144" s="23">
        <f t="shared" si="1132"/>
        <v>0</v>
      </c>
      <c r="AN144" s="23">
        <f>+'QTR Raw'!H90</f>
        <v>0</v>
      </c>
      <c r="AO144" s="23">
        <f t="shared" si="1132"/>
        <v>0</v>
      </c>
      <c r="AP144" s="23">
        <f>+'QTR Raw'!J90</f>
        <v>0</v>
      </c>
      <c r="AQ144" s="23">
        <f t="shared" si="1132"/>
        <v>0</v>
      </c>
      <c r="AR144" s="23">
        <f>+'QTR Raw'!L90</f>
        <v>0</v>
      </c>
      <c r="AS144" s="23">
        <f t="shared" si="1132"/>
        <v>0</v>
      </c>
      <c r="AT144" s="23">
        <f>+'QTR Raw'!N90</f>
        <v>0</v>
      </c>
      <c r="AU144" s="23">
        <f t="shared" si="1132"/>
        <v>0</v>
      </c>
      <c r="AV144" s="23">
        <f>+'QTR Raw'!P90</f>
        <v>0</v>
      </c>
      <c r="AW144" s="23">
        <f t="shared" si="1132"/>
        <v>0</v>
      </c>
      <c r="AX144" s="23">
        <f>+'QTR Raw'!R90</f>
        <v>0</v>
      </c>
      <c r="AY144" s="23">
        <f t="shared" si="1132"/>
        <v>0</v>
      </c>
      <c r="AZ144" s="23">
        <f>+'QTR Raw'!T90</f>
        <v>0</v>
      </c>
      <c r="BA144" s="23">
        <f t="shared" si="1132"/>
        <v>0</v>
      </c>
      <c r="BB144" s="23">
        <f>+'QTR Raw'!V90</f>
        <v>0</v>
      </c>
      <c r="BC144" s="23">
        <f t="shared" si="1132"/>
        <v>0</v>
      </c>
      <c r="BD144" s="23">
        <f>+'QTR Raw'!X90</f>
        <v>0</v>
      </c>
      <c r="BE144" s="23">
        <f t="shared" si="1132"/>
        <v>0</v>
      </c>
      <c r="BF144" s="23">
        <f>+'QTR Raw'!Z90</f>
        <v>0</v>
      </c>
      <c r="BG144" s="23">
        <f t="shared" si="1132"/>
        <v>0</v>
      </c>
      <c r="BH144" s="22">
        <f>+'QTR Raw'!AB90</f>
        <v>0</v>
      </c>
      <c r="BI144" s="23">
        <f t="shared" si="1132"/>
        <v>0</v>
      </c>
      <c r="BJ144" s="23">
        <f>+'QTR Raw'!AD90</f>
        <v>0</v>
      </c>
      <c r="BK144" s="23">
        <f t="shared" si="1132"/>
        <v>0</v>
      </c>
      <c r="BL144" s="23">
        <f>+'QTR Raw'!AF90</f>
        <v>0</v>
      </c>
      <c r="BM144" s="23">
        <f t="shared" si="1132"/>
        <v>0</v>
      </c>
      <c r="BN144" s="23">
        <f>+'QTR Raw'!AH90</f>
        <v>0</v>
      </c>
      <c r="BO144" s="23">
        <f t="shared" si="1132"/>
        <v>0</v>
      </c>
      <c r="BP144" s="23">
        <f>+'QTR Raw'!AJ90</f>
        <v>0</v>
      </c>
      <c r="BQ144" s="23">
        <f t="shared" si="1132"/>
        <v>0</v>
      </c>
      <c r="BR144" s="23">
        <f>+'QTR Raw'!AL90</f>
        <v>0</v>
      </c>
      <c r="BS144" s="23">
        <f t="shared" si="1132"/>
        <v>0</v>
      </c>
      <c r="BT144" s="23">
        <f>+'QTR Raw'!AN90</f>
        <v>0</v>
      </c>
      <c r="BU144" s="23">
        <f t="shared" si="1132"/>
        <v>0</v>
      </c>
      <c r="BV144" s="23">
        <f>+'QTR Raw'!AP90</f>
        <v>0</v>
      </c>
      <c r="BW144" s="23">
        <f t="shared" si="1132"/>
        <v>0</v>
      </c>
      <c r="BX144" s="23">
        <f>+'QTR Raw'!AR90</f>
        <v>0</v>
      </c>
      <c r="BY144" s="23">
        <f t="shared" si="1132"/>
        <v>0</v>
      </c>
      <c r="BZ144" s="23">
        <f>+'QTR Raw'!AT90</f>
        <v>0</v>
      </c>
      <c r="CA144" s="23">
        <f t="shared" si="1132"/>
        <v>0</v>
      </c>
      <c r="CB144" s="23">
        <f>+'QTR Raw'!AV90</f>
        <v>0</v>
      </c>
      <c r="CC144" s="23">
        <f t="shared" si="1132"/>
        <v>0</v>
      </c>
      <c r="CD144" s="23">
        <f>+'QTR Raw'!AX90</f>
        <v>0</v>
      </c>
      <c r="CE144" s="23">
        <f t="shared" si="1133"/>
        <v>0</v>
      </c>
      <c r="CF144" s="23">
        <f>+'QTR Raw'!AZ90</f>
        <v>0</v>
      </c>
      <c r="CG144" s="23">
        <f t="shared" si="1134"/>
        <v>0</v>
      </c>
      <c r="CH144" s="23">
        <f>+Z144</f>
        <v>0</v>
      </c>
      <c r="CI144" s="23">
        <f t="shared" si="1134"/>
        <v>0</v>
      </c>
      <c r="CJ144" s="23">
        <f>+'QTR Raw'!BD90</f>
        <v>0</v>
      </c>
      <c r="CK144" s="23">
        <f t="shared" si="1135"/>
        <v>0</v>
      </c>
      <c r="CL144" s="23">
        <f>+'QTR Raw'!BF90</f>
        <v>0</v>
      </c>
      <c r="CM144" s="24">
        <f t="shared" si="1136"/>
        <v>0</v>
      </c>
      <c r="CN144" s="24">
        <f t="shared" si="1137"/>
        <v>0</v>
      </c>
      <c r="CO144" s="24">
        <f t="shared" si="1138"/>
        <v>0</v>
      </c>
      <c r="CP144" s="24">
        <f t="shared" si="1139"/>
        <v>0</v>
      </c>
      <c r="CQ144" s="24">
        <f t="shared" si="1140"/>
        <v>0</v>
      </c>
      <c r="CR144" s="24">
        <f t="shared" si="1141"/>
        <v>0</v>
      </c>
      <c r="CS144" s="24">
        <f t="shared" si="1142"/>
        <v>0</v>
      </c>
      <c r="CT144" s="24">
        <f t="shared" si="1143"/>
        <v>0</v>
      </c>
      <c r="CU144" s="24">
        <f t="shared" si="1144"/>
        <v>0</v>
      </c>
      <c r="CV144" s="24">
        <f t="shared" si="1145"/>
        <v>0</v>
      </c>
      <c r="CW144" s="24">
        <f t="shared" si="1146"/>
        <v>0</v>
      </c>
      <c r="CX144" s="24">
        <f t="shared" si="1147"/>
        <v>0</v>
      </c>
      <c r="CY144" s="24">
        <f t="shared" si="1148"/>
        <v>0</v>
      </c>
      <c r="CZ144" s="24">
        <f t="shared" si="1149"/>
        <v>0</v>
      </c>
      <c r="DA144" s="24">
        <f t="shared" si="1150"/>
        <v>0</v>
      </c>
      <c r="DB144" s="24">
        <f t="shared" si="1151"/>
        <v>0</v>
      </c>
      <c r="DE144" s="123"/>
      <c r="DF144" s="23">
        <v>0</v>
      </c>
    </row>
    <row r="145" spans="1:110" s="23" customFormat="1" outlineLevel="1" x14ac:dyDescent="0.2">
      <c r="A145" s="23" t="s">
        <v>48</v>
      </c>
      <c r="B145" s="23">
        <f>'Annual Raw'!C56</f>
        <v>0</v>
      </c>
      <c r="C145" s="23">
        <f>'Annual Raw'!D56</f>
        <v>0</v>
      </c>
      <c r="D145" s="23">
        <f>'Annual Raw'!E56</f>
        <v>0</v>
      </c>
      <c r="E145" s="23">
        <f>'Annual Raw'!F56</f>
        <v>0</v>
      </c>
      <c r="F145" s="23">
        <f>'Annual Raw'!G56</f>
        <v>0</v>
      </c>
      <c r="G145" s="23">
        <f>'Annual Raw'!H56</f>
        <v>0</v>
      </c>
      <c r="H145" s="23">
        <f>'Annual Raw'!I56</f>
        <v>0</v>
      </c>
      <c r="I145" s="23">
        <f>'Annual Raw'!J56</f>
        <v>0</v>
      </c>
      <c r="J145" s="23">
        <f>'Annual Raw'!K56</f>
        <v>0</v>
      </c>
      <c r="K145" s="23">
        <f>'Annual Raw'!L56</f>
        <v>0</v>
      </c>
      <c r="L145" s="23">
        <f>'Annual Raw'!M56</f>
        <v>375.28680000000003</v>
      </c>
      <c r="M145" s="23">
        <f>'Annual Raw'!N56</f>
        <v>380.15730000000002</v>
      </c>
      <c r="N145" s="23">
        <f>'Annual Raw'!O56</f>
        <v>439.39839999999998</v>
      </c>
      <c r="O145" s="23">
        <f>'Annual Raw'!P56</f>
        <v>439.61529999999999</v>
      </c>
      <c r="P145" s="23">
        <f>'Annual Raw'!Q56</f>
        <v>339.64</v>
      </c>
      <c r="Q145" s="23">
        <f>'Annual Raw'!R56</f>
        <v>395.48</v>
      </c>
      <c r="R145" s="23">
        <f>'Annual Raw'!S56</f>
        <v>363.68889999999999</v>
      </c>
      <c r="S145" s="23">
        <f>'Annual Raw'!T56</f>
        <v>357.40320000000003</v>
      </c>
      <c r="T145" s="23">
        <f>'Annual Raw'!U56</f>
        <v>281.43239999999997</v>
      </c>
      <c r="U145" s="23">
        <f>'Annual Raw'!V56</f>
        <v>255.14080000000001</v>
      </c>
      <c r="V145" s="23">
        <f>'Annual Raw'!W56</f>
        <v>130.1662</v>
      </c>
      <c r="W145" s="23">
        <f>'Annual Raw'!X56</f>
        <v>80.354600000000005</v>
      </c>
      <c r="X145" s="23">
        <f>'Annual Raw'!Y56</f>
        <v>0</v>
      </c>
      <c r="Y145" s="23">
        <f>'Annual Raw'!Z56</f>
        <v>0</v>
      </c>
      <c r="Z145" s="23">
        <f>'Annual Raw'!AA56</f>
        <v>3.31</v>
      </c>
      <c r="AA145" s="23">
        <f>'Annual Raw'!AB56</f>
        <v>0</v>
      </c>
      <c r="AB145" s="24">
        <f t="shared" si="1128"/>
        <v>0</v>
      </c>
      <c r="AC145" s="24">
        <f t="shared" si="1129"/>
        <v>0</v>
      </c>
      <c r="AD145" s="24">
        <f t="shared" si="1130"/>
        <v>0</v>
      </c>
      <c r="AE145" s="24">
        <f t="shared" si="1131"/>
        <v>0</v>
      </c>
      <c r="AJ145" s="23">
        <f>+'QTR Raw'!D88</f>
        <v>385.69900000000001</v>
      </c>
      <c r="AK145" s="23">
        <f t="shared" si="1132"/>
        <v>385.69900000000001</v>
      </c>
      <c r="AL145" s="23">
        <f>+'QTR Raw'!F88</f>
        <v>439.39800000000002</v>
      </c>
      <c r="AM145" s="23">
        <f t="shared" si="1132"/>
        <v>439.39800000000002</v>
      </c>
      <c r="AN145" s="23">
        <f>+'QTR Raw'!H88</f>
        <v>174.13300000000001</v>
      </c>
      <c r="AO145" s="23">
        <f t="shared" si="1132"/>
        <v>174.13300000000001</v>
      </c>
      <c r="AP145" s="23">
        <f>+'QTR Raw'!J88</f>
        <v>439.61500000000001</v>
      </c>
      <c r="AQ145" s="23">
        <f t="shared" si="1132"/>
        <v>439.61500000000001</v>
      </c>
      <c r="AR145" s="23">
        <f>+'QTR Raw'!L88</f>
        <v>185.63900000000001</v>
      </c>
      <c r="AS145" s="23">
        <f t="shared" si="1132"/>
        <v>185.63900000000001</v>
      </c>
      <c r="AT145" s="23">
        <f>+'QTR Raw'!N88</f>
        <v>339.64</v>
      </c>
      <c r="AU145" s="23">
        <f t="shared" si="1132"/>
        <v>339.64</v>
      </c>
      <c r="AV145" s="23">
        <f>+'QTR Raw'!P88</f>
        <v>377.53199999999998</v>
      </c>
      <c r="AW145" s="23">
        <f t="shared" si="1132"/>
        <v>377.53199999999998</v>
      </c>
      <c r="AX145" s="23">
        <f>+'QTR Raw'!R88</f>
        <v>395.48</v>
      </c>
      <c r="AY145" s="23">
        <f t="shared" si="1132"/>
        <v>395.48</v>
      </c>
      <c r="AZ145" s="23">
        <f>+'QTR Raw'!T88</f>
        <v>383.24200000000002</v>
      </c>
      <c r="BA145" s="23">
        <f t="shared" si="1132"/>
        <v>383.24200000000002</v>
      </c>
      <c r="BB145" s="23">
        <f>+'QTR Raw'!V88</f>
        <v>363.68900000000002</v>
      </c>
      <c r="BC145" s="23">
        <f t="shared" si="1132"/>
        <v>363.68900000000002</v>
      </c>
      <c r="BD145" s="23">
        <f>+'QTR Raw'!X88</f>
        <v>363.12</v>
      </c>
      <c r="BE145" s="23">
        <f t="shared" si="1132"/>
        <v>363.12</v>
      </c>
      <c r="BF145" s="23">
        <f>+'QTR Raw'!Z88</f>
        <v>357.40300000000002</v>
      </c>
      <c r="BG145" s="23">
        <f t="shared" si="1132"/>
        <v>357.40300000000002</v>
      </c>
      <c r="BH145" s="23">
        <f>+'QTR Raw'!AB88</f>
        <v>324.67599999999999</v>
      </c>
      <c r="BI145" s="23">
        <f t="shared" si="1132"/>
        <v>324.67599999999999</v>
      </c>
      <c r="BJ145" s="23">
        <f>+'QTR Raw'!AD88</f>
        <v>281.43200000000002</v>
      </c>
      <c r="BK145" s="23">
        <f t="shared" si="1132"/>
        <v>281.43200000000002</v>
      </c>
      <c r="BL145" s="23">
        <f>+'QTR Raw'!AF88</f>
        <v>294.46600000000001</v>
      </c>
      <c r="BM145" s="23">
        <f t="shared" si="1132"/>
        <v>294.46600000000001</v>
      </c>
      <c r="BN145" s="23">
        <f>+'QTR Raw'!AH88</f>
        <v>255.14099999999999</v>
      </c>
      <c r="BO145" s="23">
        <f t="shared" si="1132"/>
        <v>255.14099999999999</v>
      </c>
      <c r="BP145" s="23">
        <f>+'QTR Raw'!AJ88</f>
        <v>216.358</v>
      </c>
      <c r="BQ145" s="23">
        <f t="shared" si="1132"/>
        <v>216.358</v>
      </c>
      <c r="BR145" s="23">
        <f>+'QTR Raw'!AL88</f>
        <v>168.774</v>
      </c>
      <c r="BS145" s="23">
        <f t="shared" si="1132"/>
        <v>168.774</v>
      </c>
      <c r="BT145" s="23">
        <f>+'QTR Raw'!AN88</f>
        <v>179.90600000000001</v>
      </c>
      <c r="BU145" s="23">
        <f t="shared" si="1132"/>
        <v>179.90600000000001</v>
      </c>
      <c r="BV145" s="23">
        <f>+'QTR Raw'!AP88</f>
        <v>80.355000000000004</v>
      </c>
      <c r="BW145" s="23">
        <f t="shared" si="1132"/>
        <v>80.355000000000004</v>
      </c>
      <c r="BX145" s="23">
        <f>+'QTR Raw'!AR88</f>
        <v>0</v>
      </c>
      <c r="BY145" s="23">
        <f t="shared" si="1132"/>
        <v>0</v>
      </c>
      <c r="BZ145" s="23">
        <f>+'QTR Raw'!AT88</f>
        <v>0</v>
      </c>
      <c r="CA145" s="23">
        <f t="shared" si="1132"/>
        <v>0</v>
      </c>
      <c r="CB145" s="23">
        <f>+'QTR Raw'!AV88</f>
        <v>0</v>
      </c>
      <c r="CC145" s="23">
        <f t="shared" si="1132"/>
        <v>0</v>
      </c>
      <c r="CD145" s="23">
        <f>+'QTR Raw'!AX88</f>
        <v>0</v>
      </c>
      <c r="CE145" s="23">
        <f t="shared" si="1133"/>
        <v>0</v>
      </c>
      <c r="CF145" s="23">
        <f>+'QTR Raw'!AZ88</f>
        <v>0</v>
      </c>
      <c r="CG145" s="23">
        <f t="shared" si="1134"/>
        <v>0</v>
      </c>
      <c r="CH145" s="23">
        <f t="shared" si="1110"/>
        <v>3.31</v>
      </c>
      <c r="CI145" s="23">
        <f t="shared" si="1134"/>
        <v>3.31</v>
      </c>
      <c r="CJ145" s="23">
        <f>+'QTR Raw'!BD88</f>
        <v>0</v>
      </c>
      <c r="CK145" s="23">
        <f t="shared" si="1135"/>
        <v>0</v>
      </c>
      <c r="CL145" s="23">
        <f>+'QTR Raw'!BF88</f>
        <v>0</v>
      </c>
      <c r="CM145" s="24">
        <f t="shared" si="1136"/>
        <v>0</v>
      </c>
      <c r="CN145" s="24">
        <f t="shared" si="1137"/>
        <v>0</v>
      </c>
      <c r="CO145" s="24">
        <f t="shared" si="1138"/>
        <v>0</v>
      </c>
      <c r="CP145" s="24">
        <f t="shared" si="1139"/>
        <v>0</v>
      </c>
      <c r="CQ145" s="24">
        <f t="shared" si="1140"/>
        <v>0</v>
      </c>
      <c r="CR145" s="24">
        <f t="shared" si="1141"/>
        <v>0</v>
      </c>
      <c r="CS145" s="24">
        <f t="shared" si="1142"/>
        <v>0</v>
      </c>
      <c r="CT145" s="24">
        <f t="shared" si="1143"/>
        <v>0</v>
      </c>
      <c r="CU145" s="24">
        <f t="shared" si="1144"/>
        <v>0</v>
      </c>
      <c r="CV145" s="24">
        <f t="shared" si="1145"/>
        <v>0</v>
      </c>
      <c r="CW145" s="24">
        <f t="shared" si="1146"/>
        <v>0</v>
      </c>
      <c r="CX145" s="24">
        <f t="shared" si="1147"/>
        <v>0</v>
      </c>
      <c r="CY145" s="24">
        <f t="shared" si="1148"/>
        <v>0</v>
      </c>
      <c r="CZ145" s="24">
        <f t="shared" si="1149"/>
        <v>0</v>
      </c>
      <c r="DA145" s="24">
        <f t="shared" si="1150"/>
        <v>0</v>
      </c>
      <c r="DB145" s="24">
        <f t="shared" si="1151"/>
        <v>0</v>
      </c>
      <c r="DE145" s="123"/>
      <c r="DF145" s="23">
        <v>0</v>
      </c>
    </row>
    <row r="146" spans="1:110" s="22" customFormat="1" x14ac:dyDescent="0.2">
      <c r="A146" s="22" t="s">
        <v>49</v>
      </c>
      <c r="B146" s="22">
        <f>SUM(B142:B145)</f>
        <v>57.692216200000004</v>
      </c>
      <c r="C146" s="22">
        <f t="shared" ref="C146:V146" si="1152">SUM(C142:C145)</f>
        <v>56.245316799999998</v>
      </c>
      <c r="D146" s="22">
        <f t="shared" si="1152"/>
        <v>57.159611699999999</v>
      </c>
      <c r="E146" s="22">
        <f t="shared" si="1152"/>
        <v>68.857010599999995</v>
      </c>
      <c r="F146" s="22">
        <f t="shared" si="1152"/>
        <v>96.146699999999996</v>
      </c>
      <c r="G146" s="22">
        <f t="shared" si="1152"/>
        <v>205.7406</v>
      </c>
      <c r="H146" s="22">
        <f t="shared" si="1152"/>
        <v>283.65950000000004</v>
      </c>
      <c r="I146" s="22">
        <f t="shared" si="1152"/>
        <v>409.26089999999999</v>
      </c>
      <c r="J146" s="22">
        <f t="shared" si="1152"/>
        <v>592.08199999999999</v>
      </c>
      <c r="K146" s="22">
        <f t="shared" si="1152"/>
        <v>521.57590000000005</v>
      </c>
      <c r="L146" s="22">
        <f t="shared" si="1152"/>
        <v>648.45950000000005</v>
      </c>
      <c r="M146" s="22">
        <f t="shared" si="1152"/>
        <v>664.73260000000005</v>
      </c>
      <c r="N146" s="22">
        <f t="shared" si="1152"/>
        <v>696.97710000000006</v>
      </c>
      <c r="O146" s="22">
        <f t="shared" si="1152"/>
        <v>633.37810000000002</v>
      </c>
      <c r="P146" s="22">
        <f t="shared" si="1152"/>
        <v>551.69419999999991</v>
      </c>
      <c r="Q146" s="22">
        <f t="shared" si="1152"/>
        <v>628.73320000000001</v>
      </c>
      <c r="R146" s="22">
        <f t="shared" si="1152"/>
        <v>583.43830000000003</v>
      </c>
      <c r="S146" s="22">
        <f t="shared" si="1152"/>
        <v>590.48320000000001</v>
      </c>
      <c r="T146" s="22">
        <f t="shared" si="1152"/>
        <v>548.15969999999993</v>
      </c>
      <c r="U146" s="22">
        <f t="shared" si="1152"/>
        <v>420.04300000000001</v>
      </c>
      <c r="V146" s="22">
        <f t="shared" si="1152"/>
        <v>286.18979999999999</v>
      </c>
      <c r="W146" s="22">
        <f t="shared" ref="W146" si="1153">SUM(W142:W145)</f>
        <v>100.01750000000001</v>
      </c>
      <c r="X146" s="22">
        <f t="shared" ref="X146:Y146" si="1154">SUM(X142:X145)</f>
        <v>0</v>
      </c>
      <c r="Y146" s="22">
        <f t="shared" si="1154"/>
        <v>0</v>
      </c>
      <c r="Z146" s="22">
        <f t="shared" ref="Z146:AA146" si="1155">SUM(Z142:Z145)</f>
        <v>3.31</v>
      </c>
      <c r="AA146" s="22">
        <f t="shared" ref="AA146" si="1156">SUM(AA142:AA145)</f>
        <v>0</v>
      </c>
      <c r="AB146" s="21">
        <f t="shared" ref="AB146:AD146" si="1157">SUM(AB142:AB145)</f>
        <v>0</v>
      </c>
      <c r="AC146" s="21">
        <f t="shared" si="1157"/>
        <v>0</v>
      </c>
      <c r="AD146" s="21">
        <f t="shared" si="1157"/>
        <v>0</v>
      </c>
      <c r="AE146" s="21">
        <f t="shared" ref="AE146" si="1158">SUM(AE142:AE145)</f>
        <v>0</v>
      </c>
      <c r="AJ146" s="22">
        <f t="shared" ref="AJ146" si="1159">SUM(AJ142:AJ145)</f>
        <v>470.286</v>
      </c>
      <c r="AK146" s="22">
        <f t="shared" ref="AK146" si="1160">SUM(AK142:AK145)</f>
        <v>470.286</v>
      </c>
      <c r="AL146" s="22">
        <f t="shared" ref="AL146:AM146" si="1161">SUM(AL142:AL145)</f>
        <v>623.43299999999999</v>
      </c>
      <c r="AM146" s="22">
        <f t="shared" si="1161"/>
        <v>623.43299999999999</v>
      </c>
      <c r="AN146" s="22">
        <f t="shared" ref="AN146:AO146" si="1162">SUM(AN142:AN145)</f>
        <v>253.38800000000001</v>
      </c>
      <c r="AO146" s="22">
        <f t="shared" si="1162"/>
        <v>253.38800000000001</v>
      </c>
      <c r="AP146" s="22">
        <f t="shared" ref="AP146:CE146" si="1163">SUM(AP142:AP145)</f>
        <v>577.41300000000001</v>
      </c>
      <c r="AQ146" s="22">
        <f t="shared" si="1163"/>
        <v>577.41300000000001</v>
      </c>
      <c r="AR146" s="22">
        <f t="shared" si="1163"/>
        <v>208.83700000000002</v>
      </c>
      <c r="AS146" s="22">
        <f t="shared" si="1163"/>
        <v>208.83700000000002</v>
      </c>
      <c r="AT146" s="22">
        <f t="shared" si="1163"/>
        <v>502.80599999999998</v>
      </c>
      <c r="AU146" s="22">
        <f t="shared" si="1163"/>
        <v>502.80599999999998</v>
      </c>
      <c r="AV146" s="22">
        <f t="shared" si="1163"/>
        <v>593.505</v>
      </c>
      <c r="AW146" s="22">
        <f t="shared" si="1163"/>
        <v>593.505</v>
      </c>
      <c r="AX146" s="22">
        <f t="shared" si="1163"/>
        <v>574.37200000000007</v>
      </c>
      <c r="AY146" s="22">
        <f t="shared" si="1163"/>
        <v>574.37200000000007</v>
      </c>
      <c r="AZ146" s="22">
        <f t="shared" si="1163"/>
        <v>524.88700000000006</v>
      </c>
      <c r="BA146" s="22">
        <f t="shared" si="1163"/>
        <v>524.88700000000006</v>
      </c>
      <c r="BB146" s="22">
        <f t="shared" si="1163"/>
        <v>503.13700000000006</v>
      </c>
      <c r="BC146" s="22">
        <f t="shared" si="1163"/>
        <v>503.13700000000006</v>
      </c>
      <c r="BD146" s="22">
        <f t="shared" si="1163"/>
        <v>496.69299999999998</v>
      </c>
      <c r="BE146" s="22">
        <f t="shared" si="1163"/>
        <v>496.69299999999998</v>
      </c>
      <c r="BF146" s="22">
        <f t="shared" si="1163"/>
        <v>544.37400000000002</v>
      </c>
      <c r="BG146" s="22">
        <f t="shared" si="1163"/>
        <v>544.37400000000002</v>
      </c>
      <c r="BH146" s="22">
        <f t="shared" ref="BH146" si="1164">SUM(BH142:BH145)</f>
        <v>499.03</v>
      </c>
      <c r="BI146" s="22">
        <f t="shared" si="1163"/>
        <v>499.03</v>
      </c>
      <c r="BJ146" s="22">
        <f t="shared" si="1163"/>
        <v>525.28800000000001</v>
      </c>
      <c r="BK146" s="22">
        <f t="shared" si="1163"/>
        <v>525.28800000000001</v>
      </c>
      <c r="BL146" s="22">
        <f t="shared" si="1163"/>
        <v>459.83500000000004</v>
      </c>
      <c r="BM146" s="22">
        <f t="shared" si="1163"/>
        <v>459.83500000000004</v>
      </c>
      <c r="BN146" s="22">
        <f t="shared" si="1163"/>
        <v>401.57299999999998</v>
      </c>
      <c r="BO146" s="22">
        <f t="shared" si="1163"/>
        <v>401.57299999999998</v>
      </c>
      <c r="BP146" s="22">
        <f t="shared" si="1163"/>
        <v>348.35699999999997</v>
      </c>
      <c r="BQ146" s="22">
        <f t="shared" si="1163"/>
        <v>348.35699999999997</v>
      </c>
      <c r="BR146" s="22">
        <f t="shared" si="1163"/>
        <v>286.19</v>
      </c>
      <c r="BS146" s="22">
        <f t="shared" si="1163"/>
        <v>286.19</v>
      </c>
      <c r="BT146" s="22">
        <f t="shared" si="1163"/>
        <v>202.59900000000002</v>
      </c>
      <c r="BU146" s="22">
        <f t="shared" si="1163"/>
        <v>202.59900000000002</v>
      </c>
      <c r="BV146" s="22">
        <f t="shared" si="1163"/>
        <v>100.018</v>
      </c>
      <c r="BW146" s="22">
        <f t="shared" si="1163"/>
        <v>100.018</v>
      </c>
      <c r="BX146" s="22">
        <f t="shared" si="1163"/>
        <v>0</v>
      </c>
      <c r="BY146" s="22">
        <f t="shared" si="1163"/>
        <v>0</v>
      </c>
      <c r="BZ146" s="22">
        <f t="shared" si="1163"/>
        <v>0</v>
      </c>
      <c r="CA146" s="22">
        <f t="shared" si="1163"/>
        <v>0</v>
      </c>
      <c r="CB146" s="22">
        <f t="shared" si="1163"/>
        <v>0</v>
      </c>
      <c r="CC146" s="22">
        <f t="shared" si="1163"/>
        <v>0</v>
      </c>
      <c r="CD146" s="22">
        <f t="shared" si="1163"/>
        <v>0</v>
      </c>
      <c r="CE146" s="22">
        <f t="shared" si="1163"/>
        <v>0</v>
      </c>
      <c r="CF146" s="22">
        <f t="shared" ref="CF146:CG146" si="1165">SUM(CF142:CF145)</f>
        <v>0</v>
      </c>
      <c r="CG146" s="22">
        <f t="shared" si="1165"/>
        <v>0</v>
      </c>
      <c r="CH146" s="22">
        <f t="shared" ref="CH146:CI146" si="1166">SUM(CH142:CH145)</f>
        <v>3.31</v>
      </c>
      <c r="CI146" s="22">
        <f t="shared" si="1166"/>
        <v>3.31</v>
      </c>
      <c r="CJ146" s="22">
        <f t="shared" ref="CJ146:DB146" si="1167">SUM(CJ142:CJ145)</f>
        <v>0</v>
      </c>
      <c r="CK146" s="22">
        <f t="shared" si="1167"/>
        <v>0</v>
      </c>
      <c r="CL146" s="22">
        <f t="shared" ref="CL146" si="1168">SUM(CL142:CL145)</f>
        <v>0</v>
      </c>
      <c r="CM146" s="21">
        <f t="shared" si="1167"/>
        <v>0</v>
      </c>
      <c r="CN146" s="21">
        <f t="shared" si="1167"/>
        <v>0</v>
      </c>
      <c r="CO146" s="21">
        <f t="shared" si="1167"/>
        <v>0</v>
      </c>
      <c r="CP146" s="21">
        <f t="shared" si="1167"/>
        <v>0</v>
      </c>
      <c r="CQ146" s="21">
        <f t="shared" si="1167"/>
        <v>0</v>
      </c>
      <c r="CR146" s="21">
        <f t="shared" si="1167"/>
        <v>0</v>
      </c>
      <c r="CS146" s="21">
        <f t="shared" si="1167"/>
        <v>0</v>
      </c>
      <c r="CT146" s="21">
        <f t="shared" si="1167"/>
        <v>0</v>
      </c>
      <c r="CU146" s="21">
        <f t="shared" si="1167"/>
        <v>0</v>
      </c>
      <c r="CV146" s="21">
        <f t="shared" si="1167"/>
        <v>0</v>
      </c>
      <c r="CW146" s="21">
        <f t="shared" si="1167"/>
        <v>0</v>
      </c>
      <c r="CX146" s="21">
        <f t="shared" si="1167"/>
        <v>0</v>
      </c>
      <c r="CY146" s="21">
        <f t="shared" si="1167"/>
        <v>0</v>
      </c>
      <c r="CZ146" s="21">
        <f t="shared" si="1167"/>
        <v>0</v>
      </c>
      <c r="DA146" s="21">
        <f t="shared" si="1167"/>
        <v>0</v>
      </c>
      <c r="DB146" s="21">
        <f t="shared" si="1167"/>
        <v>0</v>
      </c>
      <c r="DE146" s="126"/>
      <c r="DF146" s="22">
        <v>0</v>
      </c>
    </row>
    <row r="147" spans="1:110" s="26" customFormat="1" x14ac:dyDescent="0.2">
      <c r="A147" s="26" t="s">
        <v>437</v>
      </c>
      <c r="B147" s="26">
        <f>B146+B138+B140</f>
        <v>131.58663960000001</v>
      </c>
      <c r="C147" s="26">
        <f t="shared" ref="C147:V147" si="1169">C146+C138+C140</f>
        <v>118.1034861</v>
      </c>
      <c r="D147" s="26">
        <f>D146+D138+D140</f>
        <v>120.7555314</v>
      </c>
      <c r="E147" s="26">
        <f t="shared" si="1169"/>
        <v>133.9854234</v>
      </c>
      <c r="F147" s="26">
        <f t="shared" si="1169"/>
        <v>169.45189999999999</v>
      </c>
      <c r="G147" s="26">
        <f t="shared" si="1169"/>
        <v>308.40440000000001</v>
      </c>
      <c r="H147" s="26">
        <f t="shared" si="1169"/>
        <v>471.56320000000005</v>
      </c>
      <c r="I147" s="26">
        <f t="shared" si="1169"/>
        <v>645.98710000000005</v>
      </c>
      <c r="J147" s="26">
        <f t="shared" si="1169"/>
        <v>867.48199999999997</v>
      </c>
      <c r="K147" s="26">
        <f t="shared" si="1169"/>
        <v>847.68230000000005</v>
      </c>
      <c r="L147" s="26">
        <f t="shared" si="1169"/>
        <v>1066.8504</v>
      </c>
      <c r="M147" s="26">
        <f t="shared" si="1169"/>
        <v>1123.4255000000001</v>
      </c>
      <c r="N147" s="26">
        <f t="shared" si="1169"/>
        <v>1269.1134000000002</v>
      </c>
      <c r="O147" s="26">
        <f t="shared" si="1169"/>
        <v>1200.5052000000001</v>
      </c>
      <c r="P147" s="26">
        <f t="shared" si="1169"/>
        <v>1123.2975999999999</v>
      </c>
      <c r="Q147" s="26">
        <f t="shared" si="1169"/>
        <v>1333.0167000000001</v>
      </c>
      <c r="R147" s="26">
        <f t="shared" si="1169"/>
        <v>1293.288</v>
      </c>
      <c r="S147" s="26">
        <f t="shared" si="1169"/>
        <v>1299.3551000000002</v>
      </c>
      <c r="T147" s="26">
        <f t="shared" si="1169"/>
        <v>1316.2240999999999</v>
      </c>
      <c r="U147" s="26">
        <f t="shared" si="1169"/>
        <v>1274.2368000000001</v>
      </c>
      <c r="V147" s="26">
        <f t="shared" si="1169"/>
        <v>1205.4381000000001</v>
      </c>
      <c r="W147" s="26">
        <f t="shared" ref="W147" si="1170">W146+W138+W140</f>
        <v>1150.2553</v>
      </c>
      <c r="X147" s="26">
        <f t="shared" ref="X147:Y147" si="1171">X146+X138+X140</f>
        <v>1279.1100000000001</v>
      </c>
      <c r="Y147" s="26">
        <f t="shared" si="1171"/>
        <v>1604.03</v>
      </c>
      <c r="Z147" s="26">
        <f t="shared" ref="Z147:AA147" si="1172">Z146+Z138+Z140</f>
        <v>2002</v>
      </c>
      <c r="AA147" s="26">
        <f t="shared" ref="AA147" si="1173">AA146+AA138+AA140</f>
        <v>2305.85</v>
      </c>
      <c r="AB147" s="27">
        <f t="shared" ref="AB147:AD147" si="1174">AB146+AB138+AB140</f>
        <v>2722.1699869905055</v>
      </c>
      <c r="AC147" s="27">
        <f t="shared" si="1174"/>
        <v>3205.4523851618869</v>
      </c>
      <c r="AD147" s="27">
        <f t="shared" si="1174"/>
        <v>3767.9421293974465</v>
      </c>
      <c r="AE147" s="27">
        <f t="shared" ref="AE147" si="1175">AE146+AE138+AE140</f>
        <v>4415.7072484858336</v>
      </c>
      <c r="AJ147" s="26">
        <f t="shared" ref="AJ147" si="1176">AJ146+AJ138+AJ140</f>
        <v>944.42900000000009</v>
      </c>
      <c r="AK147" s="26">
        <f t="shared" ref="AK147" si="1177">AK146+AK138+AK140</f>
        <v>951.47900000000004</v>
      </c>
      <c r="AL147" s="26">
        <f t="shared" ref="AL147" si="1178">AL146+AL138+AL140</f>
        <v>1195.5690000000002</v>
      </c>
      <c r="AM147" s="26">
        <f t="shared" ref="AM147:AO147" si="1179">AM146+AM138+AM140</f>
        <v>1198.826</v>
      </c>
      <c r="AN147" s="26">
        <f t="shared" si="1179"/>
        <v>741.61599999999999</v>
      </c>
      <c r="AO147" s="26">
        <f t="shared" si="1179"/>
        <v>746.04899999999998</v>
      </c>
      <c r="AP147" s="26">
        <f t="shared" ref="AP147:CE147" si="1180">AP146+AP138+AP140</f>
        <v>1144.54</v>
      </c>
      <c r="AQ147" s="26">
        <f t="shared" si="1180"/>
        <v>1137.8440000000001</v>
      </c>
      <c r="AR147" s="26">
        <f t="shared" si="1180"/>
        <v>704.45100000000002</v>
      </c>
      <c r="AS147" s="26">
        <f t="shared" si="1180"/>
        <v>700.69900000000007</v>
      </c>
      <c r="AT147" s="26">
        <f t="shared" si="1180"/>
        <v>1074.4090000000001</v>
      </c>
      <c r="AU147" s="26">
        <f t="shared" si="1180"/>
        <v>1076.3720000000001</v>
      </c>
      <c r="AV147" s="26">
        <f t="shared" si="1180"/>
        <v>1160.1890000000001</v>
      </c>
      <c r="AW147" s="26">
        <f t="shared" si="1180"/>
        <v>1167.3520000000001</v>
      </c>
      <c r="AX147" s="26">
        <f t="shared" si="1180"/>
        <v>1278.6550000000002</v>
      </c>
      <c r="AY147" s="26">
        <f t="shared" si="1180"/>
        <v>1276.6170000000002</v>
      </c>
      <c r="AZ147" s="26">
        <f t="shared" si="1180"/>
        <v>1303.79</v>
      </c>
      <c r="BA147" s="26">
        <f t="shared" si="1180"/>
        <v>1294.307</v>
      </c>
      <c r="BB147" s="26">
        <f t="shared" si="1180"/>
        <v>1212.9870000000001</v>
      </c>
      <c r="BC147" s="26">
        <f t="shared" si="1180"/>
        <v>1176.7950000000001</v>
      </c>
      <c r="BD147" s="26">
        <f t="shared" si="1180"/>
        <v>1159.19</v>
      </c>
      <c r="BE147" s="26">
        <f t="shared" si="1180"/>
        <v>1156.8220000000001</v>
      </c>
      <c r="BF147" s="26">
        <f t="shared" si="1180"/>
        <v>1253.2460000000001</v>
      </c>
      <c r="BG147" s="26">
        <f t="shared" si="1180"/>
        <v>1260.7580000000003</v>
      </c>
      <c r="BH147" s="26">
        <f t="shared" ref="BH147" si="1181">BH146+BH138+BH140</f>
        <v>1267.2350000000001</v>
      </c>
      <c r="BI147" s="26">
        <f t="shared" si="1180"/>
        <v>1270.279</v>
      </c>
      <c r="BJ147" s="26">
        <f t="shared" si="1180"/>
        <v>1293.3520000000001</v>
      </c>
      <c r="BK147" s="26">
        <f t="shared" si="1180"/>
        <v>1293.8040000000001</v>
      </c>
      <c r="BL147" s="26">
        <f t="shared" si="1180"/>
        <v>1232.0810000000001</v>
      </c>
      <c r="BM147" s="26">
        <f t="shared" si="1180"/>
        <v>1241.3540000000003</v>
      </c>
      <c r="BN147" s="26">
        <f t="shared" si="1180"/>
        <v>1255.7670000000001</v>
      </c>
      <c r="BO147" s="26">
        <f t="shared" si="1180"/>
        <v>1235.143</v>
      </c>
      <c r="BP147" s="26">
        <f t="shared" si="1180"/>
        <v>1204.94</v>
      </c>
      <c r="BQ147" s="26">
        <f t="shared" si="1180"/>
        <v>1229.6120000000001</v>
      </c>
      <c r="BR147" s="26">
        <f t="shared" si="1180"/>
        <v>1205.4380000000001</v>
      </c>
      <c r="BS147" s="26">
        <f t="shared" si="1180"/>
        <v>1232.7070000000001</v>
      </c>
      <c r="BT147" s="26">
        <f t="shared" si="1180"/>
        <v>1180.0060000000001</v>
      </c>
      <c r="BU147" s="26">
        <f t="shared" si="1180"/>
        <v>1211.5450000000001</v>
      </c>
      <c r="BV147" s="26">
        <f t="shared" si="1180"/>
        <v>1150.2560000000001</v>
      </c>
      <c r="BW147" s="26">
        <f t="shared" si="1180"/>
        <v>1192.566</v>
      </c>
      <c r="BX147" s="26">
        <f t="shared" si="1180"/>
        <v>1131.9570000000001</v>
      </c>
      <c r="BY147" s="26">
        <f t="shared" si="1180"/>
        <v>1194.7070000000001</v>
      </c>
      <c r="BZ147" s="26">
        <f t="shared" si="1180"/>
        <v>1279.1100000000001</v>
      </c>
      <c r="CA147" s="26">
        <f t="shared" si="1180"/>
        <v>1352.0700000000002</v>
      </c>
      <c r="CB147" s="26">
        <f t="shared" si="1180"/>
        <v>1414.73</v>
      </c>
      <c r="CC147" s="26">
        <f t="shared" si="1180"/>
        <v>1505.13</v>
      </c>
      <c r="CD147" s="26">
        <f t="shared" si="1180"/>
        <v>1604.03</v>
      </c>
      <c r="CE147" s="26">
        <f t="shared" si="1180"/>
        <v>1677.3899999999999</v>
      </c>
      <c r="CF147" s="26">
        <f t="shared" ref="CF147:CG147" si="1182">CF146+CF138+CF140</f>
        <v>1754.41</v>
      </c>
      <c r="CG147" s="26">
        <f t="shared" si="1182"/>
        <v>1861.95</v>
      </c>
      <c r="CH147" s="26">
        <f t="shared" ref="CH147:CI147" si="1183">CH146+CH138+CH140</f>
        <v>2002</v>
      </c>
      <c r="CI147" s="26">
        <f t="shared" si="1183"/>
        <v>2177.44</v>
      </c>
      <c r="CJ147" s="26">
        <f t="shared" ref="CJ147:DB147" si="1184">CJ146+CJ138+CJ140</f>
        <v>2244.09</v>
      </c>
      <c r="CK147" s="26">
        <f t="shared" si="1184"/>
        <v>2316.0800000000004</v>
      </c>
      <c r="CL147" s="26">
        <f t="shared" ref="CL147" si="1185">CL146+CL138+CL140</f>
        <v>2305.85</v>
      </c>
      <c r="CM147" s="27">
        <f t="shared" si="1184"/>
        <v>2408.572112340727</v>
      </c>
      <c r="CN147" s="27">
        <f t="shared" si="1184"/>
        <v>2508.076228520868</v>
      </c>
      <c r="CO147" s="27">
        <f t="shared" si="1184"/>
        <v>2610.8998244686709</v>
      </c>
      <c r="CP147" s="27">
        <f t="shared" si="1184"/>
        <v>2722.1699869905055</v>
      </c>
      <c r="CQ147" s="27">
        <f t="shared" si="1184"/>
        <v>2837.5364915953915</v>
      </c>
      <c r="CR147" s="27">
        <f t="shared" si="1184"/>
        <v>2954.5013049262866</v>
      </c>
      <c r="CS147" s="27">
        <f t="shared" si="1184"/>
        <v>3077.5784947567386</v>
      </c>
      <c r="CT147" s="27">
        <f t="shared" si="1184"/>
        <v>3205.4523851618869</v>
      </c>
      <c r="CU147" s="27">
        <f t="shared" si="1184"/>
        <v>3338.4420649111926</v>
      </c>
      <c r="CV147" s="27">
        <f t="shared" si="1184"/>
        <v>3475.09615654969</v>
      </c>
      <c r="CW147" s="27">
        <f t="shared" si="1184"/>
        <v>3618.9781616190694</v>
      </c>
      <c r="CX147" s="27">
        <f t="shared" si="1184"/>
        <v>3767.9421293974465</v>
      </c>
      <c r="CY147" s="27">
        <f t="shared" si="1184"/>
        <v>3921.3129678192381</v>
      </c>
      <c r="CZ147" s="27">
        <f t="shared" si="1184"/>
        <v>4079.0848389402504</v>
      </c>
      <c r="DA147" s="27">
        <f t="shared" si="1184"/>
        <v>4244.7297486549778</v>
      </c>
      <c r="DB147" s="27">
        <f t="shared" si="1184"/>
        <v>4415.7072484858336</v>
      </c>
      <c r="DE147" s="121"/>
      <c r="DF147" s="26">
        <v>2305.85</v>
      </c>
    </row>
    <row r="148" spans="1:110" s="23" customFormat="1" x14ac:dyDescent="0.2">
      <c r="AB148" s="24"/>
      <c r="AC148" s="24"/>
      <c r="AD148" s="24"/>
      <c r="AE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E148" s="123"/>
    </row>
    <row r="149" spans="1:110" s="23" customFormat="1" outlineLevel="1" x14ac:dyDescent="0.2">
      <c r="A149" s="23" t="s">
        <v>50</v>
      </c>
      <c r="B149" s="23">
        <f>'Annual Raw'!C62</f>
        <v>144.4294223</v>
      </c>
      <c r="C149" s="23">
        <f>'Annual Raw'!D62</f>
        <v>142.27236769999999</v>
      </c>
      <c r="D149" s="23">
        <f>'Annual Raw'!E62</f>
        <v>146.61030959999999</v>
      </c>
      <c r="E149" s="23">
        <f>'Annual Raw'!F62-E153</f>
        <v>150.33251189999999</v>
      </c>
      <c r="F149" s="23">
        <f>'Annual Raw'!G62-F153</f>
        <v>172.51679999999999</v>
      </c>
      <c r="G149" s="23">
        <f>'Annual Raw'!H62-G153</f>
        <v>202.7149</v>
      </c>
      <c r="H149" s="23">
        <f>'Annual Raw'!I62-H153</f>
        <v>246.64959999999999</v>
      </c>
      <c r="I149" s="23">
        <f>'Annual Raw'!J62-I153</f>
        <v>300.55880000000002</v>
      </c>
      <c r="J149" s="23">
        <f>'Annual Raw'!K62-J153</f>
        <v>427.7405</v>
      </c>
      <c r="K149" s="23">
        <f>'Annual Raw'!L62-K153</f>
        <v>509.42009999999999</v>
      </c>
      <c r="L149" s="23">
        <f>'Annual Raw'!M62-L153</f>
        <v>656.37889999999993</v>
      </c>
      <c r="M149" s="23">
        <f>'Annual Raw'!N62-M153</f>
        <v>752.4615</v>
      </c>
      <c r="N149" s="23">
        <f>'Annual Raw'!O62-N153</f>
        <v>904.45529999999997</v>
      </c>
      <c r="O149" s="23">
        <f>'Annual Raw'!P62-O153</f>
        <v>908.47180000000003</v>
      </c>
      <c r="P149" s="23">
        <f>'Annual Raw'!Q62-P153</f>
        <v>896.01950000000011</v>
      </c>
      <c r="Q149" s="23">
        <f>'Annual Raw'!R62-Q153</f>
        <v>949.6454</v>
      </c>
      <c r="R149" s="23">
        <f>'Annual Raw'!S62-R153</f>
        <v>964.37659999999994</v>
      </c>
      <c r="S149" s="23">
        <f>'Annual Raw'!T62-S153</f>
        <v>971.12439999999992</v>
      </c>
      <c r="T149" s="23">
        <f>'Annual Raw'!U62-T153</f>
        <v>959.07459999999992</v>
      </c>
      <c r="U149" s="23">
        <f>'Annual Raw'!V62-U153</f>
        <v>978.15820000000008</v>
      </c>
      <c r="V149" s="23">
        <f>'Annual Raw'!W62-V153</f>
        <v>980.12450000000013</v>
      </c>
      <c r="W149" s="23">
        <f>'Annual Raw'!X62-W153</f>
        <v>946.56029999999998</v>
      </c>
      <c r="X149" s="23">
        <f>'Annual Raw'!Y62-X153</f>
        <v>998.08000000000015</v>
      </c>
      <c r="Y149" s="23">
        <f>'Annual Raw'!Z62-Y153</f>
        <v>1054.05</v>
      </c>
      <c r="Z149" s="23">
        <f>'Annual Raw'!AA62-Z153</f>
        <v>1246.1300000000001</v>
      </c>
      <c r="AA149" s="23">
        <f>'Annual Raw'!AB62-AA153</f>
        <v>1461.07</v>
      </c>
      <c r="AB149" s="24">
        <f t="shared" ref="AB149:AB155" si="1186">+CP149</f>
        <v>1173.33</v>
      </c>
      <c r="AC149" s="24">
        <f t="shared" ref="AC149:AC155" si="1187">+CT149</f>
        <v>1173.33</v>
      </c>
      <c r="AD149" s="24">
        <f t="shared" ref="AD149:AD155" si="1188">+CX149</f>
        <v>1173.33</v>
      </c>
      <c r="AE149" s="24">
        <f t="shared" ref="AE149:AE155" si="1189">+DB149</f>
        <v>1173.33</v>
      </c>
      <c r="AJ149" s="23">
        <f>+'QTR Raw'!D68</f>
        <v>496.37700000000001</v>
      </c>
      <c r="AL149" s="23">
        <f>+'QTR Raw'!F68</f>
        <v>582.66200000000003</v>
      </c>
      <c r="AN149" s="23">
        <f>+'QTR Raw'!H68</f>
        <v>400.54</v>
      </c>
      <c r="AP149" s="23">
        <f>+'QTR Raw'!J68</f>
        <v>549.96400000000006</v>
      </c>
      <c r="AR149" s="23">
        <f>+'QTR Raw'!L68</f>
        <v>362.86599999999999</v>
      </c>
      <c r="AT149" s="23">
        <f>+'QTR Raw'!N68</f>
        <v>474.27499999999998</v>
      </c>
      <c r="AV149" s="23">
        <f>+'QTR Raw'!P68</f>
        <v>448.38499999999999</v>
      </c>
      <c r="AX149" s="23">
        <f>+'QTR Raw'!R68</f>
        <v>819.07899999999995</v>
      </c>
      <c r="AZ149" s="23">
        <f>+'QTR Raw'!T68</f>
        <v>799.98599999999999</v>
      </c>
      <c r="BB149" s="23">
        <f>+'QTR Raw'!V68</f>
        <v>775.03099999999995</v>
      </c>
      <c r="BD149" s="23">
        <f>+'QTR Raw'!X68</f>
        <v>757.14400000000001</v>
      </c>
      <c r="BF149" s="23">
        <f>+'QTR Raw'!Z68</f>
        <v>733.05100000000004</v>
      </c>
      <c r="BH149" s="23">
        <f>+'QTR Raw'!AB68</f>
        <v>720.38499999999999</v>
      </c>
      <c r="BJ149" s="23">
        <f>+'QTR Raw'!AD68</f>
        <v>700.16499999999996</v>
      </c>
      <c r="BL149" s="23">
        <f>+'QTR Raw'!AF68</f>
        <v>689.13099999999997</v>
      </c>
      <c r="BN149" s="23">
        <f>+'QTR Raw'!AH68</f>
        <v>609.05200000000002</v>
      </c>
      <c r="BP149" s="23">
        <f>+'QTR Raw'!AJ68</f>
        <v>587.99699999999996</v>
      </c>
      <c r="BR149" s="23">
        <f>+'QTR Raw'!AL68</f>
        <v>566.32100000000003</v>
      </c>
      <c r="BT149" s="23">
        <f>+'QTR Raw'!AN68</f>
        <v>555.45600000000002</v>
      </c>
      <c r="BV149" s="23">
        <f>+'QTR Raw'!AP68</f>
        <v>537.94000000000005</v>
      </c>
      <c r="BX149" s="23">
        <f>+'QTR Raw'!AR68</f>
        <v>524.33299999999997</v>
      </c>
      <c r="BZ149" s="23">
        <f>+'QTR Raw'!AT68</f>
        <v>544.21</v>
      </c>
      <c r="CB149" s="23">
        <f>+'QTR Raw'!AV68</f>
        <v>548.51</v>
      </c>
      <c r="CD149" s="23">
        <f>+'QTR Raw'!AX68</f>
        <v>535.96</v>
      </c>
      <c r="CF149" s="23">
        <f>+'QTR Raw'!AZ68</f>
        <v>529.02</v>
      </c>
      <c r="CH149" s="23">
        <f t="shared" ref="CH149:CH155" si="1190">Z149</f>
        <v>1246.1300000000001</v>
      </c>
      <c r="CI149" s="23">
        <f>CH149</f>
        <v>1246.1300000000001</v>
      </c>
      <c r="CJ149" s="23">
        <f>+CJ150+CJ152</f>
        <v>1102.95</v>
      </c>
      <c r="CK149" s="23">
        <f>+CJ149</f>
        <v>1102.95</v>
      </c>
      <c r="CL149" s="23">
        <f>+CL150+CL152</f>
        <v>1173.33</v>
      </c>
      <c r="CM149" s="24">
        <f t="shared" ref="CM149:DB149" si="1191">+CL149</f>
        <v>1173.33</v>
      </c>
      <c r="CN149" s="24">
        <f t="shared" si="1191"/>
        <v>1173.33</v>
      </c>
      <c r="CO149" s="24">
        <f t="shared" si="1191"/>
        <v>1173.33</v>
      </c>
      <c r="CP149" s="24">
        <f t="shared" si="1191"/>
        <v>1173.33</v>
      </c>
      <c r="CQ149" s="24">
        <f t="shared" si="1191"/>
        <v>1173.33</v>
      </c>
      <c r="CR149" s="24">
        <f t="shared" si="1191"/>
        <v>1173.33</v>
      </c>
      <c r="CS149" s="24">
        <f t="shared" si="1191"/>
        <v>1173.33</v>
      </c>
      <c r="CT149" s="24">
        <f t="shared" si="1191"/>
        <v>1173.33</v>
      </c>
      <c r="CU149" s="24">
        <f t="shared" si="1191"/>
        <v>1173.33</v>
      </c>
      <c r="CV149" s="24">
        <f t="shared" si="1191"/>
        <v>1173.33</v>
      </c>
      <c r="CW149" s="24">
        <f t="shared" si="1191"/>
        <v>1173.33</v>
      </c>
      <c r="CX149" s="24">
        <f t="shared" si="1191"/>
        <v>1173.33</v>
      </c>
      <c r="CY149" s="24">
        <f t="shared" si="1191"/>
        <v>1173.33</v>
      </c>
      <c r="CZ149" s="24">
        <f t="shared" si="1191"/>
        <v>1173.33</v>
      </c>
      <c r="DA149" s="24">
        <f t="shared" si="1191"/>
        <v>1173.33</v>
      </c>
      <c r="DB149" s="24">
        <f t="shared" si="1191"/>
        <v>1173.33</v>
      </c>
      <c r="DE149" s="123"/>
      <c r="DF149" s="23">
        <v>1173.3200000000002</v>
      </c>
    </row>
    <row r="150" spans="1:110" s="23" customFormat="1" outlineLevel="1" x14ac:dyDescent="0.2">
      <c r="A150" s="23" t="s">
        <v>51</v>
      </c>
      <c r="B150" s="23">
        <f>'Annual Raw'!C63</f>
        <v>89.779884999999993</v>
      </c>
      <c r="C150" s="23">
        <f>'Annual Raw'!D63</f>
        <v>93.709782700000005</v>
      </c>
      <c r="D150" s="23">
        <f>'Annual Raw'!E63</f>
        <v>99.206272499999997</v>
      </c>
      <c r="E150" s="23">
        <f>'Annual Raw'!F63</f>
        <v>104.7749286</v>
      </c>
      <c r="F150" s="23">
        <f>'Annual Raw'!G63</f>
        <v>111.1944</v>
      </c>
      <c r="G150" s="23">
        <f>'Annual Raw'!H63</f>
        <v>118.1593</v>
      </c>
      <c r="H150" s="23">
        <f>'Annual Raw'!I63</f>
        <v>124.3781</v>
      </c>
      <c r="I150" s="23">
        <f>'Annual Raw'!J63</f>
        <v>123.40689999999999</v>
      </c>
      <c r="J150" s="23">
        <f>'Annual Raw'!K63</f>
        <v>144.8348</v>
      </c>
      <c r="K150" s="23">
        <f>'Annual Raw'!L63</f>
        <v>165.07570000000001</v>
      </c>
      <c r="L150" s="23">
        <f>'Annual Raw'!M63</f>
        <v>261.07</v>
      </c>
      <c r="M150" s="23">
        <f>'Annual Raw'!N63</f>
        <v>306.88319999999999</v>
      </c>
      <c r="N150" s="23">
        <f>'Annual Raw'!O63</f>
        <v>360.06259999999997</v>
      </c>
      <c r="O150" s="23">
        <f>'Annual Raw'!P63</f>
        <v>400.02350000000001</v>
      </c>
      <c r="P150" s="23">
        <f>'Annual Raw'!Q63</f>
        <v>456.47739999999999</v>
      </c>
      <c r="Q150" s="23">
        <f>'Annual Raw'!R63</f>
        <v>135.17519999999999</v>
      </c>
      <c r="R150" s="23">
        <f>'Annual Raw'!S63</f>
        <v>189.9958</v>
      </c>
      <c r="S150" s="23">
        <f>'Annual Raw'!T63</f>
        <v>238.3175</v>
      </c>
      <c r="T150" s="23">
        <f>'Annual Raw'!U63</f>
        <v>259.1549</v>
      </c>
      <c r="U150" s="23">
        <f>'Annual Raw'!V63</f>
        <v>303.70690000000002</v>
      </c>
      <c r="V150" s="23">
        <f>'Annual Raw'!W63</f>
        <v>354.80270000000002</v>
      </c>
      <c r="W150" s="23">
        <f>'Annual Raw'!X63</f>
        <v>338.38400000000001</v>
      </c>
      <c r="X150" s="23">
        <f>'Annual Raw'!Y63</f>
        <v>372.14</v>
      </c>
      <c r="Y150" s="23">
        <f>'Annual Raw'!Z63</f>
        <v>412.39</v>
      </c>
      <c r="Z150" s="23">
        <f>'Annual Raw'!AA63</f>
        <v>458.99</v>
      </c>
      <c r="AA150" s="23">
        <f>'Annual Raw'!AB63</f>
        <v>556.34</v>
      </c>
      <c r="AB150" s="24">
        <f t="shared" si="1186"/>
        <v>672.08593453111507</v>
      </c>
      <c r="AC150" s="24">
        <f t="shared" si="1187"/>
        <v>761.51945555191628</v>
      </c>
      <c r="AD150" s="24">
        <f t="shared" si="1188"/>
        <v>834.99597032926988</v>
      </c>
      <c r="AE150" s="24">
        <f t="shared" si="1189"/>
        <v>895.36257741578891</v>
      </c>
      <c r="AJ150" s="23">
        <f>+'QTR Raw'!D69</f>
        <v>0</v>
      </c>
      <c r="AL150" s="23">
        <f>+'QTR Raw'!F69</f>
        <v>0</v>
      </c>
      <c r="AN150" s="23">
        <f>+'QTR Raw'!H69</f>
        <v>0</v>
      </c>
      <c r="AP150" s="23">
        <f>+'QTR Raw'!J69</f>
        <v>0</v>
      </c>
      <c r="AR150" s="23">
        <f>+'QTR Raw'!L69</f>
        <v>0</v>
      </c>
      <c r="AT150" s="23">
        <f>+'QTR Raw'!N69</f>
        <v>0</v>
      </c>
      <c r="AV150" s="23">
        <f>+'QTR Raw'!P69</f>
        <v>0</v>
      </c>
      <c r="AX150" s="23">
        <f>+'QTR Raw'!R69</f>
        <v>0</v>
      </c>
      <c r="AZ150" s="23">
        <f>+'QTR Raw'!T69</f>
        <v>0</v>
      </c>
      <c r="BB150" s="23">
        <f>+'QTR Raw'!V69</f>
        <v>0</v>
      </c>
      <c r="BD150" s="23">
        <f>+'QTR Raw'!X69</f>
        <v>0</v>
      </c>
      <c r="BF150" s="23">
        <f>+'QTR Raw'!Z69</f>
        <v>0</v>
      </c>
      <c r="BH150" s="23">
        <f>+'QTR Raw'!AB69</f>
        <v>0</v>
      </c>
      <c r="BJ150" s="23">
        <f>+'QTR Raw'!AD69</f>
        <v>0</v>
      </c>
      <c r="BL150" s="23">
        <f>+'QTR Raw'!AF69</f>
        <v>0</v>
      </c>
      <c r="BN150" s="23">
        <f>+'QTR Raw'!AH69</f>
        <v>0</v>
      </c>
      <c r="BP150" s="23">
        <f>+'QTR Raw'!AJ69</f>
        <v>0</v>
      </c>
      <c r="BR150" s="23">
        <f>+'QTR Raw'!AL69</f>
        <v>0</v>
      </c>
      <c r="BT150" s="23">
        <f>+'QTR Raw'!AN69</f>
        <v>0</v>
      </c>
      <c r="BV150" s="23">
        <f>+'QTR Raw'!AP69</f>
        <v>0</v>
      </c>
      <c r="BX150" s="23">
        <f>+'QTR Raw'!AR69</f>
        <v>0</v>
      </c>
      <c r="BZ150" s="23">
        <f>+'QTR Raw'!AT69</f>
        <v>0</v>
      </c>
      <c r="CB150" s="23">
        <f>+'QTR Raw'!AV69</f>
        <v>0</v>
      </c>
      <c r="CD150" s="23">
        <f>+'QTR Raw'!AX69</f>
        <v>0</v>
      </c>
      <c r="CF150" s="23">
        <f>+'QTR Raw'!AZ69</f>
        <v>0</v>
      </c>
      <c r="CH150" s="23">
        <f t="shared" si="1190"/>
        <v>458.99</v>
      </c>
      <c r="CI150" s="23">
        <f t="shared" ref="CI150:DB150" si="1192">CH150+CI50</f>
        <v>483.53000000000003</v>
      </c>
      <c r="CJ150" s="23">
        <f t="shared" si="1192"/>
        <v>508.81000000000006</v>
      </c>
      <c r="CK150" s="23">
        <f t="shared" si="1192"/>
        <v>536.05000000000007</v>
      </c>
      <c r="CL150" s="23">
        <f t="shared" si="1192"/>
        <v>563.23</v>
      </c>
      <c r="CM150" s="24">
        <f t="shared" si="1192"/>
        <v>592.48122243781972</v>
      </c>
      <c r="CN150" s="24">
        <f t="shared" si="1192"/>
        <v>620.32999607362865</v>
      </c>
      <c r="CO150" s="24">
        <f t="shared" si="1192"/>
        <v>646.8435612645244</v>
      </c>
      <c r="CP150" s="24">
        <f t="shared" si="1192"/>
        <v>672.08593453111507</v>
      </c>
      <c r="CQ150" s="24">
        <f t="shared" si="1192"/>
        <v>696.11806312424312</v>
      </c>
      <c r="CR150" s="24">
        <f t="shared" si="1192"/>
        <v>718.99797218101344</v>
      </c>
      <c r="CS150" s="24">
        <f t="shared" si="1192"/>
        <v>740.78090482543053</v>
      </c>
      <c r="CT150" s="24">
        <f t="shared" si="1192"/>
        <v>761.51945555191628</v>
      </c>
      <c r="CU150" s="24">
        <f t="shared" si="1192"/>
        <v>781.26369721375954</v>
      </c>
      <c r="CV150" s="24">
        <f t="shared" si="1192"/>
        <v>800.06130192310866</v>
      </c>
      <c r="CW150" s="24">
        <f t="shared" si="1192"/>
        <v>817.95765615441917</v>
      </c>
      <c r="CX150" s="24">
        <f t="shared" si="1192"/>
        <v>834.99597032926988</v>
      </c>
      <c r="CY150" s="24">
        <f t="shared" si="1192"/>
        <v>851.2173831471398</v>
      </c>
      <c r="CZ150" s="24">
        <f t="shared" si="1192"/>
        <v>866.66106091404879</v>
      </c>
      <c r="DA150" s="24">
        <f t="shared" si="1192"/>
        <v>881.36429210889116</v>
      </c>
      <c r="DB150" s="24">
        <f t="shared" si="1192"/>
        <v>895.36257741578891</v>
      </c>
      <c r="DE150" s="123"/>
      <c r="DF150" s="23">
        <v>563.22</v>
      </c>
    </row>
    <row r="151" spans="1:110" s="23" customFormat="1" outlineLevel="1" x14ac:dyDescent="0.2">
      <c r="A151" s="23" t="s">
        <v>52</v>
      </c>
      <c r="B151" s="23">
        <f>'Annual Raw'!C64</f>
        <v>0</v>
      </c>
      <c r="C151" s="23">
        <f>'Annual Raw'!D64</f>
        <v>0</v>
      </c>
      <c r="D151" s="23">
        <f>'Annual Raw'!E64</f>
        <v>0</v>
      </c>
      <c r="E151" s="23">
        <f>'Annual Raw'!F64</f>
        <v>0</v>
      </c>
      <c r="F151" s="23">
        <f>'Annual Raw'!G64</f>
        <v>0</v>
      </c>
      <c r="G151" s="23">
        <f>'Annual Raw'!H64</f>
        <v>0</v>
      </c>
      <c r="H151" s="23">
        <f>'Annual Raw'!I64</f>
        <v>0</v>
      </c>
      <c r="I151" s="23">
        <f>'Annual Raw'!J64</f>
        <v>0</v>
      </c>
      <c r="J151" s="23">
        <f>'Annual Raw'!K64</f>
        <v>0</v>
      </c>
      <c r="K151" s="23">
        <f>'Annual Raw'!L64</f>
        <v>0</v>
      </c>
      <c r="L151" s="23">
        <f>'Annual Raw'!M64</f>
        <v>0</v>
      </c>
      <c r="M151" s="23">
        <f>'Annual Raw'!N64</f>
        <v>0</v>
      </c>
      <c r="N151" s="23">
        <f>'Annual Raw'!O64</f>
        <v>0</v>
      </c>
      <c r="O151" s="23">
        <f>'Annual Raw'!P64</f>
        <v>0</v>
      </c>
      <c r="P151" s="23">
        <f>'Annual Raw'!Q64</f>
        <v>0</v>
      </c>
      <c r="Q151" s="23">
        <f>'Annual Raw'!R64</f>
        <v>0</v>
      </c>
      <c r="R151" s="23">
        <f>'Annual Raw'!S64</f>
        <v>0</v>
      </c>
      <c r="S151" s="23">
        <f>'Annual Raw'!T64</f>
        <v>0</v>
      </c>
      <c r="T151" s="23">
        <f>'Annual Raw'!U64</f>
        <v>0</v>
      </c>
      <c r="U151" s="23">
        <f>'Annual Raw'!V64</f>
        <v>0</v>
      </c>
      <c r="V151" s="23">
        <f>'Annual Raw'!W64</f>
        <v>0</v>
      </c>
      <c r="W151" s="23">
        <f>'Annual Raw'!X64</f>
        <v>0</v>
      </c>
      <c r="X151" s="23">
        <f>'Annual Raw'!Y64</f>
        <v>0</v>
      </c>
      <c r="Y151" s="23">
        <f>'Annual Raw'!Z64</f>
        <v>0</v>
      </c>
      <c r="Z151" s="23">
        <f>'Annual Raw'!AA64</f>
        <v>0</v>
      </c>
      <c r="AA151" s="23">
        <f>'Annual Raw'!AB64</f>
        <v>0</v>
      </c>
      <c r="AB151" s="24">
        <f t="shared" si="1186"/>
        <v>0</v>
      </c>
      <c r="AC151" s="24">
        <f t="shared" si="1187"/>
        <v>0</v>
      </c>
      <c r="AD151" s="24">
        <f t="shared" si="1188"/>
        <v>0</v>
      </c>
      <c r="AE151" s="24">
        <f t="shared" si="1189"/>
        <v>0</v>
      </c>
      <c r="AJ151" s="23">
        <f>+'QTR Raw'!D70</f>
        <v>0</v>
      </c>
      <c r="AL151" s="23">
        <f>+'QTR Raw'!F70</f>
        <v>0</v>
      </c>
      <c r="AN151" s="23">
        <f>+'QTR Raw'!H70</f>
        <v>0</v>
      </c>
      <c r="AP151" s="23">
        <f>+'QTR Raw'!J70</f>
        <v>0</v>
      </c>
      <c r="AR151" s="23">
        <f>+'QTR Raw'!L70</f>
        <v>0</v>
      </c>
      <c r="AT151" s="23">
        <f>+'QTR Raw'!N70</f>
        <v>0</v>
      </c>
      <c r="AV151" s="23">
        <f>+'QTR Raw'!P70</f>
        <v>0</v>
      </c>
      <c r="AX151" s="23">
        <f>+'QTR Raw'!R70</f>
        <v>0</v>
      </c>
      <c r="AZ151" s="23">
        <f>+'QTR Raw'!T70</f>
        <v>0</v>
      </c>
      <c r="BB151" s="23">
        <f>+'QTR Raw'!V70</f>
        <v>0</v>
      </c>
      <c r="BD151" s="23">
        <f>+'QTR Raw'!X70</f>
        <v>0</v>
      </c>
      <c r="BF151" s="23">
        <f>+'QTR Raw'!Z70</f>
        <v>0</v>
      </c>
      <c r="BH151" s="23">
        <f>+'QTR Raw'!AB70</f>
        <v>0</v>
      </c>
      <c r="BJ151" s="23">
        <f>+'QTR Raw'!AD70</f>
        <v>0</v>
      </c>
      <c r="BL151" s="23">
        <f>+'QTR Raw'!AF70</f>
        <v>0</v>
      </c>
      <c r="BN151" s="23">
        <f>+'QTR Raw'!AH70</f>
        <v>0</v>
      </c>
      <c r="BP151" s="23">
        <f>+'QTR Raw'!AJ70</f>
        <v>0</v>
      </c>
      <c r="BR151" s="23">
        <f>+'QTR Raw'!AL70</f>
        <v>0</v>
      </c>
      <c r="BT151" s="23">
        <f>+'QTR Raw'!AN70</f>
        <v>0</v>
      </c>
      <c r="BV151" s="23">
        <f>+'QTR Raw'!AP70</f>
        <v>0</v>
      </c>
      <c r="BX151" s="23">
        <f>+'QTR Raw'!AR70</f>
        <v>0</v>
      </c>
      <c r="BZ151" s="23">
        <f>+'QTR Raw'!AT70</f>
        <v>0</v>
      </c>
      <c r="CB151" s="23">
        <f>+'QTR Raw'!AV70</f>
        <v>0</v>
      </c>
      <c r="CD151" s="23">
        <f>+'QTR Raw'!AX70</f>
        <v>0</v>
      </c>
      <c r="CF151" s="23">
        <f>+'QTR Raw'!AZ70</f>
        <v>0</v>
      </c>
      <c r="CH151" s="23">
        <f t="shared" si="1190"/>
        <v>0</v>
      </c>
      <c r="CI151" s="23">
        <f>CH151</f>
        <v>0</v>
      </c>
      <c r="CJ151" s="23">
        <f>+'QTR Raw'!BD70</f>
        <v>0</v>
      </c>
      <c r="CK151" s="23">
        <f t="shared" ref="CK151:DB151" si="1193">CJ151</f>
        <v>0</v>
      </c>
      <c r="CL151" s="23">
        <f>+'QTR Raw'!BF70</f>
        <v>0</v>
      </c>
      <c r="CM151" s="24">
        <f t="shared" si="1193"/>
        <v>0</v>
      </c>
      <c r="CN151" s="24">
        <f t="shared" si="1193"/>
        <v>0</v>
      </c>
      <c r="CO151" s="24">
        <f t="shared" si="1193"/>
        <v>0</v>
      </c>
      <c r="CP151" s="24">
        <f t="shared" si="1193"/>
        <v>0</v>
      </c>
      <c r="CQ151" s="24">
        <f t="shared" si="1193"/>
        <v>0</v>
      </c>
      <c r="CR151" s="24">
        <f t="shared" si="1193"/>
        <v>0</v>
      </c>
      <c r="CS151" s="24">
        <f t="shared" si="1193"/>
        <v>0</v>
      </c>
      <c r="CT151" s="24">
        <f t="shared" si="1193"/>
        <v>0</v>
      </c>
      <c r="CU151" s="24">
        <f t="shared" si="1193"/>
        <v>0</v>
      </c>
      <c r="CV151" s="24">
        <f t="shared" si="1193"/>
        <v>0</v>
      </c>
      <c r="CW151" s="24">
        <f t="shared" si="1193"/>
        <v>0</v>
      </c>
      <c r="CX151" s="24">
        <f t="shared" si="1193"/>
        <v>0</v>
      </c>
      <c r="CY151" s="24">
        <f t="shared" si="1193"/>
        <v>0</v>
      </c>
      <c r="CZ151" s="24">
        <f t="shared" si="1193"/>
        <v>0</v>
      </c>
      <c r="DA151" s="24">
        <f t="shared" si="1193"/>
        <v>0</v>
      </c>
      <c r="DB151" s="24">
        <f t="shared" si="1193"/>
        <v>0</v>
      </c>
      <c r="DE151" s="123"/>
      <c r="DF151" s="23">
        <v>0</v>
      </c>
    </row>
    <row r="152" spans="1:110" s="22" customFormat="1" outlineLevel="1" x14ac:dyDescent="0.2">
      <c r="A152" s="22" t="s">
        <v>53</v>
      </c>
      <c r="B152" s="22">
        <f>+B149-B150-B151</f>
        <v>54.649537300000006</v>
      </c>
      <c r="C152" s="22">
        <f t="shared" ref="C152:W152" si="1194">+C149-C150-C151</f>
        <v>48.562584999999984</v>
      </c>
      <c r="D152" s="22">
        <f t="shared" si="1194"/>
        <v>47.404037099999996</v>
      </c>
      <c r="E152" s="22">
        <f t="shared" si="1194"/>
        <v>45.55758329999999</v>
      </c>
      <c r="F152" s="22">
        <f t="shared" si="1194"/>
        <v>61.322399999999988</v>
      </c>
      <c r="G152" s="22">
        <f t="shared" si="1194"/>
        <v>84.555599999999998</v>
      </c>
      <c r="H152" s="22">
        <f t="shared" si="1194"/>
        <v>122.27149999999999</v>
      </c>
      <c r="I152" s="22">
        <f t="shared" si="1194"/>
        <v>177.15190000000001</v>
      </c>
      <c r="J152" s="22">
        <f t="shared" si="1194"/>
        <v>282.90570000000002</v>
      </c>
      <c r="K152" s="22">
        <f t="shared" si="1194"/>
        <v>344.34439999999995</v>
      </c>
      <c r="L152" s="22">
        <f t="shared" si="1194"/>
        <v>395.30889999999994</v>
      </c>
      <c r="M152" s="22">
        <f t="shared" si="1194"/>
        <v>445.57830000000001</v>
      </c>
      <c r="N152" s="22">
        <f t="shared" si="1194"/>
        <v>544.39269999999999</v>
      </c>
      <c r="O152" s="22">
        <f t="shared" si="1194"/>
        <v>508.44830000000002</v>
      </c>
      <c r="P152" s="22">
        <f t="shared" si="1194"/>
        <v>439.54210000000012</v>
      </c>
      <c r="Q152" s="22">
        <f t="shared" si="1194"/>
        <v>814.47019999999998</v>
      </c>
      <c r="R152" s="22">
        <f t="shared" si="1194"/>
        <v>774.38079999999991</v>
      </c>
      <c r="S152" s="22">
        <f t="shared" si="1194"/>
        <v>732.80689999999993</v>
      </c>
      <c r="T152" s="22">
        <f t="shared" si="1194"/>
        <v>699.91969999999992</v>
      </c>
      <c r="U152" s="22">
        <f t="shared" si="1194"/>
        <v>674.45130000000006</v>
      </c>
      <c r="V152" s="22">
        <f t="shared" si="1194"/>
        <v>625.32180000000017</v>
      </c>
      <c r="W152" s="22">
        <f t="shared" si="1194"/>
        <v>608.17629999999997</v>
      </c>
      <c r="X152" s="22">
        <f t="shared" ref="X152:Y152" si="1195">+X149-X150-X151</f>
        <v>625.94000000000017</v>
      </c>
      <c r="Y152" s="22">
        <f t="shared" si="1195"/>
        <v>641.66</v>
      </c>
      <c r="Z152" s="22">
        <f t="shared" ref="Z152:AE152" si="1196">+Z149-Z150-Z151</f>
        <v>787.1400000000001</v>
      </c>
      <c r="AA152" s="22">
        <f t="shared" ref="AA152" si="1197">+AA149-AA150-AA151</f>
        <v>904.7299999999999</v>
      </c>
      <c r="AB152" s="21">
        <f t="shared" si="1196"/>
        <v>501.24406546888486</v>
      </c>
      <c r="AC152" s="21">
        <f t="shared" si="1196"/>
        <v>411.81054444808365</v>
      </c>
      <c r="AD152" s="21">
        <f t="shared" si="1196"/>
        <v>338.33402967073005</v>
      </c>
      <c r="AE152" s="21">
        <f t="shared" si="1196"/>
        <v>277.96742258421102</v>
      </c>
      <c r="AJ152" s="22">
        <f t="shared" ref="AJ152:AL152" si="1198">+AJ149-AJ150-AJ151</f>
        <v>496.37700000000001</v>
      </c>
      <c r="AK152" s="22">
        <f t="shared" ref="AK152:CE152" si="1199">+AJ152</f>
        <v>496.37700000000001</v>
      </c>
      <c r="AL152" s="22">
        <f t="shared" si="1198"/>
        <v>582.66200000000003</v>
      </c>
      <c r="AM152" s="22">
        <f t="shared" si="1199"/>
        <v>582.66200000000003</v>
      </c>
      <c r="AN152" s="22">
        <f t="shared" ref="AN152" si="1200">+AN149-AN150-AN151</f>
        <v>400.54</v>
      </c>
      <c r="AO152" s="22">
        <f t="shared" si="1199"/>
        <v>400.54</v>
      </c>
      <c r="AP152" s="22">
        <f t="shared" ref="AP152:CD152" si="1201">+AP149-AP150-AP151</f>
        <v>549.96400000000006</v>
      </c>
      <c r="AQ152" s="22">
        <f t="shared" si="1199"/>
        <v>549.96400000000006</v>
      </c>
      <c r="AR152" s="22">
        <f t="shared" si="1201"/>
        <v>362.86599999999999</v>
      </c>
      <c r="AS152" s="22">
        <f t="shared" si="1199"/>
        <v>362.86599999999999</v>
      </c>
      <c r="AT152" s="22">
        <f t="shared" si="1201"/>
        <v>474.27499999999998</v>
      </c>
      <c r="AU152" s="22">
        <f t="shared" si="1199"/>
        <v>474.27499999999998</v>
      </c>
      <c r="AV152" s="22">
        <f t="shared" si="1201"/>
        <v>448.38499999999999</v>
      </c>
      <c r="AW152" s="22">
        <f t="shared" si="1199"/>
        <v>448.38499999999999</v>
      </c>
      <c r="AX152" s="22">
        <f t="shared" si="1201"/>
        <v>819.07899999999995</v>
      </c>
      <c r="AY152" s="22">
        <f t="shared" si="1199"/>
        <v>819.07899999999995</v>
      </c>
      <c r="AZ152" s="22">
        <f t="shared" si="1201"/>
        <v>799.98599999999999</v>
      </c>
      <c r="BA152" s="22">
        <f t="shared" si="1199"/>
        <v>799.98599999999999</v>
      </c>
      <c r="BB152" s="22">
        <f t="shared" si="1201"/>
        <v>775.03099999999995</v>
      </c>
      <c r="BC152" s="22">
        <f t="shared" si="1199"/>
        <v>775.03099999999995</v>
      </c>
      <c r="BD152" s="22">
        <f t="shared" si="1201"/>
        <v>757.14400000000001</v>
      </c>
      <c r="BE152" s="22">
        <f t="shared" si="1199"/>
        <v>757.14400000000001</v>
      </c>
      <c r="BF152" s="22">
        <f t="shared" si="1201"/>
        <v>733.05100000000004</v>
      </c>
      <c r="BG152" s="22">
        <f t="shared" si="1199"/>
        <v>733.05100000000004</v>
      </c>
      <c r="BH152" s="22">
        <f t="shared" si="1201"/>
        <v>720.38499999999999</v>
      </c>
      <c r="BI152" s="22">
        <f t="shared" si="1199"/>
        <v>720.38499999999999</v>
      </c>
      <c r="BJ152" s="22">
        <f t="shared" si="1201"/>
        <v>700.16499999999996</v>
      </c>
      <c r="BK152" s="22">
        <f t="shared" si="1199"/>
        <v>700.16499999999996</v>
      </c>
      <c r="BL152" s="22">
        <f t="shared" si="1201"/>
        <v>689.13099999999997</v>
      </c>
      <c r="BM152" s="22">
        <f t="shared" si="1199"/>
        <v>689.13099999999997</v>
      </c>
      <c r="BN152" s="22">
        <f t="shared" si="1201"/>
        <v>609.05200000000002</v>
      </c>
      <c r="BO152" s="22">
        <f t="shared" si="1199"/>
        <v>609.05200000000002</v>
      </c>
      <c r="BP152" s="22">
        <f t="shared" si="1201"/>
        <v>587.99699999999996</v>
      </c>
      <c r="BQ152" s="22">
        <f t="shared" si="1199"/>
        <v>587.99699999999996</v>
      </c>
      <c r="BR152" s="22">
        <f t="shared" si="1201"/>
        <v>566.32100000000003</v>
      </c>
      <c r="BS152" s="22">
        <f t="shared" si="1199"/>
        <v>566.32100000000003</v>
      </c>
      <c r="BT152" s="22">
        <f t="shared" si="1201"/>
        <v>555.45600000000002</v>
      </c>
      <c r="BU152" s="22">
        <f t="shared" si="1199"/>
        <v>555.45600000000002</v>
      </c>
      <c r="BV152" s="22">
        <f t="shared" si="1201"/>
        <v>537.94000000000005</v>
      </c>
      <c r="BW152" s="22">
        <f t="shared" si="1199"/>
        <v>537.94000000000005</v>
      </c>
      <c r="BX152" s="22">
        <f t="shared" si="1201"/>
        <v>524.33299999999997</v>
      </c>
      <c r="BY152" s="22">
        <f t="shared" si="1199"/>
        <v>524.33299999999997</v>
      </c>
      <c r="BZ152" s="22">
        <f t="shared" si="1201"/>
        <v>544.21</v>
      </c>
      <c r="CA152" s="22">
        <f t="shared" si="1199"/>
        <v>544.21</v>
      </c>
      <c r="CB152" s="22">
        <f t="shared" si="1201"/>
        <v>548.51</v>
      </c>
      <c r="CC152" s="22">
        <f t="shared" si="1199"/>
        <v>548.51</v>
      </c>
      <c r="CD152" s="22">
        <f t="shared" si="1201"/>
        <v>535.96</v>
      </c>
      <c r="CE152" s="22">
        <f t="shared" si="1199"/>
        <v>535.96</v>
      </c>
      <c r="CF152" s="22">
        <f t="shared" ref="CF152:CI152" si="1202">+CF149-CF150-CF151</f>
        <v>529.02</v>
      </c>
      <c r="CG152" s="22">
        <f t="shared" ref="CG152:CI155" si="1203">+CF152</f>
        <v>529.02</v>
      </c>
      <c r="CH152" s="22">
        <f t="shared" si="1202"/>
        <v>787.1400000000001</v>
      </c>
      <c r="CI152" s="22">
        <f t="shared" si="1202"/>
        <v>762.60000000000014</v>
      </c>
      <c r="CJ152" s="23">
        <f>+'QTR Raw'!BD68</f>
        <v>594.14</v>
      </c>
      <c r="CK152" s="23">
        <f t="shared" ref="CK152:DB152" si="1204">+CK149-CK150-CK151</f>
        <v>566.9</v>
      </c>
      <c r="CL152" s="23">
        <f>+'QTR Raw'!BF68</f>
        <v>610.1</v>
      </c>
      <c r="CM152" s="21">
        <f t="shared" si="1204"/>
        <v>580.8487775621802</v>
      </c>
      <c r="CN152" s="21">
        <f t="shared" si="1204"/>
        <v>553.00000392637128</v>
      </c>
      <c r="CO152" s="21">
        <f t="shared" si="1204"/>
        <v>526.48643873547553</v>
      </c>
      <c r="CP152" s="21">
        <f t="shared" si="1204"/>
        <v>501.24406546888486</v>
      </c>
      <c r="CQ152" s="21">
        <f t="shared" si="1204"/>
        <v>477.21193687575681</v>
      </c>
      <c r="CR152" s="21">
        <f t="shared" si="1204"/>
        <v>454.33202781898649</v>
      </c>
      <c r="CS152" s="21">
        <f t="shared" si="1204"/>
        <v>432.5490951745694</v>
      </c>
      <c r="CT152" s="21">
        <f t="shared" si="1204"/>
        <v>411.81054444808365</v>
      </c>
      <c r="CU152" s="21">
        <f t="shared" si="1204"/>
        <v>392.06630278624039</v>
      </c>
      <c r="CV152" s="21">
        <f t="shared" si="1204"/>
        <v>373.26869807689127</v>
      </c>
      <c r="CW152" s="21">
        <f t="shared" si="1204"/>
        <v>355.37234384558076</v>
      </c>
      <c r="CX152" s="21">
        <f t="shared" si="1204"/>
        <v>338.33402967073005</v>
      </c>
      <c r="CY152" s="21">
        <f t="shared" si="1204"/>
        <v>322.11261685286013</v>
      </c>
      <c r="CZ152" s="21">
        <f t="shared" si="1204"/>
        <v>306.66893908595114</v>
      </c>
      <c r="DA152" s="21">
        <f t="shared" si="1204"/>
        <v>291.96570789110876</v>
      </c>
      <c r="DB152" s="21">
        <f t="shared" si="1204"/>
        <v>277.96742258421102</v>
      </c>
      <c r="DE152" s="126"/>
      <c r="DF152" s="22">
        <v>610.10000000000014</v>
      </c>
    </row>
    <row r="153" spans="1:110" s="23" customFormat="1" outlineLevel="1" x14ac:dyDescent="0.2">
      <c r="A153" s="23" t="s">
        <v>54</v>
      </c>
      <c r="B153" s="23">
        <f>'Annual Raw'!C86</f>
        <v>0</v>
      </c>
      <c r="C153" s="23">
        <f>'Annual Raw'!D86</f>
        <v>0</v>
      </c>
      <c r="D153" s="23">
        <f>'Annual Raw'!E86</f>
        <v>0</v>
      </c>
      <c r="E153" s="23">
        <f>'Annual Raw'!F86</f>
        <v>0</v>
      </c>
      <c r="F153" s="23">
        <f>'Annual Raw'!G86</f>
        <v>0</v>
      </c>
      <c r="G153" s="23">
        <f>'Annual Raw'!H86</f>
        <v>0</v>
      </c>
      <c r="H153" s="23">
        <f>'Annual Raw'!I86</f>
        <v>0</v>
      </c>
      <c r="I153" s="23">
        <f>'Annual Raw'!J86</f>
        <v>0</v>
      </c>
      <c r="J153" s="23">
        <f>'Annual Raw'!K86</f>
        <v>0</v>
      </c>
      <c r="K153" s="23">
        <f>'Annual Raw'!L86</f>
        <v>0</v>
      </c>
      <c r="L153" s="23">
        <f>'Annual Raw'!M86</f>
        <v>83.383499999999998</v>
      </c>
      <c r="M153" s="23">
        <f>'Annual Raw'!N86</f>
        <v>85.731300000000005</v>
      </c>
      <c r="N153" s="23">
        <f>'Annual Raw'!O86</f>
        <v>80.845500000000001</v>
      </c>
      <c r="O153" s="23">
        <f>'Annual Raw'!P86</f>
        <v>86.775999999999996</v>
      </c>
      <c r="P153" s="23">
        <f>'Annual Raw'!Q86</f>
        <v>83.551400000000001</v>
      </c>
      <c r="Q153" s="23">
        <f>'Annual Raw'!R86</f>
        <v>83.513000000000005</v>
      </c>
      <c r="R153" s="23">
        <f>'Annual Raw'!S86</f>
        <v>83.513000000000005</v>
      </c>
      <c r="S153" s="23">
        <f>'Annual Raw'!T86</f>
        <v>98.074100000000001</v>
      </c>
      <c r="T153" s="23">
        <f>'Annual Raw'!U86</f>
        <v>96.185500000000005</v>
      </c>
      <c r="U153" s="23">
        <f>'Annual Raw'!V86</f>
        <v>98.900300000000001</v>
      </c>
      <c r="V153" s="23">
        <f>'Annual Raw'!W86</f>
        <v>107.1215</v>
      </c>
      <c r="W153" s="23">
        <f>'Annual Raw'!X86</f>
        <v>105.6615</v>
      </c>
      <c r="X153" s="23">
        <f>'Annual Raw'!Y86</f>
        <v>102.82</v>
      </c>
      <c r="Y153" s="23">
        <f>'Annual Raw'!Z86</f>
        <v>101.77</v>
      </c>
      <c r="Z153" s="23">
        <f>'Annual Raw'!AA86</f>
        <v>101.77</v>
      </c>
      <c r="AA153" s="23">
        <f>'Annual Raw'!AB86</f>
        <v>0</v>
      </c>
      <c r="AB153" s="24">
        <f t="shared" si="1186"/>
        <v>0</v>
      </c>
      <c r="AC153" s="24">
        <f t="shared" si="1187"/>
        <v>0</v>
      </c>
      <c r="AD153" s="24">
        <f t="shared" si="1188"/>
        <v>0</v>
      </c>
      <c r="AE153" s="24">
        <f t="shared" si="1189"/>
        <v>0</v>
      </c>
      <c r="AJ153" s="23">
        <f>+'QTR Raw'!D72</f>
        <v>0</v>
      </c>
      <c r="AK153" s="23">
        <f>+AJ153</f>
        <v>0</v>
      </c>
      <c r="AL153" s="23">
        <f>+'QTR Raw'!F72</f>
        <v>52.618000000000002</v>
      </c>
      <c r="AM153" s="23">
        <f t="shared" ref="AK153:CE155" si="1205">+AL153</f>
        <v>52.618000000000002</v>
      </c>
      <c r="AN153" s="23">
        <f>+'QTR Raw'!H72</f>
        <v>0</v>
      </c>
      <c r="AO153" s="23">
        <f t="shared" si="1205"/>
        <v>0</v>
      </c>
      <c r="AP153" s="23">
        <f>+'QTR Raw'!J72</f>
        <v>52.618000000000002</v>
      </c>
      <c r="AQ153" s="23">
        <f t="shared" si="1205"/>
        <v>52.618000000000002</v>
      </c>
      <c r="AR153" s="23">
        <f>+'QTR Raw'!L72</f>
        <v>0</v>
      </c>
      <c r="AS153" s="23">
        <f t="shared" si="1205"/>
        <v>0</v>
      </c>
      <c r="AT153" s="23">
        <f>+'QTR Raw'!N72</f>
        <v>52.618000000000002</v>
      </c>
      <c r="AU153" s="23">
        <f t="shared" si="1205"/>
        <v>52.618000000000002</v>
      </c>
      <c r="AV153" s="23">
        <f>+'QTR Raw'!P72</f>
        <v>52.618000000000002</v>
      </c>
      <c r="AW153" s="23">
        <f t="shared" si="1205"/>
        <v>52.618000000000002</v>
      </c>
      <c r="AX153" s="23">
        <f>+'QTR Raw'!R72</f>
        <v>83.513000000000005</v>
      </c>
      <c r="AY153" s="23">
        <f t="shared" si="1205"/>
        <v>83.513000000000005</v>
      </c>
      <c r="AZ153" s="23">
        <f>+'QTR Raw'!T72</f>
        <v>83.513000000000005</v>
      </c>
      <c r="BA153" s="23">
        <f t="shared" si="1205"/>
        <v>83.513000000000005</v>
      </c>
      <c r="BB153" s="23">
        <f>+'QTR Raw'!V72</f>
        <v>83.513000000000005</v>
      </c>
      <c r="BC153" s="23">
        <f t="shared" si="1205"/>
        <v>83.513000000000005</v>
      </c>
      <c r="BD153" s="23">
        <f>+'QTR Raw'!X72</f>
        <v>93.295000000000002</v>
      </c>
      <c r="BE153" s="23">
        <f t="shared" si="1205"/>
        <v>93.295000000000002</v>
      </c>
      <c r="BF153" s="23">
        <f>+'QTR Raw'!Z72</f>
        <v>98.073999999999998</v>
      </c>
      <c r="BG153" s="23">
        <f t="shared" si="1205"/>
        <v>98.073999999999998</v>
      </c>
      <c r="BH153" s="23">
        <f>+'QTR Raw'!AB72</f>
        <v>100.813</v>
      </c>
      <c r="BI153" s="23">
        <f t="shared" si="1205"/>
        <v>100.813</v>
      </c>
      <c r="BJ153" s="23">
        <f>+'QTR Raw'!AD72</f>
        <v>96.186000000000007</v>
      </c>
      <c r="BK153" s="23">
        <f t="shared" si="1205"/>
        <v>96.186000000000007</v>
      </c>
      <c r="BL153" s="23">
        <f>+'QTR Raw'!AF72</f>
        <v>92.478999999999999</v>
      </c>
      <c r="BM153" s="23">
        <f t="shared" si="1205"/>
        <v>92.478999999999999</v>
      </c>
      <c r="BN153" s="23">
        <f>+'QTR Raw'!AH72</f>
        <v>98.9</v>
      </c>
      <c r="BO153" s="23">
        <f t="shared" si="1205"/>
        <v>98.9</v>
      </c>
      <c r="BP153" s="23">
        <f>+'QTR Raw'!AJ72</f>
        <v>100.63200000000001</v>
      </c>
      <c r="BQ153" s="23">
        <f t="shared" si="1205"/>
        <v>100.63200000000001</v>
      </c>
      <c r="BR153" s="23">
        <f>+'QTR Raw'!AL72</f>
        <v>107.121</v>
      </c>
      <c r="BS153" s="23">
        <f t="shared" si="1205"/>
        <v>107.121</v>
      </c>
      <c r="BT153" s="23">
        <f>+'QTR Raw'!AN72</f>
        <v>105.988</v>
      </c>
      <c r="BU153" s="23">
        <f t="shared" si="1205"/>
        <v>105.988</v>
      </c>
      <c r="BV153" s="23">
        <f>+'QTR Raw'!AP72</f>
        <v>105.66200000000001</v>
      </c>
      <c r="BW153" s="23">
        <f t="shared" si="1205"/>
        <v>105.66200000000001</v>
      </c>
      <c r="BX153" s="23">
        <f>+'QTR Raw'!AR72</f>
        <v>96.492999999999995</v>
      </c>
      <c r="BY153" s="23">
        <f t="shared" si="1205"/>
        <v>96.492999999999995</v>
      </c>
      <c r="BZ153" s="23">
        <f>+'QTR Raw'!AT72</f>
        <v>102.82</v>
      </c>
      <c r="CA153" s="23">
        <f t="shared" si="1205"/>
        <v>102.82</v>
      </c>
      <c r="CB153" s="23">
        <f>+'QTR Raw'!AV72</f>
        <v>101.77</v>
      </c>
      <c r="CC153" s="23">
        <f t="shared" si="1205"/>
        <v>101.77</v>
      </c>
      <c r="CD153" s="23">
        <f>+'QTR Raw'!AX72</f>
        <v>101.77</v>
      </c>
      <c r="CE153" s="23">
        <f t="shared" si="1205"/>
        <v>101.77</v>
      </c>
      <c r="CF153" s="23">
        <f>+'QTR Raw'!AZ72</f>
        <v>101.88</v>
      </c>
      <c r="CG153" s="23">
        <f t="shared" si="1203"/>
        <v>101.88</v>
      </c>
      <c r="CH153" s="23">
        <f t="shared" si="1190"/>
        <v>101.77</v>
      </c>
      <c r="CI153" s="23">
        <f t="shared" si="1203"/>
        <v>101.77</v>
      </c>
      <c r="CJ153" s="23">
        <f>+'QTR Raw'!BD72</f>
        <v>101.77</v>
      </c>
      <c r="CK153" s="23">
        <f t="shared" ref="CK153:CK155" si="1206">+CJ153</f>
        <v>101.77</v>
      </c>
      <c r="CL153" s="23">
        <f>+'QTR Raw'!BF72</f>
        <v>0</v>
      </c>
      <c r="CM153" s="24">
        <f t="shared" ref="CM153:CM155" si="1207">+CL153</f>
        <v>0</v>
      </c>
      <c r="CN153" s="24">
        <f t="shared" ref="CN153:CN155" si="1208">+CM153</f>
        <v>0</v>
      </c>
      <c r="CO153" s="24">
        <f t="shared" ref="CO153:CO155" si="1209">+CN153</f>
        <v>0</v>
      </c>
      <c r="CP153" s="24">
        <f t="shared" ref="CP153:CP155" si="1210">+CO153</f>
        <v>0</v>
      </c>
      <c r="CQ153" s="24">
        <f t="shared" ref="CQ153:CQ155" si="1211">+CP153</f>
        <v>0</v>
      </c>
      <c r="CR153" s="24">
        <f t="shared" ref="CR153:CR155" si="1212">+CQ153</f>
        <v>0</v>
      </c>
      <c r="CS153" s="24">
        <f t="shared" ref="CS153:CS155" si="1213">+CR153</f>
        <v>0</v>
      </c>
      <c r="CT153" s="24">
        <f t="shared" ref="CT153:CT155" si="1214">+CS153</f>
        <v>0</v>
      </c>
      <c r="CU153" s="24">
        <f t="shared" ref="CU153:CU155" si="1215">+CT153</f>
        <v>0</v>
      </c>
      <c r="CV153" s="24">
        <f t="shared" ref="CV153:CV155" si="1216">+CU153</f>
        <v>0</v>
      </c>
      <c r="CW153" s="24">
        <f t="shared" ref="CW153:CW155" si="1217">+CV153</f>
        <v>0</v>
      </c>
      <c r="CX153" s="24">
        <f t="shared" ref="CX153:CX155" si="1218">+CW153</f>
        <v>0</v>
      </c>
      <c r="CY153" s="24">
        <f t="shared" ref="CY153:CY155" si="1219">+CX153</f>
        <v>0</v>
      </c>
      <c r="CZ153" s="24">
        <f t="shared" ref="CZ153:CZ155" si="1220">+CY153</f>
        <v>0</v>
      </c>
      <c r="DA153" s="24">
        <f t="shared" ref="DA153:DA155" si="1221">+CZ153</f>
        <v>0</v>
      </c>
      <c r="DB153" s="24">
        <f t="shared" ref="DB153:DB155" si="1222">+DA153</f>
        <v>0</v>
      </c>
      <c r="DE153" s="123"/>
      <c r="DF153" s="23">
        <v>0</v>
      </c>
    </row>
    <row r="154" spans="1:110" s="23" customFormat="1" outlineLevel="1" x14ac:dyDescent="0.2">
      <c r="A154" s="23" t="s">
        <v>55</v>
      </c>
      <c r="B154" s="23">
        <f>'Annual Raw'!C68</f>
        <v>0</v>
      </c>
      <c r="C154" s="23">
        <f>'Annual Raw'!D68</f>
        <v>0</v>
      </c>
      <c r="D154" s="23">
        <f>'Annual Raw'!E68</f>
        <v>0</v>
      </c>
      <c r="E154" s="23">
        <f>'Annual Raw'!F68</f>
        <v>0</v>
      </c>
      <c r="F154" s="23">
        <f>'Annual Raw'!G68</f>
        <v>0</v>
      </c>
      <c r="G154" s="23">
        <f>'Annual Raw'!H68</f>
        <v>0</v>
      </c>
      <c r="H154" s="23">
        <f>'Annual Raw'!I68</f>
        <v>0</v>
      </c>
      <c r="I154" s="23">
        <f>'Annual Raw'!J68</f>
        <v>0</v>
      </c>
      <c r="J154" s="23">
        <f>'Annual Raw'!K68</f>
        <v>0</v>
      </c>
      <c r="K154" s="23">
        <f>'Annual Raw'!L68</f>
        <v>0</v>
      </c>
      <c r="L154" s="23">
        <f>'Annual Raw'!M68</f>
        <v>0</v>
      </c>
      <c r="M154" s="23">
        <f>'Annual Raw'!N68</f>
        <v>0</v>
      </c>
      <c r="N154" s="23">
        <f>'Annual Raw'!O68</f>
        <v>0</v>
      </c>
      <c r="O154" s="23">
        <f>'Annual Raw'!P68</f>
        <v>0</v>
      </c>
      <c r="P154" s="23">
        <f>'Annual Raw'!Q68</f>
        <v>0</v>
      </c>
      <c r="Q154" s="23">
        <f>'Annual Raw'!R68</f>
        <v>1.4279999999999999</v>
      </c>
      <c r="R154" s="23">
        <f>'Annual Raw'!S68</f>
        <v>0.65</v>
      </c>
      <c r="S154" s="23">
        <f>'Annual Raw'!T68</f>
        <v>0.245</v>
      </c>
      <c r="T154" s="23">
        <f>'Annual Raw'!U68</f>
        <v>0.245</v>
      </c>
      <c r="U154" s="23">
        <f>'Annual Raw'!V68</f>
        <v>0</v>
      </c>
      <c r="V154" s="23">
        <f>'Annual Raw'!W68</f>
        <v>0</v>
      </c>
      <c r="W154" s="23">
        <f>'Annual Raw'!X68</f>
        <v>0</v>
      </c>
      <c r="X154" s="23">
        <f>'Annual Raw'!Y68</f>
        <v>0</v>
      </c>
      <c r="Y154" s="23">
        <f>'Annual Raw'!Z68</f>
        <v>0</v>
      </c>
      <c r="Z154" s="23">
        <f>'Annual Raw'!AA68</f>
        <v>0</v>
      </c>
      <c r="AA154" s="23">
        <f>'Annual Raw'!AB68</f>
        <v>0</v>
      </c>
      <c r="AB154" s="24">
        <f t="shared" si="1186"/>
        <v>0</v>
      </c>
      <c r="AC154" s="24">
        <f t="shared" si="1187"/>
        <v>0</v>
      </c>
      <c r="AD154" s="24">
        <f t="shared" si="1188"/>
        <v>0</v>
      </c>
      <c r="AE154" s="24">
        <f t="shared" si="1189"/>
        <v>0</v>
      </c>
      <c r="AK154" s="23">
        <f t="shared" si="1205"/>
        <v>0</v>
      </c>
      <c r="AM154" s="23">
        <f t="shared" si="1205"/>
        <v>0</v>
      </c>
      <c r="AO154" s="23">
        <f t="shared" si="1205"/>
        <v>0</v>
      </c>
      <c r="AQ154" s="23">
        <f t="shared" si="1205"/>
        <v>0</v>
      </c>
      <c r="AS154" s="23">
        <f t="shared" si="1205"/>
        <v>0</v>
      </c>
      <c r="AU154" s="23">
        <f t="shared" si="1205"/>
        <v>0</v>
      </c>
      <c r="AW154" s="23">
        <f t="shared" si="1205"/>
        <v>0</v>
      </c>
      <c r="AY154" s="23">
        <f t="shared" si="1205"/>
        <v>0</v>
      </c>
      <c r="BA154" s="23">
        <f t="shared" si="1205"/>
        <v>0</v>
      </c>
      <c r="BC154" s="23">
        <f t="shared" si="1205"/>
        <v>0</v>
      </c>
      <c r="BE154" s="23">
        <f t="shared" si="1205"/>
        <v>0</v>
      </c>
      <c r="BG154" s="23">
        <f t="shared" si="1205"/>
        <v>0</v>
      </c>
      <c r="BI154" s="23">
        <f t="shared" si="1205"/>
        <v>0</v>
      </c>
      <c r="BK154" s="23">
        <f t="shared" si="1205"/>
        <v>0</v>
      </c>
      <c r="BM154" s="23">
        <f t="shared" si="1205"/>
        <v>0</v>
      </c>
      <c r="BO154" s="23">
        <f t="shared" si="1205"/>
        <v>0</v>
      </c>
      <c r="BQ154" s="23">
        <f t="shared" si="1205"/>
        <v>0</v>
      </c>
      <c r="BS154" s="23">
        <f t="shared" si="1205"/>
        <v>0</v>
      </c>
      <c r="BU154" s="23">
        <f t="shared" si="1205"/>
        <v>0</v>
      </c>
      <c r="BW154" s="23">
        <f t="shared" si="1205"/>
        <v>0</v>
      </c>
      <c r="BY154" s="23">
        <f t="shared" si="1205"/>
        <v>0</v>
      </c>
      <c r="CA154" s="23">
        <f t="shared" si="1205"/>
        <v>0</v>
      </c>
      <c r="CC154" s="23">
        <f t="shared" si="1205"/>
        <v>0</v>
      </c>
      <c r="CE154" s="23">
        <f t="shared" si="1205"/>
        <v>0</v>
      </c>
      <c r="CG154" s="23">
        <f t="shared" si="1203"/>
        <v>0</v>
      </c>
      <c r="CH154" s="23">
        <f t="shared" si="1190"/>
        <v>0</v>
      </c>
      <c r="CI154" s="23">
        <f t="shared" si="1203"/>
        <v>0</v>
      </c>
      <c r="CK154" s="23">
        <f t="shared" si="1206"/>
        <v>0</v>
      </c>
      <c r="CM154" s="24">
        <f t="shared" si="1207"/>
        <v>0</v>
      </c>
      <c r="CN154" s="24">
        <f t="shared" si="1208"/>
        <v>0</v>
      </c>
      <c r="CO154" s="24">
        <f t="shared" si="1209"/>
        <v>0</v>
      </c>
      <c r="CP154" s="24">
        <f t="shared" si="1210"/>
        <v>0</v>
      </c>
      <c r="CQ154" s="24">
        <f t="shared" si="1211"/>
        <v>0</v>
      </c>
      <c r="CR154" s="24">
        <f t="shared" si="1212"/>
        <v>0</v>
      </c>
      <c r="CS154" s="24">
        <f t="shared" si="1213"/>
        <v>0</v>
      </c>
      <c r="CT154" s="24">
        <f t="shared" si="1214"/>
        <v>0</v>
      </c>
      <c r="CU154" s="24">
        <f t="shared" si="1215"/>
        <v>0</v>
      </c>
      <c r="CV154" s="24">
        <f t="shared" si="1216"/>
        <v>0</v>
      </c>
      <c r="CW154" s="24">
        <f t="shared" si="1217"/>
        <v>0</v>
      </c>
      <c r="CX154" s="24">
        <f t="shared" si="1218"/>
        <v>0</v>
      </c>
      <c r="CY154" s="24">
        <f t="shared" si="1219"/>
        <v>0</v>
      </c>
      <c r="CZ154" s="24">
        <f t="shared" si="1220"/>
        <v>0</v>
      </c>
      <c r="DA154" s="24">
        <f t="shared" si="1221"/>
        <v>0</v>
      </c>
      <c r="DB154" s="24">
        <f t="shared" si="1222"/>
        <v>0</v>
      </c>
      <c r="DE154" s="123"/>
      <c r="DF154" s="23">
        <v>0</v>
      </c>
    </row>
    <row r="155" spans="1:110" s="23" customFormat="1" outlineLevel="1" x14ac:dyDescent="0.2">
      <c r="A155" s="23" t="s">
        <v>56</v>
      </c>
      <c r="B155" s="23">
        <f>'Annual Raw'!C67+'Annual Raw'!C66+'Annual Raw'!C69+'Annual Raw'!C70</f>
        <v>1.8344913</v>
      </c>
      <c r="C155" s="23">
        <f>'Annual Raw'!D67+'Annual Raw'!D66+'Annual Raw'!D69+'Annual Raw'!D70</f>
        <v>2.3131103</v>
      </c>
      <c r="D155" s="23">
        <f>'Annual Raw'!E67+'Annual Raw'!E66+'Annual Raw'!E69+'Annual Raw'!E70</f>
        <v>0</v>
      </c>
      <c r="E155" s="23">
        <f>'Annual Raw'!F67+'Annual Raw'!F66+'Annual Raw'!F69+'Annual Raw'!F70</f>
        <v>0</v>
      </c>
      <c r="F155" s="23">
        <f>'Annual Raw'!G67+'Annual Raw'!G66+'Annual Raw'!G69+'Annual Raw'!G70</f>
        <v>0.72799999999999998</v>
      </c>
      <c r="G155" s="23">
        <f>'Annual Raw'!H67+'Annual Raw'!H66+'Annual Raw'!H69+'Annual Raw'!H70</f>
        <v>10.6614</v>
      </c>
      <c r="H155" s="23">
        <f>'Annual Raw'!I67+'Annual Raw'!I66+'Annual Raw'!I69+'Annual Raw'!I70</f>
        <v>4.4661</v>
      </c>
      <c r="I155" s="23">
        <f>'Annual Raw'!J67+'Annual Raw'!J66+'Annual Raw'!J69+'Annual Raw'!J70</f>
        <v>15.9155</v>
      </c>
      <c r="J155" s="23">
        <f>'Annual Raw'!K67+'Annual Raw'!K66+'Annual Raw'!K69+'Annual Raw'!K70</f>
        <v>28.113600000000002</v>
      </c>
      <c r="K155" s="23">
        <f>'Annual Raw'!L67+'Annual Raw'!L66+'Annual Raw'!L69+'Annual Raw'!L70</f>
        <v>17.875399999999999</v>
      </c>
      <c r="L155" s="23">
        <f>'Annual Raw'!M67+'Annual Raw'!M66+'Annual Raw'!M69+'Annual Raw'!M70</f>
        <v>10.7704</v>
      </c>
      <c r="M155" s="23">
        <f>'Annual Raw'!N67+'Annual Raw'!N66+'Annual Raw'!N69+'Annual Raw'!N70</f>
        <v>41.722999999999999</v>
      </c>
      <c r="N155" s="23">
        <f>'Annual Raw'!O67+'Annual Raw'!O66+'Annual Raw'!O69+'Annual Raw'!O70</f>
        <v>10.0418</v>
      </c>
      <c r="O155" s="23">
        <f>'Annual Raw'!P67+'Annual Raw'!P66+'Annual Raw'!P69+'Annual Raw'!P70</f>
        <v>7.3577000000000004</v>
      </c>
      <c r="P155" s="23">
        <f>'Annual Raw'!Q67+'Annual Raw'!Q66+'Annual Raw'!Q69+'Annual Raw'!Q70</f>
        <v>3.7987000000000002</v>
      </c>
      <c r="Q155" s="23">
        <f>'Annual Raw'!R67+'Annual Raw'!R66+'Annual Raw'!R69+'Annual Raw'!R70</f>
        <v>9.4666999999999994</v>
      </c>
      <c r="R155" s="23">
        <f>'Annual Raw'!S67+'Annual Raw'!S66+'Annual Raw'!S69+'Annual Raw'!S70</f>
        <v>4.0186999999999999</v>
      </c>
      <c r="S155" s="23">
        <f>'Annual Raw'!T67+'Annual Raw'!T66+'Annual Raw'!T69+'Annual Raw'!T70</f>
        <v>4.0426000000000002</v>
      </c>
      <c r="T155" s="23">
        <f>'Annual Raw'!U67+'Annual Raw'!U66+'Annual Raw'!U69+'Annual Raw'!U70</f>
        <v>7.9672999999999998</v>
      </c>
      <c r="U155" s="23">
        <f>'Annual Raw'!V67+'Annual Raw'!V66+'Annual Raw'!V69+'Annual Raw'!V70</f>
        <v>26.004900000000003</v>
      </c>
      <c r="V155" s="23">
        <f>'Annual Raw'!W67+'Annual Raw'!W66+'Annual Raw'!W69+'Annual Raw'!W70</f>
        <v>25.779599999999999</v>
      </c>
      <c r="W155" s="23">
        <f>'Annual Raw'!X67+'Annual Raw'!X66+'Annual Raw'!X69+'Annual Raw'!X70</f>
        <v>25.859099999999998</v>
      </c>
      <c r="X155" s="23">
        <f>'Annual Raw'!Y67+'Annual Raw'!Y66+'Annual Raw'!Y69+'Annual Raw'!Y70</f>
        <v>25.35</v>
      </c>
      <c r="Y155" s="23">
        <f>'Annual Raw'!Z67+'Annual Raw'!Z66+'Annual Raw'!Z69+'Annual Raw'!Z70</f>
        <v>26.03</v>
      </c>
      <c r="Z155" s="23">
        <f>'Annual Raw'!AA67+'Annual Raw'!AA66+'Annual Raw'!AA69+'Annual Raw'!AA70</f>
        <v>31.71</v>
      </c>
      <c r="AA155" s="23">
        <f>'Annual Raw'!AB67+'Annual Raw'!AB66+'Annual Raw'!AB69+'Annual Raw'!AB70</f>
        <v>48.019999999999996</v>
      </c>
      <c r="AB155" s="24">
        <f t="shared" si="1186"/>
        <v>23.11</v>
      </c>
      <c r="AC155" s="24">
        <f t="shared" si="1187"/>
        <v>23.11</v>
      </c>
      <c r="AD155" s="24">
        <f t="shared" si="1188"/>
        <v>23.11</v>
      </c>
      <c r="AE155" s="24">
        <f t="shared" si="1189"/>
        <v>23.11</v>
      </c>
      <c r="AJ155" s="23">
        <f>+'QTR Raw'!D74+'QTR Raw'!D75</f>
        <v>0</v>
      </c>
      <c r="AK155" s="23">
        <f t="shared" si="1205"/>
        <v>0</v>
      </c>
      <c r="AL155" s="23">
        <f>+'QTR Raw'!F74+'QTR Raw'!F75</f>
        <v>0</v>
      </c>
      <c r="AM155" s="23">
        <f t="shared" si="1205"/>
        <v>0</v>
      </c>
      <c r="AN155" s="23">
        <f>+'QTR Raw'!H74+'QTR Raw'!H75</f>
        <v>0</v>
      </c>
      <c r="AO155" s="23">
        <f t="shared" si="1205"/>
        <v>0</v>
      </c>
      <c r="AP155" s="23">
        <f>+'QTR Raw'!J74+'QTR Raw'!J75</f>
        <v>0</v>
      </c>
      <c r="AQ155" s="23">
        <f t="shared" si="1205"/>
        <v>0</v>
      </c>
      <c r="AR155" s="23">
        <f>+'QTR Raw'!L74+'QTR Raw'!L75</f>
        <v>0</v>
      </c>
      <c r="AS155" s="23">
        <f t="shared" si="1205"/>
        <v>0</v>
      </c>
      <c r="AT155" s="23">
        <f>+'QTR Raw'!N74+'QTR Raw'!N75</f>
        <v>0</v>
      </c>
      <c r="AU155" s="23">
        <f t="shared" si="1205"/>
        <v>0</v>
      </c>
      <c r="AV155" s="23">
        <f>+'QTR Raw'!P74+'QTR Raw'!P75</f>
        <v>0</v>
      </c>
      <c r="AW155" s="23">
        <f t="shared" si="1205"/>
        <v>0</v>
      </c>
      <c r="AX155" s="23">
        <f>+'QTR Raw'!R74+'QTR Raw'!R75</f>
        <v>6.2869999999999999</v>
      </c>
      <c r="AY155" s="23">
        <f t="shared" si="1205"/>
        <v>6.2869999999999999</v>
      </c>
      <c r="AZ155" s="23">
        <f>+'QTR Raw'!T74+'QTR Raw'!T75</f>
        <v>2.9289999999999998</v>
      </c>
      <c r="BA155" s="23">
        <f t="shared" si="1205"/>
        <v>2.9289999999999998</v>
      </c>
      <c r="BB155" s="23">
        <f>+'QTR Raw'!V74+'QTR Raw'!V75</f>
        <v>0.99</v>
      </c>
      <c r="BC155" s="23">
        <f t="shared" si="1205"/>
        <v>0.99</v>
      </c>
      <c r="BD155" s="23">
        <f>+'QTR Raw'!X74+'QTR Raw'!X75</f>
        <v>4.7290000000000001</v>
      </c>
      <c r="BE155" s="23">
        <f t="shared" si="1205"/>
        <v>4.7290000000000001</v>
      </c>
      <c r="BF155" s="23">
        <f>+'QTR Raw'!Z74+'QTR Raw'!Z75</f>
        <v>1.165</v>
      </c>
      <c r="BG155" s="23">
        <f t="shared" si="1205"/>
        <v>1.165</v>
      </c>
      <c r="BH155" s="23">
        <f>+'QTR Raw'!AB74+'QTR Raw'!AB75</f>
        <v>2.9710000000000001</v>
      </c>
      <c r="BI155" s="23">
        <f t="shared" si="1205"/>
        <v>2.9710000000000001</v>
      </c>
      <c r="BJ155" s="23">
        <f>+'QTR Raw'!AD74+'QTR Raw'!AD75</f>
        <v>5.234</v>
      </c>
      <c r="BK155" s="23">
        <f t="shared" si="1205"/>
        <v>5.234</v>
      </c>
      <c r="BL155" s="23">
        <f>+'QTR Raw'!AF74+'QTR Raw'!AF75</f>
        <v>3.8460000000000001</v>
      </c>
      <c r="BM155" s="23">
        <f t="shared" si="1205"/>
        <v>3.8460000000000001</v>
      </c>
      <c r="BN155" s="23">
        <f>+'QTR Raw'!AH74+'QTR Raw'!AH75</f>
        <v>0.40500000000000003</v>
      </c>
      <c r="BO155" s="23">
        <f t="shared" si="1205"/>
        <v>0.40500000000000003</v>
      </c>
      <c r="BP155" s="23">
        <f>+'QTR Raw'!AJ74+'QTR Raw'!AJ75</f>
        <v>0.215</v>
      </c>
      <c r="BQ155" s="23">
        <f t="shared" si="1205"/>
        <v>0.215</v>
      </c>
      <c r="BR155" s="23">
        <f>+'QTR Raw'!AL74+'QTR Raw'!AL75</f>
        <v>0.31</v>
      </c>
      <c r="BS155" s="23">
        <f t="shared" si="1205"/>
        <v>0.31</v>
      </c>
      <c r="BT155" s="23">
        <f>+'QTR Raw'!AN74+'QTR Raw'!AN75</f>
        <v>9.4E-2</v>
      </c>
      <c r="BU155" s="23">
        <f t="shared" si="1205"/>
        <v>9.4E-2</v>
      </c>
      <c r="BV155" s="23">
        <f>+'QTR Raw'!AP74+'QTR Raw'!AP75</f>
        <v>0.51200000000000001</v>
      </c>
      <c r="BW155" s="23">
        <f t="shared" si="1205"/>
        <v>0.51200000000000001</v>
      </c>
      <c r="BX155" s="23">
        <f>+'QTR Raw'!AR74+'QTR Raw'!AR75</f>
        <v>7.9320000000000004</v>
      </c>
      <c r="BY155" s="23">
        <f t="shared" si="1205"/>
        <v>7.9320000000000004</v>
      </c>
      <c r="BZ155" s="23">
        <f>+'QTR Raw'!AT74+'QTR Raw'!AT75</f>
        <v>0.12</v>
      </c>
      <c r="CA155" s="23">
        <f t="shared" si="1205"/>
        <v>0.12</v>
      </c>
      <c r="CB155" s="23">
        <f>+'QTR Raw'!AV74+'QTR Raw'!AV75</f>
        <v>0.42</v>
      </c>
      <c r="CC155" s="23">
        <f t="shared" si="1205"/>
        <v>0.42</v>
      </c>
      <c r="CD155" s="23">
        <f>+'QTR Raw'!AX74+'QTR Raw'!AX75</f>
        <v>0.91</v>
      </c>
      <c r="CE155" s="23">
        <f t="shared" si="1205"/>
        <v>0.91</v>
      </c>
      <c r="CF155" s="23">
        <f>+'QTR Raw'!AZ74+'QTR Raw'!AZ75</f>
        <v>16.64</v>
      </c>
      <c r="CG155" s="23">
        <f t="shared" si="1203"/>
        <v>16.64</v>
      </c>
      <c r="CH155" s="23">
        <f t="shared" si="1190"/>
        <v>31.71</v>
      </c>
      <c r="CI155" s="23">
        <f t="shared" si="1203"/>
        <v>31.71</v>
      </c>
      <c r="CJ155" s="23">
        <f>+'QTR Raw'!BD74+'QTR Raw'!BD75</f>
        <v>25.95</v>
      </c>
      <c r="CK155" s="23">
        <f t="shared" si="1206"/>
        <v>25.95</v>
      </c>
      <c r="CL155" s="23">
        <f>+'QTR Raw'!BF74+'QTR Raw'!BF75</f>
        <v>23.11</v>
      </c>
      <c r="CM155" s="24">
        <f t="shared" si="1207"/>
        <v>23.11</v>
      </c>
      <c r="CN155" s="24">
        <f t="shared" si="1208"/>
        <v>23.11</v>
      </c>
      <c r="CO155" s="24">
        <f t="shared" si="1209"/>
        <v>23.11</v>
      </c>
      <c r="CP155" s="24">
        <f t="shared" si="1210"/>
        <v>23.11</v>
      </c>
      <c r="CQ155" s="24">
        <f t="shared" si="1211"/>
        <v>23.11</v>
      </c>
      <c r="CR155" s="24">
        <f t="shared" si="1212"/>
        <v>23.11</v>
      </c>
      <c r="CS155" s="24">
        <f t="shared" si="1213"/>
        <v>23.11</v>
      </c>
      <c r="CT155" s="24">
        <f t="shared" si="1214"/>
        <v>23.11</v>
      </c>
      <c r="CU155" s="24">
        <f t="shared" si="1215"/>
        <v>23.11</v>
      </c>
      <c r="CV155" s="24">
        <f t="shared" si="1216"/>
        <v>23.11</v>
      </c>
      <c r="CW155" s="24">
        <f t="shared" si="1217"/>
        <v>23.11</v>
      </c>
      <c r="CX155" s="24">
        <f t="shared" si="1218"/>
        <v>23.11</v>
      </c>
      <c r="CY155" s="24">
        <f t="shared" si="1219"/>
        <v>23.11</v>
      </c>
      <c r="CZ155" s="24">
        <f t="shared" si="1220"/>
        <v>23.11</v>
      </c>
      <c r="DA155" s="24">
        <f t="shared" si="1221"/>
        <v>23.11</v>
      </c>
      <c r="DB155" s="24">
        <f t="shared" si="1222"/>
        <v>23.11</v>
      </c>
      <c r="DE155" s="123"/>
      <c r="DF155" s="23">
        <v>23.11</v>
      </c>
    </row>
    <row r="156" spans="1:110" s="22" customFormat="1" x14ac:dyDescent="0.2">
      <c r="A156" s="22" t="s">
        <v>57</v>
      </c>
      <c r="B156" s="22">
        <f>B152+B155+B154</f>
        <v>56.484028600000009</v>
      </c>
      <c r="C156" s="22">
        <f t="shared" ref="C156:D156" si="1223">C152+C155+C154</f>
        <v>50.875695299999983</v>
      </c>
      <c r="D156" s="22">
        <f t="shared" si="1223"/>
        <v>47.404037099999996</v>
      </c>
      <c r="E156" s="22">
        <f t="shared" ref="E156:Y156" si="1224">E152+E155+E154+E153</f>
        <v>45.55758329999999</v>
      </c>
      <c r="F156" s="22">
        <f t="shared" si="1224"/>
        <v>62.050399999999989</v>
      </c>
      <c r="G156" s="22">
        <f t="shared" si="1224"/>
        <v>95.216999999999999</v>
      </c>
      <c r="H156" s="22">
        <f t="shared" si="1224"/>
        <v>126.73759999999999</v>
      </c>
      <c r="I156" s="22">
        <f t="shared" si="1224"/>
        <v>193.06740000000002</v>
      </c>
      <c r="J156" s="22">
        <f t="shared" si="1224"/>
        <v>311.01930000000004</v>
      </c>
      <c r="K156" s="22">
        <f t="shared" si="1224"/>
        <v>362.21979999999996</v>
      </c>
      <c r="L156" s="22">
        <f t="shared" si="1224"/>
        <v>489.4627999999999</v>
      </c>
      <c r="M156" s="22">
        <f t="shared" si="1224"/>
        <v>573.0326</v>
      </c>
      <c r="N156" s="22">
        <f t="shared" si="1224"/>
        <v>635.28</v>
      </c>
      <c r="O156" s="22">
        <f t="shared" si="1224"/>
        <v>602.58199999999999</v>
      </c>
      <c r="P156" s="22">
        <f t="shared" si="1224"/>
        <v>526.89220000000012</v>
      </c>
      <c r="Q156" s="22">
        <f t="shared" si="1224"/>
        <v>908.87789999999995</v>
      </c>
      <c r="R156" s="22">
        <f t="shared" si="1224"/>
        <v>862.56249999999989</v>
      </c>
      <c r="S156" s="22">
        <f t="shared" si="1224"/>
        <v>835.16859999999997</v>
      </c>
      <c r="T156" s="22">
        <f t="shared" si="1224"/>
        <v>804.3175</v>
      </c>
      <c r="U156" s="22">
        <f t="shared" si="1224"/>
        <v>799.3565000000001</v>
      </c>
      <c r="V156" s="22">
        <f t="shared" si="1224"/>
        <v>758.2229000000001</v>
      </c>
      <c r="W156" s="22">
        <f t="shared" si="1224"/>
        <v>739.69690000000003</v>
      </c>
      <c r="X156" s="22">
        <f t="shared" si="1224"/>
        <v>754.11000000000013</v>
      </c>
      <c r="Y156" s="22">
        <f t="shared" si="1224"/>
        <v>769.45999999999992</v>
      </c>
      <c r="Z156" s="22">
        <f>Z152+Z155+Z154+Z153</f>
        <v>920.62000000000012</v>
      </c>
      <c r="AA156" s="22">
        <f>AA152+AA155+AA154+AA153</f>
        <v>952.74999999999989</v>
      </c>
      <c r="AB156" s="157">
        <f t="shared" ref="AB156:AE156" si="1225">AB152+AB155+AB154+AB153</f>
        <v>524.35406546888487</v>
      </c>
      <c r="AC156" s="157">
        <f t="shared" si="1225"/>
        <v>434.92054444808366</v>
      </c>
      <c r="AD156" s="157">
        <f t="shared" si="1225"/>
        <v>361.44402967073006</v>
      </c>
      <c r="AE156" s="157">
        <f t="shared" si="1225"/>
        <v>301.07742258421104</v>
      </c>
      <c r="AJ156" s="22">
        <f t="shared" ref="AJ156" si="1226">AJ152+AJ155+AJ153+AJ154</f>
        <v>496.37700000000001</v>
      </c>
      <c r="AK156" s="22">
        <f t="shared" ref="AK156" si="1227">AK152+AK155+AK153+AK154</f>
        <v>496.37700000000001</v>
      </c>
      <c r="AL156" s="22">
        <f t="shared" ref="AL156:AM156" si="1228">AL152+AL155+AL153+AL154</f>
        <v>635.28000000000009</v>
      </c>
      <c r="AM156" s="22">
        <f t="shared" si="1228"/>
        <v>635.28000000000009</v>
      </c>
      <c r="AN156" s="22">
        <f t="shared" ref="AN156:AO156" si="1229">AN152+AN155+AN153+AN154</f>
        <v>400.54</v>
      </c>
      <c r="AO156" s="22">
        <f t="shared" si="1229"/>
        <v>400.54</v>
      </c>
      <c r="AP156" s="22">
        <f t="shared" ref="AP156:CE156" si="1230">AP152+AP155+AP153+AP154</f>
        <v>602.58200000000011</v>
      </c>
      <c r="AQ156" s="22">
        <f t="shared" si="1230"/>
        <v>602.58200000000011</v>
      </c>
      <c r="AR156" s="22">
        <f t="shared" si="1230"/>
        <v>362.86599999999999</v>
      </c>
      <c r="AS156" s="22">
        <f t="shared" si="1230"/>
        <v>362.86599999999999</v>
      </c>
      <c r="AT156" s="22">
        <f t="shared" si="1230"/>
        <v>526.89300000000003</v>
      </c>
      <c r="AU156" s="22">
        <f t="shared" si="1230"/>
        <v>526.89300000000003</v>
      </c>
      <c r="AV156" s="22">
        <f t="shared" si="1230"/>
        <v>501.00299999999999</v>
      </c>
      <c r="AW156" s="22">
        <f t="shared" si="1230"/>
        <v>501.00299999999999</v>
      </c>
      <c r="AX156" s="22">
        <f t="shared" si="1230"/>
        <v>908.87900000000002</v>
      </c>
      <c r="AY156" s="22">
        <f t="shared" si="1230"/>
        <v>908.87900000000002</v>
      </c>
      <c r="AZ156" s="22">
        <f t="shared" si="1230"/>
        <v>886.428</v>
      </c>
      <c r="BA156" s="22">
        <f t="shared" si="1230"/>
        <v>886.428</v>
      </c>
      <c r="BB156" s="22">
        <f t="shared" si="1230"/>
        <v>859.53399999999999</v>
      </c>
      <c r="BC156" s="22">
        <f t="shared" si="1230"/>
        <v>859.53399999999999</v>
      </c>
      <c r="BD156" s="22">
        <f t="shared" si="1230"/>
        <v>855.16800000000001</v>
      </c>
      <c r="BE156" s="22">
        <f t="shared" si="1230"/>
        <v>855.16800000000001</v>
      </c>
      <c r="BF156" s="22">
        <f t="shared" si="1230"/>
        <v>832.29</v>
      </c>
      <c r="BG156" s="22">
        <f t="shared" si="1230"/>
        <v>832.29</v>
      </c>
      <c r="BH156" s="22">
        <f t="shared" si="1230"/>
        <v>824.16899999999998</v>
      </c>
      <c r="BI156" s="22">
        <f t="shared" si="1230"/>
        <v>824.16899999999998</v>
      </c>
      <c r="BJ156" s="22">
        <f t="shared" si="1230"/>
        <v>801.58500000000004</v>
      </c>
      <c r="BK156" s="22">
        <f t="shared" si="1230"/>
        <v>801.58500000000004</v>
      </c>
      <c r="BL156" s="22">
        <f t="shared" si="1230"/>
        <v>785.45600000000002</v>
      </c>
      <c r="BM156" s="22">
        <f t="shared" si="1230"/>
        <v>785.45600000000002</v>
      </c>
      <c r="BN156" s="22">
        <f t="shared" si="1230"/>
        <v>708.35699999999997</v>
      </c>
      <c r="BO156" s="22">
        <f t="shared" si="1230"/>
        <v>708.35699999999997</v>
      </c>
      <c r="BP156" s="22">
        <f t="shared" si="1230"/>
        <v>688.84400000000005</v>
      </c>
      <c r="BQ156" s="22">
        <f t="shared" si="1230"/>
        <v>688.84400000000005</v>
      </c>
      <c r="BR156" s="22">
        <f t="shared" si="1230"/>
        <v>673.75199999999995</v>
      </c>
      <c r="BS156" s="22">
        <f t="shared" si="1230"/>
        <v>673.75199999999995</v>
      </c>
      <c r="BT156" s="22">
        <f t="shared" si="1230"/>
        <v>661.53800000000001</v>
      </c>
      <c r="BU156" s="22">
        <f t="shared" si="1230"/>
        <v>661.53800000000001</v>
      </c>
      <c r="BV156" s="22">
        <f t="shared" si="1230"/>
        <v>644.11400000000003</v>
      </c>
      <c r="BW156" s="22">
        <f t="shared" si="1230"/>
        <v>644.11400000000003</v>
      </c>
      <c r="BX156" s="22">
        <f t="shared" si="1230"/>
        <v>628.75800000000004</v>
      </c>
      <c r="BY156" s="22">
        <f t="shared" si="1230"/>
        <v>628.75800000000004</v>
      </c>
      <c r="BZ156" s="22">
        <f t="shared" si="1230"/>
        <v>647.15000000000009</v>
      </c>
      <c r="CA156" s="22">
        <f t="shared" si="1230"/>
        <v>647.15000000000009</v>
      </c>
      <c r="CB156" s="22">
        <f t="shared" si="1230"/>
        <v>650.69999999999993</v>
      </c>
      <c r="CC156" s="22">
        <f t="shared" si="1230"/>
        <v>650.69999999999993</v>
      </c>
      <c r="CD156" s="22">
        <f t="shared" si="1230"/>
        <v>638.64</v>
      </c>
      <c r="CE156" s="22">
        <f t="shared" si="1230"/>
        <v>638.64</v>
      </c>
      <c r="CF156" s="22">
        <f t="shared" ref="CF156:CG156" si="1231">CF152+CF155+CF153+CF154</f>
        <v>647.54</v>
      </c>
      <c r="CG156" s="22">
        <f t="shared" si="1231"/>
        <v>647.54</v>
      </c>
      <c r="CH156" s="22">
        <f t="shared" ref="CH156:CJ156" si="1232">CH152+CH155+CH153+CH154</f>
        <v>920.62000000000012</v>
      </c>
      <c r="CI156" s="22">
        <f t="shared" si="1232"/>
        <v>896.08000000000015</v>
      </c>
      <c r="CJ156" s="22">
        <f t="shared" si="1232"/>
        <v>721.86</v>
      </c>
      <c r="CK156" s="22">
        <f t="shared" ref="CK156:DB156" si="1233">CK152+CK155+CK153+CK154</f>
        <v>694.62</v>
      </c>
      <c r="CL156" s="22">
        <f t="shared" si="1233"/>
        <v>633.21</v>
      </c>
      <c r="CM156" s="21">
        <f t="shared" si="1233"/>
        <v>603.95877756218022</v>
      </c>
      <c r="CN156" s="21">
        <f t="shared" si="1233"/>
        <v>576.11000392637129</v>
      </c>
      <c r="CO156" s="21">
        <f t="shared" si="1233"/>
        <v>549.59643873547554</v>
      </c>
      <c r="CP156" s="21">
        <f t="shared" si="1233"/>
        <v>524.35406546888487</v>
      </c>
      <c r="CQ156" s="21">
        <f t="shared" si="1233"/>
        <v>500.32193687575682</v>
      </c>
      <c r="CR156" s="21">
        <f t="shared" si="1233"/>
        <v>477.4420278189865</v>
      </c>
      <c r="CS156" s="21">
        <f t="shared" si="1233"/>
        <v>455.65909517456942</v>
      </c>
      <c r="CT156" s="21">
        <f t="shared" si="1233"/>
        <v>434.92054444808366</v>
      </c>
      <c r="CU156" s="21">
        <f t="shared" si="1233"/>
        <v>415.1763027862404</v>
      </c>
      <c r="CV156" s="21">
        <f t="shared" si="1233"/>
        <v>396.37869807689128</v>
      </c>
      <c r="CW156" s="21">
        <f t="shared" si="1233"/>
        <v>378.48234384558077</v>
      </c>
      <c r="CX156" s="21">
        <f t="shared" si="1233"/>
        <v>361.44402967073006</v>
      </c>
      <c r="CY156" s="21">
        <f t="shared" si="1233"/>
        <v>345.22261685286014</v>
      </c>
      <c r="CZ156" s="21">
        <f t="shared" si="1233"/>
        <v>329.77893908595115</v>
      </c>
      <c r="DA156" s="21">
        <f t="shared" si="1233"/>
        <v>315.07570789110878</v>
      </c>
      <c r="DB156" s="21">
        <f t="shared" si="1233"/>
        <v>301.07742258421104</v>
      </c>
      <c r="DE156" s="126"/>
      <c r="DF156" s="22">
        <v>633.21000000000015</v>
      </c>
    </row>
    <row r="157" spans="1:110" s="23" customFormat="1" x14ac:dyDescent="0.2">
      <c r="AB157" s="24"/>
      <c r="AC157" s="24"/>
      <c r="AD157" s="24"/>
      <c r="AE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E157" s="123"/>
    </row>
    <row r="158" spans="1:110" s="23" customFormat="1" x14ac:dyDescent="0.2">
      <c r="A158" s="23" t="s">
        <v>58</v>
      </c>
      <c r="B158" s="23">
        <f>'Annual Raw'!C71</f>
        <v>4.1561060999999997</v>
      </c>
      <c r="C158" s="23">
        <f>'Annual Raw'!D71</f>
        <v>4.8376644999999998</v>
      </c>
      <c r="D158" s="23">
        <f>'Annual Raw'!E71</f>
        <v>5.9105454000000002</v>
      </c>
      <c r="E158" s="23">
        <f>'Annual Raw'!F71</f>
        <v>5.7607033999999997</v>
      </c>
      <c r="F158" s="23">
        <f>'Annual Raw'!G71</f>
        <v>5.6452</v>
      </c>
      <c r="G158" s="23">
        <f>'Annual Raw'!H71</f>
        <v>6.2866</v>
      </c>
      <c r="H158" s="23">
        <f>'Annual Raw'!I71</f>
        <v>8.0396999999999998</v>
      </c>
      <c r="I158" s="23">
        <f>'Annual Raw'!J71</f>
        <v>9.4555000000000007</v>
      </c>
      <c r="J158" s="23">
        <f>'Annual Raw'!K71</f>
        <v>10.868</v>
      </c>
      <c r="K158" s="23">
        <f>'Annual Raw'!L71</f>
        <v>5.6757</v>
      </c>
      <c r="L158" s="23">
        <f>'Annual Raw'!M71</f>
        <v>3.7654999999999998</v>
      </c>
      <c r="M158" s="23">
        <f>'Annual Raw'!N71</f>
        <v>6.1525999999999996</v>
      </c>
      <c r="N158" s="23">
        <f>'Annual Raw'!O71</f>
        <v>4.6962999999999999</v>
      </c>
      <c r="O158" s="23">
        <f>'Annual Raw'!P71</f>
        <v>4.8048999999999999</v>
      </c>
      <c r="P158" s="23">
        <f>'Annual Raw'!Q71</f>
        <v>6.0758999999999999</v>
      </c>
      <c r="Q158" s="23">
        <f>'Annual Raw'!R71</f>
        <v>46.051699999999997</v>
      </c>
      <c r="R158" s="23">
        <f>'Annual Raw'!S71</f>
        <v>48.8583</v>
      </c>
      <c r="S158" s="23">
        <f>'Annual Raw'!T71</f>
        <v>50.859900000000003</v>
      </c>
      <c r="T158" s="23">
        <f>'Annual Raw'!U71</f>
        <v>53.979500000000002</v>
      </c>
      <c r="U158" s="23">
        <f>'Annual Raw'!V71</f>
        <v>52.541899999999998</v>
      </c>
      <c r="V158" s="23">
        <f>'Annual Raw'!W71</f>
        <v>53.435899999999997</v>
      </c>
      <c r="W158" s="23">
        <f>'Annual Raw'!X71</f>
        <v>54.2378</v>
      </c>
      <c r="X158" s="23">
        <f>'Annual Raw'!Y71</f>
        <v>57.61</v>
      </c>
      <c r="Y158" s="23">
        <f>'Annual Raw'!Z71</f>
        <v>83.13</v>
      </c>
      <c r="Z158" s="23">
        <f>'Annual Raw'!AA71</f>
        <v>81.25</v>
      </c>
      <c r="AA158" s="23">
        <f>'Annual Raw'!AB71</f>
        <v>148.38999999999999</v>
      </c>
      <c r="AB158" s="24">
        <f>+CP158</f>
        <v>173.3</v>
      </c>
      <c r="AC158" s="24">
        <f>+CT158</f>
        <v>173.3</v>
      </c>
      <c r="AD158" s="24">
        <f>+CX158</f>
        <v>173.3</v>
      </c>
      <c r="AE158" s="24">
        <f>+DB158</f>
        <v>173.3</v>
      </c>
      <c r="AJ158" s="23">
        <f>+'QTR Raw'!D77</f>
        <v>35.484999999999999</v>
      </c>
      <c r="AK158" s="23">
        <f t="shared" ref="AK158:CE158" si="1234">+AJ158</f>
        <v>35.484999999999999</v>
      </c>
      <c r="AL158" s="23">
        <f>+'QTR Raw'!F77</f>
        <v>4.6959999999999997</v>
      </c>
      <c r="AM158" s="23">
        <f t="shared" si="1234"/>
        <v>4.6959999999999997</v>
      </c>
      <c r="AN158" s="23">
        <f>+'QTR Raw'!H77</f>
        <v>37.069000000000003</v>
      </c>
      <c r="AO158" s="23">
        <f t="shared" si="1234"/>
        <v>37.069000000000003</v>
      </c>
      <c r="AP158" s="23">
        <f>+'QTR Raw'!J77</f>
        <v>4.8049999999999997</v>
      </c>
      <c r="AQ158" s="23">
        <f t="shared" si="1234"/>
        <v>4.8049999999999997</v>
      </c>
      <c r="AR158" s="23">
        <f>+'QTR Raw'!L77</f>
        <v>37.069000000000003</v>
      </c>
      <c r="AS158" s="23">
        <f t="shared" si="1234"/>
        <v>37.069000000000003</v>
      </c>
      <c r="AT158" s="23">
        <f>+'QTR Raw'!N77</f>
        <v>6.0759999999999996</v>
      </c>
      <c r="AU158" s="23">
        <f t="shared" si="1234"/>
        <v>6.0759999999999996</v>
      </c>
      <c r="AV158" s="23">
        <f>+'QTR Raw'!P77</f>
        <v>5.9649999999999999</v>
      </c>
      <c r="AW158" s="23">
        <f t="shared" si="1234"/>
        <v>5.9649999999999999</v>
      </c>
      <c r="AX158" s="23">
        <f>+'QTR Raw'!R77</f>
        <v>46.052</v>
      </c>
      <c r="AY158" s="23">
        <f t="shared" si="1234"/>
        <v>46.052</v>
      </c>
      <c r="AZ158" s="23">
        <f>+'QTR Raw'!T77</f>
        <v>47.33</v>
      </c>
      <c r="BA158" s="23">
        <f t="shared" si="1234"/>
        <v>47.33</v>
      </c>
      <c r="BB158" s="23">
        <f>+'QTR Raw'!V77</f>
        <v>51.887</v>
      </c>
      <c r="BC158" s="23">
        <f t="shared" si="1234"/>
        <v>51.887</v>
      </c>
      <c r="BD158" s="23">
        <f>+'QTR Raw'!X77</f>
        <v>52.070999999999998</v>
      </c>
      <c r="BE158" s="23">
        <f t="shared" si="1234"/>
        <v>52.070999999999998</v>
      </c>
      <c r="BF158" s="23">
        <f>+'QTR Raw'!Z77</f>
        <v>53.74</v>
      </c>
      <c r="BG158" s="23">
        <f t="shared" si="1234"/>
        <v>53.74</v>
      </c>
      <c r="BH158" s="23">
        <f>+'QTR Raw'!AB77</f>
        <v>54.235999999999997</v>
      </c>
      <c r="BI158" s="23">
        <f t="shared" si="1234"/>
        <v>54.235999999999997</v>
      </c>
      <c r="BJ158" s="23">
        <f>+'QTR Raw'!AD77</f>
        <v>56.713999999999999</v>
      </c>
      <c r="BK158" s="23">
        <f t="shared" si="1234"/>
        <v>56.713999999999999</v>
      </c>
      <c r="BL158" s="23">
        <f>+'QTR Raw'!AF77</f>
        <v>56.287999999999997</v>
      </c>
      <c r="BM158" s="23">
        <f t="shared" si="1234"/>
        <v>56.287999999999997</v>
      </c>
      <c r="BN158" s="23">
        <f>+'QTR Raw'!AH77</f>
        <v>78.141999999999996</v>
      </c>
      <c r="BO158" s="23">
        <f t="shared" si="1234"/>
        <v>78.141999999999996</v>
      </c>
      <c r="BP158" s="23">
        <f>+'QTR Raw'!AJ77</f>
        <v>78.885000000000005</v>
      </c>
      <c r="BQ158" s="23">
        <f t="shared" si="1234"/>
        <v>78.885000000000005</v>
      </c>
      <c r="BR158" s="23">
        <f>+'QTR Raw'!AL77</f>
        <v>78.906000000000006</v>
      </c>
      <c r="BS158" s="23">
        <f t="shared" si="1234"/>
        <v>78.906000000000006</v>
      </c>
      <c r="BT158" s="23">
        <f>+'QTR Raw'!AN77</f>
        <v>78.861999999999995</v>
      </c>
      <c r="BU158" s="23">
        <f t="shared" si="1234"/>
        <v>78.861999999999995</v>
      </c>
      <c r="BV158" s="23">
        <f>+'QTR Raw'!AP77</f>
        <v>79.584999999999994</v>
      </c>
      <c r="BW158" s="23">
        <f t="shared" si="1234"/>
        <v>79.584999999999994</v>
      </c>
      <c r="BX158" s="23">
        <f>+'QTR Raw'!AR77</f>
        <v>80.084000000000003</v>
      </c>
      <c r="BY158" s="23">
        <f t="shared" si="1234"/>
        <v>80.084000000000003</v>
      </c>
      <c r="BZ158" s="23">
        <f>+'QTR Raw'!AT77</f>
        <v>82.84</v>
      </c>
      <c r="CA158" s="23">
        <f t="shared" si="1234"/>
        <v>82.84</v>
      </c>
      <c r="CB158" s="23">
        <f>+'QTR Raw'!AV77</f>
        <v>84.39</v>
      </c>
      <c r="CC158" s="23">
        <f t="shared" si="1234"/>
        <v>84.39</v>
      </c>
      <c r="CD158" s="23">
        <f>+'QTR Raw'!AX77</f>
        <v>108.25</v>
      </c>
      <c r="CE158" s="23">
        <f t="shared" si="1234"/>
        <v>108.25</v>
      </c>
      <c r="CF158" s="23">
        <f>+'QTR Raw'!AZ77</f>
        <v>121.89</v>
      </c>
      <c r="CG158" s="23">
        <f t="shared" ref="CG158:CI161" si="1235">+CF158</f>
        <v>121.89</v>
      </c>
      <c r="CH158" s="23">
        <f t="shared" ref="CH158:CH173" si="1236">Z158</f>
        <v>81.25</v>
      </c>
      <c r="CI158" s="23">
        <f t="shared" si="1235"/>
        <v>81.25</v>
      </c>
      <c r="CJ158" s="23">
        <f>+'QTR Raw'!BD77</f>
        <v>201.12</v>
      </c>
      <c r="CK158" s="23">
        <f t="shared" ref="CK158" si="1237">+CJ158</f>
        <v>201.12</v>
      </c>
      <c r="CL158" s="23">
        <f>+'QTR Raw'!BF77</f>
        <v>173.3</v>
      </c>
      <c r="CM158" s="24">
        <f t="shared" ref="CM158" si="1238">+CL158</f>
        <v>173.3</v>
      </c>
      <c r="CN158" s="24">
        <f t="shared" ref="CN158" si="1239">+CM158</f>
        <v>173.3</v>
      </c>
      <c r="CO158" s="24">
        <f t="shared" ref="CO158" si="1240">+CN158</f>
        <v>173.3</v>
      </c>
      <c r="CP158" s="24">
        <f t="shared" ref="CP158" si="1241">+CO158</f>
        <v>173.3</v>
      </c>
      <c r="CQ158" s="24">
        <f t="shared" ref="CQ158" si="1242">+CP158</f>
        <v>173.3</v>
      </c>
      <c r="CR158" s="24">
        <f t="shared" ref="CR158" si="1243">+CQ158</f>
        <v>173.3</v>
      </c>
      <c r="CS158" s="24">
        <f t="shared" ref="CS158" si="1244">+CR158</f>
        <v>173.3</v>
      </c>
      <c r="CT158" s="24">
        <f t="shared" ref="CT158" si="1245">+CS158</f>
        <v>173.3</v>
      </c>
      <c r="CU158" s="24">
        <f t="shared" ref="CU158" si="1246">+CT158</f>
        <v>173.3</v>
      </c>
      <c r="CV158" s="24">
        <f t="shared" ref="CV158" si="1247">+CU158</f>
        <v>173.3</v>
      </c>
      <c r="CW158" s="24">
        <f t="shared" ref="CW158" si="1248">+CV158</f>
        <v>173.3</v>
      </c>
      <c r="CX158" s="24">
        <f t="shared" ref="CX158" si="1249">+CW158</f>
        <v>173.3</v>
      </c>
      <c r="CY158" s="24">
        <f t="shared" ref="CY158" si="1250">+CX158</f>
        <v>173.3</v>
      </c>
      <c r="CZ158" s="24">
        <f t="shared" ref="CZ158" si="1251">+CY158</f>
        <v>173.3</v>
      </c>
      <c r="DA158" s="24">
        <f t="shared" ref="DA158" si="1252">+CZ158</f>
        <v>173.3</v>
      </c>
      <c r="DB158" s="24">
        <f t="shared" ref="DB158" si="1253">+DA158</f>
        <v>173.3</v>
      </c>
      <c r="DE158" s="123"/>
      <c r="DF158" s="23">
        <v>173.3</v>
      </c>
    </row>
    <row r="159" spans="1:110" s="23" customFormat="1" x14ac:dyDescent="0.2">
      <c r="AB159" s="24"/>
      <c r="AC159" s="24"/>
      <c r="AD159" s="24"/>
      <c r="AE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</row>
    <row r="160" spans="1:110" s="23" customFormat="1" outlineLevel="1" x14ac:dyDescent="0.2">
      <c r="A160" s="23" t="s">
        <v>59</v>
      </c>
      <c r="B160" s="23">
        <f>'Annual Raw'!C72</f>
        <v>0</v>
      </c>
      <c r="C160" s="23">
        <f>'Annual Raw'!D72</f>
        <v>0</v>
      </c>
      <c r="D160" s="23">
        <f>'Annual Raw'!E72</f>
        <v>0</v>
      </c>
      <c r="E160" s="23">
        <f>'Annual Raw'!F72+'Annual Raw'!F61</f>
        <v>0</v>
      </c>
      <c r="F160" s="23">
        <f>'Annual Raw'!G72+'Annual Raw'!G61</f>
        <v>0</v>
      </c>
      <c r="G160" s="23">
        <f>'Annual Raw'!H72+'Annual Raw'!H61</f>
        <v>0</v>
      </c>
      <c r="H160" s="23">
        <f>'Annual Raw'!I72+'Annual Raw'!I61</f>
        <v>0</v>
      </c>
      <c r="I160" s="23">
        <f>'Annual Raw'!J72+'Annual Raw'!J61</f>
        <v>0</v>
      </c>
      <c r="J160" s="23">
        <f>'Annual Raw'!K72+'Annual Raw'!K61</f>
        <v>0</v>
      </c>
      <c r="K160" s="23">
        <f>'Annual Raw'!L72+'Annual Raw'!L61</f>
        <v>0</v>
      </c>
      <c r="L160" s="23">
        <f>'Annual Raw'!M72+'Annual Raw'!M61</f>
        <v>142.24690000000001</v>
      </c>
      <c r="M160" s="23">
        <f>'Annual Raw'!N72+'Annual Raw'!N61</f>
        <v>81.142399999999995</v>
      </c>
      <c r="N160" s="23">
        <f>'Annual Raw'!O72+'Annual Raw'!O61</f>
        <v>47.582599999999999</v>
      </c>
      <c r="O160" s="23">
        <f>'Annual Raw'!P72+'Annual Raw'!P61</f>
        <v>82.995699999999999</v>
      </c>
      <c r="P160" s="23">
        <f>'Annual Raw'!Q72+'Annual Raw'!Q61</f>
        <v>70.185699999999997</v>
      </c>
      <c r="Q160" s="23">
        <f>'Annual Raw'!R72+'Annual Raw'!R61</f>
        <v>34.436</v>
      </c>
      <c r="R160" s="23">
        <f>'Annual Raw'!S72+'Annual Raw'!S61</f>
        <v>39.516399999999997</v>
      </c>
      <c r="S160" s="23">
        <f>'Annual Raw'!T72+'Annual Raw'!T61</f>
        <v>39.253900000000002</v>
      </c>
      <c r="T160" s="23">
        <f>'Annual Raw'!U72+'Annual Raw'!U61</f>
        <v>41.790399999999998</v>
      </c>
      <c r="U160" s="23">
        <f>'Annual Raw'!V72+'Annual Raw'!V61</f>
        <v>32.959400000000002</v>
      </c>
      <c r="V160" s="23">
        <f>'Annual Raw'!W72+'Annual Raw'!W61</f>
        <v>29.072500000000002</v>
      </c>
      <c r="W160" s="23">
        <f>'Annual Raw'!X72+'Annual Raw'!X61</f>
        <v>30.231999999999999</v>
      </c>
      <c r="X160" s="23">
        <f>'Annual Raw'!Y72+'Annual Raw'!Y61</f>
        <v>20.86</v>
      </c>
      <c r="Y160" s="23">
        <f>'Annual Raw'!Z72+'Annual Raw'!Z61</f>
        <v>50.76</v>
      </c>
      <c r="Z160" s="23">
        <f>'Annual Raw'!AA72+'Annual Raw'!AA61</f>
        <v>30.86</v>
      </c>
      <c r="AA160" s="23">
        <f>'Annual Raw'!AB72+'Annual Raw'!AB61</f>
        <v>176.55</v>
      </c>
      <c r="AB160" s="24">
        <f t="shared" ref="AB160:AB165" si="1254">+CP160</f>
        <v>0</v>
      </c>
      <c r="AC160" s="24">
        <f t="shared" ref="AC160:AC165" si="1255">+CT160</f>
        <v>0</v>
      </c>
      <c r="AD160" s="24">
        <f t="shared" ref="AD160:AD165" si="1256">+CX160</f>
        <v>0</v>
      </c>
      <c r="AE160" s="24">
        <f t="shared" ref="AE160:AE165" si="1257">+DB160</f>
        <v>0</v>
      </c>
      <c r="AJ160" s="23">
        <f>+'QTR Raw'!D78</f>
        <v>19.087</v>
      </c>
      <c r="AK160" s="23">
        <f t="shared" ref="AK160:CE165" si="1258">+AJ160</f>
        <v>19.087</v>
      </c>
      <c r="AL160" s="23">
        <f>+'QTR Raw'!F78</f>
        <v>10.89</v>
      </c>
      <c r="AM160" s="23">
        <f t="shared" si="1258"/>
        <v>10.89</v>
      </c>
      <c r="AN160" s="23">
        <f>+'QTR Raw'!H78</f>
        <v>32.628999999999998</v>
      </c>
      <c r="AO160" s="23">
        <f t="shared" si="1258"/>
        <v>32.628999999999998</v>
      </c>
      <c r="AP160" s="23">
        <f>+'QTR Raw'!J78</f>
        <v>18.521999999999998</v>
      </c>
      <c r="AQ160" s="23">
        <f t="shared" si="1258"/>
        <v>18.521999999999998</v>
      </c>
      <c r="AR160" s="23">
        <f>+'QTR Raw'!L78</f>
        <v>49.201000000000001</v>
      </c>
      <c r="AS160" s="23">
        <f t="shared" si="1258"/>
        <v>49.201000000000001</v>
      </c>
      <c r="AT160" s="23">
        <f>+'QTR Raw'!N78</f>
        <v>17.099</v>
      </c>
      <c r="AU160" s="23">
        <f t="shared" si="1258"/>
        <v>17.099</v>
      </c>
      <c r="AV160" s="23">
        <f>+'QTR Raw'!P78</f>
        <v>24.861000000000001</v>
      </c>
      <c r="AW160" s="23">
        <f t="shared" si="1258"/>
        <v>24.861000000000001</v>
      </c>
      <c r="AX160" s="23">
        <f>+'QTR Raw'!R78</f>
        <v>0</v>
      </c>
      <c r="AY160" s="23">
        <f t="shared" si="1258"/>
        <v>0</v>
      </c>
      <c r="AZ160" s="23">
        <f>+'QTR Raw'!T78</f>
        <v>0</v>
      </c>
      <c r="BA160" s="23">
        <f t="shared" si="1258"/>
        <v>0</v>
      </c>
      <c r="BB160" s="23">
        <f>+'QTR Raw'!V78</f>
        <v>1.2909999999999999</v>
      </c>
      <c r="BC160" s="23">
        <f t="shared" si="1258"/>
        <v>1.2909999999999999</v>
      </c>
      <c r="BD160" s="23">
        <f>+'QTR Raw'!X78</f>
        <v>0</v>
      </c>
      <c r="BE160" s="23">
        <f t="shared" si="1258"/>
        <v>0</v>
      </c>
      <c r="BF160" s="23">
        <f>+'QTR Raw'!Z78</f>
        <v>1.17</v>
      </c>
      <c r="BG160" s="23">
        <f t="shared" si="1258"/>
        <v>1.17</v>
      </c>
      <c r="BH160" s="23">
        <f>+'QTR Raw'!AB78</f>
        <v>1.17</v>
      </c>
      <c r="BI160" s="23">
        <f t="shared" si="1258"/>
        <v>1.17</v>
      </c>
      <c r="BJ160" s="23">
        <f>+'QTR Raw'!AD78</f>
        <v>0.52400000000000002</v>
      </c>
      <c r="BK160" s="23">
        <f t="shared" si="1258"/>
        <v>0.52400000000000002</v>
      </c>
      <c r="BL160" s="23">
        <f>+'QTR Raw'!AF78</f>
        <v>0.59499999999999997</v>
      </c>
      <c r="BM160" s="23">
        <f t="shared" si="1258"/>
        <v>0.59499999999999997</v>
      </c>
      <c r="BN160" s="23">
        <f>+'QTR Raw'!AH78</f>
        <v>6.5000000000000002E-2</v>
      </c>
      <c r="BO160" s="23">
        <f t="shared" si="1258"/>
        <v>6.5000000000000002E-2</v>
      </c>
      <c r="BP160" s="23">
        <f>+'QTR Raw'!AJ78</f>
        <v>6.5000000000000002E-2</v>
      </c>
      <c r="BQ160" s="23">
        <f t="shared" si="1258"/>
        <v>6.5000000000000002E-2</v>
      </c>
      <c r="BR160" s="23">
        <f>+'QTR Raw'!AL78</f>
        <v>0</v>
      </c>
      <c r="BS160" s="23">
        <f t="shared" si="1258"/>
        <v>0</v>
      </c>
      <c r="BT160" s="23">
        <f>+'QTR Raw'!AN78</f>
        <v>0</v>
      </c>
      <c r="BU160" s="23">
        <f t="shared" si="1258"/>
        <v>0</v>
      </c>
      <c r="BV160" s="23">
        <f>+'QTR Raw'!AP78</f>
        <v>0</v>
      </c>
      <c r="BW160" s="23">
        <f t="shared" si="1258"/>
        <v>0</v>
      </c>
      <c r="BX160" s="23">
        <f>+'QTR Raw'!AR78</f>
        <v>0</v>
      </c>
      <c r="BY160" s="23">
        <f t="shared" si="1258"/>
        <v>0</v>
      </c>
      <c r="BZ160" s="23">
        <f>+'QTR Raw'!AT78</f>
        <v>0</v>
      </c>
      <c r="CA160" s="23">
        <f t="shared" si="1258"/>
        <v>0</v>
      </c>
      <c r="CB160" s="23">
        <f>+'QTR Raw'!AV78</f>
        <v>0</v>
      </c>
      <c r="CC160" s="23">
        <f t="shared" si="1258"/>
        <v>0</v>
      </c>
      <c r="CD160" s="23">
        <f>+'QTR Raw'!AX78</f>
        <v>0</v>
      </c>
      <c r="CE160" s="23">
        <f t="shared" si="1258"/>
        <v>0</v>
      </c>
      <c r="CF160" s="23">
        <f>+'QTR Raw'!AZ78</f>
        <v>0</v>
      </c>
      <c r="CG160" s="23">
        <f t="shared" si="1235"/>
        <v>0</v>
      </c>
      <c r="CH160" s="23">
        <f t="shared" si="1236"/>
        <v>30.86</v>
      </c>
      <c r="CJ160" s="23">
        <f>+'QTR Raw'!BD78</f>
        <v>0</v>
      </c>
      <c r="CL160" s="23">
        <f>+'QTR Raw'!BF78</f>
        <v>0</v>
      </c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E160" s="123"/>
      <c r="DF160" s="23">
        <v>0</v>
      </c>
    </row>
    <row r="161" spans="1:110" s="23" customFormat="1" outlineLevel="1" x14ac:dyDescent="0.2">
      <c r="A161" s="23" t="s">
        <v>60</v>
      </c>
      <c r="B161" s="23">
        <f>'Annual Raw'!C73+'Annual Raw'!C81</f>
        <v>0</v>
      </c>
      <c r="C161" s="23">
        <f>'Annual Raw'!D73+'Annual Raw'!D81</f>
        <v>0</v>
      </c>
      <c r="D161" s="23">
        <f>'Annual Raw'!E73+'Annual Raw'!E81</f>
        <v>0</v>
      </c>
      <c r="E161" s="23">
        <f>'Annual Raw'!F73+'Annual Raw'!F81</f>
        <v>0</v>
      </c>
      <c r="F161" s="23">
        <f>'Annual Raw'!G73+'Annual Raw'!G81</f>
        <v>0</v>
      </c>
      <c r="G161" s="23">
        <f>'Annual Raw'!H73+'Annual Raw'!H81</f>
        <v>0</v>
      </c>
      <c r="H161" s="23">
        <f>'Annual Raw'!I73+'Annual Raw'!I81</f>
        <v>0</v>
      </c>
      <c r="I161" s="23">
        <f>'Annual Raw'!J73+'Annual Raw'!J81</f>
        <v>0</v>
      </c>
      <c r="J161" s="23">
        <f>'Annual Raw'!K73+'Annual Raw'!K81</f>
        <v>0</v>
      </c>
      <c r="K161" s="23">
        <f>'Annual Raw'!L73+'Annual Raw'!L81</f>
        <v>0</v>
      </c>
      <c r="L161" s="23">
        <f>'Annual Raw'!M73+'Annual Raw'!M81</f>
        <v>0.59130000000000005</v>
      </c>
      <c r="M161" s="23">
        <f>'Annual Raw'!N73+'Annual Raw'!N81</f>
        <v>0.66339999999999999</v>
      </c>
      <c r="N161" s="23">
        <f>'Annual Raw'!O73+'Annual Raw'!O81</f>
        <v>2.2423000000000002</v>
      </c>
      <c r="O161" s="23">
        <f>'Annual Raw'!P73+'Annual Raw'!P81</f>
        <v>0.78500000000000003</v>
      </c>
      <c r="P161" s="23">
        <f>'Annual Raw'!Q73+'Annual Raw'!Q81</f>
        <v>0.66310000000000002</v>
      </c>
      <c r="Q161" s="23">
        <f>'Annual Raw'!R73+'Annual Raw'!R81</f>
        <v>0.66310000000000002</v>
      </c>
      <c r="R161" s="23">
        <f>'Annual Raw'!S73+'Annual Raw'!S81</f>
        <v>11.3683</v>
      </c>
      <c r="S161" s="23">
        <f>'Annual Raw'!T73+'Annual Raw'!T81</f>
        <v>3.2766000000000002</v>
      </c>
      <c r="T161" s="23">
        <f>'Annual Raw'!U73+'Annual Raw'!U81</f>
        <v>2.6488</v>
      </c>
      <c r="U161" s="23">
        <f>'Annual Raw'!V73+'Annual Raw'!V81</f>
        <v>8.7347000000000001</v>
      </c>
      <c r="V161" s="23">
        <f>'Annual Raw'!W73+'Annual Raw'!W81</f>
        <v>13.358000000000001</v>
      </c>
      <c r="W161" s="23">
        <f>'Annual Raw'!X73+'Annual Raw'!X81</f>
        <v>3.9146000000000001</v>
      </c>
      <c r="X161" s="23">
        <f>'Annual Raw'!Y73+'Annual Raw'!Y81</f>
        <v>9.67</v>
      </c>
      <c r="Y161" s="23">
        <f>'Annual Raw'!Z73+'Annual Raw'!Z81</f>
        <v>0.8</v>
      </c>
      <c r="Z161" s="23">
        <f>'Annual Raw'!AA73+'Annual Raw'!AA81</f>
        <v>0.47</v>
      </c>
      <c r="AA161" s="23">
        <f>'Annual Raw'!AB73+'Annual Raw'!AB81</f>
        <v>1.3</v>
      </c>
      <c r="AB161" s="24">
        <f t="shared" si="1254"/>
        <v>0</v>
      </c>
      <c r="AC161" s="24">
        <f t="shared" si="1255"/>
        <v>0</v>
      </c>
      <c r="AD161" s="24">
        <f t="shared" si="1256"/>
        <v>0</v>
      </c>
      <c r="AE161" s="24">
        <f t="shared" si="1257"/>
        <v>0</v>
      </c>
      <c r="AJ161" s="23">
        <f>+'QTR Raw'!D79+'QTR Raw'!D76</f>
        <v>61.503999999999998</v>
      </c>
      <c r="AK161" s="23">
        <f t="shared" si="1258"/>
        <v>61.503999999999998</v>
      </c>
      <c r="AL161" s="23">
        <f>+'QTR Raw'!F79+'QTR Raw'!F76</f>
        <v>38.935000000000002</v>
      </c>
      <c r="AM161" s="23">
        <f t="shared" si="1258"/>
        <v>38.935000000000002</v>
      </c>
      <c r="AN161" s="23">
        <f>+'QTR Raw'!H79+'QTR Raw'!H76</f>
        <v>0.79600000000000004</v>
      </c>
      <c r="AO161" s="23">
        <f t="shared" si="1258"/>
        <v>0.79600000000000004</v>
      </c>
      <c r="AP161" s="23">
        <f>+'QTR Raw'!J79+'QTR Raw'!J76</f>
        <v>65.257999999999996</v>
      </c>
      <c r="AQ161" s="23">
        <f t="shared" si="1258"/>
        <v>65.257999999999996</v>
      </c>
      <c r="AR161" s="23">
        <f>+'QTR Raw'!L79+'QTR Raw'!L76</f>
        <v>0.79300000000000004</v>
      </c>
      <c r="AS161" s="23">
        <f t="shared" si="1258"/>
        <v>0.79300000000000004</v>
      </c>
      <c r="AT161" s="23">
        <f>+'QTR Raw'!N79+'QTR Raw'!N76</f>
        <v>53.75</v>
      </c>
      <c r="AU161" s="23">
        <f t="shared" si="1258"/>
        <v>53.75</v>
      </c>
      <c r="AV161" s="23">
        <f>+'QTR Raw'!P79+'QTR Raw'!P76</f>
        <v>56.716000000000001</v>
      </c>
      <c r="AW161" s="23">
        <f t="shared" si="1258"/>
        <v>56.716000000000001</v>
      </c>
      <c r="AX161" s="23">
        <f>+'QTR Raw'!R79+'QTR Raw'!R76</f>
        <v>35.098999999999997</v>
      </c>
      <c r="AY161" s="23">
        <f t="shared" si="1258"/>
        <v>35.098999999999997</v>
      </c>
      <c r="AZ161" s="23">
        <f>+'QTR Raw'!T79+'QTR Raw'!T76</f>
        <v>237.74199999999999</v>
      </c>
      <c r="BA161" s="23">
        <f t="shared" si="1258"/>
        <v>237.74199999999999</v>
      </c>
      <c r="BB161" s="23">
        <f>+'QTR Raw'!V79+'QTR Raw'!V76</f>
        <v>49.597000000000001</v>
      </c>
      <c r="BC161" s="23">
        <f t="shared" si="1258"/>
        <v>49.597000000000001</v>
      </c>
      <c r="BD161" s="23">
        <f>+'QTR Raw'!X79+'QTR Raw'!X76</f>
        <v>54.585999999999999</v>
      </c>
      <c r="BE161" s="23">
        <f t="shared" si="1258"/>
        <v>54.585999999999999</v>
      </c>
      <c r="BF161" s="23">
        <f>+'QTR Raw'!Z79+'QTR Raw'!Z76</f>
        <v>41.36</v>
      </c>
      <c r="BG161" s="23">
        <f t="shared" si="1258"/>
        <v>41.36</v>
      </c>
      <c r="BH161" s="23">
        <f>+'QTR Raw'!AB79+'QTR Raw'!AB76</f>
        <v>42.484000000000002</v>
      </c>
      <c r="BI161" s="23">
        <f t="shared" si="1258"/>
        <v>42.484000000000002</v>
      </c>
      <c r="BJ161" s="23">
        <f>+'QTR Raw'!AD79+'QTR Raw'!AD76</f>
        <v>43.914999999999999</v>
      </c>
      <c r="BK161" s="23">
        <f t="shared" si="1258"/>
        <v>43.914999999999999</v>
      </c>
      <c r="BL161" s="23">
        <f>+'QTR Raw'!AF79+'QTR Raw'!AF76</f>
        <v>71.828999999999994</v>
      </c>
      <c r="BM161" s="23">
        <f t="shared" si="1258"/>
        <v>71.828999999999994</v>
      </c>
      <c r="BN161" s="23">
        <f>+'QTR Raw'!AH79+'QTR Raw'!AH76</f>
        <v>107.02800000000001</v>
      </c>
      <c r="BO161" s="23">
        <f t="shared" si="1258"/>
        <v>107.02800000000001</v>
      </c>
      <c r="BP161" s="23">
        <f>+'QTR Raw'!AJ79+'QTR Raw'!AJ76</f>
        <v>106.751</v>
      </c>
      <c r="BQ161" s="23">
        <f t="shared" si="1258"/>
        <v>106.751</v>
      </c>
      <c r="BR161" s="23">
        <f>+'QTR Raw'!AL79+'QTR Raw'!AL76</f>
        <v>101.432</v>
      </c>
      <c r="BS161" s="23">
        <f t="shared" si="1258"/>
        <v>101.432</v>
      </c>
      <c r="BT161" s="23">
        <f>+'QTR Raw'!AN79+'QTR Raw'!AN76</f>
        <v>99.566999999999993</v>
      </c>
      <c r="BU161" s="23">
        <f t="shared" si="1258"/>
        <v>99.566999999999993</v>
      </c>
      <c r="BV161" s="23">
        <f>+'QTR Raw'!AP79+'QTR Raw'!AP76</f>
        <v>104.383</v>
      </c>
      <c r="BW161" s="23">
        <f t="shared" si="1258"/>
        <v>104.383</v>
      </c>
      <c r="BX161" s="23">
        <f>+'QTR Raw'!AR79+'QTR Raw'!AR76</f>
        <v>111.236</v>
      </c>
      <c r="BY161" s="23">
        <f t="shared" si="1258"/>
        <v>111.236</v>
      </c>
      <c r="BZ161" s="23">
        <f>+'QTR Raw'!AT79+'QTR Raw'!AT76</f>
        <v>112.26</v>
      </c>
      <c r="CA161" s="23">
        <f t="shared" si="1258"/>
        <v>112.26</v>
      </c>
      <c r="CB161" s="23">
        <f>+'QTR Raw'!AV79+'QTR Raw'!AV76</f>
        <v>114.15</v>
      </c>
      <c r="CC161" s="23">
        <f t="shared" si="1258"/>
        <v>114.15</v>
      </c>
      <c r="CD161" s="23">
        <f>+'QTR Raw'!AX79+'QTR Raw'!AX76</f>
        <v>157.26</v>
      </c>
      <c r="CE161" s="23">
        <f t="shared" si="1258"/>
        <v>157.26</v>
      </c>
      <c r="CF161" s="23">
        <f>+'QTR Raw'!AZ79+'QTR Raw'!AZ76</f>
        <v>249.98</v>
      </c>
      <c r="CG161" s="23">
        <f t="shared" si="1235"/>
        <v>249.98</v>
      </c>
      <c r="CH161" s="23">
        <f t="shared" si="1236"/>
        <v>0.47</v>
      </c>
      <c r="CJ161" s="23">
        <f>+'QTR Raw'!BD79+'QTR Raw'!BD76</f>
        <v>330.31</v>
      </c>
      <c r="CL161" s="23">
        <f>+'QTR Raw'!BF79+'QTR Raw'!BF76</f>
        <v>472.48</v>
      </c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  <c r="DF161" s="23">
        <v>472.48</v>
      </c>
    </row>
    <row r="162" spans="1:110" s="23" customFormat="1" outlineLevel="1" x14ac:dyDescent="0.2">
      <c r="A162" s="23" t="s">
        <v>61</v>
      </c>
      <c r="B162" s="23">
        <f>'Annual Raw'!C76</f>
        <v>37.607467300000003</v>
      </c>
      <c r="C162" s="23">
        <f>'Annual Raw'!D76</f>
        <v>48.654510600000002</v>
      </c>
      <c r="D162" s="23">
        <f>'Annual Raw'!E76</f>
        <v>48.086986600000003</v>
      </c>
      <c r="E162" s="23">
        <f>'Annual Raw'!F76</f>
        <v>94.730837300000005</v>
      </c>
      <c r="F162" s="23">
        <f>'Annual Raw'!G76</f>
        <v>119.9555</v>
      </c>
      <c r="G162" s="23">
        <f>'Annual Raw'!H76</f>
        <v>163.90600000000001</v>
      </c>
      <c r="H162" s="23">
        <f>'Annual Raw'!I76</f>
        <v>168.95740000000001</v>
      </c>
      <c r="I162" s="23">
        <f>'Annual Raw'!J76</f>
        <v>252.6037</v>
      </c>
      <c r="J162" s="23">
        <f>'Annual Raw'!K76</f>
        <v>400.7466</v>
      </c>
      <c r="K162" s="23">
        <f>'Annual Raw'!L76</f>
        <v>315.18459999999999</v>
      </c>
      <c r="L162" s="23">
        <f>'Annual Raw'!M76</f>
        <v>385.81439999999998</v>
      </c>
      <c r="M162" s="23">
        <f>'Annual Raw'!N76</f>
        <v>360.75650000000002</v>
      </c>
      <c r="N162" s="23">
        <f>'Annual Raw'!O76</f>
        <v>392.8587</v>
      </c>
      <c r="O162" s="23">
        <f>'Annual Raw'!P76</f>
        <v>357.91669999999999</v>
      </c>
      <c r="P162" s="23">
        <f>'Annual Raw'!Q76</f>
        <v>346.29259999999999</v>
      </c>
      <c r="Q162" s="23">
        <f>'Annual Raw'!R76</f>
        <v>359.36930000000001</v>
      </c>
      <c r="R162" s="23">
        <f>'Annual Raw'!S76</f>
        <v>301.5718</v>
      </c>
      <c r="S162" s="23">
        <f>'Annual Raw'!T76</f>
        <v>285.12060000000002</v>
      </c>
      <c r="T162" s="23">
        <f>'Annual Raw'!U76</f>
        <v>319.22559999999999</v>
      </c>
      <c r="U162" s="23">
        <f>'Annual Raw'!V76</f>
        <v>306.55119999999999</v>
      </c>
      <c r="V162" s="23">
        <f>'Annual Raw'!W76</f>
        <v>250.2235</v>
      </c>
      <c r="W162" s="23">
        <f>'Annual Raw'!X76</f>
        <v>261.66699999999997</v>
      </c>
      <c r="X162" s="23">
        <f>'Annual Raw'!Y76</f>
        <v>278.8</v>
      </c>
      <c r="Y162" s="23">
        <f>'Annual Raw'!Z76</f>
        <v>229.74</v>
      </c>
      <c r="Z162" s="23">
        <f>'Annual Raw'!AA76</f>
        <v>242.96</v>
      </c>
      <c r="AA162" s="23">
        <f>'Annual Raw'!AB76</f>
        <v>301.14999999999998</v>
      </c>
      <c r="AB162" s="24">
        <f t="shared" si="1254"/>
        <v>302.58786246269079</v>
      </c>
      <c r="AC162" s="24">
        <f t="shared" si="1255"/>
        <v>333.28346013473828</v>
      </c>
      <c r="AD162" s="24">
        <f t="shared" si="1256"/>
        <v>366.35964329025722</v>
      </c>
      <c r="AE162" s="24">
        <f t="shared" si="1257"/>
        <v>402.90811593660771</v>
      </c>
      <c r="AJ162" s="23">
        <f>+'QTR Raw'!D81</f>
        <v>291.41199999999998</v>
      </c>
      <c r="AK162" s="23">
        <f>+AK197*AK28/90</f>
        <v>178.32170661425252</v>
      </c>
      <c r="AL162" s="23">
        <f>+'QTR Raw'!F81</f>
        <v>392.85899999999998</v>
      </c>
      <c r="AM162" s="23">
        <f>+AM197*AM28/90</f>
        <v>228.06830085817745</v>
      </c>
      <c r="AN162" s="23">
        <f>+'QTR Raw'!H81</f>
        <v>154.94900000000001</v>
      </c>
      <c r="AO162" s="23">
        <f>+AO197*AO28/90</f>
        <v>144.16444375823795</v>
      </c>
      <c r="AP162" s="23">
        <f>+'QTR Raw'!J81</f>
        <v>357.91699999999997</v>
      </c>
      <c r="AQ162" s="23">
        <f>+AQ197*AQ28/90</f>
        <v>588.01575155637602</v>
      </c>
      <c r="AR162" s="23">
        <f>+'QTR Raw'!L81</f>
        <v>134.42500000000001</v>
      </c>
      <c r="AS162" s="23">
        <f>+AS197*AS28/90</f>
        <v>137.40047770593898</v>
      </c>
      <c r="AT162" s="23">
        <f>+'QTR Raw'!N81</f>
        <v>346.29300000000001</v>
      </c>
      <c r="AU162" s="23">
        <f>+AU197*AU28/90</f>
        <v>194.39629263903768</v>
      </c>
      <c r="AV162" s="23">
        <f>+'QTR Raw'!P81</f>
        <v>434.125</v>
      </c>
      <c r="AW162" s="23">
        <f>+AW197*AW28/90</f>
        <v>471.02185667725757</v>
      </c>
      <c r="AX162" s="23">
        <f>+'QTR Raw'!R81</f>
        <v>359.36900000000003</v>
      </c>
      <c r="AY162" s="23">
        <f>+AY197*AY28/90</f>
        <v>196.81784794579784</v>
      </c>
      <c r="AZ162" s="23">
        <f>+'QTR Raw'!T81</f>
        <v>364.74700000000001</v>
      </c>
      <c r="BA162" s="23">
        <f>+BA197*BA28/90</f>
        <v>403.45724024141924</v>
      </c>
      <c r="BB162" s="23">
        <f>+'QTR Raw'!V81</f>
        <v>301.572</v>
      </c>
      <c r="BC162" s="23">
        <f>+BC197*BC28/90</f>
        <v>158.25803380313226</v>
      </c>
      <c r="BD162" s="23">
        <f>+'QTR Raw'!X81</f>
        <v>268.89</v>
      </c>
      <c r="BE162" s="23">
        <f>+BE197*BE28/90</f>
        <v>279.09681280071794</v>
      </c>
      <c r="BF162" s="23">
        <f>+'QTR Raw'!Z81</f>
        <v>285.12099999999998</v>
      </c>
      <c r="BG162" s="23">
        <f>+BG197*BG28/90</f>
        <v>197.94380498188235</v>
      </c>
      <c r="BH162" s="23">
        <f>+'QTR Raw'!AB81</f>
        <v>301.33699999999999</v>
      </c>
      <c r="BI162" s="23">
        <f>+BI197*BI28/90</f>
        <v>256.12935724195125</v>
      </c>
      <c r="BJ162" s="23">
        <f>+'QTR Raw'!AD81</f>
        <v>319.226</v>
      </c>
      <c r="BK162" s="23">
        <f>+BK197*BK28/90</f>
        <v>264.15877279504815</v>
      </c>
      <c r="BL162" s="23">
        <f>+'QTR Raw'!AF81</f>
        <v>306.19600000000003</v>
      </c>
      <c r="BM162" s="23">
        <f>+BM197*BM28/90</f>
        <v>321.53910455701623</v>
      </c>
      <c r="BN162" s="23">
        <f>+'QTR Raw'!AH81</f>
        <v>306.55099999999999</v>
      </c>
      <c r="BO162" s="23">
        <f>+BO197*BO28/90</f>
        <v>153.88633221598991</v>
      </c>
      <c r="BP162" s="23">
        <f>+'QTR Raw'!AJ81</f>
        <v>288.584</v>
      </c>
      <c r="BQ162" s="23">
        <f>+BQ197*BQ28/90</f>
        <v>324.1395487722545</v>
      </c>
      <c r="BR162" s="23">
        <f>+'QTR Raw'!AL81</f>
        <v>250.22399999999999</v>
      </c>
      <c r="BS162" s="23">
        <f>+BS197*BS28/90</f>
        <v>210.25828206504974</v>
      </c>
      <c r="BT162" s="23">
        <f>+'QTR Raw'!AN81</f>
        <v>253.44900000000001</v>
      </c>
      <c r="BU162" s="23">
        <f>+BU197*BU28/90</f>
        <v>219.68464049130162</v>
      </c>
      <c r="BV162" s="23">
        <f>+'QTR Raw'!AP81</f>
        <v>261.66699999999997</v>
      </c>
      <c r="BW162" s="23">
        <f>+BW197*BW28/90</f>
        <v>258.66377871955359</v>
      </c>
      <c r="BX162" s="23">
        <f>+'QTR Raw'!AR81</f>
        <v>281.28800000000001</v>
      </c>
      <c r="BY162" s="23">
        <f>+BY197*BY28/90</f>
        <v>281.45448971924139</v>
      </c>
      <c r="BZ162" s="23">
        <f>+'QTR Raw'!AT81</f>
        <v>278.8</v>
      </c>
      <c r="CA162" s="23">
        <f>+CA197*CA28/90</f>
        <v>272.10154991284679</v>
      </c>
      <c r="CB162" s="23">
        <f>+'QTR Raw'!AV81</f>
        <v>261.77999999999997</v>
      </c>
      <c r="CC162" s="23">
        <f>+CC197*CC28/90</f>
        <v>255.65794349350384</v>
      </c>
      <c r="CD162" s="23">
        <f>+'QTR Raw'!AX81</f>
        <v>229.74</v>
      </c>
      <c r="CE162" s="23">
        <f>+CE197*CE28/90</f>
        <v>159.64858913959833</v>
      </c>
      <c r="CF162" s="23">
        <f>+'QTR Raw'!AZ81</f>
        <v>266.58</v>
      </c>
      <c r="CG162" s="23">
        <f>+CG197*CG28/90</f>
        <v>277.46584838823952</v>
      </c>
      <c r="CH162" s="23">
        <f t="shared" si="1236"/>
        <v>242.96</v>
      </c>
      <c r="CI162" s="23">
        <f>+CI197*CI28/90</f>
        <v>149.44003310054288</v>
      </c>
      <c r="CJ162" s="23">
        <f>+'QTR Raw'!BD81</f>
        <v>272.19</v>
      </c>
      <c r="CK162" s="23">
        <f t="shared" ref="CK162:DB162" si="1259">+CK197*CK28/90</f>
        <v>259.76529604068287</v>
      </c>
      <c r="CL162" s="23">
        <f>+'QTR Raw'!BF81</f>
        <v>301.14999999999998</v>
      </c>
      <c r="CM162" s="24">
        <f t="shared" si="1259"/>
        <v>283.16993824885702</v>
      </c>
      <c r="CN162" s="24">
        <f t="shared" si="1259"/>
        <v>282.38472099617002</v>
      </c>
      <c r="CO162" s="24">
        <f t="shared" si="1259"/>
        <v>289.07629845218912</v>
      </c>
      <c r="CP162" s="24">
        <f t="shared" si="1259"/>
        <v>302.58786246269079</v>
      </c>
      <c r="CQ162" s="24">
        <f t="shared" si="1259"/>
        <v>309.04352669875465</v>
      </c>
      <c r="CR162" s="24">
        <f t="shared" si="1259"/>
        <v>312.38969702090878</v>
      </c>
      <c r="CS162" s="24">
        <f t="shared" si="1259"/>
        <v>324.60117340305044</v>
      </c>
      <c r="CT162" s="24">
        <f t="shared" si="1259"/>
        <v>333.28346013473828</v>
      </c>
      <c r="CU162" s="24">
        <f t="shared" si="1259"/>
        <v>338.656799742869</v>
      </c>
      <c r="CV162" s="24">
        <f t="shared" si="1259"/>
        <v>344.16141417702596</v>
      </c>
      <c r="CW162" s="24">
        <f t="shared" si="1259"/>
        <v>358.02651063816455</v>
      </c>
      <c r="CX162" s="24">
        <f t="shared" si="1259"/>
        <v>366.35964329025722</v>
      </c>
      <c r="CY162" s="24">
        <f t="shared" si="1259"/>
        <v>372.28581498687072</v>
      </c>
      <c r="CZ162" s="24">
        <f t="shared" si="1259"/>
        <v>378.74489632190665</v>
      </c>
      <c r="DA162" s="24">
        <f t="shared" si="1259"/>
        <v>393.95100262292522</v>
      </c>
      <c r="DB162" s="24">
        <f t="shared" si="1259"/>
        <v>402.90811593660771</v>
      </c>
      <c r="DE162" s="123"/>
      <c r="DF162" s="23">
        <v>301.14999999999998</v>
      </c>
    </row>
    <row r="163" spans="1:110" s="23" customFormat="1" outlineLevel="1" x14ac:dyDescent="0.2">
      <c r="A163" s="23" t="s">
        <v>62</v>
      </c>
      <c r="B163" s="23">
        <f>'Annual Raw'!C77</f>
        <v>55.088778599999998</v>
      </c>
      <c r="C163" s="23">
        <f>'Annual Raw'!D77</f>
        <v>55.790398400000001</v>
      </c>
      <c r="D163" s="23">
        <f>'Annual Raw'!E77</f>
        <v>69.721205100000006</v>
      </c>
      <c r="E163" s="23">
        <f>'Annual Raw'!F77</f>
        <v>74.612402099999997</v>
      </c>
      <c r="F163" s="23">
        <f>'Annual Raw'!G77</f>
        <v>113.9675</v>
      </c>
      <c r="G163" s="23">
        <f>'Annual Raw'!H77</f>
        <v>214.17590000000001</v>
      </c>
      <c r="H163" s="23">
        <f>'Annual Raw'!I77</f>
        <v>387.98599999999999</v>
      </c>
      <c r="I163" s="23">
        <f>'Annual Raw'!J77</f>
        <v>492.31610000000001</v>
      </c>
      <c r="J163" s="23">
        <f>'Annual Raw'!K77</f>
        <v>471.73579999999998</v>
      </c>
      <c r="K163" s="23">
        <f>'Annual Raw'!L77</f>
        <v>517.58550000000002</v>
      </c>
      <c r="L163" s="23">
        <f>'Annual Raw'!M77</f>
        <v>599.995</v>
      </c>
      <c r="M163" s="23">
        <f>'Annual Raw'!N77</f>
        <v>783.27170000000001</v>
      </c>
      <c r="N163" s="23">
        <f>'Annual Raw'!O77</f>
        <v>837.72040000000004</v>
      </c>
      <c r="O163" s="23">
        <f>'Annual Raw'!P77</f>
        <v>853.07449999999994</v>
      </c>
      <c r="P163" s="23">
        <f>'Annual Raw'!Q77</f>
        <v>858.22460000000001</v>
      </c>
      <c r="Q163" s="23">
        <f>'Annual Raw'!R77</f>
        <v>705.66079999999999</v>
      </c>
      <c r="R163" s="23">
        <f>'Annual Raw'!S77</f>
        <v>628.14829999999995</v>
      </c>
      <c r="S163" s="23">
        <f>'Annual Raw'!T77</f>
        <v>671.24300000000005</v>
      </c>
      <c r="T163" s="23">
        <f>'Annual Raw'!U77</f>
        <v>592.81370000000004</v>
      </c>
      <c r="U163" s="23">
        <f>'Annual Raw'!V77</f>
        <v>612.07209999999998</v>
      </c>
      <c r="V163" s="23">
        <f>'Annual Raw'!W77</f>
        <v>507.73610000000002</v>
      </c>
      <c r="W163" s="23">
        <f>'Annual Raw'!X77</f>
        <v>415.07440000000003</v>
      </c>
      <c r="X163" s="23">
        <f>'Annual Raw'!Y77</f>
        <v>345.77</v>
      </c>
      <c r="Y163" s="23">
        <f>'Annual Raw'!Z77</f>
        <v>445.1</v>
      </c>
      <c r="Z163" s="23">
        <f>'Annual Raw'!AA77</f>
        <v>613.87</v>
      </c>
      <c r="AA163" s="23">
        <f>'Annual Raw'!AB77</f>
        <v>720.51</v>
      </c>
      <c r="AB163" s="24">
        <f t="shared" si="1254"/>
        <v>723.95012712267442</v>
      </c>
      <c r="AC163" s="24">
        <f t="shared" si="1255"/>
        <v>797.39022368148869</v>
      </c>
      <c r="AD163" s="24">
        <f t="shared" si="1256"/>
        <v>876.52593918998275</v>
      </c>
      <c r="AE163" s="24">
        <f t="shared" si="1257"/>
        <v>963.96920675240005</v>
      </c>
      <c r="AJ163" s="23">
        <f>+'QTR Raw'!D82</f>
        <v>723.32799999999997</v>
      </c>
      <c r="AK163" s="23">
        <f>+AK198*AK28/90</f>
        <v>442.62104306574213</v>
      </c>
      <c r="AL163" s="23">
        <f>+'QTR Raw'!F82</f>
        <v>837.72</v>
      </c>
      <c r="AM163" s="23">
        <f>+AM198*AM28/90</f>
        <v>486.32556972072035</v>
      </c>
      <c r="AN163" s="23">
        <f>+'QTR Raw'!H82</f>
        <v>128.16900000000001</v>
      </c>
      <c r="AO163" s="23">
        <f>+AO198*AO28/90</f>
        <v>119.24835005098194</v>
      </c>
      <c r="AP163" s="23">
        <f>+'QTR Raw'!J82</f>
        <v>853.07500000000005</v>
      </c>
      <c r="AQ163" s="23">
        <f>+AQ198*AQ28/90</f>
        <v>1401.5024077061319</v>
      </c>
      <c r="AR163" s="23">
        <f>+'QTR Raw'!L82</f>
        <v>147.453</v>
      </c>
      <c r="AS163" s="23">
        <f>+AS198*AS28/90</f>
        <v>150.71685057968247</v>
      </c>
      <c r="AT163" s="23">
        <f>+'QTR Raw'!N82</f>
        <v>858.22699999999998</v>
      </c>
      <c r="AU163" s="23">
        <f>+AU198*AU28/90</f>
        <v>481.77741693514849</v>
      </c>
      <c r="AV163" s="23">
        <f>+'QTR Raw'!P82</f>
        <v>767.54300000000001</v>
      </c>
      <c r="AW163" s="23">
        <f>+AW198*AW28/90</f>
        <v>832.7774925185887</v>
      </c>
      <c r="AX163" s="23">
        <f>+'QTR Raw'!R82</f>
        <v>705.66099999999994</v>
      </c>
      <c r="AY163" s="23">
        <f>+AY198*AY28/90</f>
        <v>386.47373423773234</v>
      </c>
      <c r="AZ163" s="23">
        <f>+'QTR Raw'!T82</f>
        <v>516.16300000000001</v>
      </c>
      <c r="BA163" s="23">
        <f>+BA198*BA28/90</f>
        <v>570.94287134570448</v>
      </c>
      <c r="BB163" s="23">
        <f>+'QTR Raw'!V82</f>
        <v>628.14800000000002</v>
      </c>
      <c r="BC163" s="23">
        <f>+BC198*BC28/90</f>
        <v>329.63759041744567</v>
      </c>
      <c r="BD163" s="23">
        <f>+'QTR Raw'!X82</f>
        <v>564.06100000000004</v>
      </c>
      <c r="BE163" s="23">
        <f>+BE198*BE28/90</f>
        <v>585.47222777041088</v>
      </c>
      <c r="BF163" s="23">
        <f>+'QTR Raw'!Z82</f>
        <v>671.24300000000005</v>
      </c>
      <c r="BG163" s="23">
        <f>+BG198*BG28/90</f>
        <v>466.007040826364</v>
      </c>
      <c r="BH163" s="23">
        <f>+'QTR Raw'!AB82</f>
        <v>632.904</v>
      </c>
      <c r="BI163" s="23">
        <f>+BI198*BI28/90</f>
        <v>537.95350294142418</v>
      </c>
      <c r="BJ163" s="23">
        <f>+'QTR Raw'!AD82</f>
        <v>592.81399999999996</v>
      </c>
      <c r="BK163" s="23">
        <f>+BK198*BK28/90</f>
        <v>490.55220669908982</v>
      </c>
      <c r="BL163" s="23">
        <f>+'QTR Raw'!AF82</f>
        <v>562.04999999999995</v>
      </c>
      <c r="BM163" s="23">
        <f>+BM198*BM28/90</f>
        <v>590.21363347748161</v>
      </c>
      <c r="BN163" s="23">
        <f>+'QTR Raw'!AH82</f>
        <v>612.072</v>
      </c>
      <c r="BO163" s="23">
        <f>+BO198*BO28/90</f>
        <v>307.25561205836999</v>
      </c>
      <c r="BP163" s="23">
        <f>+'QTR Raw'!AJ82</f>
        <v>464.05900000000003</v>
      </c>
      <c r="BQ163" s="23">
        <f>+BQ198*BQ28/90</f>
        <v>521.23428486577109</v>
      </c>
      <c r="BR163" s="23">
        <f>+'QTR Raw'!AL82</f>
        <v>507.73599999999999</v>
      </c>
      <c r="BS163" s="23">
        <f>+BS198*BS28/90</f>
        <v>426.64052649857774</v>
      </c>
      <c r="BT163" s="23">
        <f>+'QTR Raw'!AN82</f>
        <v>440.01</v>
      </c>
      <c r="BU163" s="23">
        <f>+BU198*BU28/90</f>
        <v>381.39206965731807</v>
      </c>
      <c r="BV163" s="23">
        <f>+'QTR Raw'!AP82</f>
        <v>415.07400000000001</v>
      </c>
      <c r="BW163" s="23">
        <f>+BW198*BW28/90</f>
        <v>410.31008605685855</v>
      </c>
      <c r="BX163" s="23">
        <f>+'QTR Raw'!AR82</f>
        <v>374.75599999999997</v>
      </c>
      <c r="BY163" s="23">
        <f>+BY198*BY28/90</f>
        <v>374.9778118839908</v>
      </c>
      <c r="BZ163" s="23">
        <f>+'QTR Raw'!AT82</f>
        <v>345.77</v>
      </c>
      <c r="CA163" s="23">
        <f>+CA198*CA28/90</f>
        <v>337.46252838366229</v>
      </c>
      <c r="CB163" s="23">
        <f>+'QTR Raw'!AV82</f>
        <v>375.97</v>
      </c>
      <c r="CC163" s="23">
        <f>+CC198*CC28/90</f>
        <v>367.17746586925148</v>
      </c>
      <c r="CD163" s="23">
        <f>+'QTR Raw'!AX82</f>
        <v>445.1</v>
      </c>
      <c r="CE163" s="23">
        <f>+CE198*CE28/90</f>
        <v>309.30437462364074</v>
      </c>
      <c r="CF163" s="23">
        <f>+'QTR Raw'!AZ82</f>
        <v>448.69</v>
      </c>
      <c r="CG163" s="23">
        <f>+CG198*CG28/90</f>
        <v>467.01234718778289</v>
      </c>
      <c r="CH163" s="23">
        <f t="shared" si="1236"/>
        <v>613.87</v>
      </c>
      <c r="CI163" s="23">
        <f>+CI198*CI28/90</f>
        <v>377.57965557882068</v>
      </c>
      <c r="CJ163" s="23">
        <f>+'QTR Raw'!BD82</f>
        <v>511.07</v>
      </c>
      <c r="CK163" s="23">
        <f t="shared" ref="CK163:DB163" si="1260">+CK198*CK28/90</f>
        <v>487.74109940670792</v>
      </c>
      <c r="CL163" s="23">
        <f>+'QTR Raw'!BF82</f>
        <v>720.51</v>
      </c>
      <c r="CM163" s="24">
        <f t="shared" si="1260"/>
        <v>677.49218730760083</v>
      </c>
      <c r="CN163" s="24">
        <f t="shared" si="1260"/>
        <v>675.6135325417581</v>
      </c>
      <c r="CO163" s="24">
        <f t="shared" si="1260"/>
        <v>691.62332325348439</v>
      </c>
      <c r="CP163" s="24">
        <f t="shared" si="1260"/>
        <v>723.95012712267442</v>
      </c>
      <c r="CQ163" s="24">
        <f t="shared" si="1260"/>
        <v>739.39548869905286</v>
      </c>
      <c r="CR163" s="24">
        <f t="shared" si="1260"/>
        <v>747.40129702983575</v>
      </c>
      <c r="CS163" s="24">
        <f t="shared" si="1260"/>
        <v>776.61760401338847</v>
      </c>
      <c r="CT163" s="24">
        <f t="shared" si="1260"/>
        <v>797.39022368148869</v>
      </c>
      <c r="CU163" s="24">
        <f t="shared" si="1260"/>
        <v>810.2460925875298</v>
      </c>
      <c r="CV163" s="24">
        <f t="shared" si="1260"/>
        <v>823.41604027457754</v>
      </c>
      <c r="CW163" s="24">
        <f t="shared" si="1260"/>
        <v>856.58868065716092</v>
      </c>
      <c r="CX163" s="24">
        <f t="shared" si="1260"/>
        <v>876.52593918998275</v>
      </c>
      <c r="CY163" s="24">
        <f t="shared" si="1260"/>
        <v>890.70447470094723</v>
      </c>
      <c r="CZ163" s="24">
        <f t="shared" si="1260"/>
        <v>906.15801178448282</v>
      </c>
      <c r="DA163" s="24">
        <f t="shared" si="1260"/>
        <v>942.53905661578574</v>
      </c>
      <c r="DB163" s="24">
        <f t="shared" si="1260"/>
        <v>963.96920675240005</v>
      </c>
      <c r="DE163" s="123"/>
      <c r="DF163" s="23">
        <v>720.51</v>
      </c>
    </row>
    <row r="164" spans="1:110" s="23" customFormat="1" outlineLevel="1" x14ac:dyDescent="0.2">
      <c r="A164" s="23" t="s">
        <v>63</v>
      </c>
      <c r="B164" s="23">
        <f>'Annual Raw'!C79</f>
        <v>0</v>
      </c>
      <c r="C164" s="23">
        <f>'Annual Raw'!D79</f>
        <v>0</v>
      </c>
      <c r="D164" s="23">
        <f>'Annual Raw'!E79</f>
        <v>0</v>
      </c>
      <c r="E164" s="23">
        <f>'Annual Raw'!F79</f>
        <v>0</v>
      </c>
      <c r="F164" s="23">
        <f>'Annual Raw'!G79</f>
        <v>0</v>
      </c>
      <c r="G164" s="23">
        <f>'Annual Raw'!H79</f>
        <v>0</v>
      </c>
      <c r="H164" s="23">
        <f>'Annual Raw'!I79</f>
        <v>0</v>
      </c>
      <c r="I164" s="23">
        <f>'Annual Raw'!J79</f>
        <v>0</v>
      </c>
      <c r="J164" s="23">
        <f>'Annual Raw'!K79</f>
        <v>0</v>
      </c>
      <c r="K164" s="23">
        <f>'Annual Raw'!L79</f>
        <v>0</v>
      </c>
      <c r="L164" s="23">
        <f>'Annual Raw'!M79</f>
        <v>2.14</v>
      </c>
      <c r="M164" s="23">
        <f>'Annual Raw'!N79</f>
        <v>1.5562</v>
      </c>
      <c r="N164" s="23">
        <f>'Annual Raw'!O79</f>
        <v>9.2233000000000001</v>
      </c>
      <c r="O164" s="23">
        <f>'Annual Raw'!P79</f>
        <v>14.872400000000001</v>
      </c>
      <c r="P164" s="23">
        <f>'Annual Raw'!Q79</f>
        <v>15.1229</v>
      </c>
      <c r="Q164" s="23">
        <f>'Annual Raw'!R79</f>
        <v>49.637500000000003</v>
      </c>
      <c r="R164" s="23">
        <f>'Annual Raw'!S79</f>
        <v>27.075199999999999</v>
      </c>
      <c r="S164" s="23">
        <f>'Annual Raw'!T79</f>
        <v>19.0307</v>
      </c>
      <c r="T164" s="23">
        <f>'Annual Raw'!U79</f>
        <v>21.4678</v>
      </c>
      <c r="U164" s="23">
        <f>'Annual Raw'!V79</f>
        <v>19.040199999999999</v>
      </c>
      <c r="V164" s="23">
        <f>'Annual Raw'!W79</f>
        <v>19.7988</v>
      </c>
      <c r="W164" s="23">
        <f>'Annual Raw'!X79</f>
        <v>18.502099999999999</v>
      </c>
      <c r="X164" s="23">
        <f>'Annual Raw'!Y79</f>
        <v>22.16</v>
      </c>
      <c r="Y164" s="23">
        <f>'Annual Raw'!Z79</f>
        <v>22.48</v>
      </c>
      <c r="Z164" s="23">
        <f>'Annual Raw'!AA79</f>
        <v>28.61</v>
      </c>
      <c r="AA164" s="23">
        <f>'Annual Raw'!AB79</f>
        <v>35.76</v>
      </c>
      <c r="AB164" s="24">
        <f t="shared" si="1254"/>
        <v>601.36762929618124</v>
      </c>
      <c r="AC164" s="24">
        <f t="shared" si="1255"/>
        <v>662.37251776603728</v>
      </c>
      <c r="AD164" s="24">
        <f t="shared" si="1256"/>
        <v>728.10861731911587</v>
      </c>
      <c r="AE164" s="24">
        <f t="shared" si="1257"/>
        <v>800.74559677642037</v>
      </c>
      <c r="AJ164" s="23">
        <f>+'QTR Raw'!D84</f>
        <v>11.082000000000001</v>
      </c>
      <c r="AK164" s="23">
        <f t="shared" si="1258"/>
        <v>11.082000000000001</v>
      </c>
      <c r="AL164" s="23">
        <f>+'QTR Raw'!F84</f>
        <v>8.3000000000000007</v>
      </c>
      <c r="AM164" s="23">
        <f t="shared" si="1258"/>
        <v>8.3000000000000007</v>
      </c>
      <c r="AN164" s="23">
        <f>+'QTR Raw'!H84</f>
        <v>134.67699999999999</v>
      </c>
      <c r="AO164" s="23">
        <f t="shared" si="1258"/>
        <v>134.67699999999999</v>
      </c>
      <c r="AP164" s="23">
        <f>+'QTR Raw'!J84</f>
        <v>8.77</v>
      </c>
      <c r="AQ164" s="23">
        <f t="shared" si="1258"/>
        <v>8.77</v>
      </c>
      <c r="AR164" s="23">
        <f>+'QTR Raw'!L84</f>
        <v>275.25599999999997</v>
      </c>
      <c r="AS164" s="23">
        <f t="shared" si="1258"/>
        <v>275.25599999999997</v>
      </c>
      <c r="AT164" s="23">
        <f>+'QTR Raw'!N84</f>
        <v>6.2910000000000004</v>
      </c>
      <c r="AU164" s="23">
        <f t="shared" si="1258"/>
        <v>6.2910000000000004</v>
      </c>
      <c r="AV164" s="23">
        <f>+'QTR Raw'!P84</f>
        <v>2.0089999999999999</v>
      </c>
      <c r="AW164" s="23">
        <f t="shared" si="1258"/>
        <v>2.0089999999999999</v>
      </c>
      <c r="AX164" s="23">
        <f>+'QTR Raw'!R84</f>
        <v>103.268</v>
      </c>
      <c r="AY164" s="23">
        <f t="shared" si="1258"/>
        <v>103.268</v>
      </c>
      <c r="AZ164" s="23">
        <f>+'QTR Raw'!T84</f>
        <v>0</v>
      </c>
      <c r="BA164" s="23">
        <f t="shared" si="1258"/>
        <v>0</v>
      </c>
      <c r="BB164" s="23">
        <f>+'QTR Raw'!V84</f>
        <v>97.045000000000002</v>
      </c>
      <c r="BC164" s="23">
        <f t="shared" si="1258"/>
        <v>97.045000000000002</v>
      </c>
      <c r="BD164" s="23">
        <f>+'QTR Raw'!X84</f>
        <v>108.194</v>
      </c>
      <c r="BE164" s="23">
        <f t="shared" si="1258"/>
        <v>108.194</v>
      </c>
      <c r="BF164" s="23">
        <f>+'QTR Raw'!Z84</f>
        <v>182.51</v>
      </c>
      <c r="BG164" s="23">
        <f t="shared" si="1258"/>
        <v>182.51</v>
      </c>
      <c r="BH164" s="23">
        <f>+'QTR Raw'!AB84</f>
        <v>239.44499999999999</v>
      </c>
      <c r="BI164" s="23">
        <f t="shared" si="1258"/>
        <v>239.44499999999999</v>
      </c>
      <c r="BJ164" s="23">
        <f>+'QTR Raw'!AD84</f>
        <v>269.85399999999998</v>
      </c>
      <c r="BK164" s="23">
        <f t="shared" si="1258"/>
        <v>269.85399999999998</v>
      </c>
      <c r="BL164" s="23">
        <f>+'QTR Raw'!AF84</f>
        <v>318.09100000000001</v>
      </c>
      <c r="BM164" s="23">
        <f t="shared" si="1258"/>
        <v>318.09100000000001</v>
      </c>
      <c r="BN164" s="23">
        <f>+'QTR Raw'!AH84</f>
        <v>203.88200000000001</v>
      </c>
      <c r="BO164" s="23">
        <f t="shared" si="1258"/>
        <v>203.88200000000001</v>
      </c>
      <c r="BP164" s="23">
        <f>+'QTR Raw'!AJ84</f>
        <v>183.93299999999999</v>
      </c>
      <c r="BQ164" s="23">
        <f t="shared" si="1258"/>
        <v>183.93299999999999</v>
      </c>
      <c r="BR164" s="23">
        <f>+'QTR Raw'!AL84</f>
        <v>234.185</v>
      </c>
      <c r="BS164" s="23">
        <f t="shared" si="1258"/>
        <v>234.185</v>
      </c>
      <c r="BT164" s="23">
        <f>+'QTR Raw'!AN84</f>
        <v>171.80699999999999</v>
      </c>
      <c r="BU164" s="23">
        <f t="shared" si="1258"/>
        <v>171.80699999999999</v>
      </c>
      <c r="BV164" s="23">
        <f>+'QTR Raw'!AP84</f>
        <v>97.653000000000006</v>
      </c>
      <c r="BW164" s="23">
        <f t="shared" si="1258"/>
        <v>97.653000000000006</v>
      </c>
      <c r="BX164" s="23">
        <f>+'QTR Raw'!AR84</f>
        <v>36.594999999999999</v>
      </c>
      <c r="BY164" s="23">
        <f t="shared" si="1258"/>
        <v>36.594999999999999</v>
      </c>
      <c r="BZ164" s="23">
        <f>+'QTR Raw'!AT84</f>
        <v>33.630000000000003</v>
      </c>
      <c r="CA164" s="23">
        <f t="shared" si="1258"/>
        <v>33.630000000000003</v>
      </c>
      <c r="CB164" s="23">
        <f>+'QTR Raw'!AV84</f>
        <v>35.33</v>
      </c>
      <c r="CC164" s="23">
        <f t="shared" si="1258"/>
        <v>35.33</v>
      </c>
      <c r="CD164" s="23">
        <f>+'QTR Raw'!AX84</f>
        <v>77.5</v>
      </c>
      <c r="CE164" s="23">
        <f t="shared" si="1258"/>
        <v>77.5</v>
      </c>
      <c r="CF164" s="23">
        <f>+'QTR Raw'!AZ84</f>
        <v>80.150000000000006</v>
      </c>
      <c r="CG164" s="23">
        <f t="shared" ref="CG164:CG165" si="1261">+CF164</f>
        <v>80.150000000000006</v>
      </c>
      <c r="CH164" s="23">
        <f t="shared" si="1236"/>
        <v>28.61</v>
      </c>
      <c r="CI164" s="23">
        <f>CI28/90*CI199</f>
        <v>60.142601401757858</v>
      </c>
      <c r="CJ164" s="23">
        <f>+'QTR Raw'!BD84</f>
        <v>140.77000000000001</v>
      </c>
      <c r="CK164" s="23">
        <f t="shared" ref="CK164:DB164" si="1262">CK28/90*CK199</f>
        <v>449.57652984622825</v>
      </c>
      <c r="CL164" s="23">
        <f>+'QTR Raw'!BF84</f>
        <v>126.03</v>
      </c>
      <c r="CM164" s="24">
        <f t="shared" si="1262"/>
        <v>562.77615720180415</v>
      </c>
      <c r="CN164" s="24">
        <f t="shared" si="1262"/>
        <v>561.21560472660678</v>
      </c>
      <c r="CO164" s="24">
        <f t="shared" si="1262"/>
        <v>574.51454553086376</v>
      </c>
      <c r="CP164" s="24">
        <f t="shared" si="1262"/>
        <v>601.36762929618124</v>
      </c>
      <c r="CQ164" s="24">
        <f t="shared" si="1262"/>
        <v>614.19771264974781</v>
      </c>
      <c r="CR164" s="24">
        <f t="shared" si="1262"/>
        <v>620.84794143776855</v>
      </c>
      <c r="CS164" s="24">
        <f t="shared" si="1262"/>
        <v>645.11721166680934</v>
      </c>
      <c r="CT164" s="24">
        <f t="shared" si="1262"/>
        <v>662.37251776603728</v>
      </c>
      <c r="CU164" s="24">
        <f t="shared" si="1262"/>
        <v>673.05157301711586</v>
      </c>
      <c r="CV164" s="24">
        <f t="shared" si="1262"/>
        <v>683.99152581468275</v>
      </c>
      <c r="CW164" s="24">
        <f t="shared" si="1262"/>
        <v>711.54722524339297</v>
      </c>
      <c r="CX164" s="24">
        <f t="shared" si="1262"/>
        <v>728.10861731911587</v>
      </c>
      <c r="CY164" s="24">
        <f t="shared" si="1262"/>
        <v>739.88637930530263</v>
      </c>
      <c r="CZ164" s="24">
        <f t="shared" si="1262"/>
        <v>752.72325385231341</v>
      </c>
      <c r="DA164" s="24">
        <f t="shared" si="1262"/>
        <v>782.94409623060551</v>
      </c>
      <c r="DB164" s="24">
        <f t="shared" si="1262"/>
        <v>800.74559677642037</v>
      </c>
      <c r="DE164" s="123"/>
      <c r="DF164" s="23">
        <v>126.03</v>
      </c>
    </row>
    <row r="165" spans="1:110" s="23" customFormat="1" outlineLevel="1" x14ac:dyDescent="0.2">
      <c r="A165" s="23" t="s">
        <v>64</v>
      </c>
      <c r="B165" s="23">
        <f>'Annual Raw'!C80</f>
        <v>13.308793100000001</v>
      </c>
      <c r="C165" s="23">
        <f>'Annual Raw'!D80</f>
        <v>17.069912200000001</v>
      </c>
      <c r="D165" s="23">
        <f>'Annual Raw'!E80</f>
        <v>12.275330500000001</v>
      </c>
      <c r="E165" s="23">
        <f>'Annual Raw'!F80</f>
        <v>14.7445998</v>
      </c>
      <c r="F165" s="23">
        <f>'Annual Raw'!G80</f>
        <v>25.405799999999999</v>
      </c>
      <c r="G165" s="23">
        <f>'Annual Raw'!H80</f>
        <v>30.623799999999999</v>
      </c>
      <c r="H165" s="23">
        <f>'Annual Raw'!I80</f>
        <v>39.636299999999999</v>
      </c>
      <c r="I165" s="23">
        <f>'Annual Raw'!J80</f>
        <v>57.194800000000001</v>
      </c>
      <c r="J165" s="23">
        <f>'Annual Raw'!K80</f>
        <v>74.917900000000003</v>
      </c>
      <c r="K165" s="23">
        <f>'Annual Raw'!L80</f>
        <v>54.674300000000002</v>
      </c>
      <c r="L165" s="23">
        <f>'Annual Raw'!M80</f>
        <v>45.040799999999997</v>
      </c>
      <c r="M165" s="23">
        <f>'Annual Raw'!N80</f>
        <v>86.933599999999998</v>
      </c>
      <c r="N165" s="23">
        <f>'Annual Raw'!O80</f>
        <v>153.9152</v>
      </c>
      <c r="O165" s="23">
        <f>'Annual Raw'!P80</f>
        <v>108.6362</v>
      </c>
      <c r="P165" s="23">
        <f>'Annual Raw'!Q80</f>
        <v>99.971900000000005</v>
      </c>
      <c r="Q165" s="23">
        <f>'Annual Raw'!R80</f>
        <v>53.63</v>
      </c>
      <c r="R165" s="23">
        <f>'Annual Raw'!S80</f>
        <v>75.239000000000004</v>
      </c>
      <c r="S165" s="23">
        <f>'Annual Raw'!T80</f>
        <v>169.29560000000001</v>
      </c>
      <c r="T165" s="23">
        <f>'Annual Raw'!U80</f>
        <v>253.22720000000001</v>
      </c>
      <c r="U165" s="23">
        <f>'Annual Raw'!V80</f>
        <v>190.63220000000001</v>
      </c>
      <c r="V165" s="23">
        <f>'Annual Raw'!W80</f>
        <v>214.38659999999999</v>
      </c>
      <c r="W165" s="23">
        <f>'Annual Raw'!X80</f>
        <v>79.150199999999998</v>
      </c>
      <c r="X165" s="23">
        <f>'Annual Raw'!Y80</f>
        <v>11.47</v>
      </c>
      <c r="Y165" s="23">
        <f>'Annual Raw'!Z80</f>
        <v>55.02</v>
      </c>
      <c r="Z165" s="23">
        <f>'Annual Raw'!AA80</f>
        <v>37.840000000000003</v>
      </c>
      <c r="AA165" s="23">
        <f>'Annual Raw'!AB80</f>
        <v>90.27</v>
      </c>
      <c r="AB165" s="24">
        <f t="shared" si="1254"/>
        <v>0</v>
      </c>
      <c r="AC165" s="24">
        <f t="shared" si="1255"/>
        <v>0</v>
      </c>
      <c r="AD165" s="24">
        <f t="shared" si="1256"/>
        <v>0</v>
      </c>
      <c r="AE165" s="24">
        <f t="shared" si="1257"/>
        <v>0</v>
      </c>
      <c r="AJ165" s="23">
        <f>+'QTR Raw'!D85</f>
        <v>71.938999999999993</v>
      </c>
      <c r="AK165" s="23">
        <f t="shared" si="1258"/>
        <v>71.938999999999993</v>
      </c>
      <c r="AL165" s="23">
        <f>+'QTR Raw'!F85</f>
        <v>154.839</v>
      </c>
      <c r="AM165" s="23">
        <f t="shared" si="1258"/>
        <v>154.839</v>
      </c>
      <c r="AN165" s="23">
        <f>+'QTR Raw'!H85</f>
        <v>205.506</v>
      </c>
      <c r="AO165" s="23">
        <f t="shared" si="1258"/>
        <v>205.506</v>
      </c>
      <c r="AP165" s="23">
        <f>+'QTR Raw'!J85</f>
        <v>114.738</v>
      </c>
      <c r="AQ165" s="23">
        <f t="shared" si="1258"/>
        <v>114.738</v>
      </c>
      <c r="AR165" s="23">
        <f>+'QTR Raw'!L85</f>
        <v>18.358000000000001</v>
      </c>
      <c r="AS165" s="23">
        <f t="shared" si="1258"/>
        <v>18.358000000000001</v>
      </c>
      <c r="AT165" s="23">
        <f>+'QTR Raw'!N85</f>
        <v>108.801</v>
      </c>
      <c r="AU165" s="23">
        <f t="shared" si="1258"/>
        <v>108.801</v>
      </c>
      <c r="AV165" s="23">
        <f>+'QTR Raw'!P85</f>
        <v>123.447</v>
      </c>
      <c r="AW165" s="23">
        <f t="shared" si="1258"/>
        <v>123.447</v>
      </c>
      <c r="AX165" s="23">
        <f>+'QTR Raw'!R85</f>
        <v>0</v>
      </c>
      <c r="AY165" s="23">
        <f t="shared" si="1258"/>
        <v>0</v>
      </c>
      <c r="AZ165" s="23">
        <f>+'QTR Raw'!T85</f>
        <v>180.19399999999999</v>
      </c>
      <c r="BA165" s="23">
        <f t="shared" si="1258"/>
        <v>180.19399999999999</v>
      </c>
      <c r="BB165" s="23">
        <f>+'QTR Raw'!V85</f>
        <v>5.2690000000000001</v>
      </c>
      <c r="BC165" s="23">
        <f t="shared" si="1258"/>
        <v>5.2690000000000001</v>
      </c>
      <c r="BD165" s="23">
        <f>+'QTR Raw'!X85</f>
        <v>0</v>
      </c>
      <c r="BE165" s="23">
        <f t="shared" si="1258"/>
        <v>0</v>
      </c>
      <c r="BF165" s="23">
        <f>+'QTR Raw'!Z85</f>
        <v>5.8159999999999998</v>
      </c>
      <c r="BG165" s="23">
        <f t="shared" si="1258"/>
        <v>5.8159999999999998</v>
      </c>
      <c r="BH165" s="23">
        <f>+'QTR Raw'!AB85</f>
        <v>3.6190000000000002</v>
      </c>
      <c r="BI165" s="23">
        <f t="shared" si="1258"/>
        <v>3.6190000000000002</v>
      </c>
      <c r="BJ165" s="23">
        <f>+'QTR Raw'!AD85</f>
        <v>4.8410000000000002</v>
      </c>
      <c r="BK165" s="23">
        <f t="shared" si="1258"/>
        <v>4.8410000000000002</v>
      </c>
      <c r="BL165" s="23">
        <f>+'QTR Raw'!AF85</f>
        <v>4.968</v>
      </c>
      <c r="BM165" s="23">
        <f t="shared" si="1258"/>
        <v>4.968</v>
      </c>
      <c r="BN165" s="23">
        <f>+'QTR Raw'!AH85</f>
        <v>5.79</v>
      </c>
      <c r="BO165" s="23">
        <f t="shared" si="1258"/>
        <v>5.79</v>
      </c>
      <c r="BP165" s="23">
        <f>+'QTR Raw'!AJ85</f>
        <v>5.4580000000000002</v>
      </c>
      <c r="BQ165" s="23">
        <f t="shared" si="1258"/>
        <v>5.4580000000000002</v>
      </c>
      <c r="BR165" s="23">
        <f>+'QTR Raw'!AL85</f>
        <v>0</v>
      </c>
      <c r="BS165" s="23">
        <f t="shared" si="1258"/>
        <v>0</v>
      </c>
      <c r="BT165" s="23">
        <f>+'QTR Raw'!AN85</f>
        <v>0</v>
      </c>
      <c r="BU165" s="23">
        <f t="shared" si="1258"/>
        <v>0</v>
      </c>
      <c r="BV165" s="23">
        <f>+'QTR Raw'!AP85</f>
        <v>0</v>
      </c>
      <c r="BW165" s="23">
        <f t="shared" si="1258"/>
        <v>0</v>
      </c>
      <c r="BX165" s="23">
        <f>+'QTR Raw'!AR85</f>
        <v>0</v>
      </c>
      <c r="BY165" s="23">
        <f t="shared" si="1258"/>
        <v>0</v>
      </c>
      <c r="BZ165" s="23">
        <f>+'QTR Raw'!AT85</f>
        <v>0</v>
      </c>
      <c r="CA165" s="23">
        <f t="shared" si="1258"/>
        <v>0</v>
      </c>
      <c r="CB165" s="23">
        <f>+'QTR Raw'!AV85</f>
        <v>0</v>
      </c>
      <c r="CC165" s="23">
        <f t="shared" si="1258"/>
        <v>0</v>
      </c>
      <c r="CD165" s="23">
        <f>+'QTR Raw'!AX85</f>
        <v>0</v>
      </c>
      <c r="CE165" s="23">
        <f t="shared" si="1258"/>
        <v>0</v>
      </c>
      <c r="CF165" s="23">
        <f>+'QTR Raw'!AZ85</f>
        <v>0</v>
      </c>
      <c r="CG165" s="23">
        <f t="shared" si="1261"/>
        <v>0</v>
      </c>
      <c r="CH165" s="23">
        <f t="shared" si="1236"/>
        <v>37.840000000000003</v>
      </c>
      <c r="CJ165" s="23">
        <f>+'QTR Raw'!BD85</f>
        <v>0</v>
      </c>
      <c r="CL165" s="23">
        <f>+'QTR Raw'!BF85</f>
        <v>0</v>
      </c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  <c r="DF165" s="23">
        <v>0</v>
      </c>
    </row>
    <row r="166" spans="1:110" s="22" customFormat="1" x14ac:dyDescent="0.2">
      <c r="A166" s="22" t="s">
        <v>65</v>
      </c>
      <c r="B166" s="22">
        <f>SUM(B160:B165)</f>
        <v>106.00503900000001</v>
      </c>
      <c r="C166" s="22">
        <f t="shared" ref="C166:V166" si="1263">SUM(C160:C165)</f>
        <v>121.5148212</v>
      </c>
      <c r="D166" s="22">
        <f t="shared" si="1263"/>
        <v>130.0835222</v>
      </c>
      <c r="E166" s="22">
        <f t="shared" si="1263"/>
        <v>184.08783920000002</v>
      </c>
      <c r="F166" s="22">
        <f t="shared" si="1263"/>
        <v>259.3288</v>
      </c>
      <c r="G166" s="22">
        <f t="shared" si="1263"/>
        <v>408.70570000000004</v>
      </c>
      <c r="H166" s="22">
        <f t="shared" si="1263"/>
        <v>596.5797</v>
      </c>
      <c r="I166" s="22">
        <f t="shared" si="1263"/>
        <v>802.1146</v>
      </c>
      <c r="J166" s="22">
        <f t="shared" si="1263"/>
        <v>947.40030000000002</v>
      </c>
      <c r="K166" s="22">
        <f t="shared" si="1263"/>
        <v>887.44439999999997</v>
      </c>
      <c r="L166" s="22">
        <f>SUM(L160:L165)</f>
        <v>1175.8284000000001</v>
      </c>
      <c r="M166" s="22">
        <f>SUM(M160:M165)</f>
        <v>1314.3238000000001</v>
      </c>
      <c r="N166" s="22">
        <f t="shared" si="1263"/>
        <v>1443.5425</v>
      </c>
      <c r="O166" s="22">
        <f t="shared" si="1263"/>
        <v>1418.2804999999998</v>
      </c>
      <c r="P166" s="22">
        <f t="shared" si="1263"/>
        <v>1390.4608000000001</v>
      </c>
      <c r="Q166" s="22">
        <f t="shared" si="1263"/>
        <v>1203.3967000000002</v>
      </c>
      <c r="R166" s="22">
        <f t="shared" si="1263"/>
        <v>1082.9189999999999</v>
      </c>
      <c r="S166" s="22">
        <f t="shared" si="1263"/>
        <v>1187.2204000000002</v>
      </c>
      <c r="T166" s="22">
        <f t="shared" si="1263"/>
        <v>1231.1735000000001</v>
      </c>
      <c r="U166" s="22">
        <f t="shared" si="1263"/>
        <v>1169.9897999999998</v>
      </c>
      <c r="V166" s="22">
        <f t="shared" si="1263"/>
        <v>1034.5755000000001</v>
      </c>
      <c r="W166" s="22">
        <f t="shared" ref="W166" si="1264">SUM(W160:W165)</f>
        <v>808.5403</v>
      </c>
      <c r="X166" s="22">
        <f t="shared" ref="X166:Y166" si="1265">SUM(X160:X165)</f>
        <v>688.73</v>
      </c>
      <c r="Y166" s="22">
        <f t="shared" si="1265"/>
        <v>803.90000000000009</v>
      </c>
      <c r="Z166" s="22">
        <f t="shared" ref="Z166:AA166" si="1266">SUM(Z160:Z165)</f>
        <v>954.61000000000013</v>
      </c>
      <c r="AA166" s="22">
        <f t="shared" ref="AA166" si="1267">SUM(AA160:AA165)</f>
        <v>1325.54</v>
      </c>
      <c r="AB166" s="21">
        <f t="shared" ref="AB166:AD166" si="1268">SUM(AB160:AB165)</f>
        <v>1627.9056188815466</v>
      </c>
      <c r="AC166" s="21">
        <f t="shared" si="1268"/>
        <v>1793.0462015822641</v>
      </c>
      <c r="AD166" s="21">
        <f t="shared" si="1268"/>
        <v>1970.9941997993558</v>
      </c>
      <c r="AE166" s="21">
        <f t="shared" ref="AE166" si="1269">SUM(AE160:AE165)</f>
        <v>2167.6229194654279</v>
      </c>
      <c r="AJ166" s="22">
        <f t="shared" ref="AJ166" si="1270">SUM(AJ160:AJ165)</f>
        <v>1178.3520000000001</v>
      </c>
      <c r="AK166" s="22">
        <f t="shared" ref="AK166" si="1271">SUM(AK160:AK165)</f>
        <v>784.55474967999453</v>
      </c>
      <c r="AL166" s="22">
        <f t="shared" ref="AL166:AM166" si="1272">SUM(AL160:AL165)</f>
        <v>1443.5429999999999</v>
      </c>
      <c r="AM166" s="22">
        <f t="shared" si="1272"/>
        <v>927.35787057889775</v>
      </c>
      <c r="AN166" s="22">
        <f t="shared" ref="AN166:AO166" si="1273">SUM(AN160:AN165)</f>
        <v>656.726</v>
      </c>
      <c r="AO166" s="22">
        <f t="shared" si="1273"/>
        <v>637.02079380921987</v>
      </c>
      <c r="AP166" s="22">
        <f t="shared" ref="AP166:CE166" si="1274">SUM(AP160:AP165)</f>
        <v>1418.28</v>
      </c>
      <c r="AQ166" s="22">
        <f t="shared" si="1274"/>
        <v>2196.8061592625077</v>
      </c>
      <c r="AR166" s="22">
        <f t="shared" si="1274"/>
        <v>625.48599999999988</v>
      </c>
      <c r="AS166" s="22">
        <f t="shared" si="1274"/>
        <v>631.72532828562134</v>
      </c>
      <c r="AT166" s="22">
        <f t="shared" si="1274"/>
        <v>1390.4609999999998</v>
      </c>
      <c r="AU166" s="22">
        <f t="shared" si="1274"/>
        <v>862.11470957418624</v>
      </c>
      <c r="AV166" s="22">
        <f t="shared" si="1274"/>
        <v>1408.701</v>
      </c>
      <c r="AW166" s="22">
        <f t="shared" si="1274"/>
        <v>1510.8323491958463</v>
      </c>
      <c r="AX166" s="22">
        <f t="shared" si="1274"/>
        <v>1203.3969999999999</v>
      </c>
      <c r="AY166" s="22">
        <f t="shared" si="1274"/>
        <v>721.65858218353014</v>
      </c>
      <c r="AZ166" s="22">
        <f t="shared" si="1274"/>
        <v>1298.846</v>
      </c>
      <c r="BA166" s="22">
        <f t="shared" si="1274"/>
        <v>1392.3361115871237</v>
      </c>
      <c r="BB166" s="22">
        <f t="shared" si="1274"/>
        <v>1082.922</v>
      </c>
      <c r="BC166" s="22">
        <f t="shared" si="1274"/>
        <v>641.09762422057793</v>
      </c>
      <c r="BD166" s="22">
        <f t="shared" si="1274"/>
        <v>995.73099999999999</v>
      </c>
      <c r="BE166" s="22">
        <f t="shared" si="1274"/>
        <v>1027.3490405711289</v>
      </c>
      <c r="BF166" s="22">
        <f t="shared" si="1274"/>
        <v>1187.22</v>
      </c>
      <c r="BG166" s="22">
        <f t="shared" si="1274"/>
        <v>894.80684580824641</v>
      </c>
      <c r="BH166" s="22">
        <f t="shared" si="1274"/>
        <v>1220.9589999999998</v>
      </c>
      <c r="BI166" s="22">
        <f t="shared" si="1274"/>
        <v>1080.8008601833753</v>
      </c>
      <c r="BJ166" s="22">
        <f t="shared" si="1274"/>
        <v>1231.174</v>
      </c>
      <c r="BK166" s="22">
        <f t="shared" si="1274"/>
        <v>1073.844979494138</v>
      </c>
      <c r="BL166" s="22">
        <f t="shared" si="1274"/>
        <v>1263.729</v>
      </c>
      <c r="BM166" s="22">
        <f t="shared" si="1274"/>
        <v>1307.2357380344979</v>
      </c>
      <c r="BN166" s="22">
        <f t="shared" si="1274"/>
        <v>1235.3879999999999</v>
      </c>
      <c r="BO166" s="22">
        <f t="shared" si="1274"/>
        <v>777.90694427435983</v>
      </c>
      <c r="BP166" s="22">
        <f t="shared" si="1274"/>
        <v>1048.8500000000001</v>
      </c>
      <c r="BQ166" s="22">
        <f t="shared" si="1274"/>
        <v>1141.5808336380255</v>
      </c>
      <c r="BR166" s="22">
        <f t="shared" si="1274"/>
        <v>1093.577</v>
      </c>
      <c r="BS166" s="22">
        <f t="shared" si="1274"/>
        <v>972.51580856362739</v>
      </c>
      <c r="BT166" s="22">
        <f t="shared" si="1274"/>
        <v>964.83300000000008</v>
      </c>
      <c r="BU166" s="22">
        <f t="shared" si="1274"/>
        <v>872.45071014861969</v>
      </c>
      <c r="BV166" s="22">
        <f t="shared" si="1274"/>
        <v>878.77700000000004</v>
      </c>
      <c r="BW166" s="22">
        <f t="shared" si="1274"/>
        <v>871.00986477641209</v>
      </c>
      <c r="BX166" s="22">
        <f t="shared" si="1274"/>
        <v>803.875</v>
      </c>
      <c r="BY166" s="22">
        <f t="shared" si="1274"/>
        <v>804.26330160323221</v>
      </c>
      <c r="BZ166" s="22">
        <f t="shared" si="1274"/>
        <v>770.45999999999992</v>
      </c>
      <c r="CA166" s="22">
        <f t="shared" si="1274"/>
        <v>755.45407829650901</v>
      </c>
      <c r="CB166" s="22">
        <f t="shared" si="1274"/>
        <v>787.23</v>
      </c>
      <c r="CC166" s="22">
        <f t="shared" si="1274"/>
        <v>772.3154093627553</v>
      </c>
      <c r="CD166" s="22">
        <f t="shared" si="1274"/>
        <v>909.6</v>
      </c>
      <c r="CE166" s="22">
        <f t="shared" si="1274"/>
        <v>703.71296376323903</v>
      </c>
      <c r="CF166" s="22">
        <f t="shared" ref="CF166:CG166" si="1275">SUM(CF160:CF165)</f>
        <v>1045.4000000000001</v>
      </c>
      <c r="CG166" s="22">
        <f t="shared" si="1275"/>
        <v>1074.6081955760224</v>
      </c>
      <c r="CH166" s="22">
        <f t="shared" ref="CH166:CI166" si="1276">SUM(CH160:CH165)</f>
        <v>954.61000000000013</v>
      </c>
      <c r="CI166" s="22">
        <f t="shared" si="1276"/>
        <v>587.16229008112134</v>
      </c>
      <c r="CJ166" s="22">
        <f t="shared" ref="CJ166:DB166" si="1277">SUM(CJ160:CJ165)</f>
        <v>1254.3399999999999</v>
      </c>
      <c r="CK166" s="22">
        <f t="shared" si="1277"/>
        <v>1197.0829252936192</v>
      </c>
      <c r="CL166" s="22">
        <f t="shared" ref="CL166" si="1278">SUM(CL160:CL165)</f>
        <v>1620.1699999999998</v>
      </c>
      <c r="CM166" s="21">
        <f t="shared" si="1277"/>
        <v>1523.4382827582619</v>
      </c>
      <c r="CN166" s="21">
        <f t="shared" si="1277"/>
        <v>1519.2138582645348</v>
      </c>
      <c r="CO166" s="21">
        <f t="shared" si="1277"/>
        <v>1555.2141672365374</v>
      </c>
      <c r="CP166" s="21">
        <f t="shared" si="1277"/>
        <v>1627.9056188815466</v>
      </c>
      <c r="CQ166" s="21">
        <f t="shared" si="1277"/>
        <v>1662.6367280475552</v>
      </c>
      <c r="CR166" s="21">
        <f t="shared" si="1277"/>
        <v>1680.6389354885132</v>
      </c>
      <c r="CS166" s="21">
        <f t="shared" si="1277"/>
        <v>1746.3359890832485</v>
      </c>
      <c r="CT166" s="21">
        <f t="shared" si="1277"/>
        <v>1793.0462015822641</v>
      </c>
      <c r="CU166" s="21">
        <f t="shared" si="1277"/>
        <v>1821.9544653475145</v>
      </c>
      <c r="CV166" s="21">
        <f t="shared" si="1277"/>
        <v>1851.5689802662862</v>
      </c>
      <c r="CW166" s="21">
        <f t="shared" si="1277"/>
        <v>1926.1624165387184</v>
      </c>
      <c r="CX166" s="21">
        <f t="shared" si="1277"/>
        <v>1970.9941997993558</v>
      </c>
      <c r="CY166" s="21">
        <f t="shared" si="1277"/>
        <v>2002.8766689931206</v>
      </c>
      <c r="CZ166" s="21">
        <f t="shared" si="1277"/>
        <v>2037.6261619587031</v>
      </c>
      <c r="DA166" s="21">
        <f t="shared" si="1277"/>
        <v>2119.4341554693165</v>
      </c>
      <c r="DB166" s="21">
        <f t="shared" si="1277"/>
        <v>2167.6229194654279</v>
      </c>
      <c r="DE166" s="126"/>
      <c r="DF166" s="22">
        <v>1620.1699999999998</v>
      </c>
    </row>
    <row r="167" spans="1:110" s="23" customFormat="1" outlineLevel="1" x14ac:dyDescent="0.2">
      <c r="A167" s="23" t="s">
        <v>66</v>
      </c>
      <c r="B167" s="23">
        <f>'Annual Raw'!C50+'Annual Raw'!C58</f>
        <v>0</v>
      </c>
      <c r="C167" s="23">
        <f>'Annual Raw'!D50+'Annual Raw'!D58</f>
        <v>0</v>
      </c>
      <c r="D167" s="23">
        <f>'Annual Raw'!E50+'Annual Raw'!E58</f>
        <v>0</v>
      </c>
      <c r="E167" s="23">
        <f>'Annual Raw'!F50+'Annual Raw'!F58</f>
        <v>0</v>
      </c>
      <c r="F167" s="23">
        <f>'Annual Raw'!G50+'Annual Raw'!G58</f>
        <v>0</v>
      </c>
      <c r="G167" s="23">
        <f>'Annual Raw'!H50+'Annual Raw'!H58</f>
        <v>0</v>
      </c>
      <c r="H167" s="23">
        <f>'Annual Raw'!I50+'Annual Raw'!I58</f>
        <v>0</v>
      </c>
      <c r="I167" s="23">
        <f>'Annual Raw'!J50+'Annual Raw'!J58</f>
        <v>0</v>
      </c>
      <c r="J167" s="23">
        <f>'Annual Raw'!K50+'Annual Raw'!K58</f>
        <v>0</v>
      </c>
      <c r="K167" s="23">
        <f>'Annual Raw'!L50+'Annual Raw'!L58</f>
        <v>0</v>
      </c>
      <c r="L167" s="23">
        <f>'Annual Raw'!M50+'Annual Raw'!M58</f>
        <v>70.5715</v>
      </c>
      <c r="M167" s="23">
        <f>'Annual Raw'!N50+'Annual Raw'!N58</f>
        <v>55.176900000000003</v>
      </c>
      <c r="N167" s="23">
        <f>'Annual Raw'!O50+'Annual Raw'!O58</f>
        <v>125.9269</v>
      </c>
      <c r="O167" s="23">
        <f>'Annual Raw'!P50+'Annual Raw'!P58</f>
        <v>129.76310000000001</v>
      </c>
      <c r="P167" s="23">
        <f>'Annual Raw'!Q50+'Annual Raw'!Q58</f>
        <v>100.52030000000001</v>
      </c>
      <c r="Q167" s="23">
        <f>'Annual Raw'!R50+'Annual Raw'!R58</f>
        <v>47.075800000000001</v>
      </c>
      <c r="R167" s="23">
        <f>'Annual Raw'!S50+'Annual Raw'!S58</f>
        <v>0.57799999999999996</v>
      </c>
      <c r="S167" s="23">
        <f>'Annual Raw'!T50+'Annual Raw'!T58</f>
        <v>0.56289999999999996</v>
      </c>
      <c r="T167" s="23">
        <f>'Annual Raw'!U50+'Annual Raw'!U58</f>
        <v>0.26240000000000002</v>
      </c>
      <c r="U167" s="23">
        <f>'Annual Raw'!V50+'Annual Raw'!V58</f>
        <v>48.601900000000001</v>
      </c>
      <c r="V167" s="23">
        <f>'Annual Raw'!W50+'Annual Raw'!W58</f>
        <v>32.291200000000003</v>
      </c>
      <c r="W167" s="23">
        <f>'Annual Raw'!X50+'Annual Raw'!X58</f>
        <v>32.418199999999999</v>
      </c>
      <c r="X167" s="23">
        <f>'Annual Raw'!Y50+'Annual Raw'!Y58</f>
        <v>51.15</v>
      </c>
      <c r="Y167" s="23">
        <f>'Annual Raw'!Z50+'Annual Raw'!Z58</f>
        <v>77.86</v>
      </c>
      <c r="Z167" s="23">
        <f>'Annual Raw'!AA50+'Annual Raw'!AA58</f>
        <v>167.98</v>
      </c>
      <c r="AA167" s="23">
        <f>'Annual Raw'!AB50+'Annual Raw'!AB58</f>
        <v>218.21</v>
      </c>
      <c r="AB167" s="24">
        <f t="shared" ref="AB167:AB173" si="1279">+CP167</f>
        <v>0</v>
      </c>
      <c r="AC167" s="24">
        <f t="shared" ref="AC167:AC173" si="1280">+CT167</f>
        <v>0</v>
      </c>
      <c r="AD167" s="24">
        <f t="shared" ref="AD167:AD173" si="1281">+CX167</f>
        <v>0</v>
      </c>
      <c r="AE167" s="24">
        <f t="shared" ref="AE167:AE173" si="1282">+DB167</f>
        <v>0</v>
      </c>
      <c r="AJ167" s="23">
        <f>+'QTR Raw'!D64</f>
        <v>81.281999999999996</v>
      </c>
      <c r="AK167" s="23">
        <f t="shared" ref="AK167:CE173" si="1283">+AJ167</f>
        <v>81.281999999999996</v>
      </c>
      <c r="AL167" s="23">
        <f>+'QTR Raw'!F64</f>
        <v>128.22900000000001</v>
      </c>
      <c r="AM167" s="23">
        <f t="shared" si="1283"/>
        <v>128.22900000000001</v>
      </c>
      <c r="AN167" s="23">
        <f>+'QTR Raw'!H64</f>
        <v>1.0449999999999999</v>
      </c>
      <c r="AO167" s="23">
        <f t="shared" si="1283"/>
        <v>1.0449999999999999</v>
      </c>
      <c r="AP167" s="23">
        <f>+'QTR Raw'!J64</f>
        <v>138.994</v>
      </c>
      <c r="AQ167" s="23">
        <f t="shared" si="1283"/>
        <v>138.994</v>
      </c>
      <c r="AR167" s="23">
        <f>+'QTR Raw'!L64</f>
        <v>1.093</v>
      </c>
      <c r="AS167" s="23">
        <f t="shared" si="1283"/>
        <v>1.093</v>
      </c>
      <c r="AT167" s="23">
        <f>+'QTR Raw'!N64</f>
        <v>113.051</v>
      </c>
      <c r="AU167" s="23">
        <f t="shared" si="1283"/>
        <v>113.051</v>
      </c>
      <c r="AV167" s="23">
        <f>+'QTR Raw'!P64</f>
        <v>116.187</v>
      </c>
      <c r="AW167" s="23">
        <f t="shared" si="1283"/>
        <v>116.187</v>
      </c>
      <c r="AX167" s="23">
        <f>+'QTR Raw'!R64</f>
        <v>47.076000000000001</v>
      </c>
      <c r="AY167" s="23">
        <f t="shared" si="1283"/>
        <v>47.076000000000001</v>
      </c>
      <c r="AZ167" s="23">
        <f>+'QTR Raw'!T64</f>
        <v>104.96299999999999</v>
      </c>
      <c r="BA167" s="23">
        <f t="shared" si="1283"/>
        <v>104.96299999999999</v>
      </c>
      <c r="BB167" s="23">
        <f>+'QTR Raw'!V64</f>
        <v>0.57799999999999996</v>
      </c>
      <c r="BC167" s="23">
        <f t="shared" si="1283"/>
        <v>0.57799999999999996</v>
      </c>
      <c r="BD167" s="23">
        <f>+'QTR Raw'!X64</f>
        <v>0.623</v>
      </c>
      <c r="BE167" s="23">
        <f t="shared" si="1283"/>
        <v>0.623</v>
      </c>
      <c r="BF167" s="23">
        <f>+'QTR Raw'!Z64</f>
        <v>0.56299999999999994</v>
      </c>
      <c r="BG167" s="23">
        <f t="shared" si="1283"/>
        <v>0.56299999999999994</v>
      </c>
      <c r="BH167" s="23">
        <f>+'QTR Raw'!AB64</f>
        <v>0.873</v>
      </c>
      <c r="BI167" s="23">
        <f t="shared" si="1283"/>
        <v>0.873</v>
      </c>
      <c r="BJ167" s="23">
        <f>+'QTR Raw'!AD64</f>
        <v>0.26200000000000001</v>
      </c>
      <c r="BK167" s="23">
        <f t="shared" si="1283"/>
        <v>0.26200000000000001</v>
      </c>
      <c r="BL167" s="23">
        <f>+'QTR Raw'!AF64</f>
        <v>38.414000000000001</v>
      </c>
      <c r="BM167" s="23">
        <f t="shared" si="1283"/>
        <v>38.414000000000001</v>
      </c>
      <c r="BN167" s="23">
        <f>+'QTR Raw'!AH64</f>
        <v>48.601999999999997</v>
      </c>
      <c r="BO167" s="23">
        <f t="shared" si="1283"/>
        <v>48.601999999999997</v>
      </c>
      <c r="BP167" s="23">
        <f>+'QTR Raw'!AJ64</f>
        <v>39.64</v>
      </c>
      <c r="BQ167" s="23">
        <f t="shared" si="1283"/>
        <v>39.64</v>
      </c>
      <c r="BR167" s="23">
        <f>+'QTR Raw'!AL64</f>
        <v>32.290999999999997</v>
      </c>
      <c r="BS167" s="23">
        <f t="shared" si="1283"/>
        <v>32.290999999999997</v>
      </c>
      <c r="BT167" s="23">
        <f>+'QTR Raw'!AN64</f>
        <v>24.757000000000001</v>
      </c>
      <c r="BU167" s="23">
        <f t="shared" si="1283"/>
        <v>24.757000000000001</v>
      </c>
      <c r="BV167" s="23">
        <f>+'QTR Raw'!AP64</f>
        <v>32.417999999999999</v>
      </c>
      <c r="BW167" s="23">
        <f t="shared" si="1283"/>
        <v>32.417999999999999</v>
      </c>
      <c r="BX167" s="23">
        <f>+'QTR Raw'!AR64</f>
        <v>40.207000000000001</v>
      </c>
      <c r="BY167" s="23">
        <f t="shared" si="1283"/>
        <v>40.207000000000001</v>
      </c>
      <c r="BZ167" s="23">
        <f>+'QTR Raw'!AT64</f>
        <v>51.15</v>
      </c>
      <c r="CA167" s="23">
        <f t="shared" si="1283"/>
        <v>51.15</v>
      </c>
      <c r="CB167" s="23">
        <f>+'QTR Raw'!AV64</f>
        <v>39.26</v>
      </c>
      <c r="CC167" s="23">
        <f t="shared" si="1283"/>
        <v>39.26</v>
      </c>
      <c r="CD167" s="23">
        <f>+'QTR Raw'!AX64</f>
        <v>77.86</v>
      </c>
      <c r="CE167" s="23">
        <f t="shared" si="1283"/>
        <v>77.86</v>
      </c>
      <c r="CF167" s="23">
        <f>+'QTR Raw'!AZ64</f>
        <v>117.02</v>
      </c>
      <c r="CG167" s="23">
        <f t="shared" ref="CG167:CG170" si="1284">+CF167</f>
        <v>117.02</v>
      </c>
      <c r="CH167" s="23">
        <f t="shared" si="1236"/>
        <v>167.98</v>
      </c>
      <c r="CJ167" s="23">
        <f>+'QTR Raw'!BD64</f>
        <v>214.21</v>
      </c>
      <c r="CL167" s="23">
        <f>+'QTR Raw'!BF64</f>
        <v>218.21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  <c r="DF167" s="23">
        <v>218.21</v>
      </c>
    </row>
    <row r="168" spans="1:110" s="23" customFormat="1" outlineLevel="1" x14ac:dyDescent="0.2">
      <c r="A168" s="23" t="s">
        <v>67</v>
      </c>
      <c r="B168" s="23">
        <f>'Annual Raw'!C51</f>
        <v>0</v>
      </c>
      <c r="C168" s="23">
        <f>'Annual Raw'!D51</f>
        <v>0</v>
      </c>
      <c r="D168" s="23">
        <f>'Annual Raw'!E51</f>
        <v>0</v>
      </c>
      <c r="E168" s="23">
        <f>'Annual Raw'!F51</f>
        <v>0</v>
      </c>
      <c r="F168" s="23">
        <f>'Annual Raw'!G51</f>
        <v>0</v>
      </c>
      <c r="G168" s="23">
        <f>'Annual Raw'!H51</f>
        <v>0</v>
      </c>
      <c r="H168" s="23">
        <f>'Annual Raw'!I51</f>
        <v>0</v>
      </c>
      <c r="I168" s="23">
        <f>'Annual Raw'!J51</f>
        <v>0</v>
      </c>
      <c r="J168" s="23">
        <f>'Annual Raw'!K51</f>
        <v>0</v>
      </c>
      <c r="K168" s="23">
        <f>'Annual Raw'!L51</f>
        <v>0</v>
      </c>
      <c r="L168" s="23">
        <f>'Annual Raw'!M51</f>
        <v>25.048500000000001</v>
      </c>
      <c r="M168" s="23">
        <f>'Annual Raw'!N51</f>
        <v>5.5277000000000003</v>
      </c>
      <c r="N168" s="23">
        <f>'Annual Raw'!O51</f>
        <v>2.3016000000000001</v>
      </c>
      <c r="O168" s="23">
        <f>'Annual Raw'!P51</f>
        <v>9.2304999999999993</v>
      </c>
      <c r="P168" s="23">
        <f>'Annual Raw'!Q51</f>
        <v>12.5303</v>
      </c>
      <c r="Q168" s="23">
        <f>'Annual Raw'!R51</f>
        <v>0</v>
      </c>
      <c r="R168" s="23">
        <f>'Annual Raw'!S51</f>
        <v>0</v>
      </c>
      <c r="S168" s="23">
        <f>'Annual Raw'!T51</f>
        <v>0</v>
      </c>
      <c r="T168" s="23">
        <f>'Annual Raw'!U51</f>
        <v>0</v>
      </c>
      <c r="U168" s="23">
        <f>'Annual Raw'!V51</f>
        <v>0</v>
      </c>
      <c r="V168" s="23">
        <f>'Annual Raw'!W51</f>
        <v>0</v>
      </c>
      <c r="W168" s="23">
        <f>'Annual Raw'!X51</f>
        <v>0</v>
      </c>
      <c r="X168" s="23">
        <f>'Annual Raw'!Y51</f>
        <v>0</v>
      </c>
      <c r="Y168" s="23">
        <f>'Annual Raw'!Z51</f>
        <v>0</v>
      </c>
      <c r="Z168" s="23">
        <f>'Annual Raw'!AA51</f>
        <v>0</v>
      </c>
      <c r="AA168" s="23">
        <f>'Annual Raw'!AB51</f>
        <v>0</v>
      </c>
      <c r="AB168" s="24">
        <f t="shared" si="1279"/>
        <v>0</v>
      </c>
      <c r="AC168" s="24">
        <f t="shared" si="1280"/>
        <v>0</v>
      </c>
      <c r="AD168" s="24">
        <f t="shared" si="1281"/>
        <v>0</v>
      </c>
      <c r="AE168" s="24">
        <f t="shared" si="1282"/>
        <v>0</v>
      </c>
      <c r="AJ168" s="23">
        <f>+'QTR Raw'!D65</f>
        <v>0</v>
      </c>
      <c r="AK168" s="23">
        <f t="shared" si="1283"/>
        <v>0</v>
      </c>
      <c r="AL168" s="23">
        <f>+'QTR Raw'!F65</f>
        <v>0</v>
      </c>
      <c r="AM168" s="23">
        <f t="shared" si="1283"/>
        <v>0</v>
      </c>
      <c r="AN168" s="23">
        <f>+'QTR Raw'!H65</f>
        <v>0</v>
      </c>
      <c r="AO168" s="23">
        <f t="shared" si="1283"/>
        <v>0</v>
      </c>
      <c r="AP168" s="23">
        <f>+'QTR Raw'!J65</f>
        <v>0</v>
      </c>
      <c r="AQ168" s="23">
        <f t="shared" si="1283"/>
        <v>0</v>
      </c>
      <c r="AR168" s="23">
        <f>+'QTR Raw'!L65</f>
        <v>0</v>
      </c>
      <c r="AS168" s="23">
        <f t="shared" si="1283"/>
        <v>0</v>
      </c>
      <c r="AT168" s="23">
        <f>+'QTR Raw'!N65</f>
        <v>0</v>
      </c>
      <c r="AU168" s="23">
        <f t="shared" si="1283"/>
        <v>0</v>
      </c>
      <c r="AV168" s="23">
        <f>+'QTR Raw'!P65</f>
        <v>0</v>
      </c>
      <c r="AW168" s="23">
        <f t="shared" si="1283"/>
        <v>0</v>
      </c>
      <c r="AX168" s="23">
        <f>+'QTR Raw'!R65</f>
        <v>0</v>
      </c>
      <c r="AY168" s="23">
        <f t="shared" si="1283"/>
        <v>0</v>
      </c>
      <c r="AZ168" s="23">
        <f>+'QTR Raw'!T65</f>
        <v>8.8520000000000003</v>
      </c>
      <c r="BA168" s="23">
        <f t="shared" si="1283"/>
        <v>8.8520000000000003</v>
      </c>
      <c r="BB168" s="23">
        <f>+'QTR Raw'!V65</f>
        <v>0</v>
      </c>
      <c r="BC168" s="23">
        <f t="shared" si="1283"/>
        <v>0</v>
      </c>
      <c r="BD168" s="23">
        <f>+'QTR Raw'!X65</f>
        <v>0</v>
      </c>
      <c r="BE168" s="23">
        <f t="shared" si="1283"/>
        <v>0</v>
      </c>
      <c r="BF168" s="23">
        <f>+'QTR Raw'!Z65</f>
        <v>0</v>
      </c>
      <c r="BG168" s="23">
        <f t="shared" si="1283"/>
        <v>0</v>
      </c>
      <c r="BH168" s="23">
        <f>+'QTR Raw'!AB65</f>
        <v>0</v>
      </c>
      <c r="BI168" s="23">
        <f t="shared" si="1283"/>
        <v>0</v>
      </c>
      <c r="BJ168" s="23">
        <f>+'QTR Raw'!AD65</f>
        <v>0</v>
      </c>
      <c r="BK168" s="23">
        <f t="shared" si="1283"/>
        <v>0</v>
      </c>
      <c r="BL168" s="23">
        <f>+'QTR Raw'!AF65</f>
        <v>0</v>
      </c>
      <c r="BM168" s="23">
        <f t="shared" si="1283"/>
        <v>0</v>
      </c>
      <c r="BN168" s="23">
        <f>+'QTR Raw'!AH65</f>
        <v>0</v>
      </c>
      <c r="BO168" s="23">
        <f t="shared" si="1283"/>
        <v>0</v>
      </c>
      <c r="BP168" s="23">
        <f>+'QTR Raw'!AJ65</f>
        <v>0</v>
      </c>
      <c r="BQ168" s="23">
        <f t="shared" si="1283"/>
        <v>0</v>
      </c>
      <c r="BR168" s="23">
        <f>+'QTR Raw'!AL65</f>
        <v>0</v>
      </c>
      <c r="BS168" s="23">
        <f t="shared" si="1283"/>
        <v>0</v>
      </c>
      <c r="BT168" s="23">
        <f>+'QTR Raw'!AN65</f>
        <v>0</v>
      </c>
      <c r="BU168" s="23">
        <f t="shared" si="1283"/>
        <v>0</v>
      </c>
      <c r="BV168" s="23">
        <f>+'QTR Raw'!AP65</f>
        <v>0</v>
      </c>
      <c r="BW168" s="23">
        <f t="shared" si="1283"/>
        <v>0</v>
      </c>
      <c r="BX168" s="23">
        <f>+'QTR Raw'!AR65</f>
        <v>0</v>
      </c>
      <c r="BY168" s="23">
        <f t="shared" si="1283"/>
        <v>0</v>
      </c>
      <c r="BZ168" s="23">
        <f>+'QTR Raw'!AT65</f>
        <v>0</v>
      </c>
      <c r="CA168" s="23">
        <f t="shared" si="1283"/>
        <v>0</v>
      </c>
      <c r="CB168" s="23">
        <f>+'QTR Raw'!AV65</f>
        <v>0</v>
      </c>
      <c r="CC168" s="23">
        <f t="shared" si="1283"/>
        <v>0</v>
      </c>
      <c r="CD168" s="23">
        <f>+'QTR Raw'!AX65</f>
        <v>0</v>
      </c>
      <c r="CE168" s="23">
        <f t="shared" si="1283"/>
        <v>0</v>
      </c>
      <c r="CF168" s="23">
        <f>+'QTR Raw'!AZ65</f>
        <v>0</v>
      </c>
      <c r="CG168" s="23">
        <f t="shared" si="1284"/>
        <v>0</v>
      </c>
      <c r="CH168" s="23">
        <f t="shared" si="1236"/>
        <v>0</v>
      </c>
      <c r="CJ168" s="23">
        <f>+'QTR Raw'!BD65</f>
        <v>0</v>
      </c>
      <c r="CL168" s="23">
        <f>+'QTR Raw'!BF65</f>
        <v>0</v>
      </c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  <c r="DF168" s="23">
        <v>0</v>
      </c>
    </row>
    <row r="169" spans="1:110" s="23" customFormat="1" outlineLevel="1" x14ac:dyDescent="0.2">
      <c r="A169" s="23" t="s">
        <v>68</v>
      </c>
      <c r="B169" s="23">
        <f>'Annual Raw'!C52</f>
        <v>0</v>
      </c>
      <c r="C169" s="23">
        <f>'Annual Raw'!D52</f>
        <v>0</v>
      </c>
      <c r="D169" s="23">
        <f>'Annual Raw'!E52</f>
        <v>0</v>
      </c>
      <c r="E169" s="23">
        <f>'Annual Raw'!F52</f>
        <v>0</v>
      </c>
      <c r="F169" s="23">
        <f>'Annual Raw'!G52</f>
        <v>0</v>
      </c>
      <c r="G169" s="23">
        <f>'Annual Raw'!H52</f>
        <v>0</v>
      </c>
      <c r="H169" s="23">
        <f>'Annual Raw'!I52</f>
        <v>0</v>
      </c>
      <c r="I169" s="23">
        <f>'Annual Raw'!J52</f>
        <v>0</v>
      </c>
      <c r="J169" s="23">
        <f>'Annual Raw'!K52</f>
        <v>0</v>
      </c>
      <c r="K169" s="23">
        <f>'Annual Raw'!L52</f>
        <v>0</v>
      </c>
      <c r="L169" s="23">
        <f>'Annual Raw'!M52</f>
        <v>5.0384000000000002</v>
      </c>
      <c r="M169" s="23">
        <f>'Annual Raw'!N52</f>
        <v>4.0690999999999997</v>
      </c>
      <c r="N169" s="23">
        <f>'Annual Raw'!O52</f>
        <v>5.2104999999999997</v>
      </c>
      <c r="O169" s="23">
        <f>'Annual Raw'!P52</f>
        <v>3.2570999999999999</v>
      </c>
      <c r="P169" s="23">
        <f>'Annual Raw'!Q52</f>
        <v>3.1747000000000001</v>
      </c>
      <c r="Q169" s="23">
        <f>'Annual Raw'!R52</f>
        <v>6.6699000000000002</v>
      </c>
      <c r="R169" s="23">
        <f>'Annual Raw'!S52</f>
        <v>48.211799999999997</v>
      </c>
      <c r="S169" s="23">
        <f>'Annual Raw'!T52</f>
        <v>54.605800000000002</v>
      </c>
      <c r="T169" s="23">
        <f>'Annual Raw'!U52</f>
        <v>56.404699999999998</v>
      </c>
      <c r="U169" s="23">
        <f>'Annual Raw'!V52</f>
        <v>62.669400000000003</v>
      </c>
      <c r="V169" s="23">
        <f>'Annual Raw'!W52</f>
        <v>54.669499999999999</v>
      </c>
      <c r="W169" s="23">
        <f>'Annual Raw'!X52</f>
        <v>48.896700000000003</v>
      </c>
      <c r="X169" s="23">
        <f>'Annual Raw'!Y52</f>
        <v>32.86</v>
      </c>
      <c r="Y169" s="23">
        <f>'Annual Raw'!Z52</f>
        <v>17.25</v>
      </c>
      <c r="Z169" s="23">
        <f>'Annual Raw'!AA52</f>
        <v>2.74</v>
      </c>
      <c r="AA169" s="23">
        <f>'Annual Raw'!AB52</f>
        <v>1.78</v>
      </c>
      <c r="AB169" s="24">
        <f t="shared" si="1279"/>
        <v>0</v>
      </c>
      <c r="AC169" s="24">
        <f t="shared" si="1280"/>
        <v>0</v>
      </c>
      <c r="AD169" s="24">
        <f t="shared" si="1281"/>
        <v>0</v>
      </c>
      <c r="AE169" s="24">
        <f t="shared" si="1282"/>
        <v>0</v>
      </c>
      <c r="AJ169" s="23">
        <f>+'QTR Raw'!D66</f>
        <v>4.3890000000000002</v>
      </c>
      <c r="AK169" s="23">
        <f t="shared" si="1283"/>
        <v>4.3890000000000002</v>
      </c>
      <c r="AL169" s="23">
        <f>+'QTR Raw'!F66</f>
        <v>5.2110000000000003</v>
      </c>
      <c r="AM169" s="23">
        <f t="shared" si="1283"/>
        <v>5.2110000000000003</v>
      </c>
      <c r="AN169" s="23">
        <f>+'QTR Raw'!H66</f>
        <v>3.6040000000000001</v>
      </c>
      <c r="AO169" s="23">
        <f t="shared" si="1283"/>
        <v>3.6040000000000001</v>
      </c>
      <c r="AP169" s="23">
        <f>+'QTR Raw'!J66</f>
        <v>3.2570000000000001</v>
      </c>
      <c r="AQ169" s="23">
        <f t="shared" si="1283"/>
        <v>3.2570000000000001</v>
      </c>
      <c r="AR169" s="23">
        <f>+'QTR Raw'!L66</f>
        <v>3.4710000000000001</v>
      </c>
      <c r="AS169" s="23">
        <f t="shared" si="1283"/>
        <v>3.4710000000000001</v>
      </c>
      <c r="AT169" s="23">
        <f>+'QTR Raw'!N66</f>
        <v>3.1749999999999998</v>
      </c>
      <c r="AU169" s="23">
        <f t="shared" si="1283"/>
        <v>3.1749999999999998</v>
      </c>
      <c r="AV169" s="23">
        <f>+'QTR Raw'!P66</f>
        <v>3.6459999999999999</v>
      </c>
      <c r="AW169" s="23">
        <f t="shared" si="1283"/>
        <v>3.6459999999999999</v>
      </c>
      <c r="AX169" s="23">
        <f>+'QTR Raw'!R66</f>
        <v>6.67</v>
      </c>
      <c r="AY169" s="23">
        <f t="shared" si="1283"/>
        <v>6.67</v>
      </c>
      <c r="AZ169" s="23">
        <f>+'QTR Raw'!T66</f>
        <v>4.5359999999999996</v>
      </c>
      <c r="BA169" s="23">
        <f t="shared" si="1283"/>
        <v>4.5359999999999996</v>
      </c>
      <c r="BB169" s="23">
        <f>+'QTR Raw'!V66</f>
        <v>48.212000000000003</v>
      </c>
      <c r="BC169" s="23">
        <f t="shared" si="1283"/>
        <v>48.212000000000003</v>
      </c>
      <c r="BD169" s="23">
        <f>+'QTR Raw'!X66</f>
        <v>53.395000000000003</v>
      </c>
      <c r="BE169" s="23">
        <f t="shared" si="1283"/>
        <v>53.395000000000003</v>
      </c>
      <c r="BF169" s="23">
        <f>+'QTR Raw'!Z66</f>
        <v>54.606000000000002</v>
      </c>
      <c r="BG169" s="23">
        <f t="shared" si="1283"/>
        <v>54.606000000000002</v>
      </c>
      <c r="BH169" s="23">
        <f>+'QTR Raw'!AB66</f>
        <v>56.521999999999998</v>
      </c>
      <c r="BI169" s="23">
        <f t="shared" si="1283"/>
        <v>56.521999999999998</v>
      </c>
      <c r="BJ169" s="23">
        <f>+'QTR Raw'!AD66</f>
        <v>56.405000000000001</v>
      </c>
      <c r="BK169" s="23">
        <f t="shared" si="1283"/>
        <v>56.405000000000001</v>
      </c>
      <c r="BL169" s="23">
        <f>+'QTR Raw'!AF66</f>
        <v>68.361000000000004</v>
      </c>
      <c r="BM169" s="23">
        <f t="shared" si="1283"/>
        <v>68.361000000000004</v>
      </c>
      <c r="BN169" s="23">
        <f>+'QTR Raw'!AH66</f>
        <v>62.668999999999997</v>
      </c>
      <c r="BO169" s="23">
        <f t="shared" si="1283"/>
        <v>62.668999999999997</v>
      </c>
      <c r="BP169" s="23">
        <f>+'QTR Raw'!AJ66</f>
        <v>59.991999999999997</v>
      </c>
      <c r="BQ169" s="23">
        <f t="shared" si="1283"/>
        <v>59.991999999999997</v>
      </c>
      <c r="BR169" s="23">
        <f>+'QTR Raw'!AL66</f>
        <v>54.67</v>
      </c>
      <c r="BS169" s="23">
        <f t="shared" si="1283"/>
        <v>54.67</v>
      </c>
      <c r="BT169" s="23">
        <f>+'QTR Raw'!AN66</f>
        <v>56.317</v>
      </c>
      <c r="BU169" s="23">
        <f t="shared" si="1283"/>
        <v>56.317</v>
      </c>
      <c r="BV169" s="23">
        <f>+'QTR Raw'!AP66</f>
        <v>48.896999999999998</v>
      </c>
      <c r="BW169" s="23">
        <f t="shared" si="1283"/>
        <v>48.896999999999998</v>
      </c>
      <c r="BX169" s="23">
        <f>+'QTR Raw'!AR66</f>
        <v>42.822000000000003</v>
      </c>
      <c r="BY169" s="23">
        <f t="shared" si="1283"/>
        <v>42.822000000000003</v>
      </c>
      <c r="BZ169" s="23">
        <f>+'QTR Raw'!AT66</f>
        <v>32.86</v>
      </c>
      <c r="CA169" s="23">
        <f t="shared" si="1283"/>
        <v>32.86</v>
      </c>
      <c r="CB169" s="23">
        <f>+'QTR Raw'!AV66</f>
        <v>26.87</v>
      </c>
      <c r="CC169" s="23">
        <f t="shared" si="1283"/>
        <v>26.87</v>
      </c>
      <c r="CD169" s="23">
        <f>+'QTR Raw'!AX66</f>
        <v>17.25</v>
      </c>
      <c r="CE169" s="23">
        <f t="shared" si="1283"/>
        <v>17.25</v>
      </c>
      <c r="CF169" s="23">
        <f>+'QTR Raw'!AZ66</f>
        <v>12.68</v>
      </c>
      <c r="CG169" s="23">
        <f t="shared" si="1284"/>
        <v>12.68</v>
      </c>
      <c r="CH169" s="23">
        <f t="shared" si="1236"/>
        <v>2.74</v>
      </c>
      <c r="CJ169" s="23">
        <f>+'QTR Raw'!BD66</f>
        <v>2.14</v>
      </c>
      <c r="CL169" s="23">
        <f>+'QTR Raw'!BF66</f>
        <v>1.78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1.78</v>
      </c>
    </row>
    <row r="170" spans="1:110" s="23" customFormat="1" outlineLevel="1" x14ac:dyDescent="0.2">
      <c r="A170" s="23" t="s">
        <v>69</v>
      </c>
      <c r="B170" s="23">
        <v>0</v>
      </c>
      <c r="C170" s="23">
        <v>0</v>
      </c>
      <c r="D170" s="23">
        <v>0</v>
      </c>
      <c r="E170" s="23">
        <v>0</v>
      </c>
      <c r="F170" s="23">
        <v>0</v>
      </c>
      <c r="G170" s="23">
        <v>0</v>
      </c>
      <c r="H170" s="23">
        <v>0</v>
      </c>
      <c r="I170" s="23">
        <v>0</v>
      </c>
      <c r="J170" s="23">
        <v>0</v>
      </c>
      <c r="K170" s="23">
        <v>0</v>
      </c>
      <c r="L170" s="23">
        <v>0</v>
      </c>
      <c r="M170" s="23">
        <v>0</v>
      </c>
      <c r="N170" s="23">
        <v>0</v>
      </c>
      <c r="O170" s="23">
        <v>0</v>
      </c>
      <c r="P170" s="23">
        <v>0</v>
      </c>
      <c r="Q170" s="23">
        <v>0</v>
      </c>
      <c r="R170" s="23">
        <v>0</v>
      </c>
      <c r="S170" s="23">
        <v>0</v>
      </c>
      <c r="T170" s="23">
        <v>0</v>
      </c>
      <c r="U170" s="23">
        <v>0</v>
      </c>
      <c r="V170" s="23">
        <v>0</v>
      </c>
      <c r="W170" s="23">
        <v>0</v>
      </c>
      <c r="X170" s="23">
        <v>0</v>
      </c>
      <c r="Y170" s="23">
        <v>0</v>
      </c>
      <c r="Z170" s="23">
        <v>0</v>
      </c>
      <c r="AA170" s="23">
        <v>0</v>
      </c>
      <c r="AB170" s="24">
        <f t="shared" si="1279"/>
        <v>600.31261599521599</v>
      </c>
      <c r="AC170" s="24">
        <f t="shared" si="1280"/>
        <v>661.21048013315885</v>
      </c>
      <c r="AD170" s="24">
        <f t="shared" si="1281"/>
        <v>726.83125512268691</v>
      </c>
      <c r="AE170" s="24">
        <f t="shared" si="1282"/>
        <v>799.34080341187359</v>
      </c>
      <c r="AJ170" s="23">
        <f>+'QTR Raw'!D87</f>
        <v>636.84699999999998</v>
      </c>
      <c r="AK170" s="23">
        <f t="shared" si="1283"/>
        <v>636.84699999999998</v>
      </c>
      <c r="AL170" s="23">
        <f>+'QTR Raw'!F87</f>
        <v>0</v>
      </c>
      <c r="AM170" s="23">
        <f t="shared" si="1283"/>
        <v>0</v>
      </c>
      <c r="AN170" s="23">
        <f>+'QTR Raw'!H87</f>
        <v>0</v>
      </c>
      <c r="AO170" s="23">
        <f t="shared" si="1283"/>
        <v>0</v>
      </c>
      <c r="AP170" s="23">
        <f>+'QTR Raw'!J87</f>
        <v>0</v>
      </c>
      <c r="AQ170" s="23">
        <f t="shared" si="1283"/>
        <v>0</v>
      </c>
      <c r="AR170" s="23">
        <f>+'QTR Raw'!L87</f>
        <v>0</v>
      </c>
      <c r="AS170" s="23">
        <f t="shared" si="1283"/>
        <v>0</v>
      </c>
      <c r="AT170" s="23">
        <f>+'QTR Raw'!N87</f>
        <v>0</v>
      </c>
      <c r="AU170" s="23">
        <f t="shared" si="1283"/>
        <v>0</v>
      </c>
      <c r="AV170" s="23">
        <f>+'QTR Raw'!P87</f>
        <v>0</v>
      </c>
      <c r="AW170" s="23">
        <f t="shared" si="1283"/>
        <v>0</v>
      </c>
      <c r="AX170" s="23">
        <f>+'QTR Raw'!R87</f>
        <v>0</v>
      </c>
      <c r="AY170" s="23">
        <f t="shared" si="1283"/>
        <v>0</v>
      </c>
      <c r="AZ170" s="23">
        <f>+'QTR Raw'!T87</f>
        <v>0</v>
      </c>
      <c r="BA170" s="23">
        <f t="shared" si="1283"/>
        <v>0</v>
      </c>
      <c r="BB170" s="23">
        <f>+'QTR Raw'!V87</f>
        <v>0</v>
      </c>
      <c r="BC170" s="23">
        <f t="shared" si="1283"/>
        <v>0</v>
      </c>
      <c r="BD170" s="23">
        <f>+'QTR Raw'!X87</f>
        <v>0</v>
      </c>
      <c r="BE170" s="23">
        <f t="shared" si="1283"/>
        <v>0</v>
      </c>
      <c r="BF170" s="23">
        <f>+'QTR Raw'!Z87</f>
        <v>0</v>
      </c>
      <c r="BG170" s="23">
        <f t="shared" si="1283"/>
        <v>0</v>
      </c>
      <c r="BH170" s="23">
        <f>+'QTR Raw'!AB87</f>
        <v>0</v>
      </c>
      <c r="BI170" s="23">
        <f t="shared" si="1283"/>
        <v>0</v>
      </c>
      <c r="BJ170" s="23">
        <f>+'QTR Raw'!AD87</f>
        <v>0</v>
      </c>
      <c r="BK170" s="23">
        <f t="shared" si="1283"/>
        <v>0</v>
      </c>
      <c r="BL170" s="23">
        <f>+'QTR Raw'!AF87</f>
        <v>0</v>
      </c>
      <c r="BM170" s="23">
        <f t="shared" si="1283"/>
        <v>0</v>
      </c>
      <c r="BN170" s="23">
        <f>+'QTR Raw'!AH87</f>
        <v>0</v>
      </c>
      <c r="BO170" s="23">
        <f t="shared" si="1283"/>
        <v>0</v>
      </c>
      <c r="BP170" s="23">
        <f>+'QTR Raw'!AJ87</f>
        <v>0</v>
      </c>
      <c r="BQ170" s="23">
        <f t="shared" si="1283"/>
        <v>0</v>
      </c>
      <c r="BR170" s="23">
        <f>+'QTR Raw'!AL87</f>
        <v>0</v>
      </c>
      <c r="BS170" s="23">
        <f t="shared" si="1283"/>
        <v>0</v>
      </c>
      <c r="BT170" s="23">
        <f>+'QTR Raw'!AN87</f>
        <v>0</v>
      </c>
      <c r="BU170" s="23">
        <f t="shared" si="1283"/>
        <v>0</v>
      </c>
      <c r="BV170" s="23">
        <f>+'QTR Raw'!AP87</f>
        <v>0</v>
      </c>
      <c r="BW170" s="23">
        <f t="shared" si="1283"/>
        <v>0</v>
      </c>
      <c r="BX170" s="23">
        <f>+'QTR Raw'!AR87</f>
        <v>0</v>
      </c>
      <c r="BY170" s="23">
        <f t="shared" si="1283"/>
        <v>0</v>
      </c>
      <c r="BZ170" s="23">
        <f>+'QTR Raw'!AT87</f>
        <v>0</v>
      </c>
      <c r="CA170" s="23">
        <f t="shared" si="1283"/>
        <v>0</v>
      </c>
      <c r="CB170" s="23">
        <f>+'QTR Raw'!AV87</f>
        <v>0</v>
      </c>
      <c r="CC170" s="23">
        <f t="shared" si="1283"/>
        <v>0</v>
      </c>
      <c r="CD170" s="23">
        <f>+'QTR Raw'!AX87</f>
        <v>0</v>
      </c>
      <c r="CE170" s="23">
        <f t="shared" si="1283"/>
        <v>0</v>
      </c>
      <c r="CF170" s="23">
        <f>+'QTR Raw'!AZ87</f>
        <v>0</v>
      </c>
      <c r="CG170" s="23">
        <f t="shared" si="1284"/>
        <v>0</v>
      </c>
      <c r="CH170" s="23">
        <f t="shared" si="1236"/>
        <v>0</v>
      </c>
      <c r="CI170" s="23">
        <f>CI28/90*CI202</f>
        <v>261.03414408766628</v>
      </c>
      <c r="CJ170" s="23">
        <f>+'QTR Raw'!BD87</f>
        <v>0</v>
      </c>
      <c r="CK170" s="23">
        <f t="shared" ref="CK170:DB170" si="1285">CK28/90*CK202</f>
        <v>471.93701658796465</v>
      </c>
      <c r="CL170" s="23">
        <f>+'QTR Raw'!BF87</f>
        <v>0</v>
      </c>
      <c r="CM170" s="24">
        <f t="shared" si="1285"/>
        <v>561.78884710663181</v>
      </c>
      <c r="CN170" s="24">
        <f t="shared" si="1285"/>
        <v>560.23103239705063</v>
      </c>
      <c r="CO170" s="24">
        <f t="shared" si="1285"/>
        <v>573.50664211603839</v>
      </c>
      <c r="CP170" s="24">
        <f t="shared" si="1285"/>
        <v>600.31261599521599</v>
      </c>
      <c r="CQ170" s="24">
        <f t="shared" si="1285"/>
        <v>613.12019080670109</v>
      </c>
      <c r="CR170" s="24">
        <f t="shared" si="1285"/>
        <v>619.75875272160783</v>
      </c>
      <c r="CS170" s="24">
        <f t="shared" si="1285"/>
        <v>643.9854459949745</v>
      </c>
      <c r="CT170" s="24">
        <f t="shared" si="1285"/>
        <v>661.21048013315885</v>
      </c>
      <c r="CU170" s="24">
        <f t="shared" si="1285"/>
        <v>671.87080051261694</v>
      </c>
      <c r="CV170" s="24">
        <f t="shared" si="1285"/>
        <v>682.79156073121692</v>
      </c>
      <c r="CW170" s="24">
        <f t="shared" si="1285"/>
        <v>710.29891763532419</v>
      </c>
      <c r="CX170" s="24">
        <f t="shared" si="1285"/>
        <v>726.83125512268691</v>
      </c>
      <c r="CY170" s="24">
        <f t="shared" si="1285"/>
        <v>738.58835471378336</v>
      </c>
      <c r="CZ170" s="24">
        <f t="shared" si="1285"/>
        <v>751.40270880453716</v>
      </c>
      <c r="DA170" s="24">
        <f t="shared" si="1285"/>
        <v>781.57053304696319</v>
      </c>
      <c r="DB170" s="24">
        <f t="shared" si="1285"/>
        <v>799.34080341187359</v>
      </c>
      <c r="DE170" s="123"/>
      <c r="DF170" s="23">
        <v>0</v>
      </c>
    </row>
    <row r="171" spans="1:110" s="23" customFormat="1" outlineLevel="1" x14ac:dyDescent="0.2">
      <c r="A171" s="23" t="s">
        <v>70</v>
      </c>
      <c r="B171" s="23">
        <f>'Annual Raw'!C54</f>
        <v>23.007166099999999</v>
      </c>
      <c r="C171" s="23">
        <f>'Annual Raw'!D54</f>
        <v>33.417605600000002</v>
      </c>
      <c r="D171" s="23">
        <f>'Annual Raw'!E54</f>
        <v>52.180615600000003</v>
      </c>
      <c r="E171" s="23">
        <f>'Annual Raw'!F54</f>
        <v>78.2289976</v>
      </c>
      <c r="F171" s="23">
        <f>'Annual Raw'!G54</f>
        <v>103.691</v>
      </c>
      <c r="G171" s="23">
        <f>'Annual Raw'!H54</f>
        <v>152.8109</v>
      </c>
      <c r="H171" s="23">
        <f>'Annual Raw'!I54</f>
        <v>203.95529999999999</v>
      </c>
      <c r="I171" s="23">
        <f>'Annual Raw'!J54</f>
        <v>275.26229999999998</v>
      </c>
      <c r="J171" s="23">
        <f>'Annual Raw'!K54</f>
        <v>281.67809999999997</v>
      </c>
      <c r="K171" s="23">
        <f>'Annual Raw'!L54</f>
        <v>294.69479999999999</v>
      </c>
      <c r="L171" s="23">
        <f>'Annual Raw'!M54</f>
        <v>372.74770000000001</v>
      </c>
      <c r="M171" s="23">
        <f>'Annual Raw'!N54</f>
        <v>509.01679999999999</v>
      </c>
      <c r="N171" s="23">
        <f>'Annual Raw'!O54</f>
        <v>539.79380000000003</v>
      </c>
      <c r="O171" s="23">
        <f>'Annual Raw'!P54</f>
        <v>493.99849999999998</v>
      </c>
      <c r="P171" s="23">
        <f>'Annual Raw'!Q54</f>
        <v>515.2713</v>
      </c>
      <c r="Q171" s="23">
        <f>'Annual Raw'!R54</f>
        <v>545.4674</v>
      </c>
      <c r="R171" s="23">
        <f>'Annual Raw'!S54</f>
        <v>482.83249999999998</v>
      </c>
      <c r="S171" s="23">
        <f>'Annual Raw'!T54</f>
        <v>445.07549999999998</v>
      </c>
      <c r="T171" s="23">
        <f>'Annual Raw'!U54</f>
        <v>401.01650000000001</v>
      </c>
      <c r="U171" s="23">
        <f>'Annual Raw'!V54</f>
        <v>519.25909999999999</v>
      </c>
      <c r="V171" s="23">
        <f>'Annual Raw'!W54</f>
        <v>424.34469999999999</v>
      </c>
      <c r="W171" s="23">
        <f>'Annual Raw'!X54</f>
        <v>270.38040000000001</v>
      </c>
      <c r="X171" s="23">
        <f>'Annual Raw'!Y54</f>
        <v>195.83</v>
      </c>
      <c r="Y171" s="23">
        <f>'Annual Raw'!Z54</f>
        <v>187.91</v>
      </c>
      <c r="Z171" s="23">
        <f>'Annual Raw'!AA54</f>
        <v>280.14</v>
      </c>
      <c r="AA171" s="23">
        <f>'Annual Raw'!AB54</f>
        <v>288.37</v>
      </c>
      <c r="AB171" s="24">
        <f t="shared" si="1279"/>
        <v>289.74684342807956</v>
      </c>
      <c r="AC171" s="24">
        <f t="shared" si="1280"/>
        <v>319.13980208884101</v>
      </c>
      <c r="AD171" s="24">
        <f t="shared" si="1281"/>
        <v>350.81232055657142</v>
      </c>
      <c r="AE171" s="24">
        <f t="shared" si="1282"/>
        <v>385.80977384240276</v>
      </c>
      <c r="AJ171" s="23">
        <f>+'QTR Raw'!D89</f>
        <v>0</v>
      </c>
      <c r="AK171" s="23">
        <f>+AK201*AK28/90</f>
        <v>0</v>
      </c>
      <c r="AL171" s="23">
        <f>+'QTR Raw'!F89</f>
        <v>539.79399999999998</v>
      </c>
      <c r="AM171" s="23">
        <f>+AM201*AM28/90</f>
        <v>313.36917416538518</v>
      </c>
      <c r="AN171" s="23">
        <f>+'QTR Raw'!H89</f>
        <v>227.82300000000001</v>
      </c>
      <c r="AO171" s="23">
        <f>+AO201*AO28/90</f>
        <v>211.96636357984264</v>
      </c>
      <c r="AP171" s="23">
        <f>+'QTR Raw'!J89</f>
        <v>493.99900000000002</v>
      </c>
      <c r="AQ171" s="23">
        <f>+AQ201*AQ28/90</f>
        <v>811.58255476297086</v>
      </c>
      <c r="AR171" s="23">
        <f>+'QTR Raw'!L89</f>
        <v>212.08600000000001</v>
      </c>
      <c r="AS171" s="23">
        <f>+AS201*AS28/90</f>
        <v>216.78049257758434</v>
      </c>
      <c r="AT171" s="23">
        <f>+'QTR Raw'!N89</f>
        <v>515.27099999999996</v>
      </c>
      <c r="AU171" s="23">
        <f>+AU201*AU28/90</f>
        <v>289.25439470162428</v>
      </c>
      <c r="AV171" s="23">
        <f>+'QTR Raw'!P89</f>
        <v>451.35599999999999</v>
      </c>
      <c r="AW171" s="23">
        <f>+AW201*AW28/90</f>
        <v>489.71734210750424</v>
      </c>
      <c r="AX171" s="23">
        <f>+'QTR Raw'!R89</f>
        <v>545.46699999999998</v>
      </c>
      <c r="AY171" s="23">
        <f>+AY201*AY28/90</f>
        <v>298.73929322075776</v>
      </c>
      <c r="AZ171" s="23">
        <f>+'QTR Raw'!T89</f>
        <v>403.18099999999998</v>
      </c>
      <c r="BA171" s="23">
        <f>+BA201*BA28/90</f>
        <v>445.97020284683805</v>
      </c>
      <c r="BB171" s="23">
        <f>+'QTR Raw'!V89</f>
        <v>482.83300000000003</v>
      </c>
      <c r="BC171" s="23">
        <f>+BC201*BC28/90</f>
        <v>253.37962819912912</v>
      </c>
      <c r="BD171" s="23">
        <f>+'QTR Raw'!X89</f>
        <v>406.017</v>
      </c>
      <c r="BE171" s="23">
        <f>+BE201*BE28/90</f>
        <v>421.42902541154041</v>
      </c>
      <c r="BF171" s="23">
        <f>+'QTR Raw'!Z89</f>
        <v>509.27</v>
      </c>
      <c r="BG171" s="23">
        <f>+BG201*BG28/90</f>
        <v>353.55810888402908</v>
      </c>
      <c r="BH171" s="23">
        <f>+'QTR Raw'!AB89</f>
        <v>440.12700000000001</v>
      </c>
      <c r="BI171" s="23">
        <f>+BI201*BI28/90</f>
        <v>374.09759045463477</v>
      </c>
      <c r="BJ171" s="23">
        <f>+'QTR Raw'!AD89</f>
        <v>401.01600000000002</v>
      </c>
      <c r="BK171" s="23">
        <f>+BK201*BK28/90</f>
        <v>331.8398076321447</v>
      </c>
      <c r="BL171" s="23">
        <f>+'QTR Raw'!AF89</f>
        <v>401.11200000000002</v>
      </c>
      <c r="BM171" s="23">
        <f>+BM201*BM28/90</f>
        <v>421.21122845195197</v>
      </c>
      <c r="BN171" s="23">
        <f>+'QTR Raw'!AH89</f>
        <v>519.26</v>
      </c>
      <c r="BO171" s="23">
        <f>+BO201*BO28/90</f>
        <v>260.66467526276188</v>
      </c>
      <c r="BP171" s="23">
        <f>+'QTR Raw'!AJ89</f>
        <v>348.03100000000001</v>
      </c>
      <c r="BQ171" s="23">
        <f>+BQ201*BQ28/90</f>
        <v>390.91083115750183</v>
      </c>
      <c r="BR171" s="23">
        <f>+'QTR Raw'!AL89</f>
        <v>424.34399999999999</v>
      </c>
      <c r="BS171" s="23">
        <f>+BS201*BS28/90</f>
        <v>356.56787696068915</v>
      </c>
      <c r="BT171" s="23">
        <f>+'QTR Raw'!AN89</f>
        <v>380.47</v>
      </c>
      <c r="BU171" s="23">
        <f>+BU201*BU28/90</f>
        <v>329.78396114297362</v>
      </c>
      <c r="BV171" s="23">
        <f>+'QTR Raw'!AP89</f>
        <v>270.38099999999997</v>
      </c>
      <c r="BW171" s="23">
        <f>+BW201*BW28/90</f>
        <v>267.27776583968028</v>
      </c>
      <c r="BX171" s="23">
        <f>+'QTR Raw'!AR89</f>
        <v>219.99199999999999</v>
      </c>
      <c r="BY171" s="23">
        <f>+BY201*BY28/90</f>
        <v>220.12220962968684</v>
      </c>
      <c r="BZ171" s="23">
        <f>+'QTR Raw'!AT89</f>
        <v>195.83</v>
      </c>
      <c r="CA171" s="23">
        <f>+CA201*CA28/90</f>
        <v>191.12498751589956</v>
      </c>
      <c r="CB171" s="23">
        <f>+'QTR Raw'!AV89</f>
        <v>228.55</v>
      </c>
      <c r="CC171" s="23">
        <f>+CC201*CC28/90</f>
        <v>223.20506908640959</v>
      </c>
      <c r="CD171" s="23">
        <f>+'QTR Raw'!AX89</f>
        <v>187.91</v>
      </c>
      <c r="CE171" s="23">
        <f>+CE201*CE28/90</f>
        <v>130.58051007757427</v>
      </c>
      <c r="CF171" s="23">
        <f>+'QTR Raw'!AZ89</f>
        <v>210.71</v>
      </c>
      <c r="CG171" s="23">
        <f>+CG201*CG28/90</f>
        <v>219.31438560239306</v>
      </c>
      <c r="CH171" s="23">
        <f t="shared" si="1236"/>
        <v>280.14</v>
      </c>
      <c r="CI171" s="23">
        <f>+CI201*CI28/90</f>
        <v>172.3087375402786</v>
      </c>
      <c r="CJ171" s="23">
        <f>+'QTR Raw'!BD89</f>
        <v>210.45</v>
      </c>
      <c r="CK171" s="23">
        <f t="shared" ref="CK171:DB171" si="1286">+CK201*CK28/90</f>
        <v>200.84355248819469</v>
      </c>
      <c r="CL171" s="23">
        <f>+'QTR Raw'!BF89</f>
        <v>288.37</v>
      </c>
      <c r="CM171" s="24">
        <f t="shared" si="1286"/>
        <v>271.15296394761054</v>
      </c>
      <c r="CN171" s="24">
        <f t="shared" si="1286"/>
        <v>270.40106921356647</v>
      </c>
      <c r="CO171" s="24">
        <f t="shared" si="1286"/>
        <v>276.80867403173761</v>
      </c>
      <c r="CP171" s="24">
        <f t="shared" si="1286"/>
        <v>289.74684342807956</v>
      </c>
      <c r="CQ171" s="24">
        <f t="shared" si="1286"/>
        <v>295.92854655195049</v>
      </c>
      <c r="CR171" s="24">
        <f t="shared" si="1286"/>
        <v>299.13271436134642</v>
      </c>
      <c r="CS171" s="24">
        <f t="shared" si="1286"/>
        <v>310.82596836871221</v>
      </c>
      <c r="CT171" s="24">
        <f t="shared" si="1286"/>
        <v>319.13980208884101</v>
      </c>
      <c r="CU171" s="24">
        <f t="shared" si="1286"/>
        <v>324.28511154524705</v>
      </c>
      <c r="CV171" s="24">
        <f t="shared" si="1286"/>
        <v>329.55612487540753</v>
      </c>
      <c r="CW171" s="24">
        <f t="shared" si="1286"/>
        <v>342.83282375137816</v>
      </c>
      <c r="CX171" s="24">
        <f t="shared" si="1286"/>
        <v>350.81232055657142</v>
      </c>
      <c r="CY171" s="24">
        <f t="shared" si="1286"/>
        <v>356.4870013872287</v>
      </c>
      <c r="CZ171" s="24">
        <f t="shared" si="1286"/>
        <v>362.67197659753685</v>
      </c>
      <c r="DA171" s="24">
        <f t="shared" si="1286"/>
        <v>377.23277644487121</v>
      </c>
      <c r="DB171" s="24">
        <f t="shared" si="1286"/>
        <v>385.80977384240276</v>
      </c>
      <c r="DE171" s="123"/>
      <c r="DF171" s="23">
        <v>288.37</v>
      </c>
    </row>
    <row r="172" spans="1:110" s="23" customFormat="1" outlineLevel="1" x14ac:dyDescent="0.2">
      <c r="A172" s="23" t="s">
        <v>71</v>
      </c>
      <c r="B172" s="23">
        <f>'Annual Raw'!C55-Template!B144</f>
        <v>17.921895899999999</v>
      </c>
      <c r="C172" s="23">
        <f>'Annual Raw'!D55-Template!C144</f>
        <v>20.815845400000001</v>
      </c>
      <c r="D172" s="23">
        <f>'Annual Raw'!E55-Template!D144</f>
        <v>13.810450299999999</v>
      </c>
      <c r="E172" s="23">
        <f>'Annual Raw'!F55-Template!E144</f>
        <v>23.462510900000002</v>
      </c>
      <c r="F172" s="23">
        <f>'Annual Raw'!G55-Template!F144</f>
        <v>50.227600000000002</v>
      </c>
      <c r="G172" s="23">
        <f>'Annual Raw'!H55-Template!G144</f>
        <v>59.417700000000004</v>
      </c>
      <c r="H172" s="23">
        <f>'Annual Raw'!I55-Template!H144</f>
        <v>46.2072</v>
      </c>
      <c r="I172" s="23">
        <f>'Annual Raw'!J55-Template!I144</f>
        <v>53.685600000000001</v>
      </c>
      <c r="J172" s="23">
        <f>'Annual Raw'!K55-Template!J144</f>
        <v>126.9924</v>
      </c>
      <c r="K172" s="23">
        <f>'Annual Raw'!L55-Template!K144</f>
        <v>92.133299999999906</v>
      </c>
      <c r="L172" s="23">
        <f>'Annual Raw'!M55-Template!L144</f>
        <v>91.878799999999998</v>
      </c>
      <c r="M172" s="23">
        <f>'Annual Raw'!N55-Template!M144</f>
        <v>152.2133</v>
      </c>
      <c r="N172" s="23">
        <f>'Annual Raw'!O55-Template!N144</f>
        <v>109.23809999999999</v>
      </c>
      <c r="O172" s="23">
        <f>'Annual Raw'!P55-Template!O144</f>
        <v>159.14189999999999</v>
      </c>
      <c r="P172" s="23">
        <f>'Annual Raw'!Q55-Template!P144</f>
        <v>155.4102</v>
      </c>
      <c r="Q172" s="23">
        <f>'Annual Raw'!R55-Template!Q144</f>
        <v>179.57920000000001</v>
      </c>
      <c r="R172" s="23">
        <f>'Annual Raw'!S55-Template!R144</f>
        <v>156.2045</v>
      </c>
      <c r="S172" s="23">
        <f>'Annual Raw'!T55-Template!S144</f>
        <v>263.40480000000002</v>
      </c>
      <c r="T172" s="23">
        <f>'Annual Raw'!U55-Template!T144</f>
        <v>281.15860000000004</v>
      </c>
      <c r="U172" s="23">
        <f>'Annual Raw'!V55-Template!U144</f>
        <v>181.5797</v>
      </c>
      <c r="V172" s="23">
        <f>'Annual Raw'!W55-Template!V144</f>
        <v>202.82420000000002</v>
      </c>
      <c r="W172" s="23">
        <f>'Annual Raw'!X55-Template!W144</f>
        <v>145.00909999999999</v>
      </c>
      <c r="X172" s="23">
        <f>'Annual Raw'!Y55-Template!X144</f>
        <v>128.01</v>
      </c>
      <c r="Y172" s="23">
        <f>'Annual Raw'!Z55-Template!Y144</f>
        <v>186.16</v>
      </c>
      <c r="Z172" s="23">
        <f>'Annual Raw'!AA55-Template!Z144</f>
        <v>222.89</v>
      </c>
      <c r="AA172" s="23">
        <f>'Annual Raw'!AB55-Template!AA144</f>
        <v>343.25</v>
      </c>
      <c r="AB172" s="24">
        <f t="shared" si="1279"/>
        <v>0</v>
      </c>
      <c r="AC172" s="24">
        <f t="shared" si="1280"/>
        <v>0</v>
      </c>
      <c r="AD172" s="24">
        <f t="shared" si="1281"/>
        <v>0</v>
      </c>
      <c r="AE172" s="24">
        <f t="shared" si="1282"/>
        <v>0</v>
      </c>
      <c r="AJ172" s="23">
        <f>+'QTR Raw'!D91</f>
        <v>0</v>
      </c>
      <c r="AK172" s="23">
        <f t="shared" si="1283"/>
        <v>0</v>
      </c>
      <c r="AL172" s="23">
        <f>+'QTR Raw'!F91</f>
        <v>182.78100000000001</v>
      </c>
      <c r="AM172" s="23">
        <f t="shared" si="1283"/>
        <v>182.78100000000001</v>
      </c>
      <c r="AN172" s="23">
        <f>+'QTR Raw'!H91</f>
        <v>78.2</v>
      </c>
      <c r="AO172" s="23">
        <f t="shared" si="1283"/>
        <v>78.2</v>
      </c>
      <c r="AP172" s="23">
        <f>+'QTR Raw'!J91</f>
        <v>215.10599999999999</v>
      </c>
      <c r="AQ172" s="23">
        <f t="shared" si="1283"/>
        <v>215.10599999999999</v>
      </c>
      <c r="AR172" s="23">
        <f>+'QTR Raw'!L91</f>
        <v>66.174999999999997</v>
      </c>
      <c r="AS172" s="23">
        <f t="shared" si="1283"/>
        <v>66.174999999999997</v>
      </c>
      <c r="AT172" s="23">
        <f>+'QTR Raw'!N91</f>
        <v>204.29900000000001</v>
      </c>
      <c r="AU172" s="23">
        <f t="shared" si="1283"/>
        <v>204.29900000000001</v>
      </c>
      <c r="AV172" s="23">
        <f>+'QTR Raw'!P91</f>
        <v>190.44300000000001</v>
      </c>
      <c r="AW172" s="23">
        <f t="shared" si="1283"/>
        <v>190.44300000000001</v>
      </c>
      <c r="AX172" s="23">
        <f>+'QTR Raw'!R91</f>
        <v>234.43299999999999</v>
      </c>
      <c r="AY172" s="23">
        <f t="shared" si="1283"/>
        <v>234.43299999999999</v>
      </c>
      <c r="AZ172" s="23">
        <f>+'QTR Raw'!T91</f>
        <v>269.02499999999998</v>
      </c>
      <c r="BA172" s="23">
        <f t="shared" si="1283"/>
        <v>269.02499999999998</v>
      </c>
      <c r="BB172" s="23">
        <f>+'QTR Raw'!V91</f>
        <v>253.08699999999999</v>
      </c>
      <c r="BC172" s="23">
        <f t="shared" si="1283"/>
        <v>253.08699999999999</v>
      </c>
      <c r="BD172" s="23">
        <f>+'QTR Raw'!X91</f>
        <v>275.791</v>
      </c>
      <c r="BE172" s="23">
        <f t="shared" si="1283"/>
        <v>275.791</v>
      </c>
      <c r="BF172" s="23">
        <f>+'QTR Raw'!Z91</f>
        <v>260.13600000000002</v>
      </c>
      <c r="BG172" s="23">
        <f t="shared" si="1283"/>
        <v>260.13600000000002</v>
      </c>
      <c r="BH172" s="23">
        <f>+'QTR Raw'!AB91</f>
        <v>362.41300000000001</v>
      </c>
      <c r="BI172" s="23">
        <f t="shared" si="1283"/>
        <v>362.41300000000001</v>
      </c>
      <c r="BJ172" s="23">
        <f>+'QTR Raw'!AD91</f>
        <v>320.97699999999998</v>
      </c>
      <c r="BK172" s="23">
        <f t="shared" si="1283"/>
        <v>320.97699999999998</v>
      </c>
      <c r="BL172" s="23">
        <f>+'QTR Raw'!AF91</f>
        <v>352.87200000000001</v>
      </c>
      <c r="BM172" s="23">
        <f t="shared" si="1283"/>
        <v>352.87200000000001</v>
      </c>
      <c r="BN172" s="23">
        <f>+'QTR Raw'!AH91</f>
        <v>218.178</v>
      </c>
      <c r="BO172" s="23">
        <f t="shared" si="1283"/>
        <v>218.178</v>
      </c>
      <c r="BP172" s="23">
        <f>+'QTR Raw'!AJ91</f>
        <v>249.446</v>
      </c>
      <c r="BQ172" s="23">
        <f t="shared" si="1283"/>
        <v>249.446</v>
      </c>
      <c r="BR172" s="23">
        <f>+'QTR Raw'!AL91</f>
        <v>219.791</v>
      </c>
      <c r="BS172" s="23">
        <f t="shared" si="1283"/>
        <v>219.791</v>
      </c>
      <c r="BT172" s="23">
        <f>+'QTR Raw'!AN91</f>
        <v>160.376</v>
      </c>
      <c r="BU172" s="23">
        <f t="shared" si="1283"/>
        <v>160.376</v>
      </c>
      <c r="BV172" s="23">
        <f>+'QTR Raw'!AP91</f>
        <v>165.48699999999999</v>
      </c>
      <c r="BW172" s="23">
        <f t="shared" si="1283"/>
        <v>165.48699999999999</v>
      </c>
      <c r="BX172" s="23">
        <f>+'QTR Raw'!AR91</f>
        <v>143.62200000000001</v>
      </c>
      <c r="BY172" s="23">
        <f t="shared" si="1283"/>
        <v>143.62200000000001</v>
      </c>
      <c r="BZ172" s="23">
        <f>+'QTR Raw'!AT91</f>
        <v>133.28</v>
      </c>
      <c r="CA172" s="23">
        <f t="shared" si="1283"/>
        <v>133.28</v>
      </c>
      <c r="CB172" s="23">
        <f>+'QTR Raw'!AV91</f>
        <v>130.31</v>
      </c>
      <c r="CC172" s="23">
        <f t="shared" si="1283"/>
        <v>130.31</v>
      </c>
      <c r="CD172" s="23">
        <f>+'QTR Raw'!AX91</f>
        <v>194.04</v>
      </c>
      <c r="CE172" s="23">
        <f t="shared" si="1283"/>
        <v>194.04</v>
      </c>
      <c r="CF172" s="23">
        <f>+'QTR Raw'!AZ91</f>
        <v>207.6</v>
      </c>
      <c r="CG172" s="23">
        <f t="shared" ref="CG172:CG173" si="1287">+CF172</f>
        <v>207.6</v>
      </c>
      <c r="CH172" s="23">
        <f t="shared" si="1236"/>
        <v>222.89</v>
      </c>
      <c r="CJ172" s="23">
        <f>+'QTR Raw'!BD91</f>
        <v>254.76</v>
      </c>
      <c r="CL172" s="23">
        <f>+'QTR Raw'!BF91</f>
        <v>353.1</v>
      </c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E172" s="123"/>
      <c r="DF172" s="23">
        <v>353.1</v>
      </c>
    </row>
    <row r="173" spans="1:110" s="23" customFormat="1" outlineLevel="1" x14ac:dyDescent="0.2">
      <c r="A173" s="23" t="s">
        <v>72</v>
      </c>
      <c r="B173" s="23">
        <f>'Annual Raw'!C57</f>
        <v>0</v>
      </c>
      <c r="C173" s="23">
        <f>'Annual Raw'!D57</f>
        <v>0</v>
      </c>
      <c r="D173" s="23">
        <f>'Annual Raw'!E57</f>
        <v>0</v>
      </c>
      <c r="E173" s="23">
        <f>'Annual Raw'!F57</f>
        <v>0.63709839999999995</v>
      </c>
      <c r="F173" s="23">
        <f>'Annual Raw'!G57</f>
        <v>4.4859999999999998</v>
      </c>
      <c r="G173" s="23">
        <f>'Annual Raw'!H57</f>
        <v>4.4756999999999998</v>
      </c>
      <c r="H173" s="23">
        <f>'Annual Raw'!I57</f>
        <v>6.0534999999999997</v>
      </c>
      <c r="I173" s="23">
        <f>'Annual Raw'!J57</f>
        <v>21.0885</v>
      </c>
      <c r="J173" s="23">
        <f>'Annual Raw'!K57</f>
        <v>23.1023</v>
      </c>
      <c r="K173" s="23">
        <f>'Annual Raw'!L57</f>
        <v>21.988299999999999</v>
      </c>
      <c r="L173" s="23">
        <f>'Annual Raw'!M57</f>
        <v>25.448699999999999</v>
      </c>
      <c r="M173" s="23">
        <f>'Annual Raw'!N57</f>
        <v>27.634699999999999</v>
      </c>
      <c r="N173" s="23">
        <f>'Annual Raw'!O57</f>
        <v>30.387899999999998</v>
      </c>
      <c r="O173" s="23">
        <f>'Annual Raw'!P57</f>
        <v>21.657</v>
      </c>
      <c r="P173" s="23">
        <f>'Annual Raw'!Q57</f>
        <v>21.2562</v>
      </c>
      <c r="Q173" s="23">
        <f>'Annual Raw'!R57</f>
        <v>32.629600000000003</v>
      </c>
      <c r="R173" s="23">
        <f>'Annual Raw'!S57</f>
        <v>36.467100000000002</v>
      </c>
      <c r="S173" s="23">
        <f>'Annual Raw'!T57</f>
        <v>28.3918</v>
      </c>
      <c r="T173" s="23">
        <f>'Annual Raw'!U57</f>
        <v>33.686300000000003</v>
      </c>
      <c r="U173" s="23">
        <f>'Annual Raw'!V57</f>
        <v>40.703000000000003</v>
      </c>
      <c r="V173" s="23">
        <f>'Annual Raw'!W57</f>
        <v>42.924900000000001</v>
      </c>
      <c r="W173" s="23">
        <f>'Annual Raw'!X57</f>
        <v>43.771999999999998</v>
      </c>
      <c r="X173" s="23">
        <f>'Annual Raw'!Y57</f>
        <v>18.66</v>
      </c>
      <c r="Y173" s="23">
        <f>'Annual Raw'!Z57</f>
        <v>25.24</v>
      </c>
      <c r="Z173" s="23">
        <f>'Annual Raw'!AA57</f>
        <v>30.78</v>
      </c>
      <c r="AA173" s="23">
        <f>'Annual Raw'!AB57</f>
        <v>34.22</v>
      </c>
      <c r="AB173" s="24">
        <f t="shared" si="1279"/>
        <v>0</v>
      </c>
      <c r="AC173" s="24">
        <f t="shared" si="1280"/>
        <v>0</v>
      </c>
      <c r="AD173" s="24">
        <f t="shared" si="1281"/>
        <v>0</v>
      </c>
      <c r="AE173" s="24">
        <f t="shared" si="1282"/>
        <v>0</v>
      </c>
      <c r="AJ173" s="23">
        <f>+'QTR Raw'!D92</f>
        <v>3.968</v>
      </c>
      <c r="AK173" s="23">
        <f t="shared" si="1283"/>
        <v>3.968</v>
      </c>
      <c r="AL173" s="23">
        <f>+'QTR Raw'!F92</f>
        <v>30.388000000000002</v>
      </c>
      <c r="AM173" s="23">
        <f t="shared" si="1283"/>
        <v>30.388000000000002</v>
      </c>
      <c r="AN173" s="23">
        <f>+'QTR Raw'!H92</f>
        <v>4.4279999999999999</v>
      </c>
      <c r="AO173" s="23">
        <f t="shared" si="1283"/>
        <v>4.4279999999999999</v>
      </c>
      <c r="AP173" s="23">
        <f>+'QTR Raw'!J92</f>
        <v>21.657</v>
      </c>
      <c r="AQ173" s="23">
        <f t="shared" si="1283"/>
        <v>21.657</v>
      </c>
      <c r="AR173" s="23">
        <f>+'QTR Raw'!L92</f>
        <v>1.905</v>
      </c>
      <c r="AS173" s="23">
        <f t="shared" si="1283"/>
        <v>1.905</v>
      </c>
      <c r="AT173" s="23">
        <f>+'QTR Raw'!N92</f>
        <v>21.256</v>
      </c>
      <c r="AU173" s="23">
        <f t="shared" si="1283"/>
        <v>21.256</v>
      </c>
      <c r="AV173" s="23">
        <f>+'QTR Raw'!P92</f>
        <v>6.9729999999999999</v>
      </c>
      <c r="AW173" s="23">
        <f t="shared" si="1283"/>
        <v>6.9729999999999999</v>
      </c>
      <c r="AX173" s="23">
        <f>+'QTR Raw'!R92</f>
        <v>32.137999999999998</v>
      </c>
      <c r="AY173" s="23">
        <f t="shared" si="1283"/>
        <v>32.137999999999998</v>
      </c>
      <c r="AZ173" s="23">
        <f>+'QTR Raw'!T92</f>
        <v>74.784999999999997</v>
      </c>
      <c r="BA173" s="23">
        <f t="shared" si="1283"/>
        <v>74.784999999999997</v>
      </c>
      <c r="BB173" s="23">
        <f>+'QTR Raw'!V92</f>
        <v>19.885999999999999</v>
      </c>
      <c r="BC173" s="23">
        <f t="shared" si="1283"/>
        <v>19.885999999999999</v>
      </c>
      <c r="BD173" s="23">
        <f>+'QTR Raw'!X92</f>
        <v>13.965999999999999</v>
      </c>
      <c r="BE173" s="23">
        <f t="shared" si="1283"/>
        <v>13.965999999999999</v>
      </c>
      <c r="BF173" s="23">
        <f>+'QTR Raw'!Z92</f>
        <v>13.574999999999999</v>
      </c>
      <c r="BG173" s="23">
        <f t="shared" si="1283"/>
        <v>13.574999999999999</v>
      </c>
      <c r="BH173" s="23">
        <f>+'QTR Raw'!AB92</f>
        <v>12.019</v>
      </c>
      <c r="BI173" s="23">
        <f t="shared" si="1283"/>
        <v>12.019</v>
      </c>
      <c r="BJ173" s="23">
        <f>+'QTR Raw'!AD92</f>
        <v>16.739999999999998</v>
      </c>
      <c r="BK173" s="23">
        <f t="shared" si="1283"/>
        <v>16.739999999999998</v>
      </c>
      <c r="BL173" s="23">
        <f>+'QTR Raw'!AF92</f>
        <v>19.463000000000001</v>
      </c>
      <c r="BM173" s="23">
        <f t="shared" si="1283"/>
        <v>19.463000000000001</v>
      </c>
      <c r="BN173" s="23">
        <f>+'QTR Raw'!AH92</f>
        <v>22.574999999999999</v>
      </c>
      <c r="BO173" s="23">
        <f t="shared" si="1283"/>
        <v>22.574999999999999</v>
      </c>
      <c r="BP173" s="23">
        <f>+'QTR Raw'!AJ92</f>
        <v>23.949000000000002</v>
      </c>
      <c r="BQ173" s="23">
        <f t="shared" si="1283"/>
        <v>23.949000000000002</v>
      </c>
      <c r="BR173" s="23">
        <f>+'QTR Raw'!AL92</f>
        <v>25.959</v>
      </c>
      <c r="BS173" s="23">
        <f t="shared" si="1283"/>
        <v>25.959</v>
      </c>
      <c r="BT173" s="23">
        <f>+'QTR Raw'!AN92</f>
        <v>23.469000000000001</v>
      </c>
      <c r="BU173" s="23">
        <f t="shared" si="1283"/>
        <v>23.469000000000001</v>
      </c>
      <c r="BV173" s="23">
        <f>+'QTR Raw'!AP92</f>
        <v>23.294</v>
      </c>
      <c r="BW173" s="23">
        <f t="shared" si="1283"/>
        <v>23.294</v>
      </c>
      <c r="BX173" s="23">
        <f>+'QTR Raw'!AR92</f>
        <v>16.042999999999999</v>
      </c>
      <c r="BY173" s="23">
        <f t="shared" si="1283"/>
        <v>16.042999999999999</v>
      </c>
      <c r="BZ173" s="23">
        <f>+'QTR Raw'!AT92</f>
        <v>13.39</v>
      </c>
      <c r="CA173" s="23">
        <f t="shared" si="1283"/>
        <v>13.39</v>
      </c>
      <c r="CB173" s="23">
        <f>+'QTR Raw'!AV92</f>
        <v>16.38</v>
      </c>
      <c r="CC173" s="23">
        <f t="shared" si="1283"/>
        <v>16.38</v>
      </c>
      <c r="CD173" s="23">
        <f>+'QTR Raw'!AX92</f>
        <v>17.36</v>
      </c>
      <c r="CE173" s="23">
        <f t="shared" si="1283"/>
        <v>17.36</v>
      </c>
      <c r="CF173" s="23">
        <f>+'QTR Raw'!AZ92</f>
        <v>19.82</v>
      </c>
      <c r="CG173" s="23">
        <f t="shared" si="1287"/>
        <v>19.82</v>
      </c>
      <c r="CH173" s="23">
        <f t="shared" si="1236"/>
        <v>30.78</v>
      </c>
      <c r="CJ173" s="23">
        <f>+'QTR Raw'!BD92</f>
        <v>23.4</v>
      </c>
      <c r="CL173" s="23">
        <f>+'QTR Raw'!BF92</f>
        <v>24.37</v>
      </c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3"/>
      <c r="DF173" s="23">
        <v>24.37</v>
      </c>
    </row>
    <row r="174" spans="1:110" s="22" customFormat="1" x14ac:dyDescent="0.2">
      <c r="A174" s="22" t="s">
        <v>73</v>
      </c>
      <c r="B174" s="22">
        <f>SUM(B167:B173)</f>
        <v>40.929062000000002</v>
      </c>
      <c r="C174" s="22">
        <f t="shared" ref="C174:V174" si="1288">SUM(C167:C173)</f>
        <v>54.233451000000002</v>
      </c>
      <c r="D174" s="22">
        <f t="shared" si="1288"/>
        <v>65.991065899999995</v>
      </c>
      <c r="E174" s="22">
        <f t="shared" si="1288"/>
        <v>102.3286069</v>
      </c>
      <c r="F174" s="22">
        <f t="shared" si="1288"/>
        <v>158.40459999999999</v>
      </c>
      <c r="G174" s="22">
        <f t="shared" si="1288"/>
        <v>216.70429999999999</v>
      </c>
      <c r="H174" s="22">
        <f t="shared" si="1288"/>
        <v>256.21600000000001</v>
      </c>
      <c r="I174" s="22">
        <f t="shared" si="1288"/>
        <v>350.03640000000001</v>
      </c>
      <c r="J174" s="22">
        <f t="shared" si="1288"/>
        <v>431.77279999999996</v>
      </c>
      <c r="K174" s="22">
        <f t="shared" si="1288"/>
        <v>408.81639999999987</v>
      </c>
      <c r="L174" s="22">
        <f t="shared" si="1288"/>
        <v>590.73360000000002</v>
      </c>
      <c r="M174" s="22">
        <f t="shared" si="1288"/>
        <v>753.63849999999991</v>
      </c>
      <c r="N174" s="22">
        <f t="shared" si="1288"/>
        <v>812.85879999999997</v>
      </c>
      <c r="O174" s="22">
        <f t="shared" si="1288"/>
        <v>817.04809999999998</v>
      </c>
      <c r="P174" s="22">
        <f t="shared" si="1288"/>
        <v>808.16300000000001</v>
      </c>
      <c r="Q174" s="22">
        <f t="shared" si="1288"/>
        <v>811.42189999999994</v>
      </c>
      <c r="R174" s="22">
        <f t="shared" si="1288"/>
        <v>724.29390000000001</v>
      </c>
      <c r="S174" s="22">
        <f t="shared" si="1288"/>
        <v>792.04079999999999</v>
      </c>
      <c r="T174" s="22">
        <f t="shared" si="1288"/>
        <v>772.52850000000001</v>
      </c>
      <c r="U174" s="22">
        <f t="shared" si="1288"/>
        <v>852.81309999999996</v>
      </c>
      <c r="V174" s="22">
        <f t="shared" si="1288"/>
        <v>757.05449999999996</v>
      </c>
      <c r="W174" s="22">
        <f t="shared" ref="W174" si="1289">SUM(W167:W173)</f>
        <v>540.47640000000001</v>
      </c>
      <c r="X174" s="22">
        <f t="shared" ref="X174:Y174" si="1290">SUM(X167:X173)</f>
        <v>426.51000000000005</v>
      </c>
      <c r="Y174" s="22">
        <f t="shared" si="1290"/>
        <v>494.41999999999996</v>
      </c>
      <c r="Z174" s="22">
        <f t="shared" ref="Z174:AA174" si="1291">SUM(Z167:Z173)</f>
        <v>704.53</v>
      </c>
      <c r="AA174" s="22">
        <f t="shared" ref="AA174" si="1292">SUM(AA167:AA173)</f>
        <v>885.83</v>
      </c>
      <c r="AB174" s="21">
        <f t="shared" ref="AB174:AD174" si="1293">SUM(AB167:AB173)</f>
        <v>890.05945942329549</v>
      </c>
      <c r="AC174" s="21">
        <f t="shared" si="1293"/>
        <v>980.35028222199981</v>
      </c>
      <c r="AD174" s="21">
        <f t="shared" si="1293"/>
        <v>1077.6435756792584</v>
      </c>
      <c r="AE174" s="21">
        <f t="shared" ref="AE174" si="1294">SUM(AE167:AE173)</f>
        <v>1185.1505772542764</v>
      </c>
      <c r="AJ174" s="22">
        <f t="shared" ref="AJ174" si="1295">SUM(AJ167:AJ173)</f>
        <v>726.48599999999999</v>
      </c>
      <c r="AK174" s="22">
        <f t="shared" ref="AK174" si="1296">SUM(AK167:AK173)</f>
        <v>726.48599999999999</v>
      </c>
      <c r="AL174" s="22">
        <f t="shared" ref="AL174:AM174" si="1297">SUM(AL167:AL173)</f>
        <v>886.40300000000013</v>
      </c>
      <c r="AM174" s="22">
        <f t="shared" si="1297"/>
        <v>659.97817416538521</v>
      </c>
      <c r="AN174" s="22">
        <f t="shared" ref="AN174:AO174" si="1298">SUM(AN167:AN173)</f>
        <v>315.10000000000002</v>
      </c>
      <c r="AO174" s="22">
        <f t="shared" si="1298"/>
        <v>299.24336357984265</v>
      </c>
      <c r="AP174" s="22">
        <f t="shared" ref="AP174:CE174" si="1299">SUM(AP167:AP173)</f>
        <v>873.01300000000003</v>
      </c>
      <c r="AQ174" s="22">
        <f t="shared" si="1299"/>
        <v>1190.5965547629708</v>
      </c>
      <c r="AR174" s="22">
        <f t="shared" si="1299"/>
        <v>284.72999999999996</v>
      </c>
      <c r="AS174" s="22">
        <f t="shared" si="1299"/>
        <v>289.42449257758432</v>
      </c>
      <c r="AT174" s="22">
        <f t="shared" si="1299"/>
        <v>857.05199999999991</v>
      </c>
      <c r="AU174" s="22">
        <f t="shared" si="1299"/>
        <v>631.03539470162423</v>
      </c>
      <c r="AV174" s="22">
        <f t="shared" si="1299"/>
        <v>768.6049999999999</v>
      </c>
      <c r="AW174" s="22">
        <f t="shared" si="1299"/>
        <v>806.96634210750415</v>
      </c>
      <c r="AX174" s="22">
        <f t="shared" si="1299"/>
        <v>865.78399999999999</v>
      </c>
      <c r="AY174" s="22">
        <f t="shared" si="1299"/>
        <v>619.05629322075777</v>
      </c>
      <c r="AZ174" s="22">
        <f t="shared" si="1299"/>
        <v>865.34199999999987</v>
      </c>
      <c r="BA174" s="22">
        <f t="shared" si="1299"/>
        <v>908.13120284683805</v>
      </c>
      <c r="BB174" s="22">
        <f t="shared" si="1299"/>
        <v>804.596</v>
      </c>
      <c r="BC174" s="22">
        <f t="shared" si="1299"/>
        <v>575.14262819912915</v>
      </c>
      <c r="BD174" s="22">
        <f t="shared" si="1299"/>
        <v>749.79200000000003</v>
      </c>
      <c r="BE174" s="22">
        <f t="shared" si="1299"/>
        <v>765.20402541154033</v>
      </c>
      <c r="BF174" s="22">
        <f t="shared" si="1299"/>
        <v>838.15000000000009</v>
      </c>
      <c r="BG174" s="22">
        <f t="shared" si="1299"/>
        <v>682.43810888402913</v>
      </c>
      <c r="BH174" s="22">
        <f t="shared" ref="BH174" si="1300">SUM(BH167:BH173)</f>
        <v>871.95399999999995</v>
      </c>
      <c r="BI174" s="22">
        <f t="shared" si="1299"/>
        <v>805.92459045463477</v>
      </c>
      <c r="BJ174" s="22">
        <f t="shared" si="1299"/>
        <v>795.4</v>
      </c>
      <c r="BK174" s="22">
        <f t="shared" si="1299"/>
        <v>726.22380763214471</v>
      </c>
      <c r="BL174" s="22">
        <f t="shared" si="1299"/>
        <v>880.22199999999998</v>
      </c>
      <c r="BM174" s="22">
        <f t="shared" si="1299"/>
        <v>900.32122845195204</v>
      </c>
      <c r="BN174" s="22">
        <f t="shared" si="1299"/>
        <v>871.28399999999999</v>
      </c>
      <c r="BO174" s="22">
        <f t="shared" si="1299"/>
        <v>612.68867526276188</v>
      </c>
      <c r="BP174" s="22">
        <f t="shared" si="1299"/>
        <v>721.05799999999999</v>
      </c>
      <c r="BQ174" s="22">
        <f t="shared" si="1299"/>
        <v>763.93783115750182</v>
      </c>
      <c r="BR174" s="22">
        <f t="shared" si="1299"/>
        <v>757.05499999999995</v>
      </c>
      <c r="BS174" s="22">
        <f t="shared" si="1299"/>
        <v>689.2788769606891</v>
      </c>
      <c r="BT174" s="22">
        <f t="shared" si="1299"/>
        <v>645.38900000000012</v>
      </c>
      <c r="BU174" s="22">
        <f t="shared" si="1299"/>
        <v>594.70296114297366</v>
      </c>
      <c r="BV174" s="22">
        <f t="shared" si="1299"/>
        <v>540.47699999999998</v>
      </c>
      <c r="BW174" s="22">
        <f t="shared" si="1299"/>
        <v>537.37376583968023</v>
      </c>
      <c r="BX174" s="22">
        <f t="shared" si="1299"/>
        <v>462.68599999999998</v>
      </c>
      <c r="BY174" s="22">
        <f t="shared" si="1299"/>
        <v>462.81620962968685</v>
      </c>
      <c r="BZ174" s="22">
        <f t="shared" si="1299"/>
        <v>426.51</v>
      </c>
      <c r="CA174" s="22">
        <f t="shared" si="1299"/>
        <v>421.80498751589948</v>
      </c>
      <c r="CB174" s="22">
        <f t="shared" si="1299"/>
        <v>441.37</v>
      </c>
      <c r="CC174" s="22">
        <f t="shared" si="1299"/>
        <v>436.02506908640959</v>
      </c>
      <c r="CD174" s="22">
        <f t="shared" si="1299"/>
        <v>494.41999999999996</v>
      </c>
      <c r="CE174" s="22">
        <f t="shared" si="1299"/>
        <v>437.09051007757432</v>
      </c>
      <c r="CF174" s="22">
        <f t="shared" ref="CF174:CG174" si="1301">SUM(CF167:CF173)</f>
        <v>567.83000000000004</v>
      </c>
      <c r="CG174" s="22">
        <f t="shared" si="1301"/>
        <v>576.43438560239315</v>
      </c>
      <c r="CH174" s="22">
        <f t="shared" ref="CH174:CI174" si="1302">SUM(CH167:CH173)</f>
        <v>704.53</v>
      </c>
      <c r="CI174" s="22">
        <f t="shared" si="1302"/>
        <v>433.34288162794485</v>
      </c>
      <c r="CJ174" s="22">
        <f t="shared" ref="CJ174:DB174" si="1303">SUM(CJ167:CJ173)</f>
        <v>704.95999999999992</v>
      </c>
      <c r="CK174" s="22">
        <f t="shared" si="1303"/>
        <v>672.78056907615928</v>
      </c>
      <c r="CL174" s="22">
        <f t="shared" ref="CL174" si="1304">SUM(CL167:CL173)</f>
        <v>885.83</v>
      </c>
      <c r="CM174" s="21">
        <f t="shared" si="1303"/>
        <v>832.94181105424241</v>
      </c>
      <c r="CN174" s="21">
        <f t="shared" si="1303"/>
        <v>830.63210161061716</v>
      </c>
      <c r="CO174" s="21">
        <f t="shared" si="1303"/>
        <v>850.315316147776</v>
      </c>
      <c r="CP174" s="21">
        <f t="shared" si="1303"/>
        <v>890.05945942329549</v>
      </c>
      <c r="CQ174" s="21">
        <f t="shared" si="1303"/>
        <v>909.04873735865158</v>
      </c>
      <c r="CR174" s="21">
        <f t="shared" si="1303"/>
        <v>918.89146708295425</v>
      </c>
      <c r="CS174" s="21">
        <f t="shared" si="1303"/>
        <v>954.81141436368671</v>
      </c>
      <c r="CT174" s="21">
        <f t="shared" si="1303"/>
        <v>980.35028222199981</v>
      </c>
      <c r="CU174" s="21">
        <f t="shared" si="1303"/>
        <v>996.15591205786404</v>
      </c>
      <c r="CV174" s="21">
        <f t="shared" si="1303"/>
        <v>1012.3476856066245</v>
      </c>
      <c r="CW174" s="21">
        <f t="shared" si="1303"/>
        <v>1053.1317413867023</v>
      </c>
      <c r="CX174" s="21">
        <f t="shared" si="1303"/>
        <v>1077.6435756792584</v>
      </c>
      <c r="CY174" s="21">
        <f t="shared" si="1303"/>
        <v>1095.0753561010119</v>
      </c>
      <c r="CZ174" s="21">
        <f t="shared" si="1303"/>
        <v>1114.074685402074</v>
      </c>
      <c r="DA174" s="21">
        <f t="shared" si="1303"/>
        <v>1158.8033094918344</v>
      </c>
      <c r="DB174" s="21">
        <f t="shared" si="1303"/>
        <v>1185.1505772542764</v>
      </c>
      <c r="DE174" s="126"/>
      <c r="DF174" s="22">
        <v>885.83</v>
      </c>
    </row>
    <row r="175" spans="1:110" s="22" customFormat="1" x14ac:dyDescent="0.2">
      <c r="A175" s="22" t="s">
        <v>74</v>
      </c>
      <c r="B175" s="22">
        <f>B166-B174</f>
        <v>65.075977000000009</v>
      </c>
      <c r="C175" s="22">
        <f t="shared" ref="C175:V175" si="1305">C166-C174</f>
        <v>67.281370199999998</v>
      </c>
      <c r="D175" s="22">
        <f t="shared" si="1305"/>
        <v>64.092456300000009</v>
      </c>
      <c r="E175" s="22">
        <f t="shared" si="1305"/>
        <v>81.759232300000022</v>
      </c>
      <c r="F175" s="22">
        <f t="shared" si="1305"/>
        <v>100.92420000000001</v>
      </c>
      <c r="G175" s="22">
        <f t="shared" si="1305"/>
        <v>192.00140000000005</v>
      </c>
      <c r="H175" s="22">
        <f t="shared" si="1305"/>
        <v>340.36369999999999</v>
      </c>
      <c r="I175" s="22">
        <f t="shared" si="1305"/>
        <v>452.07819999999998</v>
      </c>
      <c r="J175" s="22">
        <f t="shared" si="1305"/>
        <v>515.62750000000005</v>
      </c>
      <c r="K175" s="22">
        <f t="shared" si="1305"/>
        <v>478.6280000000001</v>
      </c>
      <c r="L175" s="22">
        <f t="shared" si="1305"/>
        <v>585.09480000000008</v>
      </c>
      <c r="M175" s="22">
        <f t="shared" si="1305"/>
        <v>560.68530000000021</v>
      </c>
      <c r="N175" s="22">
        <f t="shared" si="1305"/>
        <v>630.68370000000004</v>
      </c>
      <c r="O175" s="22">
        <f t="shared" si="1305"/>
        <v>601.23239999999987</v>
      </c>
      <c r="P175" s="22">
        <f t="shared" si="1305"/>
        <v>582.29780000000005</v>
      </c>
      <c r="Q175" s="22">
        <f t="shared" si="1305"/>
        <v>391.9748000000003</v>
      </c>
      <c r="R175" s="22">
        <f t="shared" si="1305"/>
        <v>358.62509999999986</v>
      </c>
      <c r="S175" s="22">
        <f t="shared" si="1305"/>
        <v>395.17960000000016</v>
      </c>
      <c r="T175" s="22">
        <f t="shared" si="1305"/>
        <v>458.6450000000001</v>
      </c>
      <c r="U175" s="22">
        <f t="shared" si="1305"/>
        <v>317.17669999999987</v>
      </c>
      <c r="V175" s="22">
        <f t="shared" si="1305"/>
        <v>277.52100000000019</v>
      </c>
      <c r="W175" s="22">
        <f t="shared" ref="W175" si="1306">W166-W174</f>
        <v>268.06389999999999</v>
      </c>
      <c r="X175" s="22">
        <f t="shared" ref="X175:Y175" si="1307">X166-X174</f>
        <v>262.21999999999997</v>
      </c>
      <c r="Y175" s="22">
        <f t="shared" si="1307"/>
        <v>309.48000000000013</v>
      </c>
      <c r="Z175" s="22">
        <f t="shared" ref="Z175:AA175" si="1308">Z166-Z174</f>
        <v>250.08000000000015</v>
      </c>
      <c r="AA175" s="22">
        <f t="shared" ref="AA175" si="1309">AA166-AA174</f>
        <v>439.70999999999992</v>
      </c>
      <c r="AB175" s="21">
        <f t="shared" ref="AB175:AD175" si="1310">AB166-AB174</f>
        <v>737.84615945825112</v>
      </c>
      <c r="AC175" s="21">
        <f t="shared" si="1310"/>
        <v>812.69591936026427</v>
      </c>
      <c r="AD175" s="21">
        <f t="shared" si="1310"/>
        <v>893.35062412009734</v>
      </c>
      <c r="AE175" s="21">
        <f t="shared" ref="AE175" si="1311">AE166-AE174</f>
        <v>982.4723422111515</v>
      </c>
      <c r="AJ175" s="22">
        <f t="shared" ref="AJ175" si="1312">AJ166-AJ174</f>
        <v>451.8660000000001</v>
      </c>
      <c r="AK175" s="22">
        <f t="shared" ref="AK175" si="1313">AK166-AK174</f>
        <v>58.068749679994539</v>
      </c>
      <c r="AL175" s="22">
        <f t="shared" ref="AL175:AM175" si="1314">AL166-AL174</f>
        <v>557.13999999999976</v>
      </c>
      <c r="AM175" s="22">
        <f t="shared" si="1314"/>
        <v>267.37969641351253</v>
      </c>
      <c r="AN175" s="22">
        <f t="shared" ref="AN175:AO175" si="1315">AN166-AN174</f>
        <v>341.62599999999998</v>
      </c>
      <c r="AO175" s="22">
        <f t="shared" si="1315"/>
        <v>337.77743022937722</v>
      </c>
      <c r="AP175" s="22">
        <f t="shared" ref="AP175:CE175" si="1316">AP166-AP174</f>
        <v>545.26699999999994</v>
      </c>
      <c r="AQ175" s="22">
        <f t="shared" si="1316"/>
        <v>1006.2096044995369</v>
      </c>
      <c r="AR175" s="22">
        <f t="shared" si="1316"/>
        <v>340.75599999999991</v>
      </c>
      <c r="AS175" s="22">
        <f t="shared" si="1316"/>
        <v>342.30083570803703</v>
      </c>
      <c r="AT175" s="22">
        <f t="shared" si="1316"/>
        <v>533.40899999999988</v>
      </c>
      <c r="AU175" s="22">
        <f t="shared" si="1316"/>
        <v>231.07931487256201</v>
      </c>
      <c r="AV175" s="22">
        <f t="shared" si="1316"/>
        <v>640.09600000000012</v>
      </c>
      <c r="AW175" s="22">
        <f t="shared" si="1316"/>
        <v>703.86600708834214</v>
      </c>
      <c r="AX175" s="22">
        <f t="shared" si="1316"/>
        <v>337.61299999999994</v>
      </c>
      <c r="AY175" s="22">
        <f t="shared" si="1316"/>
        <v>102.60228896277238</v>
      </c>
      <c r="AZ175" s="22">
        <f t="shared" si="1316"/>
        <v>433.50400000000013</v>
      </c>
      <c r="BA175" s="22">
        <f t="shared" si="1316"/>
        <v>484.20490874028565</v>
      </c>
      <c r="BB175" s="22">
        <f t="shared" si="1316"/>
        <v>278.32600000000002</v>
      </c>
      <c r="BC175" s="22">
        <f t="shared" si="1316"/>
        <v>65.954996021448778</v>
      </c>
      <c r="BD175" s="22">
        <f t="shared" si="1316"/>
        <v>245.93899999999996</v>
      </c>
      <c r="BE175" s="22">
        <f t="shared" si="1316"/>
        <v>262.14501515958852</v>
      </c>
      <c r="BF175" s="22">
        <f t="shared" si="1316"/>
        <v>349.06999999999994</v>
      </c>
      <c r="BG175" s="22">
        <f t="shared" si="1316"/>
        <v>212.36873692421727</v>
      </c>
      <c r="BH175" s="22">
        <f t="shared" ref="BH175" si="1317">BH166-BH174</f>
        <v>349.00499999999988</v>
      </c>
      <c r="BI175" s="22">
        <f t="shared" si="1316"/>
        <v>274.87626972874057</v>
      </c>
      <c r="BJ175" s="22">
        <f t="shared" si="1316"/>
        <v>435.774</v>
      </c>
      <c r="BK175" s="22">
        <f t="shared" si="1316"/>
        <v>347.62117186199328</v>
      </c>
      <c r="BL175" s="22">
        <f t="shared" si="1316"/>
        <v>383.50700000000006</v>
      </c>
      <c r="BM175" s="22">
        <f t="shared" si="1316"/>
        <v>406.91450958254586</v>
      </c>
      <c r="BN175" s="22">
        <f t="shared" si="1316"/>
        <v>364.10399999999993</v>
      </c>
      <c r="BO175" s="22">
        <f t="shared" si="1316"/>
        <v>165.21826901159795</v>
      </c>
      <c r="BP175" s="22">
        <f t="shared" si="1316"/>
        <v>327.79200000000014</v>
      </c>
      <c r="BQ175" s="22">
        <f t="shared" si="1316"/>
        <v>377.64300248052371</v>
      </c>
      <c r="BR175" s="22">
        <f t="shared" si="1316"/>
        <v>336.52200000000005</v>
      </c>
      <c r="BS175" s="22">
        <f t="shared" si="1316"/>
        <v>283.23693160293828</v>
      </c>
      <c r="BT175" s="22">
        <f t="shared" si="1316"/>
        <v>319.44399999999996</v>
      </c>
      <c r="BU175" s="22">
        <f t="shared" si="1316"/>
        <v>277.74774900564603</v>
      </c>
      <c r="BV175" s="22">
        <f t="shared" si="1316"/>
        <v>338.30000000000007</v>
      </c>
      <c r="BW175" s="22">
        <f t="shared" si="1316"/>
        <v>333.63609893673186</v>
      </c>
      <c r="BX175" s="22">
        <f t="shared" si="1316"/>
        <v>341.18900000000002</v>
      </c>
      <c r="BY175" s="22">
        <f t="shared" si="1316"/>
        <v>341.44709197354535</v>
      </c>
      <c r="BZ175" s="22">
        <f t="shared" si="1316"/>
        <v>343.94999999999993</v>
      </c>
      <c r="CA175" s="22">
        <f t="shared" si="1316"/>
        <v>333.64909078060953</v>
      </c>
      <c r="CB175" s="22">
        <f t="shared" si="1316"/>
        <v>345.86</v>
      </c>
      <c r="CC175" s="22">
        <f t="shared" si="1316"/>
        <v>336.29034027634572</v>
      </c>
      <c r="CD175" s="22">
        <f t="shared" si="1316"/>
        <v>415.18000000000006</v>
      </c>
      <c r="CE175" s="22">
        <f t="shared" si="1316"/>
        <v>266.62245368566471</v>
      </c>
      <c r="CF175" s="22">
        <f t="shared" ref="CF175:CG175" si="1318">CF166-CF174</f>
        <v>477.57000000000005</v>
      </c>
      <c r="CG175" s="22">
        <f t="shared" si="1318"/>
        <v>498.1738099736292</v>
      </c>
      <c r="CH175" s="22">
        <f t="shared" ref="CH175:CI175" si="1319">CH166-CH174</f>
        <v>250.08000000000015</v>
      </c>
      <c r="CI175" s="22">
        <f t="shared" si="1319"/>
        <v>153.81940845317649</v>
      </c>
      <c r="CJ175" s="22">
        <f t="shared" ref="CJ175:DB175" si="1320">CJ166-CJ174</f>
        <v>549.38</v>
      </c>
      <c r="CK175" s="22">
        <f t="shared" si="1320"/>
        <v>524.30235621745987</v>
      </c>
      <c r="CL175" s="22">
        <f t="shared" ref="CL175" si="1321">CL166-CL174</f>
        <v>734.3399999999998</v>
      </c>
      <c r="CM175" s="21">
        <f t="shared" si="1320"/>
        <v>690.49647170401954</v>
      </c>
      <c r="CN175" s="21">
        <f t="shared" si="1320"/>
        <v>688.58175665391764</v>
      </c>
      <c r="CO175" s="21">
        <f t="shared" si="1320"/>
        <v>704.89885108876138</v>
      </c>
      <c r="CP175" s="21">
        <f t="shared" si="1320"/>
        <v>737.84615945825112</v>
      </c>
      <c r="CQ175" s="21">
        <f t="shared" si="1320"/>
        <v>753.58799068890357</v>
      </c>
      <c r="CR175" s="21">
        <f t="shared" si="1320"/>
        <v>761.74746840555895</v>
      </c>
      <c r="CS175" s="21">
        <f t="shared" si="1320"/>
        <v>791.52457471956177</v>
      </c>
      <c r="CT175" s="21">
        <f t="shared" si="1320"/>
        <v>812.69591936026427</v>
      </c>
      <c r="CU175" s="21">
        <f t="shared" si="1320"/>
        <v>825.7985532896505</v>
      </c>
      <c r="CV175" s="21">
        <f t="shared" si="1320"/>
        <v>839.22129465966168</v>
      </c>
      <c r="CW175" s="21">
        <f t="shared" si="1320"/>
        <v>873.0306751520161</v>
      </c>
      <c r="CX175" s="21">
        <f t="shared" si="1320"/>
        <v>893.35062412009734</v>
      </c>
      <c r="CY175" s="21">
        <f t="shared" si="1320"/>
        <v>907.80131289210863</v>
      </c>
      <c r="CZ175" s="21">
        <f t="shared" si="1320"/>
        <v>923.55147655662904</v>
      </c>
      <c r="DA175" s="21">
        <f t="shared" si="1320"/>
        <v>960.63084597748207</v>
      </c>
      <c r="DB175" s="21">
        <f t="shared" si="1320"/>
        <v>982.4723422111515</v>
      </c>
      <c r="DE175" s="126"/>
      <c r="DF175" s="22">
        <v>734.3399999999998</v>
      </c>
    </row>
    <row r="176" spans="1:110" s="23" customFormat="1" x14ac:dyDescent="0.2">
      <c r="AB176" s="24"/>
      <c r="AC176" s="24"/>
      <c r="AD176" s="24"/>
      <c r="AE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E176" s="123"/>
    </row>
    <row r="177" spans="1:110" s="23" customFormat="1" outlineLevel="1" x14ac:dyDescent="0.2">
      <c r="A177" s="23" t="s">
        <v>75</v>
      </c>
      <c r="B177" s="23">
        <f>'Annual Raw'!C75</f>
        <v>0</v>
      </c>
      <c r="C177" s="23">
        <f>'Annual Raw'!D75</f>
        <v>0</v>
      </c>
      <c r="D177" s="23">
        <f>'Annual Raw'!E75</f>
        <v>0</v>
      </c>
      <c r="E177" s="23">
        <f>'Annual Raw'!F75</f>
        <v>0</v>
      </c>
      <c r="F177" s="23">
        <f>'Annual Raw'!G75</f>
        <v>0</v>
      </c>
      <c r="G177" s="23">
        <f>'Annual Raw'!H75</f>
        <v>0</v>
      </c>
      <c r="H177" s="23">
        <f>'Annual Raw'!I75</f>
        <v>0</v>
      </c>
      <c r="I177" s="23">
        <f>'Annual Raw'!J75</f>
        <v>0</v>
      </c>
      <c r="J177" s="23">
        <f>'Annual Raw'!K75</f>
        <v>0</v>
      </c>
      <c r="K177" s="23">
        <f>'Annual Raw'!L75</f>
        <v>0</v>
      </c>
      <c r="L177" s="23">
        <f>'Annual Raw'!M75</f>
        <v>0.624</v>
      </c>
      <c r="M177" s="23">
        <f>'Annual Raw'!N75</f>
        <v>7.3765000000000001</v>
      </c>
      <c r="N177" s="23">
        <f>'Annual Raw'!O75</f>
        <v>8.1304999999999996</v>
      </c>
      <c r="O177" s="23">
        <f>'Annual Raw'!P75</f>
        <v>9.6074999999999999</v>
      </c>
      <c r="P177" s="23">
        <f>'Annual Raw'!Q75</f>
        <v>9.2714999999999996</v>
      </c>
      <c r="Q177" s="23">
        <f>'Annual Raw'!R75</f>
        <v>0</v>
      </c>
      <c r="R177" s="23">
        <f>'Annual Raw'!S75</f>
        <v>0</v>
      </c>
      <c r="S177" s="23">
        <f>'Annual Raw'!T75</f>
        <v>0</v>
      </c>
      <c r="T177" s="23">
        <f>'Annual Raw'!U75</f>
        <v>0</v>
      </c>
      <c r="U177" s="23">
        <f>'Annual Raw'!V75</f>
        <v>0</v>
      </c>
      <c r="V177" s="23">
        <f>'Annual Raw'!W75</f>
        <v>0</v>
      </c>
      <c r="W177" s="23">
        <f>'Annual Raw'!X75</f>
        <v>0</v>
      </c>
      <c r="X177" s="23">
        <f>'Annual Raw'!Y75</f>
        <v>19.059999999999999</v>
      </c>
      <c r="Y177" s="23">
        <f>'Annual Raw'!Z75</f>
        <v>203.28</v>
      </c>
      <c r="Z177" s="23">
        <f>'Annual Raw'!AA75</f>
        <v>414.55</v>
      </c>
      <c r="AA177" s="23">
        <f>'Annual Raw'!AB75</f>
        <v>594.36</v>
      </c>
      <c r="AB177" s="24">
        <f t="shared" ref="AB177:AB178" si="1322">+CP177</f>
        <v>0</v>
      </c>
      <c r="AC177" s="24">
        <f t="shared" ref="AC177:AC178" si="1323">+CT177</f>
        <v>0</v>
      </c>
      <c r="AD177" s="24">
        <f t="shared" ref="AD177:AD178" si="1324">+CX177</f>
        <v>0</v>
      </c>
      <c r="AE177" s="24">
        <f t="shared" ref="AE177:AE178" si="1325">+DB177</f>
        <v>0</v>
      </c>
      <c r="AJ177" s="23">
        <f>+'QTR Raw'!D80</f>
        <v>0</v>
      </c>
      <c r="AL177" s="23">
        <f>+'QTR Raw'!F80</f>
        <v>8.1300000000000008</v>
      </c>
      <c r="AN177" s="23">
        <f>+'QTR Raw'!H80</f>
        <v>0</v>
      </c>
      <c r="AP177" s="23">
        <f>+'QTR Raw'!J80</f>
        <v>9.6080000000000005</v>
      </c>
      <c r="AR177" s="23">
        <f>+'QTR Raw'!L80</f>
        <v>0</v>
      </c>
      <c r="AT177" s="23">
        <f>+'QTR Raw'!N80</f>
        <v>9.2720000000000002</v>
      </c>
      <c r="AV177" s="23">
        <f>+'QTR Raw'!P80</f>
        <v>13.891</v>
      </c>
      <c r="AX177" s="23">
        <f>+'QTR Raw'!R80</f>
        <v>0</v>
      </c>
      <c r="AZ177" s="23">
        <f>+'QTR Raw'!T80</f>
        <v>1.585</v>
      </c>
      <c r="BB177" s="23">
        <f>+'QTR Raw'!V80</f>
        <v>0</v>
      </c>
      <c r="BD177" s="23">
        <f>+'QTR Raw'!X80</f>
        <v>0</v>
      </c>
      <c r="BF177" s="23">
        <f>+'QTR Raw'!Z80</f>
        <v>0</v>
      </c>
      <c r="BH177" s="23">
        <f>+'QTR Raw'!AB80</f>
        <v>0</v>
      </c>
      <c r="BJ177" s="23">
        <f>+'QTR Raw'!AD80</f>
        <v>0</v>
      </c>
      <c r="BL177" s="23">
        <f>+'QTR Raw'!AF80</f>
        <v>0</v>
      </c>
      <c r="BN177" s="23">
        <f>+'QTR Raw'!AH80</f>
        <v>0</v>
      </c>
      <c r="BP177" s="23">
        <f>+'QTR Raw'!AJ80</f>
        <v>0</v>
      </c>
      <c r="BR177" s="23">
        <f>+'QTR Raw'!AL80</f>
        <v>0</v>
      </c>
      <c r="BT177" s="23">
        <f>+'QTR Raw'!AN80</f>
        <v>0</v>
      </c>
      <c r="BV177" s="23">
        <f>+'QTR Raw'!AP80</f>
        <v>0</v>
      </c>
      <c r="BX177" s="23">
        <f>+'QTR Raw'!AR80</f>
        <v>0</v>
      </c>
      <c r="BZ177" s="23">
        <f>+'QTR Raw'!AT80</f>
        <v>19.059999999999999</v>
      </c>
      <c r="CB177" s="23">
        <f>+'QTR Raw'!AV80</f>
        <v>48.04</v>
      </c>
      <c r="CD177" s="23">
        <f>+'QTR Raw'!AX80</f>
        <v>203.28</v>
      </c>
      <c r="CF177" s="23">
        <f>+'QTR Raw'!AZ80</f>
        <v>296.54000000000002</v>
      </c>
      <c r="CH177" s="23">
        <f t="shared" ref="CH177:CH178" si="1326">Z177</f>
        <v>414.55</v>
      </c>
      <c r="CJ177" s="23">
        <f>+'QTR Raw'!BD80</f>
        <v>507.8</v>
      </c>
      <c r="CL177" s="23">
        <f>+'QTR Raw'!BF80</f>
        <v>594.36</v>
      </c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  <c r="DF177" s="23">
        <v>594.36</v>
      </c>
    </row>
    <row r="178" spans="1:110" s="23" customFormat="1" outlineLevel="1" x14ac:dyDescent="0.2">
      <c r="A178" s="23" t="s">
        <v>76</v>
      </c>
      <c r="B178" s="23">
        <f>'Annual Raw'!C78</f>
        <v>1.2693787999999999</v>
      </c>
      <c r="C178" s="23">
        <f>'Annual Raw'!D78</f>
        <v>1.8701117</v>
      </c>
      <c r="D178" s="23">
        <f>'Annual Raw'!E78</f>
        <v>1.7297389000000001</v>
      </c>
      <c r="E178" s="23">
        <f>'Annual Raw'!F78</f>
        <v>2.6617492999999999</v>
      </c>
      <c r="F178" s="23">
        <f>'Annual Raw'!G78</f>
        <v>8.4718</v>
      </c>
      <c r="G178" s="23">
        <f>'Annual Raw'!H78</f>
        <v>24.706900000000001</v>
      </c>
      <c r="H178" s="23">
        <f>'Annual Raw'!I78</f>
        <v>12.759</v>
      </c>
      <c r="I178" s="23">
        <f>'Annual Raw'!J78</f>
        <v>7.5224000000000002</v>
      </c>
      <c r="J178" s="23">
        <f>'Annual Raw'!K78</f>
        <v>61.058700000000002</v>
      </c>
      <c r="K178" s="23">
        <f>'Annual Raw'!L78</f>
        <v>38.8125</v>
      </c>
      <c r="L178" s="23">
        <f>'Annual Raw'!M78</f>
        <v>27.105599999999999</v>
      </c>
      <c r="M178" s="23">
        <f>'Annual Raw'!N78</f>
        <v>18.887699999999999</v>
      </c>
      <c r="N178" s="23">
        <f>'Annual Raw'!O78</f>
        <v>31.678999999999998</v>
      </c>
      <c r="O178" s="23">
        <f>'Annual Raw'!P78</f>
        <v>22.288499999999999</v>
      </c>
      <c r="P178" s="23">
        <f>'Annual Raw'!Q78</f>
        <v>31.505199999999999</v>
      </c>
      <c r="Q178" s="23">
        <f>'Annual Raw'!R78</f>
        <v>45.0229</v>
      </c>
      <c r="R178" s="23">
        <f>'Annual Raw'!S78</f>
        <v>92.546599999999998</v>
      </c>
      <c r="S178" s="23">
        <f>'Annual Raw'!T78</f>
        <v>82.763000000000005</v>
      </c>
      <c r="T178" s="23">
        <f>'Annual Raw'!U78</f>
        <v>75.589799999999997</v>
      </c>
      <c r="U178" s="23">
        <f>'Annual Raw'!V78</f>
        <v>107.4824</v>
      </c>
      <c r="V178" s="23">
        <f>'Annual Raw'!W78</f>
        <v>141.4845</v>
      </c>
      <c r="W178" s="23">
        <f>'Annual Raw'!X78</f>
        <v>112.1344</v>
      </c>
      <c r="X178" s="23">
        <f>'Annual Raw'!Y78</f>
        <v>210.37</v>
      </c>
      <c r="Y178" s="23">
        <f>'Annual Raw'!Z78</f>
        <v>263.31</v>
      </c>
      <c r="Z178" s="23">
        <f>'Annual Raw'!AA78</f>
        <v>358.44</v>
      </c>
      <c r="AA178" s="23">
        <f>'Annual Raw'!AB78</f>
        <v>212.64</v>
      </c>
      <c r="AB178" s="24">
        <f t="shared" si="1322"/>
        <v>1328.669762063369</v>
      </c>
      <c r="AC178" s="24">
        <f t="shared" si="1323"/>
        <v>1826.5359213535387</v>
      </c>
      <c r="AD178" s="24">
        <f t="shared" si="1324"/>
        <v>2381.8474756066184</v>
      </c>
      <c r="AE178" s="24">
        <f t="shared" si="1325"/>
        <v>3000.8574836904704</v>
      </c>
      <c r="AJ178" s="23">
        <f>+'QTR Raw'!D83</f>
        <v>7.4039999999999999</v>
      </c>
      <c r="AK178" s="23">
        <f t="shared" ref="AK178:AM178" si="1327">+AK228</f>
        <v>408.25125032000551</v>
      </c>
      <c r="AL178" s="23">
        <f>+'QTR Raw'!F83</f>
        <v>31.678999999999998</v>
      </c>
      <c r="AM178" s="23">
        <f t="shared" si="1327"/>
        <v>332.82630358648714</v>
      </c>
      <c r="AN178" s="23">
        <f>+'QTR Raw'!H83</f>
        <v>3.8410000000000002</v>
      </c>
      <c r="AO178" s="23">
        <f t="shared" ref="AO178" si="1328">+AO228</f>
        <v>12.122569770622778</v>
      </c>
      <c r="AP178" s="23">
        <f>+'QTR Raw'!J83</f>
        <v>22.288</v>
      </c>
      <c r="AQ178" s="23">
        <f t="shared" ref="AQ178" si="1329">+AQ228</f>
        <v>-435.74260449953698</v>
      </c>
      <c r="AR178" s="23">
        <f>+'QTR Raw'!L83</f>
        <v>2.8650000000000002</v>
      </c>
      <c r="AS178" s="23">
        <f t="shared" ref="AS178" si="1330">+AS228</f>
        <v>-2.4318357080370365</v>
      </c>
      <c r="AT178" s="23">
        <f>+'QTR Raw'!N83</f>
        <v>31.504999999999999</v>
      </c>
      <c r="AU178" s="23">
        <f t="shared" ref="AU178" si="1331">+AU228</f>
        <v>345.06968512743788</v>
      </c>
      <c r="AV178" s="23">
        <f>+'QTR Raw'!P83</f>
        <v>30.166</v>
      </c>
      <c r="AW178" s="23">
        <f t="shared" ref="AW178" si="1332">+AW228</f>
        <v>-12.550007088342085</v>
      </c>
      <c r="AX178" s="23">
        <f>+'QTR Raw'!R83</f>
        <v>45.023000000000003</v>
      </c>
      <c r="AY178" s="23">
        <f t="shared" ref="AY178" si="1333">+AY228</f>
        <v>277.99571103722758</v>
      </c>
      <c r="AZ178" s="23">
        <f>+'QTR Raw'!T83</f>
        <v>38.816000000000003</v>
      </c>
      <c r="BA178" s="23">
        <f t="shared" ref="BA178" si="1334">+BA228</f>
        <v>-19.7829087402855</v>
      </c>
      <c r="BB178" s="23">
        <f>+'QTR Raw'!V83</f>
        <v>92.546999999999997</v>
      </c>
      <c r="BC178" s="23">
        <f t="shared" ref="BC178" si="1335">+BC228</f>
        <v>268.72600397855126</v>
      </c>
      <c r="BD178" s="23">
        <f>+'QTR Raw'!X83</f>
        <v>65.566000000000003</v>
      </c>
      <c r="BE178" s="23">
        <f t="shared" ref="BE178" si="1336">+BE228</f>
        <v>46.991984840411483</v>
      </c>
      <c r="BF178" s="23">
        <f>+'QTR Raw'!Z83</f>
        <v>82.763000000000005</v>
      </c>
      <c r="BG178" s="23">
        <f t="shared" ref="BG178" si="1337">+BG228</f>
        <v>226.97626307578264</v>
      </c>
      <c r="BH178" s="23">
        <f>+'QTR Raw'!AB83</f>
        <v>109.9</v>
      </c>
      <c r="BI178" s="23">
        <f t="shared" ref="BI178" si="1338">+BI228</f>
        <v>187.07273027125933</v>
      </c>
      <c r="BJ178" s="23">
        <f>+'QTR Raw'!AD83</f>
        <v>75.59</v>
      </c>
      <c r="BK178" s="23">
        <f t="shared" ref="BK178" si="1339">+BK228</f>
        <v>164.19482813800676</v>
      </c>
      <c r="BL178" s="23">
        <f>+'QTR Raw'!AF83</f>
        <v>85.992000000000004</v>
      </c>
      <c r="BM178" s="23">
        <f t="shared" ref="BM178" si="1340">+BM228</f>
        <v>71.857490417454216</v>
      </c>
      <c r="BN178" s="23">
        <f>+'QTR Raw'!AH83</f>
        <v>107.483</v>
      </c>
      <c r="BO178" s="23">
        <f t="shared" ref="BO178" si="1341">+BO228</f>
        <v>285.74473098840201</v>
      </c>
      <c r="BP178" s="23">
        <f>+'QTR Raw'!AJ83</f>
        <v>112.84</v>
      </c>
      <c r="BQ178" s="23">
        <f t="shared" ref="BQ178" si="1342">+BQ228</f>
        <v>87.66099751947641</v>
      </c>
      <c r="BR178" s="23">
        <f>+'QTR Raw'!AL83</f>
        <v>141.48500000000001</v>
      </c>
      <c r="BS178" s="23">
        <f t="shared" ref="BS178" si="1343">+BS228</f>
        <v>222.03906839706175</v>
      </c>
      <c r="BT178" s="23">
        <f>+'QTR Raw'!AN83</f>
        <v>147.30000000000001</v>
      </c>
      <c r="BU178" s="23">
        <f t="shared" ref="BU178" si="1344">+BU228</f>
        <v>220.53525099435399</v>
      </c>
      <c r="BV178" s="23">
        <f>+'QTR Raw'!AP83</f>
        <v>112.134</v>
      </c>
      <c r="BW178" s="23">
        <f t="shared" ref="BW178" si="1345">+BW228</f>
        <v>159.10790106326829</v>
      </c>
      <c r="BX178" s="23">
        <f>+'QTR Raw'!AR83</f>
        <v>106.21599999999999</v>
      </c>
      <c r="BY178" s="23">
        <f t="shared" ref="BY178" si="1346">+BY228</f>
        <v>168.70790802645467</v>
      </c>
      <c r="BZ178" s="23">
        <f>+'QTR Raw'!AT83</f>
        <v>210.37</v>
      </c>
      <c r="CA178" s="23">
        <f t="shared" ref="CA178" si="1347">+CA228</f>
        <v>312.69090921939039</v>
      </c>
      <c r="CB178" s="23">
        <f>+'QTR Raw'!AV83</f>
        <v>308.73</v>
      </c>
      <c r="CC178" s="23">
        <f t="shared" ref="CC178" si="1348">+CC228</f>
        <v>456.73965972365443</v>
      </c>
      <c r="CD178" s="23">
        <f>+'QTR Raw'!AX83</f>
        <v>263.31</v>
      </c>
      <c r="CE178" s="23">
        <f t="shared" ref="CE178" si="1349">+CE228</f>
        <v>688.50754631433529</v>
      </c>
      <c r="CF178" s="23">
        <f>+'QTR Raw'!AZ83</f>
        <v>235.14</v>
      </c>
      <c r="CG178" s="23">
        <f t="shared" ref="CG178:CI178" si="1350">+CG228</f>
        <v>618.61619002637087</v>
      </c>
      <c r="CH178" s="23">
        <f t="shared" si="1326"/>
        <v>358.44</v>
      </c>
      <c r="CI178" s="23">
        <f t="shared" si="1350"/>
        <v>1069.2305915468237</v>
      </c>
      <c r="CJ178" s="23">
        <f>+'QTR Raw'!BD83</f>
        <v>311.26</v>
      </c>
      <c r="CK178" s="23">
        <f t="shared" ref="CK178:DB178" si="1351">+CK228</f>
        <v>943.36764378254009</v>
      </c>
      <c r="CL178" s="23">
        <f>+'QTR Raw'!BF83</f>
        <v>212.64</v>
      </c>
      <c r="CM178" s="24">
        <f t="shared" si="1351"/>
        <v>982.81686307452719</v>
      </c>
      <c r="CN178" s="24">
        <f t="shared" si="1351"/>
        <v>1112.0844679405786</v>
      </c>
      <c r="CO178" s="24">
        <f t="shared" si="1351"/>
        <v>1225.1045346444334</v>
      </c>
      <c r="CP178" s="24">
        <f t="shared" si="1351"/>
        <v>1328.669762063369</v>
      </c>
      <c r="CQ178" s="24">
        <f t="shared" si="1351"/>
        <v>1452.3265640307307</v>
      </c>
      <c r="CR178" s="24">
        <f t="shared" si="1351"/>
        <v>1584.0118087017404</v>
      </c>
      <c r="CS178" s="24">
        <f t="shared" si="1351"/>
        <v>1699.0948248626069</v>
      </c>
      <c r="CT178" s="24">
        <f t="shared" si="1351"/>
        <v>1826.5359213535387</v>
      </c>
      <c r="CU178" s="24">
        <f t="shared" si="1351"/>
        <v>1966.1672088353014</v>
      </c>
      <c r="CV178" s="24">
        <f t="shared" si="1351"/>
        <v>2108.196163813137</v>
      </c>
      <c r="CW178" s="24">
        <f t="shared" si="1351"/>
        <v>2236.1651426214721</v>
      </c>
      <c r="CX178" s="24">
        <f t="shared" si="1351"/>
        <v>2381.8474756066184</v>
      </c>
      <c r="CY178" s="24">
        <f t="shared" si="1351"/>
        <v>2536.9890380742686</v>
      </c>
      <c r="CZ178" s="24">
        <f t="shared" si="1351"/>
        <v>2694.4544232976696</v>
      </c>
      <c r="DA178" s="24">
        <f t="shared" si="1351"/>
        <v>2837.7231947863861</v>
      </c>
      <c r="DB178" s="24">
        <f t="shared" si="1351"/>
        <v>3000.8574836904704</v>
      </c>
      <c r="DE178" s="123"/>
      <c r="DF178" s="23">
        <v>212.64</v>
      </c>
    </row>
    <row r="179" spans="1:110" s="22" customFormat="1" x14ac:dyDescent="0.2">
      <c r="A179" s="22" t="s">
        <v>77</v>
      </c>
      <c r="B179" s="22">
        <f>B177+B178</f>
        <v>1.2693787999999999</v>
      </c>
      <c r="C179" s="22">
        <f t="shared" ref="C179:V179" si="1352">C177+C178</f>
        <v>1.8701117</v>
      </c>
      <c r="D179" s="22">
        <f t="shared" si="1352"/>
        <v>1.7297389000000001</v>
      </c>
      <c r="E179" s="22">
        <f t="shared" si="1352"/>
        <v>2.6617492999999999</v>
      </c>
      <c r="F179" s="22">
        <f t="shared" si="1352"/>
        <v>8.4718</v>
      </c>
      <c r="G179" s="22">
        <f t="shared" si="1352"/>
        <v>24.706900000000001</v>
      </c>
      <c r="H179" s="22">
        <f t="shared" si="1352"/>
        <v>12.759</v>
      </c>
      <c r="I179" s="22">
        <f t="shared" si="1352"/>
        <v>7.5224000000000002</v>
      </c>
      <c r="J179" s="22">
        <f t="shared" si="1352"/>
        <v>61.058700000000002</v>
      </c>
      <c r="K179" s="22">
        <f t="shared" si="1352"/>
        <v>38.8125</v>
      </c>
      <c r="L179" s="22">
        <f t="shared" si="1352"/>
        <v>27.729599999999998</v>
      </c>
      <c r="M179" s="22">
        <f t="shared" si="1352"/>
        <v>26.264199999999999</v>
      </c>
      <c r="N179" s="22">
        <f t="shared" si="1352"/>
        <v>39.8095</v>
      </c>
      <c r="O179" s="22">
        <f t="shared" si="1352"/>
        <v>31.896000000000001</v>
      </c>
      <c r="P179" s="22">
        <f t="shared" si="1352"/>
        <v>40.776699999999998</v>
      </c>
      <c r="Q179" s="22">
        <f t="shared" si="1352"/>
        <v>45.0229</v>
      </c>
      <c r="R179" s="22">
        <f t="shared" si="1352"/>
        <v>92.546599999999998</v>
      </c>
      <c r="S179" s="22">
        <f t="shared" si="1352"/>
        <v>82.763000000000005</v>
      </c>
      <c r="T179" s="22">
        <f t="shared" si="1352"/>
        <v>75.589799999999997</v>
      </c>
      <c r="U179" s="22">
        <f t="shared" si="1352"/>
        <v>107.4824</v>
      </c>
      <c r="V179" s="22">
        <f t="shared" si="1352"/>
        <v>141.4845</v>
      </c>
      <c r="W179" s="22">
        <f t="shared" ref="W179" si="1353">W177+W178</f>
        <v>112.1344</v>
      </c>
      <c r="X179" s="22">
        <f t="shared" ref="X179:Y179" si="1354">X177+X178</f>
        <v>229.43</v>
      </c>
      <c r="Y179" s="22">
        <f t="shared" si="1354"/>
        <v>466.59000000000003</v>
      </c>
      <c r="Z179" s="22">
        <f t="shared" ref="Z179:AA179" si="1355">Z177+Z178</f>
        <v>772.99</v>
      </c>
      <c r="AA179" s="22">
        <f t="shared" ref="AA179" si="1356">AA177+AA178</f>
        <v>807</v>
      </c>
      <c r="AB179" s="21">
        <f t="shared" ref="AB179:AD179" si="1357">AB177+AB178</f>
        <v>1328.669762063369</v>
      </c>
      <c r="AC179" s="21">
        <f t="shared" si="1357"/>
        <v>1826.5359213535387</v>
      </c>
      <c r="AD179" s="21">
        <f t="shared" si="1357"/>
        <v>2381.8474756066184</v>
      </c>
      <c r="AE179" s="21">
        <f t="shared" ref="AE179" si="1358">AE177+AE178</f>
        <v>3000.8574836904704</v>
      </c>
      <c r="AJ179" s="22">
        <f t="shared" ref="AJ179" si="1359">AJ177+AJ178</f>
        <v>7.4039999999999999</v>
      </c>
      <c r="AK179" s="22">
        <f t="shared" ref="AK179" si="1360">AK177+AK178</f>
        <v>408.25125032000551</v>
      </c>
      <c r="AL179" s="22">
        <f t="shared" ref="AL179:AM179" si="1361">AL177+AL178</f>
        <v>39.808999999999997</v>
      </c>
      <c r="AM179" s="22">
        <f t="shared" si="1361"/>
        <v>332.82630358648714</v>
      </c>
      <c r="AN179" s="22">
        <f t="shared" ref="AN179:AO179" si="1362">AN177+AN178</f>
        <v>3.8410000000000002</v>
      </c>
      <c r="AO179" s="22">
        <f t="shared" si="1362"/>
        <v>12.122569770622778</v>
      </c>
      <c r="AP179" s="22">
        <f t="shared" ref="AP179:CE179" si="1363">AP177+AP178</f>
        <v>31.896000000000001</v>
      </c>
      <c r="AQ179" s="22">
        <f t="shared" si="1363"/>
        <v>-435.74260449953698</v>
      </c>
      <c r="AR179" s="22">
        <f t="shared" si="1363"/>
        <v>2.8650000000000002</v>
      </c>
      <c r="AS179" s="22">
        <f t="shared" si="1363"/>
        <v>-2.4318357080370365</v>
      </c>
      <c r="AT179" s="22">
        <f t="shared" si="1363"/>
        <v>40.777000000000001</v>
      </c>
      <c r="AU179" s="22">
        <f t="shared" si="1363"/>
        <v>345.06968512743788</v>
      </c>
      <c r="AV179" s="22">
        <f t="shared" si="1363"/>
        <v>44.057000000000002</v>
      </c>
      <c r="AW179" s="22">
        <f t="shared" si="1363"/>
        <v>-12.550007088342085</v>
      </c>
      <c r="AX179" s="22">
        <f t="shared" si="1363"/>
        <v>45.023000000000003</v>
      </c>
      <c r="AY179" s="22">
        <f t="shared" si="1363"/>
        <v>277.99571103722758</v>
      </c>
      <c r="AZ179" s="22">
        <f t="shared" si="1363"/>
        <v>40.401000000000003</v>
      </c>
      <c r="BA179" s="22">
        <f t="shared" si="1363"/>
        <v>-19.7829087402855</v>
      </c>
      <c r="BB179" s="22">
        <f t="shared" si="1363"/>
        <v>92.546999999999997</v>
      </c>
      <c r="BC179" s="22">
        <f t="shared" si="1363"/>
        <v>268.72600397855126</v>
      </c>
      <c r="BD179" s="22">
        <f t="shared" si="1363"/>
        <v>65.566000000000003</v>
      </c>
      <c r="BE179" s="22">
        <f t="shared" si="1363"/>
        <v>46.991984840411483</v>
      </c>
      <c r="BF179" s="22">
        <f t="shared" si="1363"/>
        <v>82.763000000000005</v>
      </c>
      <c r="BG179" s="22">
        <f t="shared" si="1363"/>
        <v>226.97626307578264</v>
      </c>
      <c r="BH179" s="22">
        <f t="shared" si="1363"/>
        <v>109.9</v>
      </c>
      <c r="BI179" s="22">
        <f t="shared" si="1363"/>
        <v>187.07273027125933</v>
      </c>
      <c r="BJ179" s="22">
        <f t="shared" si="1363"/>
        <v>75.59</v>
      </c>
      <c r="BK179" s="22">
        <f t="shared" si="1363"/>
        <v>164.19482813800676</v>
      </c>
      <c r="BL179" s="22">
        <f t="shared" si="1363"/>
        <v>85.992000000000004</v>
      </c>
      <c r="BM179" s="22">
        <f t="shared" si="1363"/>
        <v>71.857490417454216</v>
      </c>
      <c r="BN179" s="22">
        <f t="shared" si="1363"/>
        <v>107.483</v>
      </c>
      <c r="BO179" s="22">
        <f t="shared" si="1363"/>
        <v>285.74473098840201</v>
      </c>
      <c r="BP179" s="22">
        <f t="shared" si="1363"/>
        <v>112.84</v>
      </c>
      <c r="BQ179" s="22">
        <f t="shared" si="1363"/>
        <v>87.66099751947641</v>
      </c>
      <c r="BR179" s="22">
        <f t="shared" si="1363"/>
        <v>141.48500000000001</v>
      </c>
      <c r="BS179" s="22">
        <f t="shared" si="1363"/>
        <v>222.03906839706175</v>
      </c>
      <c r="BT179" s="22">
        <f t="shared" si="1363"/>
        <v>147.30000000000001</v>
      </c>
      <c r="BU179" s="22">
        <f t="shared" si="1363"/>
        <v>220.53525099435399</v>
      </c>
      <c r="BV179" s="22">
        <f t="shared" si="1363"/>
        <v>112.134</v>
      </c>
      <c r="BW179" s="22">
        <f t="shared" si="1363"/>
        <v>159.10790106326829</v>
      </c>
      <c r="BX179" s="22">
        <f t="shared" si="1363"/>
        <v>106.21599999999999</v>
      </c>
      <c r="BY179" s="22">
        <f t="shared" si="1363"/>
        <v>168.70790802645467</v>
      </c>
      <c r="BZ179" s="22">
        <f t="shared" si="1363"/>
        <v>229.43</v>
      </c>
      <c r="CA179" s="22">
        <f t="shared" si="1363"/>
        <v>312.69090921939039</v>
      </c>
      <c r="CB179" s="22">
        <f t="shared" si="1363"/>
        <v>356.77000000000004</v>
      </c>
      <c r="CC179" s="22">
        <f t="shared" si="1363"/>
        <v>456.73965972365443</v>
      </c>
      <c r="CD179" s="22">
        <f t="shared" si="1363"/>
        <v>466.59000000000003</v>
      </c>
      <c r="CE179" s="22">
        <f t="shared" si="1363"/>
        <v>688.50754631433529</v>
      </c>
      <c r="CF179" s="22">
        <f t="shared" ref="CF179:CG179" si="1364">CF177+CF178</f>
        <v>531.68000000000006</v>
      </c>
      <c r="CG179" s="22">
        <f t="shared" si="1364"/>
        <v>618.61619002637087</v>
      </c>
      <c r="CH179" s="22">
        <f t="shared" ref="CH179:CI179" si="1365">CH177+CH178</f>
        <v>772.99</v>
      </c>
      <c r="CI179" s="22">
        <f t="shared" si="1365"/>
        <v>1069.2305915468237</v>
      </c>
      <c r="CJ179" s="22">
        <f t="shared" ref="CJ179:DB179" si="1366">CJ177+CJ178</f>
        <v>819.06</v>
      </c>
      <c r="CK179" s="22">
        <f t="shared" si="1366"/>
        <v>943.36764378254009</v>
      </c>
      <c r="CL179" s="22">
        <f t="shared" ref="CL179" si="1367">CL177+CL178</f>
        <v>807</v>
      </c>
      <c r="CM179" s="21">
        <f t="shared" si="1366"/>
        <v>982.81686307452719</v>
      </c>
      <c r="CN179" s="21">
        <f t="shared" si="1366"/>
        <v>1112.0844679405786</v>
      </c>
      <c r="CO179" s="21">
        <f t="shared" si="1366"/>
        <v>1225.1045346444334</v>
      </c>
      <c r="CP179" s="21">
        <f t="shared" si="1366"/>
        <v>1328.669762063369</v>
      </c>
      <c r="CQ179" s="21">
        <f t="shared" si="1366"/>
        <v>1452.3265640307307</v>
      </c>
      <c r="CR179" s="21">
        <f t="shared" si="1366"/>
        <v>1584.0118087017404</v>
      </c>
      <c r="CS179" s="21">
        <f t="shared" si="1366"/>
        <v>1699.0948248626069</v>
      </c>
      <c r="CT179" s="21">
        <f t="shared" si="1366"/>
        <v>1826.5359213535387</v>
      </c>
      <c r="CU179" s="21">
        <f t="shared" si="1366"/>
        <v>1966.1672088353014</v>
      </c>
      <c r="CV179" s="21">
        <f t="shared" si="1366"/>
        <v>2108.196163813137</v>
      </c>
      <c r="CW179" s="21">
        <f t="shared" si="1366"/>
        <v>2236.1651426214721</v>
      </c>
      <c r="CX179" s="21">
        <f t="shared" si="1366"/>
        <v>2381.8474756066184</v>
      </c>
      <c r="CY179" s="21">
        <f t="shared" si="1366"/>
        <v>2536.9890380742686</v>
      </c>
      <c r="CZ179" s="21">
        <f t="shared" si="1366"/>
        <v>2694.4544232976696</v>
      </c>
      <c r="DA179" s="21">
        <f t="shared" si="1366"/>
        <v>2837.7231947863861</v>
      </c>
      <c r="DB179" s="21">
        <f t="shared" si="1366"/>
        <v>3000.8574836904704</v>
      </c>
      <c r="DE179" s="126"/>
      <c r="DF179" s="22">
        <v>807</v>
      </c>
    </row>
    <row r="180" spans="1:110" s="23" customFormat="1" x14ac:dyDescent="0.2">
      <c r="AB180" s="24"/>
      <c r="AC180" s="24"/>
      <c r="AD180" s="24"/>
      <c r="AE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E180" s="123"/>
    </row>
    <row r="181" spans="1:110" s="23" customFormat="1" x14ac:dyDescent="0.2">
      <c r="A181" s="23" t="s">
        <v>78</v>
      </c>
      <c r="B181" s="23">
        <f>-'Annual Raw'!C49</f>
        <v>0</v>
      </c>
      <c r="C181" s="23">
        <f>-'Annual Raw'!D49</f>
        <v>-10.521258599999999</v>
      </c>
      <c r="D181" s="23">
        <f>-'Annual Raw'!E49</f>
        <v>-10.103783399999999</v>
      </c>
      <c r="E181" s="23">
        <f>-'Annual Raw'!F49</f>
        <v>-9.9513350000000003</v>
      </c>
      <c r="F181" s="23">
        <f>-'Annual Raw'!G49</f>
        <v>-12.312200000000001</v>
      </c>
      <c r="G181" s="23">
        <f>-'Annual Raw'!H49</f>
        <v>-12.1052</v>
      </c>
      <c r="H181" s="23">
        <f>-'Annual Raw'!I49</f>
        <v>-16.769500000000001</v>
      </c>
      <c r="I181" s="23">
        <f>-'Annual Raw'!J49</f>
        <v>-17.107600000000001</v>
      </c>
      <c r="J181" s="23">
        <f>-'Annual Raw'!K49</f>
        <v>-32.780299999999997</v>
      </c>
      <c r="K181" s="23">
        <f>-'Annual Raw'!L49</f>
        <v>-40.258499999999998</v>
      </c>
      <c r="L181" s="23">
        <f>-'Annual Raw'!M49</f>
        <v>-39.202300000000001</v>
      </c>
      <c r="M181" s="23">
        <f>-'Annual Raw'!N49</f>
        <v>-42.709200000000003</v>
      </c>
      <c r="N181" s="23">
        <f>-'Annual Raw'!O49</f>
        <v>-41.356099999999998</v>
      </c>
      <c r="O181" s="23">
        <f>-'Annual Raw'!P49</f>
        <v>-40.010100000000001</v>
      </c>
      <c r="P181" s="23">
        <f>-'Annual Raw'!Q49</f>
        <v>-32.744999999999997</v>
      </c>
      <c r="Q181" s="23">
        <f>-'Annual Raw'!R49</f>
        <v>-58.910600000000002</v>
      </c>
      <c r="R181" s="23">
        <f>-'Annual Raw'!S49</f>
        <v>-69.304500000000004</v>
      </c>
      <c r="S181" s="23">
        <f>-'Annual Raw'!T49</f>
        <v>-64.616</v>
      </c>
      <c r="T181" s="23">
        <f>-'Annual Raw'!U49</f>
        <v>-76.307699999999997</v>
      </c>
      <c r="U181" s="23">
        <f>-'Annual Raw'!V49</f>
        <v>-2.3207</v>
      </c>
      <c r="V181" s="23">
        <f>-'Annual Raw'!W49</f>
        <v>-25.226199999999999</v>
      </c>
      <c r="W181" s="23">
        <f>-'Annual Raw'!X49</f>
        <v>-23.877700000000001</v>
      </c>
      <c r="X181" s="23">
        <f>-'Annual Raw'!Y49</f>
        <v>-24.26</v>
      </c>
      <c r="Y181" s="23">
        <f>-'Annual Raw'!Z49</f>
        <v>-24.63</v>
      </c>
      <c r="Z181" s="23">
        <f>-'Annual Raw'!AA49</f>
        <v>-22.94</v>
      </c>
      <c r="AA181" s="23">
        <f>-'Annual Raw'!AB49</f>
        <v>-42</v>
      </c>
      <c r="AB181" s="24">
        <f t="shared" ref="AB181:AB182" si="1368">+CP181</f>
        <v>-42</v>
      </c>
      <c r="AC181" s="24">
        <f t="shared" ref="AC181:AC182" si="1369">+CT181</f>
        <v>-42</v>
      </c>
      <c r="AD181" s="24">
        <f t="shared" ref="AD181:AD182" si="1370">+CX181</f>
        <v>-42</v>
      </c>
      <c r="AE181" s="24">
        <f t="shared" ref="AE181:AE182" si="1371">+DB181</f>
        <v>-42</v>
      </c>
      <c r="AJ181" s="23">
        <f>+'QTR Raw'!D96</f>
        <v>-46.703000000000003</v>
      </c>
      <c r="AK181" s="23">
        <f t="shared" ref="AK181:CE181" si="1372">+AJ181</f>
        <v>-46.703000000000003</v>
      </c>
      <c r="AL181" s="23">
        <f>+'QTR Raw'!F96</f>
        <v>-41.356000000000002</v>
      </c>
      <c r="AM181" s="23">
        <f t="shared" si="1372"/>
        <v>-41.356000000000002</v>
      </c>
      <c r="AN181" s="23">
        <f>+'QTR Raw'!H96</f>
        <v>-41.46</v>
      </c>
      <c r="AO181" s="23">
        <f t="shared" si="1372"/>
        <v>-41.46</v>
      </c>
      <c r="AP181" s="23">
        <f>+'QTR Raw'!J96</f>
        <v>-40.01</v>
      </c>
      <c r="AQ181" s="23">
        <f t="shared" si="1372"/>
        <v>-40.01</v>
      </c>
      <c r="AR181" s="23">
        <f>+'QTR Raw'!L96</f>
        <v>-39.104999999999997</v>
      </c>
      <c r="AS181" s="23">
        <f t="shared" si="1372"/>
        <v>-39.104999999999997</v>
      </c>
      <c r="AT181" s="23">
        <f>+'QTR Raw'!N96</f>
        <v>-32.744999999999997</v>
      </c>
      <c r="AU181" s="23">
        <f t="shared" si="1372"/>
        <v>-32.744999999999997</v>
      </c>
      <c r="AV181" s="23">
        <f>+'QTR Raw'!P96</f>
        <v>-30.931000000000001</v>
      </c>
      <c r="AW181" s="23">
        <f t="shared" si="1372"/>
        <v>-30.931000000000001</v>
      </c>
      <c r="AX181" s="23">
        <f>+'QTR Raw'!R96</f>
        <v>-58.911000000000001</v>
      </c>
      <c r="AY181" s="23">
        <f t="shared" si="1372"/>
        <v>-58.911000000000001</v>
      </c>
      <c r="AZ181" s="23">
        <f>+'QTR Raw'!T96</f>
        <v>-103.869</v>
      </c>
      <c r="BA181" s="23">
        <f t="shared" si="1372"/>
        <v>-103.869</v>
      </c>
      <c r="BB181" s="23">
        <f>+'QTR Raw'!V96</f>
        <v>-69.304000000000002</v>
      </c>
      <c r="BC181" s="23">
        <f t="shared" si="1372"/>
        <v>-69.304000000000002</v>
      </c>
      <c r="BD181" s="23">
        <f>+'QTR Raw'!X96</f>
        <v>-67.658000000000001</v>
      </c>
      <c r="BE181" s="23">
        <f t="shared" si="1372"/>
        <v>-67.658000000000001</v>
      </c>
      <c r="BF181" s="23">
        <f>+'QTR Raw'!Z96</f>
        <v>-64.616</v>
      </c>
      <c r="BG181" s="23">
        <f t="shared" si="1372"/>
        <v>-64.616</v>
      </c>
      <c r="BH181" s="23">
        <f>+'QTR Raw'!AB96</f>
        <v>-70.075000000000003</v>
      </c>
      <c r="BI181" s="23">
        <f t="shared" si="1372"/>
        <v>-70.075000000000003</v>
      </c>
      <c r="BJ181" s="23">
        <f>+'QTR Raw'!AD96</f>
        <v>-76.308000000000007</v>
      </c>
      <c r="BK181" s="23">
        <f t="shared" si="1372"/>
        <v>-76.308000000000007</v>
      </c>
      <c r="BL181" s="23">
        <f>+'QTR Raw'!AF96</f>
        <v>-79.162000000000006</v>
      </c>
      <c r="BM181" s="23">
        <f t="shared" si="1372"/>
        <v>-79.162000000000006</v>
      </c>
      <c r="BN181" s="23">
        <f>+'QTR Raw'!AH96</f>
        <v>-2.3199999999999998</v>
      </c>
      <c r="BO181" s="23">
        <f t="shared" si="1372"/>
        <v>-2.3199999999999998</v>
      </c>
      <c r="BP181" s="23">
        <f>+'QTR Raw'!AJ96</f>
        <v>-3.4209999999999998</v>
      </c>
      <c r="BQ181" s="23">
        <f t="shared" si="1372"/>
        <v>-3.4209999999999998</v>
      </c>
      <c r="BR181" s="23">
        <f>+'QTR Raw'!AL96</f>
        <v>-25.227</v>
      </c>
      <c r="BS181" s="23">
        <f t="shared" si="1372"/>
        <v>-25.227</v>
      </c>
      <c r="BT181" s="23">
        <f>+'QTR Raw'!AN96</f>
        <v>-27.137</v>
      </c>
      <c r="BU181" s="23">
        <f t="shared" si="1372"/>
        <v>-27.137</v>
      </c>
      <c r="BV181" s="23">
        <f>+'QTR Raw'!AP96</f>
        <v>-23.876999999999999</v>
      </c>
      <c r="BW181" s="23">
        <f t="shared" si="1372"/>
        <v>-23.876999999999999</v>
      </c>
      <c r="BX181" s="23">
        <f>+'QTR Raw'!AR96</f>
        <v>-24.289000000000001</v>
      </c>
      <c r="BY181" s="23">
        <f t="shared" si="1372"/>
        <v>-24.289000000000001</v>
      </c>
      <c r="BZ181" s="23">
        <f>+'QTR Raw'!AT96</f>
        <v>-24.26</v>
      </c>
      <c r="CA181" s="23">
        <f t="shared" si="1372"/>
        <v>-24.26</v>
      </c>
      <c r="CB181" s="23">
        <f>+'QTR Raw'!AV96</f>
        <v>-22.99</v>
      </c>
      <c r="CC181" s="23">
        <f t="shared" si="1372"/>
        <v>-22.99</v>
      </c>
      <c r="CD181" s="23">
        <f>+'QTR Raw'!AX96</f>
        <v>-24.63</v>
      </c>
      <c r="CE181" s="23">
        <f t="shared" si="1372"/>
        <v>-24.63</v>
      </c>
      <c r="CF181" s="23">
        <f>+'QTR Raw'!AZ96</f>
        <v>-24.27</v>
      </c>
      <c r="CG181" s="23">
        <f t="shared" ref="CG181:CI182" si="1373">+CF181</f>
        <v>-24.27</v>
      </c>
      <c r="CH181" s="23">
        <f t="shared" ref="CH181:CH182" si="1374">Z181</f>
        <v>-22.94</v>
      </c>
      <c r="CI181" s="23">
        <f t="shared" si="1373"/>
        <v>-22.94</v>
      </c>
      <c r="CJ181" s="23">
        <f>+'QTR Raw'!BD96</f>
        <v>-47.33</v>
      </c>
      <c r="CK181" s="23">
        <f t="shared" ref="CK181:CK182" si="1375">+CJ181</f>
        <v>-47.33</v>
      </c>
      <c r="CL181" s="23">
        <f>+'QTR Raw'!BF96</f>
        <v>-42</v>
      </c>
      <c r="CM181" s="24">
        <f t="shared" ref="CM181:CM182" si="1376">+CL181</f>
        <v>-42</v>
      </c>
      <c r="CN181" s="24">
        <f t="shared" ref="CN181:CN182" si="1377">+CM181</f>
        <v>-42</v>
      </c>
      <c r="CO181" s="24">
        <f t="shared" ref="CO181:CO182" si="1378">+CN181</f>
        <v>-42</v>
      </c>
      <c r="CP181" s="24">
        <f t="shared" ref="CP181:CP182" si="1379">+CO181</f>
        <v>-42</v>
      </c>
      <c r="CQ181" s="24">
        <f t="shared" ref="CQ181:CQ182" si="1380">+CP181</f>
        <v>-42</v>
      </c>
      <c r="CR181" s="24">
        <f t="shared" ref="CR181:CR182" si="1381">+CQ181</f>
        <v>-42</v>
      </c>
      <c r="CS181" s="24">
        <f t="shared" ref="CS181:CS182" si="1382">+CR181</f>
        <v>-42</v>
      </c>
      <c r="CT181" s="24">
        <f t="shared" ref="CT181:CT182" si="1383">+CS181</f>
        <v>-42</v>
      </c>
      <c r="CU181" s="24">
        <f t="shared" ref="CU181:CU182" si="1384">+CT181</f>
        <v>-42</v>
      </c>
      <c r="CV181" s="24">
        <f t="shared" ref="CV181:CV182" si="1385">+CU181</f>
        <v>-42</v>
      </c>
      <c r="CW181" s="24">
        <f t="shared" ref="CW181:CW182" si="1386">+CV181</f>
        <v>-42</v>
      </c>
      <c r="CX181" s="24">
        <f t="shared" ref="CX181:CX182" si="1387">+CW181</f>
        <v>-42</v>
      </c>
      <c r="CY181" s="24">
        <f t="shared" ref="CY181:CY182" si="1388">+CX181</f>
        <v>-42</v>
      </c>
      <c r="CZ181" s="24">
        <f t="shared" ref="CZ181:CZ182" si="1389">+CY181</f>
        <v>-42</v>
      </c>
      <c r="DA181" s="24">
        <f t="shared" ref="DA181:DA182" si="1390">+CZ181</f>
        <v>-42</v>
      </c>
      <c r="DB181" s="24">
        <f t="shared" ref="DB181:DB182" si="1391">+DA181</f>
        <v>-42</v>
      </c>
      <c r="DE181" s="123"/>
      <c r="DF181" s="23">
        <v>-42</v>
      </c>
    </row>
    <row r="182" spans="1:110" s="23" customFormat="1" x14ac:dyDescent="0.2">
      <c r="A182" s="23" t="s">
        <v>79</v>
      </c>
      <c r="B182" s="23">
        <f>'Annual Raw'!C83</f>
        <v>4.6011490999999998</v>
      </c>
      <c r="C182" s="23">
        <f>'Annual Raw'!D83</f>
        <v>3.759903</v>
      </c>
      <c r="D182" s="23">
        <f>'Annual Raw'!E83</f>
        <v>11.7225371</v>
      </c>
      <c r="E182" s="23">
        <f>'Annual Raw'!F83</f>
        <v>8.1974900999999996</v>
      </c>
      <c r="F182" s="23">
        <f>'Annual Raw'!G83</f>
        <v>4.6725000000000003</v>
      </c>
      <c r="G182" s="23">
        <f>'Annual Raw'!H83</f>
        <v>2.2976999999999999</v>
      </c>
      <c r="H182" s="23">
        <f>'Annual Raw'!I83</f>
        <v>0.43269999999999997</v>
      </c>
      <c r="I182" s="23">
        <f>'Annual Raw'!J83</f>
        <v>0.97119999999999995</v>
      </c>
      <c r="J182" s="23">
        <f>'Annual Raw'!K83</f>
        <v>1.6888000000000001</v>
      </c>
      <c r="K182" s="23">
        <f>'Annual Raw'!L83</f>
        <v>2.6048</v>
      </c>
      <c r="L182" s="23">
        <f>'Annual Raw'!M83</f>
        <v>0</v>
      </c>
      <c r="M182" s="23">
        <f>'Annual Raw'!N83</f>
        <v>0</v>
      </c>
      <c r="N182" s="23">
        <f>'Annual Raw'!O83</f>
        <v>0</v>
      </c>
      <c r="O182" s="23">
        <f>'Annual Raw'!P83</f>
        <v>0</v>
      </c>
      <c r="P182" s="23">
        <f>'Annual Raw'!Q83</f>
        <v>0</v>
      </c>
      <c r="Q182" s="23">
        <f>'Annual Raw'!R83</f>
        <v>0</v>
      </c>
      <c r="R182" s="23">
        <f>'Annual Raw'!S83</f>
        <v>0</v>
      </c>
      <c r="S182" s="23">
        <f>'Annual Raw'!T83</f>
        <v>0</v>
      </c>
      <c r="T182" s="23">
        <f>'Annual Raw'!U83</f>
        <v>0</v>
      </c>
      <c r="U182" s="23">
        <f>'Annual Raw'!V83</f>
        <v>0</v>
      </c>
      <c r="V182" s="23">
        <f>'Annual Raw'!W83</f>
        <v>0</v>
      </c>
      <c r="W182" s="23">
        <f>'Annual Raw'!X83</f>
        <v>0</v>
      </c>
      <c r="X182" s="23">
        <f>'Annual Raw'!Y83</f>
        <v>0</v>
      </c>
      <c r="Y182" s="23">
        <f>'Annual Raw'!Z83</f>
        <v>0</v>
      </c>
      <c r="Z182" s="23">
        <f>'Annual Raw'!AA83</f>
        <v>0</v>
      </c>
      <c r="AA182" s="23">
        <f>'Annual Raw'!AB83</f>
        <v>0</v>
      </c>
      <c r="AB182" s="24">
        <f t="shared" si="1368"/>
        <v>0</v>
      </c>
      <c r="AC182" s="24">
        <f t="shared" si="1369"/>
        <v>0</v>
      </c>
      <c r="AD182" s="24">
        <f t="shared" si="1370"/>
        <v>0</v>
      </c>
      <c r="AE182" s="24">
        <f t="shared" si="1371"/>
        <v>0</v>
      </c>
      <c r="AJ182" s="23">
        <f>+'QTR Raw'!D95</f>
        <v>0</v>
      </c>
      <c r="AK182" s="23">
        <f t="shared" ref="AK182:CE182" si="1392">+AJ182</f>
        <v>0</v>
      </c>
      <c r="AL182" s="23">
        <f>+'QTR Raw'!F95</f>
        <v>0</v>
      </c>
      <c r="AM182" s="23">
        <f t="shared" si="1392"/>
        <v>0</v>
      </c>
      <c r="AN182" s="23">
        <f>+'QTR Raw'!H95</f>
        <v>0</v>
      </c>
      <c r="AO182" s="23">
        <f t="shared" si="1392"/>
        <v>0</v>
      </c>
      <c r="AP182" s="23">
        <f>+'QTR Raw'!J95</f>
        <v>0</v>
      </c>
      <c r="AQ182" s="23">
        <f t="shared" si="1392"/>
        <v>0</v>
      </c>
      <c r="AR182" s="23">
        <f>+'QTR Raw'!L95</f>
        <v>0</v>
      </c>
      <c r="AS182" s="23">
        <f t="shared" si="1392"/>
        <v>0</v>
      </c>
      <c r="AT182" s="23">
        <f>+'QTR Raw'!N95</f>
        <v>0</v>
      </c>
      <c r="AU182" s="23">
        <f t="shared" si="1392"/>
        <v>0</v>
      </c>
      <c r="AV182" s="23">
        <f>+'QTR Raw'!P95</f>
        <v>0</v>
      </c>
      <c r="AW182" s="23">
        <f t="shared" si="1392"/>
        <v>0</v>
      </c>
      <c r="AX182" s="23">
        <f>+'QTR Raw'!R95</f>
        <v>0</v>
      </c>
      <c r="AY182" s="23">
        <f t="shared" si="1392"/>
        <v>0</v>
      </c>
      <c r="AZ182" s="23">
        <f>+'QTR Raw'!T95</f>
        <v>0</v>
      </c>
      <c r="BA182" s="23">
        <f t="shared" si="1392"/>
        <v>0</v>
      </c>
      <c r="BB182" s="23">
        <f>+'QTR Raw'!V95</f>
        <v>0</v>
      </c>
      <c r="BC182" s="23">
        <f t="shared" si="1392"/>
        <v>0</v>
      </c>
      <c r="BD182" s="23">
        <f>+'QTR Raw'!X95</f>
        <v>8.1050000000000004</v>
      </c>
      <c r="BE182" s="23">
        <f t="shared" si="1392"/>
        <v>8.1050000000000004</v>
      </c>
      <c r="BF182" s="23">
        <f>+'QTR Raw'!Z95</f>
        <v>0</v>
      </c>
      <c r="BG182" s="23">
        <f t="shared" si="1392"/>
        <v>0</v>
      </c>
      <c r="BH182" s="23">
        <f>+'QTR Raw'!AB95</f>
        <v>0</v>
      </c>
      <c r="BI182" s="23">
        <f t="shared" si="1392"/>
        <v>0</v>
      </c>
      <c r="BJ182" s="23">
        <f>+'QTR Raw'!AD95</f>
        <v>0</v>
      </c>
      <c r="BK182" s="23">
        <f t="shared" si="1392"/>
        <v>0</v>
      </c>
      <c r="BL182" s="23">
        <f>+'QTR Raw'!AF95</f>
        <v>0</v>
      </c>
      <c r="BM182" s="23">
        <f t="shared" si="1392"/>
        <v>0</v>
      </c>
      <c r="BN182" s="23">
        <f>+'QTR Raw'!AH95</f>
        <v>0</v>
      </c>
      <c r="BO182" s="23">
        <f t="shared" si="1392"/>
        <v>0</v>
      </c>
      <c r="BP182" s="23">
        <f>+'QTR Raw'!AJ95</f>
        <v>0</v>
      </c>
      <c r="BQ182" s="23">
        <f t="shared" si="1392"/>
        <v>0</v>
      </c>
      <c r="BR182" s="23">
        <f>+'QTR Raw'!AL95</f>
        <v>0</v>
      </c>
      <c r="BS182" s="23">
        <f t="shared" si="1392"/>
        <v>0</v>
      </c>
      <c r="BT182" s="23">
        <f>+'QTR Raw'!AN95</f>
        <v>0</v>
      </c>
      <c r="BU182" s="23">
        <f t="shared" si="1392"/>
        <v>0</v>
      </c>
      <c r="BV182" s="23">
        <f>+'QTR Raw'!AP95</f>
        <v>0</v>
      </c>
      <c r="BW182" s="23">
        <f t="shared" si="1392"/>
        <v>0</v>
      </c>
      <c r="BX182" s="23">
        <f>+'QTR Raw'!AR95</f>
        <v>0</v>
      </c>
      <c r="BY182" s="23">
        <f t="shared" si="1392"/>
        <v>0</v>
      </c>
      <c r="BZ182" s="23">
        <f>+'QTR Raw'!AT95</f>
        <v>0</v>
      </c>
      <c r="CA182" s="23">
        <f t="shared" si="1392"/>
        <v>0</v>
      </c>
      <c r="CB182" s="23">
        <f>+'QTR Raw'!AV95</f>
        <v>0</v>
      </c>
      <c r="CC182" s="23">
        <f t="shared" si="1392"/>
        <v>0</v>
      </c>
      <c r="CD182" s="23">
        <f>+'QTR Raw'!AX95</f>
        <v>0</v>
      </c>
      <c r="CE182" s="23">
        <f t="shared" si="1392"/>
        <v>0</v>
      </c>
      <c r="CF182" s="23">
        <f>+'QTR Raw'!AZ95</f>
        <v>0</v>
      </c>
      <c r="CG182" s="23">
        <f t="shared" si="1373"/>
        <v>0</v>
      </c>
      <c r="CH182" s="23">
        <f t="shared" si="1374"/>
        <v>0</v>
      </c>
      <c r="CI182" s="23">
        <f t="shared" si="1373"/>
        <v>0</v>
      </c>
      <c r="CJ182" s="23">
        <f>+'QTR Raw'!BD95</f>
        <v>0</v>
      </c>
      <c r="CK182" s="23">
        <f t="shared" si="1375"/>
        <v>0</v>
      </c>
      <c r="CL182" s="23">
        <f>+'QTR Raw'!BF95</f>
        <v>0</v>
      </c>
      <c r="CM182" s="24">
        <f t="shared" si="1376"/>
        <v>0</v>
      </c>
      <c r="CN182" s="24">
        <f t="shared" si="1377"/>
        <v>0</v>
      </c>
      <c r="CO182" s="24">
        <f t="shared" si="1378"/>
        <v>0</v>
      </c>
      <c r="CP182" s="24">
        <f t="shared" si="1379"/>
        <v>0</v>
      </c>
      <c r="CQ182" s="24">
        <f t="shared" si="1380"/>
        <v>0</v>
      </c>
      <c r="CR182" s="24">
        <f t="shared" si="1381"/>
        <v>0</v>
      </c>
      <c r="CS182" s="24">
        <f t="shared" si="1382"/>
        <v>0</v>
      </c>
      <c r="CT182" s="24">
        <f t="shared" si="1383"/>
        <v>0</v>
      </c>
      <c r="CU182" s="24">
        <f t="shared" si="1384"/>
        <v>0</v>
      </c>
      <c r="CV182" s="24">
        <f t="shared" si="1385"/>
        <v>0</v>
      </c>
      <c r="CW182" s="24">
        <f t="shared" si="1386"/>
        <v>0</v>
      </c>
      <c r="CX182" s="24">
        <f t="shared" si="1387"/>
        <v>0</v>
      </c>
      <c r="CY182" s="24">
        <f t="shared" si="1388"/>
        <v>0</v>
      </c>
      <c r="CZ182" s="24">
        <f t="shared" si="1389"/>
        <v>0</v>
      </c>
      <c r="DA182" s="24">
        <f t="shared" si="1390"/>
        <v>0</v>
      </c>
      <c r="DB182" s="24">
        <f t="shared" si="1391"/>
        <v>0</v>
      </c>
      <c r="DE182" s="123"/>
      <c r="DF182" s="23">
        <v>0</v>
      </c>
    </row>
    <row r="183" spans="1:110" s="26" customFormat="1" x14ac:dyDescent="0.2">
      <c r="A183" s="26" t="s">
        <v>438</v>
      </c>
      <c r="B183" s="26">
        <f t="shared" ref="B183:W183" si="1393">B181+B179+B175+B158+B156+B182</f>
        <v>131.58663960000001</v>
      </c>
      <c r="C183" s="26">
        <f t="shared" si="1393"/>
        <v>118.10348609999998</v>
      </c>
      <c r="D183" s="26">
        <f t="shared" si="1393"/>
        <v>120.75553140000001</v>
      </c>
      <c r="E183" s="26">
        <f t="shared" si="1393"/>
        <v>133.9854234</v>
      </c>
      <c r="F183" s="26">
        <f t="shared" si="1393"/>
        <v>169.45190000000002</v>
      </c>
      <c r="G183" s="26">
        <f t="shared" si="1393"/>
        <v>308.40440000000007</v>
      </c>
      <c r="H183" s="26">
        <f t="shared" si="1393"/>
        <v>471.56319999999999</v>
      </c>
      <c r="I183" s="26">
        <f t="shared" si="1393"/>
        <v>645.98709999999994</v>
      </c>
      <c r="J183" s="26">
        <f t="shared" si="1393"/>
        <v>867.4820000000002</v>
      </c>
      <c r="K183" s="26">
        <f t="shared" si="1393"/>
        <v>847.68230000000005</v>
      </c>
      <c r="L183" s="26">
        <f t="shared" si="1393"/>
        <v>1066.8503999999998</v>
      </c>
      <c r="M183" s="26">
        <f t="shared" si="1393"/>
        <v>1123.4255000000003</v>
      </c>
      <c r="N183" s="26">
        <f t="shared" si="1393"/>
        <v>1269.1134</v>
      </c>
      <c r="O183" s="26">
        <f t="shared" si="1393"/>
        <v>1200.5051999999998</v>
      </c>
      <c r="P183" s="26">
        <f t="shared" si="1393"/>
        <v>1123.2976000000003</v>
      </c>
      <c r="Q183" s="26">
        <f t="shared" si="1393"/>
        <v>1333.0167000000001</v>
      </c>
      <c r="R183" s="26">
        <f t="shared" si="1393"/>
        <v>1293.2879999999998</v>
      </c>
      <c r="S183" s="26">
        <f t="shared" si="1393"/>
        <v>1299.3551000000002</v>
      </c>
      <c r="T183" s="26">
        <f t="shared" si="1393"/>
        <v>1316.2241000000001</v>
      </c>
      <c r="U183" s="26">
        <f t="shared" si="1393"/>
        <v>1274.2367999999999</v>
      </c>
      <c r="V183" s="26">
        <f t="shared" si="1393"/>
        <v>1205.4381000000003</v>
      </c>
      <c r="W183" s="26">
        <f t="shared" si="1393"/>
        <v>1150.2553</v>
      </c>
      <c r="X183" s="26">
        <f t="shared" ref="X183:Y183" si="1394">X181+X179+X175+X158+X156+X182</f>
        <v>1279.1100000000001</v>
      </c>
      <c r="Y183" s="26">
        <f t="shared" si="1394"/>
        <v>1604.0300000000002</v>
      </c>
      <c r="Z183" s="26">
        <f t="shared" ref="Z183:AA183" si="1395">Z181+Z179+Z175+Z158+Z156+Z182</f>
        <v>2002.0000000000002</v>
      </c>
      <c r="AA183" s="26">
        <f t="shared" ref="AA183" si="1396">AA181+AA179+AA175+AA158+AA156+AA182</f>
        <v>2305.85</v>
      </c>
      <c r="AB183" s="27">
        <f t="shared" ref="AB183:AD183" si="1397">AB181+AB179+AB175+AB158+AB156+AB182</f>
        <v>2722.1699869905051</v>
      </c>
      <c r="AC183" s="27">
        <f t="shared" si="1397"/>
        <v>3205.4523851618865</v>
      </c>
      <c r="AD183" s="27">
        <f t="shared" si="1397"/>
        <v>3767.9421293974456</v>
      </c>
      <c r="AE183" s="27">
        <f t="shared" ref="AE183" si="1398">AE181+AE179+AE175+AE158+AE156+AE182</f>
        <v>4415.7072484858327</v>
      </c>
      <c r="AJ183" s="26">
        <f t="shared" ref="AJ183" si="1399">AJ181+AJ179+AJ175+AJ158+AJ156+AJ182</f>
        <v>944.42900000000009</v>
      </c>
      <c r="AK183" s="26">
        <f t="shared" ref="AK183:AL183" si="1400">AK181+AK179+AK175+AK158+AK156+AK182</f>
        <v>951.47900000000004</v>
      </c>
      <c r="AL183" s="26">
        <f t="shared" si="1400"/>
        <v>1195.569</v>
      </c>
      <c r="AM183" s="26">
        <f t="shared" ref="AM183:AO183" si="1401">AM181+AM179+AM175+AM158+AM156+AM182</f>
        <v>1198.8259999999998</v>
      </c>
      <c r="AN183" s="26">
        <f t="shared" si="1401"/>
        <v>741.61599999999999</v>
      </c>
      <c r="AO183" s="26">
        <f t="shared" si="1401"/>
        <v>746.04899999999998</v>
      </c>
      <c r="AP183" s="26">
        <f t="shared" ref="AP183:CE183" si="1402">AP181+AP179+AP175+AP158+AP156+AP182</f>
        <v>1144.54</v>
      </c>
      <c r="AQ183" s="26">
        <f t="shared" si="1402"/>
        <v>1137.8440000000001</v>
      </c>
      <c r="AR183" s="26">
        <f t="shared" si="1402"/>
        <v>704.45099999999991</v>
      </c>
      <c r="AS183" s="26">
        <f t="shared" si="1402"/>
        <v>700.69900000000007</v>
      </c>
      <c r="AT183" s="26">
        <f t="shared" si="1402"/>
        <v>1074.4099999999999</v>
      </c>
      <c r="AU183" s="26">
        <f t="shared" si="1402"/>
        <v>1076.373</v>
      </c>
      <c r="AV183" s="26">
        <f t="shared" si="1402"/>
        <v>1160.19</v>
      </c>
      <c r="AW183" s="26">
        <f t="shared" si="1402"/>
        <v>1167.3530000000001</v>
      </c>
      <c r="AX183" s="26">
        <f t="shared" si="1402"/>
        <v>1278.6559999999999</v>
      </c>
      <c r="AY183" s="26">
        <f t="shared" si="1402"/>
        <v>1276.6179999999999</v>
      </c>
      <c r="AZ183" s="26">
        <f t="shared" si="1402"/>
        <v>1303.7940000000001</v>
      </c>
      <c r="BA183" s="26">
        <f t="shared" si="1402"/>
        <v>1294.3110000000001</v>
      </c>
      <c r="BB183" s="26">
        <f t="shared" si="1402"/>
        <v>1212.99</v>
      </c>
      <c r="BC183" s="26">
        <f t="shared" si="1402"/>
        <v>1176.798</v>
      </c>
      <c r="BD183" s="26">
        <f t="shared" si="1402"/>
        <v>1159.191</v>
      </c>
      <c r="BE183" s="26">
        <f t="shared" si="1402"/>
        <v>1156.8230000000001</v>
      </c>
      <c r="BF183" s="26">
        <f t="shared" si="1402"/>
        <v>1253.2469999999998</v>
      </c>
      <c r="BG183" s="26">
        <f t="shared" si="1402"/>
        <v>1260.759</v>
      </c>
      <c r="BH183" s="26">
        <f t="shared" ref="BH183" si="1403">BH181+BH179+BH175+BH158+BH156+BH182</f>
        <v>1267.2349999999999</v>
      </c>
      <c r="BI183" s="26">
        <f t="shared" si="1402"/>
        <v>1270.279</v>
      </c>
      <c r="BJ183" s="26">
        <f t="shared" si="1402"/>
        <v>1293.355</v>
      </c>
      <c r="BK183" s="26">
        <f t="shared" si="1402"/>
        <v>1293.807</v>
      </c>
      <c r="BL183" s="26">
        <f t="shared" si="1402"/>
        <v>1232.0810000000001</v>
      </c>
      <c r="BM183" s="26">
        <f t="shared" si="1402"/>
        <v>1241.354</v>
      </c>
      <c r="BN183" s="26">
        <f t="shared" si="1402"/>
        <v>1255.7659999999998</v>
      </c>
      <c r="BO183" s="26">
        <f t="shared" si="1402"/>
        <v>1235.1419999999998</v>
      </c>
      <c r="BP183" s="26">
        <f t="shared" si="1402"/>
        <v>1204.94</v>
      </c>
      <c r="BQ183" s="26">
        <f t="shared" si="1402"/>
        <v>1229.6120000000001</v>
      </c>
      <c r="BR183" s="26">
        <f t="shared" si="1402"/>
        <v>1205.4380000000001</v>
      </c>
      <c r="BS183" s="26">
        <f t="shared" si="1402"/>
        <v>1232.7069999999999</v>
      </c>
      <c r="BT183" s="26">
        <f t="shared" si="1402"/>
        <v>1180.0070000000001</v>
      </c>
      <c r="BU183" s="26">
        <f t="shared" si="1402"/>
        <v>1211.546</v>
      </c>
      <c r="BV183" s="26">
        <f t="shared" si="1402"/>
        <v>1150.2560000000001</v>
      </c>
      <c r="BW183" s="26">
        <f t="shared" si="1402"/>
        <v>1192.5660000000003</v>
      </c>
      <c r="BX183" s="26">
        <f t="shared" si="1402"/>
        <v>1131.9580000000001</v>
      </c>
      <c r="BY183" s="26">
        <f t="shared" si="1402"/>
        <v>1194.7080000000001</v>
      </c>
      <c r="BZ183" s="26">
        <f t="shared" si="1402"/>
        <v>1279.1100000000001</v>
      </c>
      <c r="CA183" s="26">
        <f t="shared" si="1402"/>
        <v>1352.0700000000002</v>
      </c>
      <c r="CB183" s="26">
        <f t="shared" si="1402"/>
        <v>1414.73</v>
      </c>
      <c r="CC183" s="26">
        <f t="shared" si="1402"/>
        <v>1505.13</v>
      </c>
      <c r="CD183" s="26">
        <f t="shared" si="1402"/>
        <v>1604.0300000000002</v>
      </c>
      <c r="CE183" s="26">
        <f t="shared" si="1402"/>
        <v>1677.3899999999999</v>
      </c>
      <c r="CF183" s="26">
        <f t="shared" ref="CF183:CG183" si="1404">CF181+CF179+CF175+CF158+CF156+CF182</f>
        <v>1754.41</v>
      </c>
      <c r="CG183" s="26">
        <f t="shared" si="1404"/>
        <v>1861.95</v>
      </c>
      <c r="CH183" s="26">
        <f t="shared" ref="CH183:CI183" si="1405">CH181+CH179+CH175+CH158+CH156+CH182</f>
        <v>2002.0000000000002</v>
      </c>
      <c r="CI183" s="26">
        <f t="shared" si="1405"/>
        <v>2177.4400000000005</v>
      </c>
      <c r="CJ183" s="26">
        <f t="shared" ref="CJ183:DB183" si="1406">CJ181+CJ179+CJ175+CJ158+CJ156+CJ182</f>
        <v>2244.09</v>
      </c>
      <c r="CK183" s="26">
        <f t="shared" si="1406"/>
        <v>2316.08</v>
      </c>
      <c r="CL183" s="26">
        <f t="shared" ref="CL183" si="1407">CL181+CL179+CL175+CL158+CL156+CL182</f>
        <v>2305.8499999999995</v>
      </c>
      <c r="CM183" s="27">
        <f t="shared" si="1406"/>
        <v>2408.572112340727</v>
      </c>
      <c r="CN183" s="27">
        <f t="shared" si="1406"/>
        <v>2508.0762285208675</v>
      </c>
      <c r="CO183" s="27">
        <f t="shared" si="1406"/>
        <v>2610.8998244686704</v>
      </c>
      <c r="CP183" s="27">
        <f t="shared" si="1406"/>
        <v>2722.1699869905051</v>
      </c>
      <c r="CQ183" s="27">
        <f t="shared" si="1406"/>
        <v>2837.536491595391</v>
      </c>
      <c r="CR183" s="27">
        <f t="shared" si="1406"/>
        <v>2954.5013049262861</v>
      </c>
      <c r="CS183" s="27">
        <f t="shared" si="1406"/>
        <v>3077.5784947567381</v>
      </c>
      <c r="CT183" s="27">
        <f t="shared" si="1406"/>
        <v>3205.4523851618865</v>
      </c>
      <c r="CU183" s="27">
        <f t="shared" si="1406"/>
        <v>3338.4420649111921</v>
      </c>
      <c r="CV183" s="27">
        <f t="shared" si="1406"/>
        <v>3475.0961565496905</v>
      </c>
      <c r="CW183" s="27">
        <f t="shared" si="1406"/>
        <v>3618.9781616190694</v>
      </c>
      <c r="CX183" s="27">
        <f t="shared" si="1406"/>
        <v>3767.9421293974456</v>
      </c>
      <c r="CY183" s="27">
        <f t="shared" si="1406"/>
        <v>3921.3129678192377</v>
      </c>
      <c r="CZ183" s="27">
        <f t="shared" si="1406"/>
        <v>4079.0848389402499</v>
      </c>
      <c r="DA183" s="27">
        <f t="shared" si="1406"/>
        <v>4244.7297486549778</v>
      </c>
      <c r="DB183" s="27">
        <f t="shared" si="1406"/>
        <v>4415.7072484858327</v>
      </c>
      <c r="DE183" s="121"/>
      <c r="DF183" s="26">
        <v>2305.85</v>
      </c>
    </row>
    <row r="184" spans="1:110" s="23" customFormat="1" x14ac:dyDescent="0.2">
      <c r="A184" s="28" t="s">
        <v>439</v>
      </c>
      <c r="B184" s="23">
        <f t="shared" ref="B184:W184" si="1408">B183-B147</f>
        <v>0</v>
      </c>
      <c r="C184" s="23">
        <f t="shared" si="1408"/>
        <v>0</v>
      </c>
      <c r="D184" s="23">
        <f t="shared" si="1408"/>
        <v>0</v>
      </c>
      <c r="E184" s="23">
        <f t="shared" si="1408"/>
        <v>0</v>
      </c>
      <c r="F184" s="23">
        <f t="shared" si="1408"/>
        <v>0</v>
      </c>
      <c r="G184" s="23">
        <f t="shared" si="1408"/>
        <v>0</v>
      </c>
      <c r="H184" s="23">
        <f t="shared" si="1408"/>
        <v>0</v>
      </c>
      <c r="I184" s="23">
        <f t="shared" si="1408"/>
        <v>0</v>
      </c>
      <c r="J184" s="23">
        <f t="shared" si="1408"/>
        <v>0</v>
      </c>
      <c r="K184" s="23">
        <f t="shared" si="1408"/>
        <v>0</v>
      </c>
      <c r="L184" s="23">
        <f t="shared" si="1408"/>
        <v>0</v>
      </c>
      <c r="M184" s="23">
        <f t="shared" si="1408"/>
        <v>0</v>
      </c>
      <c r="N184" s="23">
        <f t="shared" si="1408"/>
        <v>0</v>
      </c>
      <c r="O184" s="23">
        <f t="shared" si="1408"/>
        <v>0</v>
      </c>
      <c r="P184" s="23">
        <f t="shared" si="1408"/>
        <v>0</v>
      </c>
      <c r="Q184" s="23">
        <f t="shared" si="1408"/>
        <v>0</v>
      </c>
      <c r="R184" s="23">
        <f t="shared" si="1408"/>
        <v>0</v>
      </c>
      <c r="S184" s="23">
        <f t="shared" si="1408"/>
        <v>0</v>
      </c>
      <c r="T184" s="23">
        <f t="shared" si="1408"/>
        <v>0</v>
      </c>
      <c r="U184" s="23">
        <f t="shared" si="1408"/>
        <v>0</v>
      </c>
      <c r="V184" s="23">
        <f t="shared" si="1408"/>
        <v>0</v>
      </c>
      <c r="W184" s="23">
        <f t="shared" si="1408"/>
        <v>0</v>
      </c>
      <c r="X184" s="23">
        <f t="shared" ref="X184:Y184" si="1409">X183-X147</f>
        <v>0</v>
      </c>
      <c r="Y184" s="23">
        <f t="shared" si="1409"/>
        <v>0</v>
      </c>
      <c r="Z184" s="23">
        <f t="shared" ref="Z184:AA184" si="1410">Z183-Z147</f>
        <v>0</v>
      </c>
      <c r="AA184" s="23">
        <f t="shared" ref="AA184" si="1411">AA183-AA147</f>
        <v>0</v>
      </c>
      <c r="AB184" s="24">
        <f t="shared" ref="AB184:AD184" si="1412">AB183-AB147</f>
        <v>0</v>
      </c>
      <c r="AC184" s="24">
        <f t="shared" si="1412"/>
        <v>0</v>
      </c>
      <c r="AD184" s="24">
        <f t="shared" si="1412"/>
        <v>0</v>
      </c>
      <c r="AE184" s="24">
        <f t="shared" ref="AE184" si="1413">AE183-AE147</f>
        <v>0</v>
      </c>
      <c r="AJ184" s="23">
        <f t="shared" ref="AJ184" si="1414">AJ183-AJ147</f>
        <v>0</v>
      </c>
      <c r="AK184" s="23">
        <f t="shared" ref="AK184" si="1415">AK183-AK147</f>
        <v>0</v>
      </c>
      <c r="AL184" s="23">
        <f t="shared" ref="AL184:AM184" si="1416">AL183-AL147</f>
        <v>0</v>
      </c>
      <c r="AM184" s="23">
        <f t="shared" si="1416"/>
        <v>0</v>
      </c>
      <c r="AN184" s="23">
        <f t="shared" ref="AN184:AO184" si="1417">AN183-AN147</f>
        <v>0</v>
      </c>
      <c r="AO184" s="23">
        <f t="shared" si="1417"/>
        <v>0</v>
      </c>
      <c r="AP184" s="23">
        <f t="shared" ref="AP184:CE184" si="1418">AP183-AP147</f>
        <v>0</v>
      </c>
      <c r="AQ184" s="23">
        <f t="shared" si="1418"/>
        <v>0</v>
      </c>
      <c r="AR184" s="23">
        <f t="shared" si="1418"/>
        <v>0</v>
      </c>
      <c r="AS184" s="23">
        <f t="shared" si="1418"/>
        <v>0</v>
      </c>
      <c r="AT184" s="23">
        <f t="shared" si="1418"/>
        <v>9.9999999974897946E-4</v>
      </c>
      <c r="AU184" s="23">
        <f t="shared" si="1418"/>
        <v>9.9999999997635314E-4</v>
      </c>
      <c r="AV184" s="23">
        <f t="shared" si="1418"/>
        <v>9.9999999997635314E-4</v>
      </c>
      <c r="AW184" s="23">
        <f t="shared" si="1418"/>
        <v>9.9999999997635314E-4</v>
      </c>
      <c r="AX184" s="23">
        <f t="shared" si="1418"/>
        <v>9.9999999974897946E-4</v>
      </c>
      <c r="AY184" s="23">
        <f t="shared" si="1418"/>
        <v>9.9999999974897946E-4</v>
      </c>
      <c r="AZ184" s="23">
        <f t="shared" si="1418"/>
        <v>4.0000000001327862E-3</v>
      </c>
      <c r="BA184" s="23">
        <f t="shared" si="1418"/>
        <v>4.0000000001327862E-3</v>
      </c>
      <c r="BB184" s="23">
        <f t="shared" si="1418"/>
        <v>2.9999999999290594E-3</v>
      </c>
      <c r="BC184" s="23">
        <f t="shared" si="1418"/>
        <v>2.9999999999290594E-3</v>
      </c>
      <c r="BD184" s="23">
        <f t="shared" si="1418"/>
        <v>9.9999999997635314E-4</v>
      </c>
      <c r="BE184" s="23">
        <f t="shared" si="1418"/>
        <v>9.9999999997635314E-4</v>
      </c>
      <c r="BF184" s="23">
        <f t="shared" si="1418"/>
        <v>9.9999999974897946E-4</v>
      </c>
      <c r="BG184" s="23">
        <f t="shared" si="1418"/>
        <v>9.9999999974897946E-4</v>
      </c>
      <c r="BH184" s="23">
        <f t="shared" ref="BH184" si="1419">BH183-BH147</f>
        <v>0</v>
      </c>
      <c r="BI184" s="23">
        <f t="shared" si="1418"/>
        <v>0</v>
      </c>
      <c r="BJ184" s="23">
        <f t="shared" si="1418"/>
        <v>2.9999999999290594E-3</v>
      </c>
      <c r="BK184" s="23">
        <f t="shared" si="1418"/>
        <v>2.9999999999290594E-3</v>
      </c>
      <c r="BL184" s="23">
        <f t="shared" si="1418"/>
        <v>0</v>
      </c>
      <c r="BM184" s="23">
        <f t="shared" si="1418"/>
        <v>0</v>
      </c>
      <c r="BN184" s="23">
        <f t="shared" si="1418"/>
        <v>-1.0000000002037268E-3</v>
      </c>
      <c r="BO184" s="23">
        <f t="shared" si="1418"/>
        <v>-1.0000000002037268E-3</v>
      </c>
      <c r="BP184" s="23">
        <f t="shared" si="1418"/>
        <v>0</v>
      </c>
      <c r="BQ184" s="23">
        <f t="shared" si="1418"/>
        <v>0</v>
      </c>
      <c r="BR184" s="23">
        <f t="shared" si="1418"/>
        <v>0</v>
      </c>
      <c r="BS184" s="23">
        <f t="shared" si="1418"/>
        <v>0</v>
      </c>
      <c r="BT184" s="23">
        <f t="shared" si="1418"/>
        <v>9.9999999997635314E-4</v>
      </c>
      <c r="BU184" s="23">
        <f t="shared" si="1418"/>
        <v>9.9999999997635314E-4</v>
      </c>
      <c r="BV184" s="23">
        <f t="shared" si="1418"/>
        <v>0</v>
      </c>
      <c r="BW184" s="23">
        <f t="shared" si="1418"/>
        <v>0</v>
      </c>
      <c r="BX184" s="23">
        <f t="shared" si="1418"/>
        <v>9.9999999997635314E-4</v>
      </c>
      <c r="BY184" s="23">
        <f t="shared" si="1418"/>
        <v>9.9999999997635314E-4</v>
      </c>
      <c r="BZ184" s="23">
        <f t="shared" si="1418"/>
        <v>0</v>
      </c>
      <c r="CA184" s="23">
        <f t="shared" si="1418"/>
        <v>0</v>
      </c>
      <c r="CB184" s="23">
        <f t="shared" si="1418"/>
        <v>0</v>
      </c>
      <c r="CC184" s="23">
        <f t="shared" si="1418"/>
        <v>0</v>
      </c>
      <c r="CD184" s="23">
        <f t="shared" si="1418"/>
        <v>0</v>
      </c>
      <c r="CE184" s="23">
        <f t="shared" si="1418"/>
        <v>0</v>
      </c>
      <c r="CF184" s="23">
        <f t="shared" ref="CF184:CG184" si="1420">CF183-CF147</f>
        <v>0</v>
      </c>
      <c r="CG184" s="23">
        <f t="shared" si="1420"/>
        <v>0</v>
      </c>
      <c r="CH184" s="23">
        <f t="shared" ref="CH184:CI184" si="1421">CH183-CH147</f>
        <v>0</v>
      </c>
      <c r="CI184" s="23">
        <f t="shared" si="1421"/>
        <v>0</v>
      </c>
      <c r="CJ184" s="23">
        <f t="shared" ref="CJ184:DB184" si="1422">CJ183-CJ147</f>
        <v>0</v>
      </c>
      <c r="CK184" s="23">
        <f t="shared" si="1422"/>
        <v>0</v>
      </c>
      <c r="CL184" s="23">
        <f t="shared" ref="CL184" si="1423">CL183-CL147</f>
        <v>0</v>
      </c>
      <c r="CM184" s="24">
        <f t="shared" si="1422"/>
        <v>0</v>
      </c>
      <c r="CN184" s="24">
        <f t="shared" si="1422"/>
        <v>0</v>
      </c>
      <c r="CO184" s="24">
        <f t="shared" si="1422"/>
        <v>0</v>
      </c>
      <c r="CP184" s="24">
        <f t="shared" si="1422"/>
        <v>0</v>
      </c>
      <c r="CQ184" s="24">
        <f t="shared" si="1422"/>
        <v>0</v>
      </c>
      <c r="CR184" s="24">
        <f t="shared" si="1422"/>
        <v>0</v>
      </c>
      <c r="CS184" s="24">
        <f t="shared" si="1422"/>
        <v>0</v>
      </c>
      <c r="CT184" s="24">
        <f t="shared" si="1422"/>
        <v>0</v>
      </c>
      <c r="CU184" s="24">
        <f t="shared" si="1422"/>
        <v>0</v>
      </c>
      <c r="CV184" s="24">
        <f t="shared" si="1422"/>
        <v>0</v>
      </c>
      <c r="CW184" s="24">
        <f t="shared" si="1422"/>
        <v>0</v>
      </c>
      <c r="CX184" s="24">
        <f t="shared" si="1422"/>
        <v>0</v>
      </c>
      <c r="CY184" s="24">
        <f t="shared" si="1422"/>
        <v>0</v>
      </c>
      <c r="CZ184" s="24">
        <f t="shared" si="1422"/>
        <v>0</v>
      </c>
      <c r="DA184" s="24">
        <f t="shared" si="1422"/>
        <v>0</v>
      </c>
      <c r="DB184" s="24">
        <f t="shared" si="1422"/>
        <v>0</v>
      </c>
      <c r="DE184" s="123"/>
      <c r="DF184" s="23">
        <v>0</v>
      </c>
    </row>
    <row r="185" spans="1:110" s="23" customFormat="1" x14ac:dyDescent="0.2">
      <c r="A185" s="28"/>
      <c r="AB185" s="24"/>
      <c r="AC185" s="24"/>
      <c r="AD185" s="24"/>
      <c r="AE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E185" s="123"/>
    </row>
    <row r="186" spans="1:110" s="22" customFormat="1" x14ac:dyDescent="0.2">
      <c r="A186" s="22" t="s">
        <v>80</v>
      </c>
      <c r="B186" s="22">
        <f t="shared" ref="B186:W186" si="1424">B146-B179</f>
        <v>56.422837400000006</v>
      </c>
      <c r="C186" s="22">
        <f t="shared" si="1424"/>
        <v>54.375205099999995</v>
      </c>
      <c r="D186" s="22">
        <f t="shared" si="1424"/>
        <v>55.429872799999998</v>
      </c>
      <c r="E186" s="22">
        <f t="shared" si="1424"/>
        <v>66.195261299999999</v>
      </c>
      <c r="F186" s="22">
        <f t="shared" si="1424"/>
        <v>87.674899999999994</v>
      </c>
      <c r="G186" s="22">
        <f t="shared" si="1424"/>
        <v>181.03370000000001</v>
      </c>
      <c r="H186" s="22">
        <f t="shared" si="1424"/>
        <v>270.90050000000002</v>
      </c>
      <c r="I186" s="22">
        <f t="shared" si="1424"/>
        <v>401.73849999999999</v>
      </c>
      <c r="J186" s="22">
        <f t="shared" si="1424"/>
        <v>531.02329999999995</v>
      </c>
      <c r="K186" s="22">
        <f t="shared" si="1424"/>
        <v>482.76340000000005</v>
      </c>
      <c r="L186" s="22">
        <f t="shared" si="1424"/>
        <v>620.72990000000004</v>
      </c>
      <c r="M186" s="22">
        <f t="shared" si="1424"/>
        <v>638.46840000000009</v>
      </c>
      <c r="N186" s="22">
        <f t="shared" si="1424"/>
        <v>657.16760000000011</v>
      </c>
      <c r="O186" s="22">
        <f t="shared" si="1424"/>
        <v>601.48210000000006</v>
      </c>
      <c r="P186" s="22">
        <f t="shared" si="1424"/>
        <v>510.9174999999999</v>
      </c>
      <c r="Q186" s="22">
        <f t="shared" si="1424"/>
        <v>583.71029999999996</v>
      </c>
      <c r="R186" s="22">
        <f t="shared" si="1424"/>
        <v>490.89170000000001</v>
      </c>
      <c r="S186" s="22">
        <f t="shared" si="1424"/>
        <v>507.72019999999998</v>
      </c>
      <c r="T186" s="22">
        <f t="shared" si="1424"/>
        <v>472.56989999999996</v>
      </c>
      <c r="U186" s="22">
        <f t="shared" si="1424"/>
        <v>312.56060000000002</v>
      </c>
      <c r="V186" s="22">
        <f t="shared" si="1424"/>
        <v>144.70529999999999</v>
      </c>
      <c r="W186" s="22">
        <f t="shared" si="1424"/>
        <v>-12.116899999999987</v>
      </c>
      <c r="X186" s="22">
        <f t="shared" ref="X186:Y186" si="1425">X146-X179</f>
        <v>-229.43</v>
      </c>
      <c r="Y186" s="22">
        <f t="shared" si="1425"/>
        <v>-466.59000000000003</v>
      </c>
      <c r="Z186" s="22">
        <f t="shared" ref="Z186:AA186" si="1426">Z146-Z179</f>
        <v>-769.68000000000006</v>
      </c>
      <c r="AA186" s="22">
        <f t="shared" ref="AA186" si="1427">AA146-AA179</f>
        <v>-807</v>
      </c>
      <c r="AB186" s="21">
        <f t="shared" ref="AB186:AD186" si="1428">AB146-AB179</f>
        <v>-1328.669762063369</v>
      </c>
      <c r="AC186" s="21">
        <f t="shared" si="1428"/>
        <v>-1826.5359213535387</v>
      </c>
      <c r="AD186" s="21">
        <f t="shared" si="1428"/>
        <v>-2381.8474756066184</v>
      </c>
      <c r="AE186" s="21">
        <f t="shared" ref="AE186" si="1429">AE146-AE179</f>
        <v>-3000.8574836904704</v>
      </c>
      <c r="AJ186" s="22">
        <f t="shared" ref="AJ186:AM186" si="1430">AJ146-AJ179</f>
        <v>462.88200000000001</v>
      </c>
      <c r="AK186" s="22">
        <f t="shared" si="1430"/>
        <v>62.034749679994491</v>
      </c>
      <c r="AL186" s="22">
        <f t="shared" si="1430"/>
        <v>583.62400000000002</v>
      </c>
      <c r="AM186" s="22">
        <f t="shared" si="1430"/>
        <v>290.60669641351285</v>
      </c>
      <c r="AN186" s="22">
        <f t="shared" ref="AN186:AO186" si="1431">AN146-AN179</f>
        <v>249.547</v>
      </c>
      <c r="AO186" s="22">
        <f t="shared" si="1431"/>
        <v>241.26543022937722</v>
      </c>
      <c r="AP186" s="22">
        <f t="shared" ref="AP186:CE186" si="1432">AP146-AP179</f>
        <v>545.51700000000005</v>
      </c>
      <c r="AQ186" s="22">
        <f t="shared" si="1432"/>
        <v>1013.155604499537</v>
      </c>
      <c r="AR186" s="22">
        <f t="shared" si="1432"/>
        <v>205.97200000000001</v>
      </c>
      <c r="AS186" s="22">
        <f t="shared" si="1432"/>
        <v>211.26883570803705</v>
      </c>
      <c r="AT186" s="22">
        <f t="shared" si="1432"/>
        <v>462.029</v>
      </c>
      <c r="AU186" s="22">
        <f t="shared" si="1432"/>
        <v>157.7363148725621</v>
      </c>
      <c r="AV186" s="22">
        <f t="shared" si="1432"/>
        <v>549.44799999999998</v>
      </c>
      <c r="AW186" s="22">
        <f t="shared" si="1432"/>
        <v>606.05500708834211</v>
      </c>
      <c r="AX186" s="22">
        <f t="shared" si="1432"/>
        <v>529.34900000000005</v>
      </c>
      <c r="AY186" s="22">
        <f t="shared" si="1432"/>
        <v>296.37628896277249</v>
      </c>
      <c r="AZ186" s="22">
        <f t="shared" si="1432"/>
        <v>484.48600000000005</v>
      </c>
      <c r="BA186" s="22">
        <f t="shared" si="1432"/>
        <v>544.66990874028556</v>
      </c>
      <c r="BB186" s="22">
        <f t="shared" si="1432"/>
        <v>410.59000000000003</v>
      </c>
      <c r="BC186" s="22">
        <f t="shared" si="1432"/>
        <v>234.4109960214488</v>
      </c>
      <c r="BD186" s="22">
        <f t="shared" si="1432"/>
        <v>431.12699999999995</v>
      </c>
      <c r="BE186" s="22">
        <f t="shared" si="1432"/>
        <v>449.70101515958851</v>
      </c>
      <c r="BF186" s="22">
        <f t="shared" si="1432"/>
        <v>461.61099999999999</v>
      </c>
      <c r="BG186" s="22">
        <f t="shared" si="1432"/>
        <v>317.39773692421738</v>
      </c>
      <c r="BH186" s="22">
        <f t="shared" si="1432"/>
        <v>389.13</v>
      </c>
      <c r="BI186" s="22">
        <f t="shared" si="1432"/>
        <v>311.95726972874064</v>
      </c>
      <c r="BJ186" s="22">
        <f t="shared" si="1432"/>
        <v>449.69799999999998</v>
      </c>
      <c r="BK186" s="22">
        <f t="shared" si="1432"/>
        <v>361.09317186199326</v>
      </c>
      <c r="BL186" s="22">
        <f t="shared" si="1432"/>
        <v>373.84300000000002</v>
      </c>
      <c r="BM186" s="22">
        <f t="shared" si="1432"/>
        <v>387.97750958254585</v>
      </c>
      <c r="BN186" s="22">
        <f t="shared" si="1432"/>
        <v>294.08999999999997</v>
      </c>
      <c r="BO186" s="22">
        <f t="shared" si="1432"/>
        <v>115.82826901159797</v>
      </c>
      <c r="BP186" s="22">
        <f t="shared" si="1432"/>
        <v>235.51699999999997</v>
      </c>
      <c r="BQ186" s="22">
        <f t="shared" si="1432"/>
        <v>260.69600248052359</v>
      </c>
      <c r="BR186" s="22">
        <f t="shared" si="1432"/>
        <v>144.70499999999998</v>
      </c>
      <c r="BS186" s="22">
        <f t="shared" si="1432"/>
        <v>64.150931602938243</v>
      </c>
      <c r="BT186" s="22">
        <f t="shared" si="1432"/>
        <v>55.299000000000007</v>
      </c>
      <c r="BU186" s="22">
        <f t="shared" si="1432"/>
        <v>-17.936250994353969</v>
      </c>
      <c r="BV186" s="22">
        <f t="shared" si="1432"/>
        <v>-12.116</v>
      </c>
      <c r="BW186" s="22">
        <f t="shared" si="1432"/>
        <v>-59.089901063268286</v>
      </c>
      <c r="BX186" s="22">
        <f t="shared" si="1432"/>
        <v>-106.21599999999999</v>
      </c>
      <c r="BY186" s="22">
        <f t="shared" si="1432"/>
        <v>-168.70790802645467</v>
      </c>
      <c r="BZ186" s="22">
        <f t="shared" si="1432"/>
        <v>-229.43</v>
      </c>
      <c r="CA186" s="22">
        <f t="shared" si="1432"/>
        <v>-312.69090921939039</v>
      </c>
      <c r="CB186" s="22">
        <f t="shared" si="1432"/>
        <v>-356.77000000000004</v>
      </c>
      <c r="CC186" s="22">
        <f t="shared" si="1432"/>
        <v>-456.73965972365443</v>
      </c>
      <c r="CD186" s="22">
        <f t="shared" si="1432"/>
        <v>-466.59000000000003</v>
      </c>
      <c r="CE186" s="22">
        <f t="shared" si="1432"/>
        <v>-688.50754631433529</v>
      </c>
      <c r="CF186" s="22">
        <f t="shared" ref="CF186:CG186" si="1433">CF146-CF179</f>
        <v>-531.68000000000006</v>
      </c>
      <c r="CG186" s="22">
        <f t="shared" si="1433"/>
        <v>-618.61619002637087</v>
      </c>
      <c r="CH186" s="22">
        <f t="shared" ref="CH186:CI186" si="1434">CH146-CH179</f>
        <v>-769.68000000000006</v>
      </c>
      <c r="CI186" s="22">
        <f t="shared" si="1434"/>
        <v>-1065.9205915468237</v>
      </c>
      <c r="CJ186" s="22">
        <f t="shared" ref="CJ186:DB186" si="1435">CJ146-CJ179</f>
        <v>-819.06</v>
      </c>
      <c r="CK186" s="22">
        <f t="shared" si="1435"/>
        <v>-943.36764378254009</v>
      </c>
      <c r="CL186" s="22">
        <f t="shared" ref="CL186" si="1436">CL146-CL179</f>
        <v>-807</v>
      </c>
      <c r="CM186" s="21">
        <f t="shared" si="1435"/>
        <v>-982.81686307452719</v>
      </c>
      <c r="CN186" s="21">
        <f t="shared" si="1435"/>
        <v>-1112.0844679405786</v>
      </c>
      <c r="CO186" s="21">
        <f t="shared" si="1435"/>
        <v>-1225.1045346444334</v>
      </c>
      <c r="CP186" s="21">
        <f t="shared" si="1435"/>
        <v>-1328.669762063369</v>
      </c>
      <c r="CQ186" s="21">
        <f t="shared" si="1435"/>
        <v>-1452.3265640307307</v>
      </c>
      <c r="CR186" s="21">
        <f t="shared" si="1435"/>
        <v>-1584.0118087017404</v>
      </c>
      <c r="CS186" s="21">
        <f t="shared" si="1435"/>
        <v>-1699.0948248626069</v>
      </c>
      <c r="CT186" s="21">
        <f t="shared" si="1435"/>
        <v>-1826.5359213535387</v>
      </c>
      <c r="CU186" s="21">
        <f t="shared" si="1435"/>
        <v>-1966.1672088353014</v>
      </c>
      <c r="CV186" s="21">
        <f t="shared" si="1435"/>
        <v>-2108.196163813137</v>
      </c>
      <c r="CW186" s="21">
        <f t="shared" si="1435"/>
        <v>-2236.1651426214721</v>
      </c>
      <c r="CX186" s="21">
        <f t="shared" si="1435"/>
        <v>-2381.8474756066184</v>
      </c>
      <c r="CY186" s="21">
        <f t="shared" si="1435"/>
        <v>-2536.9890380742686</v>
      </c>
      <c r="CZ186" s="21">
        <f t="shared" si="1435"/>
        <v>-2694.4544232976696</v>
      </c>
      <c r="DA186" s="21">
        <f t="shared" si="1435"/>
        <v>-2837.7231947863861</v>
      </c>
      <c r="DB186" s="21">
        <f t="shared" si="1435"/>
        <v>-3000.8574836904704</v>
      </c>
      <c r="DE186" s="126"/>
      <c r="DF186" s="22">
        <v>-807</v>
      </c>
    </row>
    <row r="187" spans="1:110" x14ac:dyDescent="0.2">
      <c r="AA187" s="2"/>
      <c r="CE187" s="111"/>
      <c r="CG187" s="111"/>
      <c r="CL187" s="2"/>
      <c r="DF187" s="111"/>
    </row>
    <row r="188" spans="1:110" s="49" customFormat="1" x14ac:dyDescent="0.2">
      <c r="A188" s="49" t="s">
        <v>81</v>
      </c>
      <c r="B188" s="49">
        <f>'Annual Raw'!C85</f>
        <v>55.418700000000001</v>
      </c>
      <c r="C188" s="49">
        <f>'Annual Raw'!D85</f>
        <v>52.073300000000003</v>
      </c>
      <c r="D188" s="49">
        <f>'Annual Raw'!E85</f>
        <v>45.395699999999998</v>
      </c>
      <c r="E188" s="49">
        <f>'Annual Raw'!F85</f>
        <v>69.768600000000006</v>
      </c>
      <c r="F188" s="49">
        <f>'Annual Raw'!G85</f>
        <v>124.96469999999999</v>
      </c>
      <c r="G188" s="49">
        <f>'Annual Raw'!H85</f>
        <v>189.95760000000001</v>
      </c>
      <c r="H188" s="49">
        <f>'Annual Raw'!I85</f>
        <v>350.23349999999999</v>
      </c>
      <c r="I188" s="49">
        <f>'Annual Raw'!J85</f>
        <v>490.42110000000002</v>
      </c>
      <c r="J188" s="49">
        <f>'Annual Raw'!K85</f>
        <v>584.7278</v>
      </c>
      <c r="K188" s="49">
        <f>'Annual Raw'!L85</f>
        <v>600.30970000000002</v>
      </c>
      <c r="L188" s="49">
        <f>'Annual Raw'!M85</f>
        <v>515.72979999999995</v>
      </c>
      <c r="M188" s="49">
        <f>'Annual Raw'!N85</f>
        <v>756.79290000000003</v>
      </c>
      <c r="N188" s="49">
        <f>'Annual Raw'!O85</f>
        <v>959.47789999999998</v>
      </c>
      <c r="O188" s="49">
        <f>'Annual Raw'!P85</f>
        <v>1864.2577000000001</v>
      </c>
      <c r="P188" s="49">
        <f>'Annual Raw'!Q85</f>
        <v>2335.5747999999999</v>
      </c>
      <c r="Q188" s="49">
        <f>'Annual Raw'!R85</f>
        <v>136.70949999999999</v>
      </c>
      <c r="R188" s="49">
        <f>'Annual Raw'!S85</f>
        <v>515.50390000000004</v>
      </c>
      <c r="S188" s="49">
        <f>'Annual Raw'!T85</f>
        <v>513.77829999999994</v>
      </c>
      <c r="T188" s="49">
        <f>'Annual Raw'!U85</f>
        <v>525.96929999999998</v>
      </c>
      <c r="U188" s="49">
        <f>'Annual Raw'!V85</f>
        <v>538.90570000000002</v>
      </c>
      <c r="V188" s="49">
        <f>'Annual Raw'!W85</f>
        <v>487.36430000000001</v>
      </c>
      <c r="W188" s="49">
        <f>'Annual Raw'!X85</f>
        <v>128.0429</v>
      </c>
      <c r="X188" s="49">
        <f>'Annual Raw'!Y85</f>
        <v>107.68</v>
      </c>
      <c r="Y188" s="49">
        <f>'Annual Raw'!Z85</f>
        <v>111.87</v>
      </c>
      <c r="Z188" s="49">
        <f>'Annual Raw'!AA85</f>
        <v>107.3</v>
      </c>
      <c r="AA188" s="49">
        <f>'Annual Raw'!AB85</f>
        <v>107.24</v>
      </c>
      <c r="AB188" s="50"/>
      <c r="AC188" s="50"/>
      <c r="AD188" s="50"/>
      <c r="AE188" s="50"/>
      <c r="CM188" s="50"/>
      <c r="CN188" s="50"/>
      <c r="CO188" s="50"/>
      <c r="CP188" s="50"/>
      <c r="CQ188" s="50"/>
      <c r="CR188" s="50"/>
      <c r="CS188" s="50"/>
      <c r="CT188" s="50"/>
      <c r="CU188" s="50"/>
      <c r="CV188" s="50"/>
      <c r="CW188" s="50"/>
      <c r="CX188" s="50"/>
      <c r="CY188" s="50"/>
      <c r="CZ188" s="50"/>
      <c r="DA188" s="50"/>
      <c r="DB188" s="50"/>
      <c r="DE188" s="138"/>
      <c r="DF188" s="49">
        <v>107.24</v>
      </c>
    </row>
    <row r="189" spans="1:110" s="29" customFormat="1" x14ac:dyDescent="0.2">
      <c r="A189" s="29" t="s">
        <v>82</v>
      </c>
      <c r="B189" s="29">
        <f>'Annual Raw'!C95</f>
        <v>43.921900000000001</v>
      </c>
      <c r="C189" s="29">
        <f>'Annual Raw'!D95</f>
        <v>41.916400000000003</v>
      </c>
      <c r="D189" s="29">
        <f>'Annual Raw'!E95</f>
        <v>30.645900000000001</v>
      </c>
      <c r="E189" s="29">
        <f>'Annual Raw'!F95</f>
        <v>55.694499999999998</v>
      </c>
      <c r="F189" s="29">
        <f>'Annual Raw'!G95</f>
        <v>88.620800000000003</v>
      </c>
      <c r="G189" s="29">
        <f>'Annual Raw'!H95</f>
        <v>151.88740000000001</v>
      </c>
      <c r="H189" s="29">
        <f>'Annual Raw'!I95</f>
        <v>166.22710000000001</v>
      </c>
      <c r="I189" s="29">
        <f>'Annual Raw'!J95</f>
        <v>321.6223</v>
      </c>
      <c r="J189" s="29">
        <f>'Annual Raw'!K95</f>
        <v>423.86989999999997</v>
      </c>
      <c r="K189" s="29">
        <f>'Annual Raw'!L95</f>
        <v>434.9631</v>
      </c>
      <c r="L189" s="29">
        <f>'Annual Raw'!M95</f>
        <v>461.40190000000001</v>
      </c>
      <c r="M189" s="29">
        <f>'Annual Raw'!N95</f>
        <v>676.50609999999995</v>
      </c>
      <c r="N189" s="29">
        <f>'Annual Raw'!O95</f>
        <v>844.25469999999996</v>
      </c>
      <c r="O189" s="29">
        <f>'Annual Raw'!P95</f>
        <v>1787.7132999999999</v>
      </c>
      <c r="P189" s="29">
        <f>'Annual Raw'!Q95</f>
        <v>2188.6637999999998</v>
      </c>
      <c r="Q189" s="29">
        <f>'Annual Raw'!R95</f>
        <v>12.2393</v>
      </c>
      <c r="R189" s="29">
        <f>'Annual Raw'!S95</f>
        <v>333.78449999999998</v>
      </c>
      <c r="S189" s="29">
        <f>'Annual Raw'!T95</f>
        <v>352.01830000000001</v>
      </c>
      <c r="T189" s="29">
        <f>'Annual Raw'!U95</f>
        <v>333.67869999999999</v>
      </c>
      <c r="U189" s="29">
        <f>'Annual Raw'!V95</f>
        <v>352.39249999999998</v>
      </c>
      <c r="V189" s="29">
        <f>'Annual Raw'!W95</f>
        <v>316.66449999999998</v>
      </c>
      <c r="W189" s="29">
        <f>'Annual Raw'!X95</f>
        <v>0.32779999999999998</v>
      </c>
      <c r="X189" s="29">
        <f>'Annual Raw'!Y95</f>
        <v>0.32</v>
      </c>
      <c r="Y189" s="29">
        <f>'Annual Raw'!Z95</f>
        <v>0.31</v>
      </c>
      <c r="Z189" s="29">
        <f>'Annual Raw'!AA95</f>
        <v>0.34</v>
      </c>
      <c r="AA189" s="29">
        <f>'Annual Raw'!AB95</f>
        <v>0.4</v>
      </c>
      <c r="AB189" s="30"/>
      <c r="AC189" s="30"/>
      <c r="AD189" s="30"/>
      <c r="AE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E189" s="139"/>
      <c r="DF189" s="29">
        <v>0.4</v>
      </c>
    </row>
    <row r="190" spans="1:110" s="29" customFormat="1" x14ac:dyDescent="0.2">
      <c r="A190" s="29" t="s">
        <v>83</v>
      </c>
      <c r="B190" s="29">
        <f>'Annual Raw'!C93</f>
        <v>11.439</v>
      </c>
      <c r="C190" s="29">
        <f>'Annual Raw'!D93</f>
        <v>8.9499999999999993</v>
      </c>
      <c r="D190" s="29">
        <f>'Annual Raw'!E93</f>
        <v>13.229200000000001</v>
      </c>
      <c r="E190" s="29">
        <f>'Annual Raw'!F93</f>
        <v>12.3028</v>
      </c>
      <c r="F190" s="29">
        <f>'Annual Raw'!G93</f>
        <v>15.953900000000001</v>
      </c>
      <c r="G190" s="29">
        <f>'Annual Raw'!H93</f>
        <v>9.0691000000000006</v>
      </c>
      <c r="H190" s="29">
        <f>'Annual Raw'!I93</f>
        <v>7.0667999999999997</v>
      </c>
      <c r="I190" s="29">
        <f>'Annual Raw'!J93</f>
        <v>18.098199999999999</v>
      </c>
      <c r="J190" s="29">
        <f>'Annual Raw'!K93</f>
        <v>6.6492000000000004</v>
      </c>
      <c r="K190" s="29">
        <f>'Annual Raw'!L93</f>
        <v>18.141400000000001</v>
      </c>
      <c r="L190" s="29">
        <f>'Annual Raw'!M93</f>
        <v>17.1905</v>
      </c>
      <c r="M190" s="29">
        <f>'Annual Raw'!N93</f>
        <v>18.164000000000001</v>
      </c>
      <c r="N190" s="29">
        <f>'Annual Raw'!O93</f>
        <v>63.531599999999997</v>
      </c>
      <c r="O190" s="29">
        <f>'Annual Raw'!P93</f>
        <v>63.14</v>
      </c>
      <c r="P190" s="29">
        <f>'Annual Raw'!Q93</f>
        <v>136.28270000000001</v>
      </c>
      <c r="Q190" s="29">
        <f>'Annual Raw'!R93</f>
        <v>118.4238</v>
      </c>
      <c r="R190" s="29">
        <f>'Annual Raw'!S93</f>
        <v>167.44</v>
      </c>
      <c r="S190" s="29">
        <f>'Annual Raw'!T93</f>
        <v>155.79310000000001</v>
      </c>
      <c r="T190" s="29">
        <f>'Annual Raw'!U93</f>
        <v>191.89320000000001</v>
      </c>
      <c r="U190" s="29">
        <f>'Annual Raw'!V93</f>
        <v>186.2586</v>
      </c>
      <c r="V190" s="29">
        <f>'Annual Raw'!W93</f>
        <v>167.23339999999999</v>
      </c>
      <c r="W190" s="29">
        <f>'Annual Raw'!X93</f>
        <v>126.06229999999999</v>
      </c>
      <c r="X190" s="29">
        <f>'Annual Raw'!Y93</f>
        <v>104.92</v>
      </c>
      <c r="Y190" s="29">
        <f>'Annual Raw'!Z93</f>
        <v>111.56</v>
      </c>
      <c r="Z190" s="29">
        <f>'Annual Raw'!AA93</f>
        <v>106.96</v>
      </c>
      <c r="AA190" s="29">
        <f>'Annual Raw'!AB93</f>
        <v>106.84</v>
      </c>
      <c r="AB190" s="30"/>
      <c r="AC190" s="30"/>
      <c r="AD190" s="30"/>
      <c r="AE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E190" s="139"/>
      <c r="DF190" s="29">
        <v>106.84</v>
      </c>
    </row>
    <row r="191" spans="1:110" s="29" customFormat="1" x14ac:dyDescent="0.2">
      <c r="A191" s="29" t="s">
        <v>84</v>
      </c>
      <c r="B191" s="29">
        <f t="shared" ref="B191:V191" si="1437">B188-B189-B190</f>
        <v>5.7800000000000296E-2</v>
      </c>
      <c r="C191" s="29">
        <f t="shared" si="1437"/>
        <v>1.206900000000001</v>
      </c>
      <c r="D191" s="29">
        <f t="shared" si="1437"/>
        <v>1.5205999999999964</v>
      </c>
      <c r="E191" s="29">
        <f t="shared" si="1437"/>
        <v>1.771300000000009</v>
      </c>
      <c r="F191" s="29">
        <f t="shared" si="1437"/>
        <v>20.38999999999999</v>
      </c>
      <c r="G191" s="29">
        <f t="shared" si="1437"/>
        <v>29.001100000000001</v>
      </c>
      <c r="H191" s="29">
        <f t="shared" si="1437"/>
        <v>176.93959999999998</v>
      </c>
      <c r="I191" s="29">
        <f t="shared" si="1437"/>
        <v>150.70060000000004</v>
      </c>
      <c r="J191" s="29">
        <f t="shared" si="1437"/>
        <v>154.20870000000002</v>
      </c>
      <c r="K191" s="29">
        <f t="shared" si="1437"/>
        <v>147.20520000000002</v>
      </c>
      <c r="L191" s="29">
        <f t="shared" si="1437"/>
        <v>37.137399999999943</v>
      </c>
      <c r="M191" s="29">
        <f t="shared" si="1437"/>
        <v>62.122800000000083</v>
      </c>
      <c r="N191" s="29">
        <f t="shared" si="1437"/>
        <v>51.691600000000022</v>
      </c>
      <c r="O191" s="29">
        <f t="shared" si="1437"/>
        <v>13.404400000000223</v>
      </c>
      <c r="P191" s="29">
        <f t="shared" si="1437"/>
        <v>10.628300000000053</v>
      </c>
      <c r="Q191" s="29">
        <f t="shared" si="1437"/>
        <v>6.0463999999999913</v>
      </c>
      <c r="R191" s="29">
        <f t="shared" si="1437"/>
        <v>14.279400000000066</v>
      </c>
      <c r="S191" s="29">
        <f t="shared" si="1437"/>
        <v>5.9668999999999244</v>
      </c>
      <c r="T191" s="29">
        <f t="shared" si="1437"/>
        <v>0.39739999999997622</v>
      </c>
      <c r="U191" s="29">
        <f t="shared" si="1437"/>
        <v>0.25460000000003902</v>
      </c>
      <c r="V191" s="29">
        <f t="shared" si="1437"/>
        <v>3.4664000000000499</v>
      </c>
      <c r="W191" s="29">
        <f t="shared" ref="W191" si="1438">W188-W189-W190</f>
        <v>1.6528000000000134</v>
      </c>
      <c r="X191" s="29">
        <f t="shared" ref="X191:Y191" si="1439">X188-X189-X190</f>
        <v>2.4400000000000119</v>
      </c>
      <c r="Y191" s="29">
        <f t="shared" si="1439"/>
        <v>0</v>
      </c>
      <c r="Z191" s="29">
        <f t="shared" ref="Z191:AA191" si="1440">Z188-Z189-Z190</f>
        <v>0</v>
      </c>
      <c r="AA191" s="29">
        <f t="shared" ref="AA191" si="1441">AA188-AA189-AA190</f>
        <v>0</v>
      </c>
      <c r="AB191" s="30">
        <f t="shared" ref="AB191:AD191" si="1442">AB188-AB189-AB190</f>
        <v>0</v>
      </c>
      <c r="AC191" s="30">
        <f t="shared" si="1442"/>
        <v>0</v>
      </c>
      <c r="AD191" s="30">
        <f t="shared" si="1442"/>
        <v>0</v>
      </c>
      <c r="AE191" s="30">
        <f t="shared" ref="AE191" si="1443">AE188-AE189-AE190</f>
        <v>0</v>
      </c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E191" s="139"/>
      <c r="DF191" s="29">
        <v>0</v>
      </c>
    </row>
    <row r="192" spans="1:110" s="5" customFormat="1" x14ac:dyDescent="0.2">
      <c r="AB192" s="63"/>
      <c r="AC192" s="63"/>
      <c r="AD192" s="63"/>
      <c r="AE192" s="63"/>
      <c r="CE192" s="112"/>
      <c r="CG192" s="112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E192" s="139"/>
      <c r="DF192" s="112"/>
    </row>
    <row r="193" spans="1:110" s="95" customFormat="1" x14ac:dyDescent="0.2">
      <c r="A193" s="95" t="s">
        <v>85</v>
      </c>
      <c r="B193" s="95">
        <f t="shared" ref="B193:W193" si="1444">B188/B138</f>
        <v>0.74997134357502826</v>
      </c>
      <c r="C193" s="95">
        <f t="shared" si="1444"/>
        <v>0.84181767079873804</v>
      </c>
      <c r="D193" s="95">
        <f t="shared" si="1444"/>
        <v>0.71381466317563136</v>
      </c>
      <c r="E193" s="95">
        <f t="shared" si="1444"/>
        <v>1.0712467416371616</v>
      </c>
      <c r="F193" s="95">
        <f t="shared" si="1444"/>
        <v>1.7047180827553843</v>
      </c>
      <c r="G193" s="95">
        <f t="shared" si="1444"/>
        <v>1.8502880275228464</v>
      </c>
      <c r="H193" s="95">
        <f t="shared" si="1444"/>
        <v>1.8638989014053475</v>
      </c>
      <c r="I193" s="95">
        <f t="shared" si="1444"/>
        <v>2.0716807011644676</v>
      </c>
      <c r="J193" s="95">
        <f t="shared" si="1444"/>
        <v>2.1231946259985479</v>
      </c>
      <c r="K193" s="95">
        <f t="shared" si="1444"/>
        <v>1.840839983514583</v>
      </c>
      <c r="L193" s="95">
        <f t="shared" si="1444"/>
        <v>1.2326506145329641</v>
      </c>
      <c r="M193" s="95">
        <f t="shared" si="1444"/>
        <v>1.6498901552651022</v>
      </c>
      <c r="N193" s="95">
        <f t="shared" si="1444"/>
        <v>1.7841072638546231</v>
      </c>
      <c r="O193" s="95">
        <f t="shared" si="1444"/>
        <v>3.5036267108593844</v>
      </c>
      <c r="P193" s="95">
        <f t="shared" si="1444"/>
        <v>4.3609296371460511</v>
      </c>
      <c r="Q193" s="95">
        <f t="shared" si="1444"/>
        <v>0.19411146221656478</v>
      </c>
      <c r="R193" s="95">
        <f t="shared" si="1444"/>
        <v>0.7262155636608707</v>
      </c>
      <c r="S193" s="95">
        <f t="shared" si="1444"/>
        <v>0.72478299675865254</v>
      </c>
      <c r="T193" s="95">
        <f t="shared" si="1444"/>
        <v>0.68479843617280001</v>
      </c>
      <c r="U193" s="95">
        <f t="shared" si="1444"/>
        <v>0.63089394935903309</v>
      </c>
      <c r="V193" s="95">
        <f t="shared" si="1444"/>
        <v>0.53017699352829917</v>
      </c>
      <c r="W193" s="95">
        <f t="shared" si="1444"/>
        <v>0.12191800752172507</v>
      </c>
      <c r="X193" s="95">
        <f t="shared" ref="X193:Y193" si="1445">X188/X138</f>
        <v>8.4183533863389379E-2</v>
      </c>
      <c r="Y193" s="95">
        <f t="shared" si="1445"/>
        <v>6.9743084605649527E-2</v>
      </c>
      <c r="Z193" s="95">
        <f t="shared" ref="Z193:AA193" si="1446">Z188/Z138</f>
        <v>5.368516378227739E-2</v>
      </c>
      <c r="AA193" s="95">
        <f t="shared" ref="AA193" si="1447">AA188/AA138</f>
        <v>4.6507795389986339E-2</v>
      </c>
      <c r="AB193" s="87">
        <f t="shared" ref="AB193:AD193" si="1448">AB188/AB138</f>
        <v>0</v>
      </c>
      <c r="AC193" s="87">
        <f t="shared" si="1448"/>
        <v>0</v>
      </c>
      <c r="AD193" s="87">
        <f t="shared" si="1448"/>
        <v>0</v>
      </c>
      <c r="AE193" s="87">
        <f t="shared" ref="AE193" si="1449">AE188/AE138</f>
        <v>0</v>
      </c>
      <c r="CM193" s="96"/>
      <c r="CN193" s="96"/>
      <c r="CO193" s="96"/>
      <c r="CP193" s="96"/>
      <c r="CQ193" s="96"/>
      <c r="CR193" s="96"/>
      <c r="CS193" s="96"/>
      <c r="CT193" s="96"/>
      <c r="CU193" s="96"/>
      <c r="CV193" s="96"/>
      <c r="CW193" s="96"/>
      <c r="CX193" s="96"/>
      <c r="CY193" s="96"/>
      <c r="CZ193" s="96"/>
      <c r="DA193" s="96"/>
      <c r="DB193" s="96"/>
      <c r="DE193" s="140"/>
      <c r="DF193" s="95">
        <v>0</v>
      </c>
    </row>
    <row r="194" spans="1:110" x14ac:dyDescent="0.2">
      <c r="A194" s="152" t="s">
        <v>492</v>
      </c>
      <c r="AA194" s="2"/>
      <c r="CE194" s="111"/>
      <c r="CG194" s="111"/>
      <c r="CL194" s="2"/>
      <c r="DF194" s="111"/>
    </row>
    <row r="195" spans="1:110" s="6" customFormat="1" x14ac:dyDescent="0.2">
      <c r="AB195" s="19"/>
      <c r="AC195" s="19"/>
      <c r="AD195" s="19"/>
      <c r="AE195" s="19"/>
      <c r="CE195" s="113"/>
      <c r="CG195" s="113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E195" s="123"/>
      <c r="DF195" s="113"/>
    </row>
    <row r="196" spans="1:110" s="62" customFormat="1" x14ac:dyDescent="0.2">
      <c r="A196" s="153" t="s">
        <v>493</v>
      </c>
      <c r="AB196" s="63"/>
      <c r="AC196" s="63"/>
      <c r="AD196" s="63"/>
      <c r="AE196" s="63"/>
      <c r="CE196" s="114"/>
      <c r="CG196" s="114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E196" s="139"/>
      <c r="DF196" s="114"/>
    </row>
    <row r="197" spans="1:110" s="62" customFormat="1" outlineLevel="1" x14ac:dyDescent="0.2">
      <c r="A197" s="68" t="s">
        <v>464</v>
      </c>
      <c r="B197" s="67">
        <f t="shared" ref="B197:AE197" si="1450">B162/B26*365</f>
        <v>96.409929340335211</v>
      </c>
      <c r="C197" s="67">
        <f t="shared" si="1450"/>
        <v>123.58069610358118</v>
      </c>
      <c r="D197" s="67">
        <f t="shared" si="1450"/>
        <v>100.43314096138049</v>
      </c>
      <c r="E197" s="67">
        <f t="shared" si="1450"/>
        <v>184.22930266620006</v>
      </c>
      <c r="F197" s="67">
        <f t="shared" si="1450"/>
        <v>135.73269680637029</v>
      </c>
      <c r="G197" s="67">
        <f t="shared" si="1450"/>
        <v>117.82523032031158</v>
      </c>
      <c r="H197" s="67">
        <f t="shared" si="1450"/>
        <v>73.463151951073371</v>
      </c>
      <c r="I197" s="67">
        <f t="shared" si="1450"/>
        <v>97.013470090240062</v>
      </c>
      <c r="J197" s="67">
        <f t="shared" si="1450"/>
        <v>139.39896888274222</v>
      </c>
      <c r="K197" s="67">
        <f t="shared" si="1450"/>
        <v>101.80909984970548</v>
      </c>
      <c r="L197" s="67">
        <f t="shared" si="1450"/>
        <v>102.80690475795903</v>
      </c>
      <c r="M197" s="67">
        <f t="shared" si="1450"/>
        <v>76.84807316516175</v>
      </c>
      <c r="N197" s="67">
        <f t="shared" si="1450"/>
        <v>87.136768705017161</v>
      </c>
      <c r="O197" s="67">
        <f t="shared" si="1450"/>
        <v>94.26413210526934</v>
      </c>
      <c r="P197" s="67">
        <f t="shared" si="1450"/>
        <v>90.109214563529221</v>
      </c>
      <c r="Q197" s="67">
        <f t="shared" si="1450"/>
        <v>96.056524193949983</v>
      </c>
      <c r="R197" s="67">
        <f t="shared" si="1450"/>
        <v>86.355658949077522</v>
      </c>
      <c r="S197" s="67">
        <f t="shared" si="1450"/>
        <v>87.563286884331404</v>
      </c>
      <c r="T197" s="67">
        <f t="shared" si="1450"/>
        <v>95.128290183495153</v>
      </c>
      <c r="U197" s="67">
        <f t="shared" si="1450"/>
        <v>102.79724040710913</v>
      </c>
      <c r="V197" s="67">
        <f t="shared" si="1450"/>
        <v>87.445532992046651</v>
      </c>
      <c r="W197" s="67">
        <f t="shared" si="1450"/>
        <v>78.805879767890602</v>
      </c>
      <c r="X197" s="67">
        <f t="shared" si="1450"/>
        <v>66.525024841796977</v>
      </c>
      <c r="Y197" s="67">
        <f t="shared" si="1450"/>
        <v>43.281838733986433</v>
      </c>
      <c r="Z197" s="67">
        <f t="shared" si="1450"/>
        <v>39.821281028846499</v>
      </c>
      <c r="AA197" s="67">
        <f t="shared" ref="AA197" si="1451">AA162/AA26*365</f>
        <v>46.457069799877424</v>
      </c>
      <c r="AB197" s="18">
        <f t="shared" si="1450"/>
        <v>38.547837828964958</v>
      </c>
      <c r="AC197" s="18">
        <f t="shared" si="1450"/>
        <v>38.406020319399978</v>
      </c>
      <c r="AD197" s="18">
        <f t="shared" si="1450"/>
        <v>38.380838716640625</v>
      </c>
      <c r="AE197" s="18">
        <f t="shared" si="1450"/>
        <v>38.373373140879387</v>
      </c>
      <c r="AI197" s="67">
        <f>AJ162/AI26*90</f>
        <v>111.23916325942011</v>
      </c>
      <c r="AJ197" s="67">
        <f>AJ162/AJ26*90</f>
        <v>79.552659835841808</v>
      </c>
      <c r="AK197" s="67">
        <f t="shared" ref="AK197:CE197" si="1452">+AJ197</f>
        <v>79.552659835841808</v>
      </c>
      <c r="AL197" s="67">
        <f>AL162/AL26*90</f>
        <v>194.8802023909916</v>
      </c>
      <c r="AM197" s="67">
        <f t="shared" ref="AM197:AM198" si="1453">+AL197</f>
        <v>194.8802023909916</v>
      </c>
      <c r="AN197" s="67">
        <f>AN162/AN26*90</f>
        <v>115.60386633618225</v>
      </c>
      <c r="AO197" s="67">
        <f t="shared" ref="AO197:AO198" si="1454">+AN197</f>
        <v>115.60386633618225</v>
      </c>
      <c r="AP197" s="67">
        <f>AP162/AP26*90</f>
        <v>197.57561074344176</v>
      </c>
      <c r="AQ197" s="67">
        <f t="shared" ref="AQ197:AQ198" si="1455">+AP197</f>
        <v>197.57561074344176</v>
      </c>
      <c r="AR197" s="67">
        <f>AR162/AR26*90</f>
        <v>40.550120159676631</v>
      </c>
      <c r="AS197" s="67">
        <f t="shared" ref="AS197:AS198" si="1456">+AR197</f>
        <v>40.550120159676631</v>
      </c>
      <c r="AT197" s="67">
        <f>AT162/AT26*90</f>
        <v>67.16470306812721</v>
      </c>
      <c r="AU197" s="67">
        <f t="shared" ref="AU197:AU198" si="1457">+AT197</f>
        <v>67.16470306812721</v>
      </c>
      <c r="AV197" s="67">
        <f>AV162/AV26*90</f>
        <v>127.98077238035964</v>
      </c>
      <c r="AW197" s="67">
        <f t="shared" ref="AW197:AW198" si="1458">+AV197</f>
        <v>127.98077238035964</v>
      </c>
      <c r="AX197" s="67">
        <f>AX162/AX26*90</f>
        <v>71.355914628496294</v>
      </c>
      <c r="AY197" s="67">
        <f t="shared" ref="AY197:AY198" si="1459">+AX197</f>
        <v>71.355914628496294</v>
      </c>
      <c r="AZ197" s="67">
        <f>AZ162/AZ26*90</f>
        <v>126.35723276250303</v>
      </c>
      <c r="BA197" s="67">
        <f t="shared" ref="BA197:BA198" si="1460">+AZ197</f>
        <v>126.35723276250303</v>
      </c>
      <c r="BB197" s="67">
        <f>BB162/BB26*90</f>
        <v>60.767455137749224</v>
      </c>
      <c r="BC197" s="67">
        <f t="shared" ref="BC197:BC198" si="1461">+BB197</f>
        <v>60.767455137749224</v>
      </c>
      <c r="BD197" s="67">
        <f>BD162/BD26*90</f>
        <v>96.951256154576527</v>
      </c>
      <c r="BE197" s="67">
        <f t="shared" ref="BE197:BE198" si="1462">+BD197</f>
        <v>96.951256154576527</v>
      </c>
      <c r="BF197" s="67">
        <f>BF162/BF26*90</f>
        <v>58.701228885676109</v>
      </c>
      <c r="BG197" s="67">
        <f t="shared" ref="BG197:BG198" si="1463">+BF197</f>
        <v>58.701228885676109</v>
      </c>
      <c r="BH197" s="67">
        <f>BH162/BH26*90</f>
        <v>84.549433694035784</v>
      </c>
      <c r="BI197" s="67">
        <f t="shared" ref="BI197:BI198" si="1464">+BH197</f>
        <v>84.549433694035784</v>
      </c>
      <c r="BJ197" s="67">
        <f>BJ162/BJ26*90</f>
        <v>87.604518912655706</v>
      </c>
      <c r="BK197" s="67">
        <f t="shared" ref="BK197:BK198" si="1465">+BJ197</f>
        <v>87.604518912655706</v>
      </c>
      <c r="BL197" s="67">
        <f>BL162/BL26*90</f>
        <v>103.53748295204782</v>
      </c>
      <c r="BM197" s="67">
        <f t="shared" ref="BM197:BM198" si="1466">+BL197</f>
        <v>103.53748295204782</v>
      </c>
      <c r="BN197" s="67">
        <f>BN162/BN26*90</f>
        <v>102.75682138148336</v>
      </c>
      <c r="BO197" s="67">
        <f t="shared" ref="BO197:BO198" si="1467">+BN197</f>
        <v>102.75682138148336</v>
      </c>
      <c r="BP197" s="67">
        <f>BP162/BP26*90</f>
        <v>98.510016916109748</v>
      </c>
      <c r="BQ197" s="67">
        <f t="shared" ref="BQ197:BQ198" si="1468">+BP197</f>
        <v>98.510016916109748</v>
      </c>
      <c r="BR197" s="67">
        <f>BR162/BR26*90</f>
        <v>64.319056812859145</v>
      </c>
      <c r="BS197" s="67">
        <f t="shared" ref="BS197:BS198" si="1469">+BR197</f>
        <v>64.319056812859145</v>
      </c>
      <c r="BT197" s="67">
        <f>BT162/BT26*90</f>
        <v>72.639297121548424</v>
      </c>
      <c r="BU197" s="67">
        <f t="shared" ref="BU197:BU198" si="1470">+BT197</f>
        <v>72.639297121548424</v>
      </c>
      <c r="BV197" s="67">
        <f>BV162/BV26*90</f>
        <v>71.035457356157153</v>
      </c>
      <c r="BW197" s="67">
        <f t="shared" ref="BW197:BW198" si="1471">+BV197</f>
        <v>71.035457356157153</v>
      </c>
      <c r="BX197" s="67">
        <f>BX162/BX26*90</f>
        <v>65.148151007488622</v>
      </c>
      <c r="BY197" s="67">
        <f t="shared" ref="BY197:BY198" si="1472">+BX197</f>
        <v>65.148151007488622</v>
      </c>
      <c r="BZ197" s="67">
        <f>BZ162/BZ26*90</f>
        <v>59.103971357233711</v>
      </c>
      <c r="CA197" s="67">
        <f t="shared" ref="CA197:CA198" si="1473">+BZ197</f>
        <v>59.103971357233711</v>
      </c>
      <c r="CB197" s="67">
        <f>CB162/CB26*90</f>
        <v>48.587750051557023</v>
      </c>
      <c r="CC197" s="67">
        <f t="shared" ref="CC197:CC198" si="1474">+CB197</f>
        <v>48.587750051557023</v>
      </c>
      <c r="CD197" s="67">
        <f>CD162/CD26*90</f>
        <v>36.620381849739651</v>
      </c>
      <c r="CE197" s="67">
        <f t="shared" si="1452"/>
        <v>36.620381849739651</v>
      </c>
      <c r="CF197" s="67">
        <f>CF162/CF26*90</f>
        <v>47.215727948990441</v>
      </c>
      <c r="CG197" s="67">
        <f t="shared" ref="CG197:CI198" si="1475">+CF197</f>
        <v>47.215727948990441</v>
      </c>
      <c r="CH197" s="67">
        <f>CH162/CH26*90</f>
        <v>27.41627694120892</v>
      </c>
      <c r="CI197" s="67">
        <f t="shared" si="1475"/>
        <v>27.41627694120892</v>
      </c>
      <c r="CJ197" s="67">
        <f>CJ162/CJ26*90</f>
        <v>42.372995693010225</v>
      </c>
      <c r="CK197" s="67">
        <f t="shared" ref="CK197:CK198" si="1476">+CJ197</f>
        <v>42.372995693010225</v>
      </c>
      <c r="CL197" s="67">
        <f>CL162/CL26*90</f>
        <v>36.350773192419624</v>
      </c>
      <c r="CM197" s="30">
        <f t="shared" ref="CM197:CM198" si="1477">+CL197</f>
        <v>36.350773192419624</v>
      </c>
      <c r="CN197" s="30">
        <f t="shared" ref="CN197:CN198" si="1478">+CM197</f>
        <v>36.350773192419624</v>
      </c>
      <c r="CO197" s="30">
        <f t="shared" ref="CO197:CO198" si="1479">+CN197</f>
        <v>36.350773192419624</v>
      </c>
      <c r="CP197" s="30">
        <f t="shared" ref="CP197:CP198" si="1480">+CO197</f>
        <v>36.350773192419624</v>
      </c>
      <c r="CQ197" s="30">
        <f t="shared" ref="CQ197:CQ198" si="1481">+CP197</f>
        <v>36.350773192419624</v>
      </c>
      <c r="CR197" s="30">
        <f t="shared" ref="CR197:CR198" si="1482">+CQ197</f>
        <v>36.350773192419624</v>
      </c>
      <c r="CS197" s="30">
        <f t="shared" ref="CS197:CS198" si="1483">+CR197</f>
        <v>36.350773192419624</v>
      </c>
      <c r="CT197" s="30">
        <f t="shared" ref="CT197:CT198" si="1484">+CS197</f>
        <v>36.350773192419624</v>
      </c>
      <c r="CU197" s="30">
        <f t="shared" ref="CU197:CU198" si="1485">+CT197</f>
        <v>36.350773192419624</v>
      </c>
      <c r="CV197" s="30">
        <f t="shared" ref="CV197:CV198" si="1486">+CU197</f>
        <v>36.350773192419624</v>
      </c>
      <c r="CW197" s="30">
        <f t="shared" ref="CW197:CW198" si="1487">+CV197</f>
        <v>36.350773192419624</v>
      </c>
      <c r="CX197" s="30">
        <f t="shared" ref="CX197:CX198" si="1488">+CW197</f>
        <v>36.350773192419624</v>
      </c>
      <c r="CY197" s="30">
        <f t="shared" ref="CY197:CY198" si="1489">+CX197</f>
        <v>36.350773192419624</v>
      </c>
      <c r="CZ197" s="30">
        <f t="shared" ref="CZ197:CZ198" si="1490">+CY197</f>
        <v>36.350773192419624</v>
      </c>
      <c r="DA197" s="30">
        <f t="shared" ref="DA197:DA198" si="1491">+CZ197</f>
        <v>36.350773192419624</v>
      </c>
      <c r="DB197" s="30">
        <f t="shared" ref="DB197:DB198" si="1492">+DA197</f>
        <v>36.350773192419624</v>
      </c>
      <c r="DE197" s="139"/>
      <c r="DF197" s="114">
        <v>46.457069799877424</v>
      </c>
    </row>
    <row r="198" spans="1:110" s="62" customFormat="1" outlineLevel="1" x14ac:dyDescent="0.2">
      <c r="A198" s="68" t="s">
        <v>465</v>
      </c>
      <c r="B198" s="67">
        <f t="shared" ref="B198:AE198" si="1493">B163/B26*365</f>
        <v>141.2247522520978</v>
      </c>
      <c r="C198" s="67">
        <f t="shared" si="1493"/>
        <v>141.70559286579532</v>
      </c>
      <c r="D198" s="67">
        <f t="shared" si="1493"/>
        <v>145.61776719453701</v>
      </c>
      <c r="E198" s="67">
        <f t="shared" si="1493"/>
        <v>145.10365579903007</v>
      </c>
      <c r="F198" s="67">
        <f t="shared" si="1493"/>
        <v>128.95712262697421</v>
      </c>
      <c r="G198" s="67">
        <f t="shared" si="1493"/>
        <v>153.96217799568055</v>
      </c>
      <c r="H198" s="67">
        <f t="shared" si="1493"/>
        <v>168.69740226168932</v>
      </c>
      <c r="I198" s="67">
        <f t="shared" si="1493"/>
        <v>189.07598440677489</v>
      </c>
      <c r="J198" s="67">
        <f t="shared" si="1493"/>
        <v>164.09243173884818</v>
      </c>
      <c r="K198" s="67">
        <f t="shared" si="1493"/>
        <v>167.18746363324775</v>
      </c>
      <c r="L198" s="67">
        <f t="shared" si="1493"/>
        <v>159.87902167532272</v>
      </c>
      <c r="M198" s="67">
        <f t="shared" si="1493"/>
        <v>166.85193727569879</v>
      </c>
      <c r="N198" s="67">
        <f t="shared" si="1493"/>
        <v>185.80789666685362</v>
      </c>
      <c r="O198" s="67">
        <f t="shared" si="1493"/>
        <v>224.67330349111006</v>
      </c>
      <c r="P198" s="67">
        <f t="shared" si="1493"/>
        <v>223.31965691758657</v>
      </c>
      <c r="Q198" s="67">
        <f t="shared" si="1493"/>
        <v>188.61745760676297</v>
      </c>
      <c r="R198" s="67">
        <f t="shared" si="1493"/>
        <v>179.87146133770742</v>
      </c>
      <c r="S198" s="67">
        <f t="shared" si="1493"/>
        <v>206.14520093637313</v>
      </c>
      <c r="T198" s="67">
        <f t="shared" si="1493"/>
        <v>176.65673955457035</v>
      </c>
      <c r="U198" s="67">
        <f t="shared" si="1493"/>
        <v>205.24898552080089</v>
      </c>
      <c r="V198" s="67">
        <f t="shared" si="1493"/>
        <v>177.43838561846948</v>
      </c>
      <c r="W198" s="67">
        <f t="shared" si="1493"/>
        <v>125.00736914142531</v>
      </c>
      <c r="X198" s="67">
        <f t="shared" si="1493"/>
        <v>82.5048702996705</v>
      </c>
      <c r="Y198" s="67">
        <f t="shared" si="1493"/>
        <v>83.854559155990955</v>
      </c>
      <c r="Z198" s="67">
        <f t="shared" si="1493"/>
        <v>100.61363922118045</v>
      </c>
      <c r="AA198" s="67">
        <f t="shared" ref="AA198" si="1494">AA163/AA26*365</f>
        <v>111.14987003655882</v>
      </c>
      <c r="AB198" s="18">
        <f t="shared" si="1493"/>
        <v>92.226806024066235</v>
      </c>
      <c r="AC198" s="18">
        <f t="shared" si="1493"/>
        <v>91.887503570748407</v>
      </c>
      <c r="AD198" s="18">
        <f t="shared" si="1493"/>
        <v>91.827255864940213</v>
      </c>
      <c r="AE198" s="18">
        <f t="shared" si="1493"/>
        <v>91.809394261115784</v>
      </c>
      <c r="AI198" s="67">
        <f>AJ163/AI26*90</f>
        <v>276.11217617019832</v>
      </c>
      <c r="AJ198" s="67">
        <f>AJ163/AJ26*90</f>
        <v>197.46155386099332</v>
      </c>
      <c r="AK198" s="67">
        <f>+AJ198</f>
        <v>197.46155386099332</v>
      </c>
      <c r="AL198" s="67">
        <f>AL163/AL26*90</f>
        <v>415.55632719876985</v>
      </c>
      <c r="AM198" s="67">
        <f t="shared" si="1453"/>
        <v>415.55632719876985</v>
      </c>
      <c r="AN198" s="67">
        <f>AN163/AN26*90</f>
        <v>95.62392751448634</v>
      </c>
      <c r="AO198" s="67">
        <f t="shared" si="1454"/>
        <v>95.62392751448634</v>
      </c>
      <c r="AP198" s="67">
        <f>AP163/AP26*90</f>
        <v>470.9103343371832</v>
      </c>
      <c r="AQ198" s="67">
        <f t="shared" si="1455"/>
        <v>470.9103343371832</v>
      </c>
      <c r="AR198" s="67">
        <f>AR163/AR26*90</f>
        <v>44.480095725533175</v>
      </c>
      <c r="AS198" s="67">
        <f t="shared" si="1456"/>
        <v>44.480095725533175</v>
      </c>
      <c r="AT198" s="67">
        <f>AT163/AT26*90</f>
        <v>166.45604046298831</v>
      </c>
      <c r="AU198" s="67">
        <f t="shared" si="1457"/>
        <v>166.45604046298831</v>
      </c>
      <c r="AV198" s="67">
        <f>AV163/AV26*90</f>
        <v>226.27295358511577</v>
      </c>
      <c r="AW198" s="67">
        <f t="shared" si="1458"/>
        <v>226.27295358511577</v>
      </c>
      <c r="AX198" s="67">
        <f>AX163/AX26*90</f>
        <v>140.11527447459108</v>
      </c>
      <c r="AY198" s="67">
        <f t="shared" si="1459"/>
        <v>140.11527447459108</v>
      </c>
      <c r="AZ198" s="67">
        <f>AZ163/AZ26*90</f>
        <v>178.81141814570606</v>
      </c>
      <c r="BA198" s="67">
        <f t="shared" si="1460"/>
        <v>178.81141814570606</v>
      </c>
      <c r="BB198" s="67">
        <f>BB163/BB26*90</f>
        <v>126.57327407672763</v>
      </c>
      <c r="BC198" s="67">
        <f t="shared" si="1461"/>
        <v>126.57327407672763</v>
      </c>
      <c r="BD198" s="67">
        <f>BD163/BD26*90</f>
        <v>203.37841681656661</v>
      </c>
      <c r="BE198" s="67">
        <f t="shared" si="1462"/>
        <v>203.37841681656661</v>
      </c>
      <c r="BF198" s="67">
        <f>BF163/BF26*90</f>
        <v>138.19672693666163</v>
      </c>
      <c r="BG198" s="67">
        <f t="shared" si="1463"/>
        <v>138.19672693666163</v>
      </c>
      <c r="BH198" s="67">
        <f>BH163/BH26*90</f>
        <v>177.58083070678353</v>
      </c>
      <c r="BI198" s="67">
        <f t="shared" si="1464"/>
        <v>177.58083070678353</v>
      </c>
      <c r="BJ198" s="67">
        <f>BJ163/BJ26*90</f>
        <v>162.68469759570672</v>
      </c>
      <c r="BK198" s="67">
        <f t="shared" si="1465"/>
        <v>162.68469759570672</v>
      </c>
      <c r="BL198" s="67">
        <f>BL163/BL26*90</f>
        <v>190.05226160106099</v>
      </c>
      <c r="BM198" s="67">
        <f t="shared" si="1466"/>
        <v>190.05226160106099</v>
      </c>
      <c r="BN198" s="67">
        <f>BN163/BN26*90</f>
        <v>205.16838365103126</v>
      </c>
      <c r="BO198" s="67">
        <f t="shared" si="1467"/>
        <v>205.16838365103126</v>
      </c>
      <c r="BP198" s="67">
        <f>BP163/BP26*90</f>
        <v>158.40954432703469</v>
      </c>
      <c r="BQ198" s="67">
        <f t="shared" si="1468"/>
        <v>158.40954432703469</v>
      </c>
      <c r="BR198" s="67">
        <f>BR163/BR26*90</f>
        <v>130.51146424776942</v>
      </c>
      <c r="BS198" s="67">
        <f t="shared" si="1469"/>
        <v>130.51146424776942</v>
      </c>
      <c r="BT198" s="67">
        <f>BT163/BT26*90</f>
        <v>126.10827869296197</v>
      </c>
      <c r="BU198" s="67">
        <f t="shared" si="1470"/>
        <v>126.10827869296197</v>
      </c>
      <c r="BV198" s="67">
        <f>BV163/BV26*90</f>
        <v>112.68127592187619</v>
      </c>
      <c r="BW198" s="67">
        <f t="shared" si="1471"/>
        <v>112.68127592187619</v>
      </c>
      <c r="BX198" s="67">
        <f>BX163/BX26*90</f>
        <v>86.795954605110779</v>
      </c>
      <c r="BY198" s="67">
        <f t="shared" si="1472"/>
        <v>86.795954605110779</v>
      </c>
      <c r="BZ198" s="67">
        <f>BZ163/BZ26*90</f>
        <v>73.301220144156019</v>
      </c>
      <c r="CA198" s="67">
        <f t="shared" si="1473"/>
        <v>73.301220144156019</v>
      </c>
      <c r="CB198" s="67">
        <f>CB163/CB26*90</f>
        <v>69.782016910703248</v>
      </c>
      <c r="CC198" s="67">
        <f t="shared" si="1474"/>
        <v>69.782016910703248</v>
      </c>
      <c r="CD198" s="67">
        <f>CD163/CD26*90</f>
        <v>70.948602599978756</v>
      </c>
      <c r="CE198" s="114">
        <f t="shared" ref="CE198" si="1495">+CD198</f>
        <v>70.948602599978756</v>
      </c>
      <c r="CF198" s="67">
        <f>CF163/CF26*90</f>
        <v>79.470421537371593</v>
      </c>
      <c r="CG198" s="67">
        <f t="shared" si="1475"/>
        <v>79.470421537371593</v>
      </c>
      <c r="CH198" s="67">
        <f>CH163/CH26*90</f>
        <v>69.270785009466252</v>
      </c>
      <c r="CI198" s="67">
        <f t="shared" si="1475"/>
        <v>69.270785009466252</v>
      </c>
      <c r="CJ198" s="67">
        <f>CJ163/CJ26*90</f>
        <v>79.560479476934262</v>
      </c>
      <c r="CK198" s="67">
        <f t="shared" si="1476"/>
        <v>79.560479476934262</v>
      </c>
      <c r="CL198" s="67">
        <f>CL163/CL26*90</f>
        <v>86.970265956733414</v>
      </c>
      <c r="CM198" s="30">
        <f t="shared" si="1477"/>
        <v>86.970265956733414</v>
      </c>
      <c r="CN198" s="30">
        <f t="shared" si="1478"/>
        <v>86.970265956733414</v>
      </c>
      <c r="CO198" s="30">
        <f t="shared" si="1479"/>
        <v>86.970265956733414</v>
      </c>
      <c r="CP198" s="30">
        <f t="shared" si="1480"/>
        <v>86.970265956733414</v>
      </c>
      <c r="CQ198" s="30">
        <f t="shared" si="1481"/>
        <v>86.970265956733414</v>
      </c>
      <c r="CR198" s="30">
        <f t="shared" si="1482"/>
        <v>86.970265956733414</v>
      </c>
      <c r="CS198" s="30">
        <f t="shared" si="1483"/>
        <v>86.970265956733414</v>
      </c>
      <c r="CT198" s="30">
        <f t="shared" si="1484"/>
        <v>86.970265956733414</v>
      </c>
      <c r="CU198" s="30">
        <f t="shared" si="1485"/>
        <v>86.970265956733414</v>
      </c>
      <c r="CV198" s="30">
        <f t="shared" si="1486"/>
        <v>86.970265956733414</v>
      </c>
      <c r="CW198" s="30">
        <f t="shared" si="1487"/>
        <v>86.970265956733414</v>
      </c>
      <c r="CX198" s="30">
        <f t="shared" si="1488"/>
        <v>86.970265956733414</v>
      </c>
      <c r="CY198" s="30">
        <f t="shared" si="1489"/>
        <v>86.970265956733414</v>
      </c>
      <c r="CZ198" s="30">
        <f t="shared" si="1490"/>
        <v>86.970265956733414</v>
      </c>
      <c r="DA198" s="30">
        <f t="shared" si="1491"/>
        <v>86.970265956733414</v>
      </c>
      <c r="DB198" s="30">
        <f t="shared" si="1492"/>
        <v>86.970265956733414</v>
      </c>
      <c r="DE198" s="139"/>
      <c r="DF198" s="114">
        <v>111.14987003655882</v>
      </c>
    </row>
    <row r="199" spans="1:110" s="62" customFormat="1" outlineLevel="1" x14ac:dyDescent="0.2">
      <c r="A199" s="68" t="s">
        <v>466</v>
      </c>
      <c r="B199" s="67">
        <f>B200-B198-B197</f>
        <v>34.118218920212726</v>
      </c>
      <c r="C199" s="67">
        <f t="shared" ref="C199:U199" si="1496">C200-C198-C197</f>
        <v>43.356959223077951</v>
      </c>
      <c r="D199" s="67">
        <f t="shared" si="1496"/>
        <v>25.637913406993007</v>
      </c>
      <c r="E199" s="67">
        <f t="shared" si="1496"/>
        <v>28.67479499461993</v>
      </c>
      <c r="F199" s="67">
        <f t="shared" si="1496"/>
        <v>28.747308364545859</v>
      </c>
      <c r="G199" s="67">
        <f t="shared" si="1496"/>
        <v>22.014180617446314</v>
      </c>
      <c r="H199" s="67">
        <f t="shared" si="1496"/>
        <v>17.233974538424093</v>
      </c>
      <c r="I199" s="67">
        <f t="shared" si="1496"/>
        <v>21.965893686898724</v>
      </c>
      <c r="J199" s="67">
        <f t="shared" si="1496"/>
        <v>26.060053936478596</v>
      </c>
      <c r="K199" s="67">
        <f t="shared" si="1496"/>
        <v>17.660575002435891</v>
      </c>
      <c r="L199" s="67">
        <f t="shared" si="1496"/>
        <v>50.63384164821899</v>
      </c>
      <c r="M199" s="67">
        <f t="shared" si="1496"/>
        <v>36.276238206394382</v>
      </c>
      <c r="N199" s="67">
        <f t="shared" si="1496"/>
        <v>47.235666483735869</v>
      </c>
      <c r="O199" s="67">
        <f t="shared" si="1496"/>
        <v>54.593557549029725</v>
      </c>
      <c r="P199" s="67">
        <f t="shared" si="1496"/>
        <v>48.384608129411546</v>
      </c>
      <c r="Q199" s="67">
        <f t="shared" si="1496"/>
        <v>36.984279571278435</v>
      </c>
      <c r="R199" s="67">
        <f t="shared" si="1496"/>
        <v>43.868796617501474</v>
      </c>
      <c r="S199" s="67">
        <f t="shared" si="1496"/>
        <v>70.898350408910176</v>
      </c>
      <c r="T199" s="67">
        <f t="shared" si="1496"/>
        <v>95.101053252237847</v>
      </c>
      <c r="U199" s="67">
        <f t="shared" si="1496"/>
        <v>84.291898158590143</v>
      </c>
      <c r="V199" s="67">
        <f>V200-V198-V197</f>
        <v>96.668877262026484</v>
      </c>
      <c r="W199" s="67">
        <f t="shared" ref="W199" si="1497">W200-W198-W197</f>
        <v>39.693688034563934</v>
      </c>
      <c r="X199" s="67">
        <f t="shared" ref="X199:Y199" si="1498">X200-X198-X197</f>
        <v>15.309345745515429</v>
      </c>
      <c r="Y199" s="67">
        <f t="shared" si="1498"/>
        <v>24.314242652599859</v>
      </c>
      <c r="Z199" s="67">
        <f t="shared" ref="Z199:AA199" si="1499">Z200-Z198-Z197</f>
        <v>16.02619714768116</v>
      </c>
      <c r="AA199" s="67">
        <f t="shared" ref="AA199" si="1500">AA200-AA198-AA197</f>
        <v>46.878214746095786</v>
      </c>
      <c r="AB199" s="18">
        <f t="shared" ref="AB199:AD199" si="1501">AB200-AB198-AB197</f>
        <v>76.610547630794656</v>
      </c>
      <c r="AC199" s="18">
        <f t="shared" si="1501"/>
        <v>76.32869739785508</v>
      </c>
      <c r="AD199" s="18">
        <f t="shared" si="1501"/>
        <v>76.278651105085714</v>
      </c>
      <c r="AE199" s="18">
        <f t="shared" ref="AE199" si="1502">AE200-AE198-AE197</f>
        <v>76.263813908509746</v>
      </c>
      <c r="AI199" s="67">
        <f t="shared" ref="AI199:AK199" si="1503">AI200-AI198-AI197</f>
        <v>-387.35133942961841</v>
      </c>
      <c r="AJ199" s="67">
        <f t="shared" ref="AJ199:AM199" si="1504">AJ200-AJ198-AJ197</f>
        <v>44.664494876881378</v>
      </c>
      <c r="AK199" s="67">
        <f t="shared" si="1503"/>
        <v>72.990383662139294</v>
      </c>
      <c r="AL199" s="67">
        <f t="shared" si="1504"/>
        <v>105.642144947666</v>
      </c>
      <c r="AM199" s="67">
        <f t="shared" si="1504"/>
        <v>181.97385285824146</v>
      </c>
      <c r="AN199" s="67">
        <f t="shared" ref="AN199:AY199" si="1505">AN200-AN198-AN197</f>
        <v>278.74029063839311</v>
      </c>
      <c r="AO199" s="67">
        <f t="shared" si="1505"/>
        <v>299.5921058493339</v>
      </c>
      <c r="AP199" s="67">
        <f t="shared" si="1505"/>
        <v>114.42611890406585</v>
      </c>
      <c r="AQ199" s="67">
        <f t="shared" si="1505"/>
        <v>69.649585221799782</v>
      </c>
      <c r="AR199" s="67">
        <f t="shared" si="1505"/>
        <v>103.65144644096083</v>
      </c>
      <c r="AS199" s="67">
        <f t="shared" si="1505"/>
        <v>101.40682128955882</v>
      </c>
      <c r="AT199" s="67">
        <f t="shared" si="1505"/>
        <v>36.063888248363753</v>
      </c>
      <c r="AU199" s="67">
        <f t="shared" si="1505"/>
        <v>64.243365362836812</v>
      </c>
      <c r="AV199" s="67">
        <f t="shared" si="1505"/>
        <v>61.033672901176004</v>
      </c>
      <c r="AW199" s="67">
        <f t="shared" si="1505"/>
        <v>35.899154461092479</v>
      </c>
      <c r="AX199" s="67">
        <f t="shared" si="1505"/>
        <v>27.473999814678336</v>
      </c>
      <c r="AY199" s="67">
        <f t="shared" si="1505"/>
        <v>35.26281535115794</v>
      </c>
      <c r="AZ199" s="67">
        <f t="shared" ref="AZ199:BC199" si="1506">AZ200-AZ198-AZ197</f>
        <v>144.78319611080957</v>
      </c>
      <c r="BA199" s="67">
        <f t="shared" si="1506"/>
        <v>105.71561263573398</v>
      </c>
      <c r="BB199" s="67">
        <f t="shared" si="1506"/>
        <v>30.870557153891781</v>
      </c>
      <c r="BC199" s="67">
        <f t="shared" si="1506"/>
        <v>50.435526368857921</v>
      </c>
      <c r="BD199" s="67">
        <f t="shared" ref="BD199:CE199" si="1507">BD200-BD198-BD197</f>
        <v>58.692124946416612</v>
      </c>
      <c r="BE199" s="67">
        <f t="shared" si="1507"/>
        <v>56.545702971214183</v>
      </c>
      <c r="BF199" s="67">
        <f t="shared" si="1507"/>
        <v>47.529052211628191</v>
      </c>
      <c r="BG199" s="67">
        <f t="shared" si="1507"/>
        <v>68.461505510980771</v>
      </c>
      <c r="BH199" s="67">
        <f t="shared" si="1507"/>
        <v>80.447620205572335</v>
      </c>
      <c r="BI199" s="67">
        <f t="shared" si="1507"/>
        <v>94.646879963028269</v>
      </c>
      <c r="BJ199" s="67">
        <f t="shared" si="1507"/>
        <v>87.579271546401159</v>
      </c>
      <c r="BK199" s="67">
        <f t="shared" si="1507"/>
        <v>105.83627506614293</v>
      </c>
      <c r="BL199" s="67">
        <f t="shared" si="1507"/>
        <v>133.7290962988568</v>
      </c>
      <c r="BM199" s="67">
        <f t="shared" si="1507"/>
        <v>127.34785222076725</v>
      </c>
      <c r="BN199" s="67">
        <f t="shared" si="1507"/>
        <v>106.18058504100649</v>
      </c>
      <c r="BO199" s="67">
        <f t="shared" si="1507"/>
        <v>211.51822943716519</v>
      </c>
      <c r="BP199" s="67">
        <f t="shared" si="1507"/>
        <v>101.11217732331014</v>
      </c>
      <c r="BQ199" s="67">
        <f t="shared" si="1507"/>
        <v>90.020969953197465</v>
      </c>
      <c r="BR199" s="67">
        <f t="shared" si="1507"/>
        <v>86.268978556658595</v>
      </c>
      <c r="BS199" s="67">
        <f t="shared" si="1507"/>
        <v>102.66691365661822</v>
      </c>
      <c r="BT199" s="67">
        <f t="shared" si="1507"/>
        <v>77.776659671425392</v>
      </c>
      <c r="BU199" s="67">
        <f t="shared" si="1507"/>
        <v>89.730518132621086</v>
      </c>
      <c r="BV199" s="67">
        <f t="shared" si="1507"/>
        <v>54.847266420330314</v>
      </c>
      <c r="BW199" s="67">
        <f t="shared" si="1507"/>
        <v>55.484071768582922</v>
      </c>
      <c r="BX199" s="67">
        <f t="shared" si="1507"/>
        <v>34.238631977148174</v>
      </c>
      <c r="BY199" s="67">
        <f t="shared" si="1507"/>
        <v>34.218378684224092</v>
      </c>
      <c r="BZ199" s="67">
        <f t="shared" si="1507"/>
        <v>30.92782776652377</v>
      </c>
      <c r="CA199" s="67">
        <f t="shared" si="1507"/>
        <v>31.689192450644391</v>
      </c>
      <c r="CB199" s="67">
        <f t="shared" si="1507"/>
        <v>27.744277170550632</v>
      </c>
      <c r="CC199" s="67">
        <f t="shared" si="1507"/>
        <v>28.408649379170541</v>
      </c>
      <c r="CD199" s="67">
        <f t="shared" si="1507"/>
        <v>37.420566044419253</v>
      </c>
      <c r="CE199" s="114">
        <f t="shared" si="1507"/>
        <v>53.849525945560181</v>
      </c>
      <c r="CF199" s="67">
        <f t="shared" ref="CF199:CG199" si="1508">CF200-CF198-CF197</f>
        <v>58.47148423662771</v>
      </c>
      <c r="CG199" s="67">
        <f t="shared" si="1508"/>
        <v>56.177466013726878</v>
      </c>
      <c r="CH199" s="67">
        <f t="shared" ref="CH199" si="1509">CH200-CH198-CH197</f>
        <v>11.033765061373927</v>
      </c>
      <c r="CI199" s="67">
        <f>CH199</f>
        <v>11.033765061373927</v>
      </c>
      <c r="CJ199" s="67">
        <f t="shared" ref="CJ199:CL199" si="1510">CJ200-CJ198-CJ197</f>
        <v>73.335063048103351</v>
      </c>
      <c r="CK199" s="67">
        <f t="shared" ref="CK199:DB199" si="1511">CJ199</f>
        <v>73.335063048103351</v>
      </c>
      <c r="CL199" s="67">
        <f t="shared" si="1510"/>
        <v>72.244068614959517</v>
      </c>
      <c r="CM199" s="30">
        <f t="shared" si="1511"/>
        <v>72.244068614959517</v>
      </c>
      <c r="CN199" s="30">
        <f t="shared" si="1511"/>
        <v>72.244068614959517</v>
      </c>
      <c r="CO199" s="30">
        <f t="shared" si="1511"/>
        <v>72.244068614959517</v>
      </c>
      <c r="CP199" s="30">
        <f t="shared" si="1511"/>
        <v>72.244068614959517</v>
      </c>
      <c r="CQ199" s="30">
        <f t="shared" si="1511"/>
        <v>72.244068614959517</v>
      </c>
      <c r="CR199" s="30">
        <f t="shared" si="1511"/>
        <v>72.244068614959517</v>
      </c>
      <c r="CS199" s="30">
        <f t="shared" si="1511"/>
        <v>72.244068614959517</v>
      </c>
      <c r="CT199" s="30">
        <f t="shared" si="1511"/>
        <v>72.244068614959517</v>
      </c>
      <c r="CU199" s="30">
        <f t="shared" si="1511"/>
        <v>72.244068614959517</v>
      </c>
      <c r="CV199" s="30">
        <f t="shared" si="1511"/>
        <v>72.244068614959517</v>
      </c>
      <c r="CW199" s="30">
        <f t="shared" si="1511"/>
        <v>72.244068614959517</v>
      </c>
      <c r="CX199" s="30">
        <f t="shared" si="1511"/>
        <v>72.244068614959517</v>
      </c>
      <c r="CY199" s="30">
        <f t="shared" si="1511"/>
        <v>72.244068614959517</v>
      </c>
      <c r="CZ199" s="30">
        <f t="shared" si="1511"/>
        <v>72.244068614959517</v>
      </c>
      <c r="DA199" s="30">
        <f t="shared" si="1511"/>
        <v>72.244068614959517</v>
      </c>
      <c r="DB199" s="30">
        <f t="shared" si="1511"/>
        <v>72.244068614959517</v>
      </c>
      <c r="DE199" s="139"/>
      <c r="DF199" s="114">
        <v>92.329473172587171</v>
      </c>
    </row>
    <row r="200" spans="1:110" s="7" customFormat="1" outlineLevel="1" x14ac:dyDescent="0.2">
      <c r="A200" s="69" t="s">
        <v>467</v>
      </c>
      <c r="B200" s="70">
        <f t="shared" ref="B200:AE200" si="1512">B166/B26*365</f>
        <v>271.75290051264574</v>
      </c>
      <c r="C200" s="70">
        <f t="shared" si="1512"/>
        <v>308.64324819245445</v>
      </c>
      <c r="D200" s="70">
        <f t="shared" si="1512"/>
        <v>271.6888215629105</v>
      </c>
      <c r="E200" s="70">
        <f t="shared" si="1512"/>
        <v>358.00775345985005</v>
      </c>
      <c r="F200" s="70">
        <f t="shared" si="1512"/>
        <v>293.43712779789035</v>
      </c>
      <c r="G200" s="70">
        <f t="shared" si="1512"/>
        <v>293.80158893343844</v>
      </c>
      <c r="H200" s="70">
        <f t="shared" si="1512"/>
        <v>259.39452875118678</v>
      </c>
      <c r="I200" s="70">
        <f t="shared" si="1512"/>
        <v>308.05534818391368</v>
      </c>
      <c r="J200" s="70">
        <f t="shared" si="1512"/>
        <v>329.551454558069</v>
      </c>
      <c r="K200" s="70">
        <f t="shared" si="1512"/>
        <v>286.65713848538911</v>
      </c>
      <c r="L200" s="70">
        <f t="shared" si="1512"/>
        <v>313.31976808150074</v>
      </c>
      <c r="M200" s="70">
        <f t="shared" si="1512"/>
        <v>279.97624864725492</v>
      </c>
      <c r="N200" s="70">
        <f t="shared" si="1512"/>
        <v>320.18033185560665</v>
      </c>
      <c r="O200" s="70">
        <f t="shared" si="1512"/>
        <v>373.53099314540913</v>
      </c>
      <c r="P200" s="70">
        <f t="shared" si="1512"/>
        <v>361.81347961052734</v>
      </c>
      <c r="Q200" s="70">
        <f t="shared" si="1512"/>
        <v>321.65826137199139</v>
      </c>
      <c r="R200" s="70">
        <f t="shared" si="1512"/>
        <v>310.09591690428641</v>
      </c>
      <c r="S200" s="70">
        <f t="shared" si="1512"/>
        <v>364.60683822961471</v>
      </c>
      <c r="T200" s="70">
        <f t="shared" si="1512"/>
        <v>366.88608299030335</v>
      </c>
      <c r="U200" s="70">
        <f t="shared" si="1512"/>
        <v>392.33812408650016</v>
      </c>
      <c r="V200" s="70">
        <f t="shared" si="1512"/>
        <v>361.55279587254262</v>
      </c>
      <c r="W200" s="70">
        <f t="shared" si="1512"/>
        <v>243.50693694387985</v>
      </c>
      <c r="X200" s="70">
        <f t="shared" si="1512"/>
        <v>164.33924088698291</v>
      </c>
      <c r="Y200" s="70">
        <f t="shared" si="1512"/>
        <v>151.45064054257725</v>
      </c>
      <c r="Z200" s="70">
        <f t="shared" si="1512"/>
        <v>156.46111739770811</v>
      </c>
      <c r="AA200" s="70">
        <f t="shared" ref="AA200" si="1513">AA166/AA26*365</f>
        <v>204.48515458253203</v>
      </c>
      <c r="AB200" s="71">
        <f t="shared" si="1512"/>
        <v>207.38519148382585</v>
      </c>
      <c r="AC200" s="71">
        <f t="shared" si="1512"/>
        <v>206.62222128800346</v>
      </c>
      <c r="AD200" s="71">
        <f t="shared" si="1512"/>
        <v>206.48674568666655</v>
      </c>
      <c r="AE200" s="71">
        <f t="shared" si="1512"/>
        <v>206.44658131050491</v>
      </c>
      <c r="AI200" s="70">
        <f t="shared" ref="AI200:CD200" si="1514">AI166/AI26*90</f>
        <v>0</v>
      </c>
      <c r="AJ200" s="70">
        <f t="shared" si="1514"/>
        <v>321.67870857371651</v>
      </c>
      <c r="AK200" s="70">
        <f t="shared" si="1514"/>
        <v>350.00459735897442</v>
      </c>
      <c r="AL200" s="70">
        <f t="shared" si="1514"/>
        <v>716.07867453742745</v>
      </c>
      <c r="AM200" s="70">
        <f t="shared" si="1514"/>
        <v>792.41038244800291</v>
      </c>
      <c r="AN200" s="70">
        <f t="shared" si="1514"/>
        <v>489.96808448906171</v>
      </c>
      <c r="AO200" s="70">
        <f t="shared" si="1514"/>
        <v>510.81989970000251</v>
      </c>
      <c r="AP200" s="70">
        <f t="shared" si="1514"/>
        <v>782.9120639846908</v>
      </c>
      <c r="AQ200" s="70">
        <f t="shared" si="1514"/>
        <v>738.13553030242474</v>
      </c>
      <c r="AR200" s="70">
        <f t="shared" si="1514"/>
        <v>188.68166232617062</v>
      </c>
      <c r="AS200" s="70">
        <f t="shared" si="1514"/>
        <v>186.43703717476862</v>
      </c>
      <c r="AT200" s="70">
        <f t="shared" si="1514"/>
        <v>269.68463177947928</v>
      </c>
      <c r="AU200" s="70">
        <f t="shared" si="1514"/>
        <v>297.86410889395233</v>
      </c>
      <c r="AV200" s="70">
        <f t="shared" si="1514"/>
        <v>415.28739886665142</v>
      </c>
      <c r="AW200" s="70">
        <f t="shared" si="1514"/>
        <v>390.15288042656789</v>
      </c>
      <c r="AX200" s="70">
        <f t="shared" si="1514"/>
        <v>238.94518891776571</v>
      </c>
      <c r="AY200" s="70">
        <f t="shared" si="1514"/>
        <v>246.73400445424531</v>
      </c>
      <c r="AZ200" s="70">
        <f t="shared" si="1514"/>
        <v>449.95184701901866</v>
      </c>
      <c r="BA200" s="70">
        <f t="shared" si="1514"/>
        <v>410.88426354394306</v>
      </c>
      <c r="BB200" s="70">
        <f t="shared" si="1514"/>
        <v>218.21128636836863</v>
      </c>
      <c r="BC200" s="70">
        <f t="shared" si="1514"/>
        <v>237.77625558333477</v>
      </c>
      <c r="BD200" s="70">
        <f t="shared" si="1514"/>
        <v>359.02179791755975</v>
      </c>
      <c r="BE200" s="70">
        <f t="shared" si="1514"/>
        <v>356.87537594235732</v>
      </c>
      <c r="BF200" s="70">
        <f t="shared" si="1514"/>
        <v>244.42700803396593</v>
      </c>
      <c r="BG200" s="70">
        <f t="shared" si="1514"/>
        <v>265.35946133331851</v>
      </c>
      <c r="BH200" s="70">
        <f t="shared" si="1514"/>
        <v>342.57788460639165</v>
      </c>
      <c r="BI200" s="70">
        <f t="shared" si="1514"/>
        <v>356.77714436384758</v>
      </c>
      <c r="BJ200" s="70">
        <f t="shared" si="1514"/>
        <v>337.86848805476359</v>
      </c>
      <c r="BK200" s="70">
        <f t="shared" si="1514"/>
        <v>356.12549157450536</v>
      </c>
      <c r="BL200" s="70">
        <f t="shared" si="1514"/>
        <v>427.3188408519656</v>
      </c>
      <c r="BM200" s="70">
        <f t="shared" si="1514"/>
        <v>420.93759677387607</v>
      </c>
      <c r="BN200" s="70">
        <f t="shared" si="1514"/>
        <v>414.10579007352112</v>
      </c>
      <c r="BO200" s="70">
        <f t="shared" si="1514"/>
        <v>519.4434344696798</v>
      </c>
      <c r="BP200" s="70">
        <f t="shared" si="1514"/>
        <v>358.03173856645458</v>
      </c>
      <c r="BQ200" s="70">
        <f t="shared" si="1514"/>
        <v>346.94053119634191</v>
      </c>
      <c r="BR200" s="70">
        <f t="shared" si="1514"/>
        <v>281.09949961728717</v>
      </c>
      <c r="BS200" s="70">
        <f t="shared" si="1514"/>
        <v>297.49743471724679</v>
      </c>
      <c r="BT200" s="70">
        <f t="shared" si="1514"/>
        <v>276.52423548593578</v>
      </c>
      <c r="BU200" s="70">
        <f t="shared" si="1514"/>
        <v>288.47809394713147</v>
      </c>
      <c r="BV200" s="70">
        <f t="shared" si="1514"/>
        <v>238.56399969836366</v>
      </c>
      <c r="BW200" s="70">
        <f t="shared" si="1514"/>
        <v>239.20080504661627</v>
      </c>
      <c r="BX200" s="70">
        <f t="shared" si="1514"/>
        <v>186.18273758974757</v>
      </c>
      <c r="BY200" s="70">
        <f t="shared" si="1514"/>
        <v>186.16248429682349</v>
      </c>
      <c r="BZ200" s="70">
        <f t="shared" si="1514"/>
        <v>163.3330192679135</v>
      </c>
      <c r="CA200" s="70">
        <f t="shared" si="1514"/>
        <v>164.09438395203412</v>
      </c>
      <c r="CB200" s="70">
        <f t="shared" si="1514"/>
        <v>146.1140441328109</v>
      </c>
      <c r="CC200" s="70">
        <f t="shared" si="1514"/>
        <v>146.77841634143081</v>
      </c>
      <c r="CD200" s="70">
        <f t="shared" si="1514"/>
        <v>144.98955049413766</v>
      </c>
      <c r="CE200" s="115">
        <f>CE166/CE28*90</f>
        <v>161.41851039527859</v>
      </c>
      <c r="CF200" s="70">
        <f>CF166/CF26*90</f>
        <v>185.15763372298974</v>
      </c>
      <c r="CG200" s="70">
        <f>CG166/CG28*90</f>
        <v>182.86361550008891</v>
      </c>
      <c r="CH200" s="70">
        <f>CH166/CH26*90</f>
        <v>107.7208270120491</v>
      </c>
      <c r="CI200" s="70">
        <f>CI197+CI198+CI199</f>
        <v>107.7208270120491</v>
      </c>
      <c r="CJ200" s="70">
        <f>CJ166/CJ26*90</f>
        <v>195.26853821804784</v>
      </c>
      <c r="CK200" s="70">
        <f t="shared" ref="CK200:DB200" si="1515">CK197+CK198+CK199</f>
        <v>195.26853821804784</v>
      </c>
      <c r="CL200" s="70">
        <f>CL166/CL26*90</f>
        <v>195.56510776411255</v>
      </c>
      <c r="CM200" s="50">
        <f t="shared" si="1515"/>
        <v>195.56510776411255</v>
      </c>
      <c r="CN200" s="50">
        <f t="shared" si="1515"/>
        <v>195.56510776411255</v>
      </c>
      <c r="CO200" s="50">
        <f t="shared" si="1515"/>
        <v>195.56510776411255</v>
      </c>
      <c r="CP200" s="50">
        <f t="shared" si="1515"/>
        <v>195.56510776411255</v>
      </c>
      <c r="CQ200" s="50">
        <f t="shared" si="1515"/>
        <v>195.56510776411255</v>
      </c>
      <c r="CR200" s="50">
        <f t="shared" si="1515"/>
        <v>195.56510776411255</v>
      </c>
      <c r="CS200" s="50">
        <f t="shared" si="1515"/>
        <v>195.56510776411255</v>
      </c>
      <c r="CT200" s="50">
        <f t="shared" si="1515"/>
        <v>195.56510776411255</v>
      </c>
      <c r="CU200" s="50">
        <f t="shared" si="1515"/>
        <v>195.56510776411255</v>
      </c>
      <c r="CV200" s="50">
        <f t="shared" si="1515"/>
        <v>195.56510776411255</v>
      </c>
      <c r="CW200" s="50">
        <f t="shared" si="1515"/>
        <v>195.56510776411255</v>
      </c>
      <c r="CX200" s="50">
        <f t="shared" si="1515"/>
        <v>195.56510776411255</v>
      </c>
      <c r="CY200" s="50">
        <f t="shared" si="1515"/>
        <v>195.56510776411255</v>
      </c>
      <c r="CZ200" s="50">
        <f t="shared" si="1515"/>
        <v>195.56510776411255</v>
      </c>
      <c r="DA200" s="50">
        <f t="shared" si="1515"/>
        <v>195.56510776411255</v>
      </c>
      <c r="DB200" s="50">
        <f t="shared" si="1515"/>
        <v>195.56510776411255</v>
      </c>
      <c r="DE200" s="138"/>
      <c r="DF200" s="115">
        <v>249.93641300902343</v>
      </c>
    </row>
    <row r="201" spans="1:110" s="62" customFormat="1" outlineLevel="1" x14ac:dyDescent="0.2">
      <c r="A201" s="68" t="s">
        <v>468</v>
      </c>
      <c r="B201" s="67">
        <f t="shared" ref="B201:AE201" si="1516">B171/B26*365</f>
        <v>58.980819961315376</v>
      </c>
      <c r="C201" s="67">
        <f t="shared" si="1516"/>
        <v>84.879508831457301</v>
      </c>
      <c r="D201" s="67">
        <f t="shared" si="1516"/>
        <v>108.98298048076089</v>
      </c>
      <c r="E201" s="67">
        <f t="shared" si="1516"/>
        <v>152.13708742468631</v>
      </c>
      <c r="F201" s="67">
        <f t="shared" si="1516"/>
        <v>117.3290017093784</v>
      </c>
      <c r="G201" s="67">
        <f t="shared" si="1516"/>
        <v>109.84942276642769</v>
      </c>
      <c r="H201" s="67">
        <f t="shared" si="1516"/>
        <v>88.680337144906062</v>
      </c>
      <c r="I201" s="67">
        <f t="shared" si="1516"/>
        <v>105.71559683417419</v>
      </c>
      <c r="J201" s="67">
        <f t="shared" si="1516"/>
        <v>97.981209814007016</v>
      </c>
      <c r="K201" s="67">
        <f t="shared" si="1516"/>
        <v>95.190603596714396</v>
      </c>
      <c r="L201" s="67">
        <f t="shared" si="1516"/>
        <v>99.32505705501994</v>
      </c>
      <c r="M201" s="67">
        <f t="shared" si="1516"/>
        <v>108.43036865225298</v>
      </c>
      <c r="N201" s="67">
        <f t="shared" si="1516"/>
        <v>119.7272390785855</v>
      </c>
      <c r="O201" s="67">
        <f t="shared" si="1516"/>
        <v>130.10384780538294</v>
      </c>
      <c r="P201" s="67">
        <f t="shared" si="1516"/>
        <v>134.07936562932221</v>
      </c>
      <c r="Q201" s="67">
        <f t="shared" si="1516"/>
        <v>145.79904990523951</v>
      </c>
      <c r="R201" s="67">
        <f t="shared" si="1516"/>
        <v>138.26000541008963</v>
      </c>
      <c r="S201" s="67">
        <f t="shared" si="1516"/>
        <v>136.68697979622391</v>
      </c>
      <c r="T201" s="67">
        <f t="shared" si="1516"/>
        <v>119.50173789435931</v>
      </c>
      <c r="U201" s="67">
        <f t="shared" si="1516"/>
        <v>174.12557033304427</v>
      </c>
      <c r="V201" s="67">
        <f t="shared" si="1516"/>
        <v>148.29561757329003</v>
      </c>
      <c r="W201" s="67">
        <f t="shared" si="1516"/>
        <v>81.430082104331731</v>
      </c>
      <c r="X201" s="67">
        <f t="shared" si="1516"/>
        <v>46.727387427435808</v>
      </c>
      <c r="Y201" s="67">
        <f t="shared" si="1516"/>
        <v>35.40128108515448</v>
      </c>
      <c r="Z201" s="67">
        <f t="shared" si="1516"/>
        <v>45.915103998275676</v>
      </c>
      <c r="AA201" s="67">
        <f t="shared" ref="AA201" si="1517">AA171/AA26*365</f>
        <v>44.485556095602369</v>
      </c>
      <c r="AB201" s="18">
        <f t="shared" si="1516"/>
        <v>36.911970761210782</v>
      </c>
      <c r="AC201" s="18">
        <f t="shared" si="1516"/>
        <v>36.776171607190335</v>
      </c>
      <c r="AD201" s="18">
        <f t="shared" si="1516"/>
        <v>36.752058644255882</v>
      </c>
      <c r="AE201" s="18">
        <f t="shared" si="1516"/>
        <v>36.744909887549035</v>
      </c>
      <c r="AI201" s="67">
        <f>AJ171/AI26*90</f>
        <v>0</v>
      </c>
      <c r="AJ201" s="67">
        <f>AJ171/AJ26*90</f>
        <v>0</v>
      </c>
      <c r="AK201" s="67">
        <f t="shared" ref="AK201:CE201" si="1518">+AJ201</f>
        <v>0</v>
      </c>
      <c r="AL201" s="67">
        <f>AL171/AL26*90</f>
        <v>267.76824247234487</v>
      </c>
      <c r="AM201" s="67">
        <f t="shared" ref="AM201" si="1519">+AL201</f>
        <v>267.76824247234487</v>
      </c>
      <c r="AN201" s="67">
        <f>AN171/AN26*90</f>
        <v>169.97347282207724</v>
      </c>
      <c r="AO201" s="67">
        <f t="shared" ref="AO201" si="1520">+AN201</f>
        <v>169.97347282207724</v>
      </c>
      <c r="AP201" s="67">
        <f>AP171/AP26*90</f>
        <v>272.69493802096434</v>
      </c>
      <c r="AQ201" s="67">
        <f t="shared" ref="AQ201" si="1521">+AP201</f>
        <v>272.69493802096434</v>
      </c>
      <c r="AR201" s="67">
        <f>AR171/AR26*90</f>
        <v>63.977033916199943</v>
      </c>
      <c r="AS201" s="67">
        <f t="shared" ref="AS201" si="1522">+AR201</f>
        <v>63.977033916199943</v>
      </c>
      <c r="AT201" s="67">
        <f>AT171/AT26*90</f>
        <v>99.938559874490593</v>
      </c>
      <c r="AU201" s="67">
        <f t="shared" ref="AU201" si="1523">+AT201</f>
        <v>99.938559874490593</v>
      </c>
      <c r="AV201" s="67">
        <f>AV171/AV26*90</f>
        <v>133.06049985259915</v>
      </c>
      <c r="AW201" s="67">
        <f t="shared" ref="AW201" si="1524">+AV201</f>
        <v>133.06049985259915</v>
      </c>
      <c r="AX201" s="67">
        <f>AX171/AX26*90</f>
        <v>108.30732947099496</v>
      </c>
      <c r="AY201" s="67">
        <f t="shared" ref="AY201" si="1525">+AX201</f>
        <v>108.30732947099496</v>
      </c>
      <c r="AZ201" s="67">
        <f>AZ171/AZ26*90</f>
        <v>139.67170521599556</v>
      </c>
      <c r="BA201" s="67">
        <f t="shared" ref="BA201" si="1526">+AZ201</f>
        <v>139.67170521599556</v>
      </c>
      <c r="BB201" s="67">
        <f>BB171/BB26*90</f>
        <v>97.291965655050447</v>
      </c>
      <c r="BC201" s="67">
        <f t="shared" ref="BC201" si="1527">+BB201</f>
        <v>97.291965655050447</v>
      </c>
      <c r="BD201" s="67">
        <f>BD171/BD26*90</f>
        <v>146.39390892228309</v>
      </c>
      <c r="BE201" s="67">
        <f t="shared" ref="BE201" si="1528">+BD201</f>
        <v>146.39390892228309</v>
      </c>
      <c r="BF201" s="67">
        <f>BF171/BF26*90</f>
        <v>104.84943176619146</v>
      </c>
      <c r="BG201" s="67">
        <f t="shared" ref="BG201" si="1529">+BF201</f>
        <v>104.84943176619146</v>
      </c>
      <c r="BH201" s="67">
        <f>BH171/BH26*90</f>
        <v>123.49126925487042</v>
      </c>
      <c r="BI201" s="67">
        <f t="shared" ref="BI201" si="1530">+BH201</f>
        <v>123.49126925487042</v>
      </c>
      <c r="BJ201" s="67">
        <f>BJ171/BJ26*90</f>
        <v>110.04997636870914</v>
      </c>
      <c r="BK201" s="67">
        <f t="shared" ref="BK201" si="1531">+BJ201</f>
        <v>110.04997636870914</v>
      </c>
      <c r="BL201" s="67">
        <f>BL171/BL26*90</f>
        <v>135.63249311506945</v>
      </c>
      <c r="BM201" s="67">
        <f t="shared" ref="BM201" si="1532">+BL201</f>
        <v>135.63249311506945</v>
      </c>
      <c r="BN201" s="67">
        <f>BN171/BN26*90</f>
        <v>174.05752083845445</v>
      </c>
      <c r="BO201" s="67">
        <f t="shared" ref="BO201" si="1533">+BN201</f>
        <v>174.05752083845445</v>
      </c>
      <c r="BP201" s="67">
        <f>BP171/BP26*90</f>
        <v>118.80263527198525</v>
      </c>
      <c r="BQ201" s="67">
        <f t="shared" ref="BQ201" si="1534">+BP201</f>
        <v>118.80263527198525</v>
      </c>
      <c r="BR201" s="67">
        <f>BR171/BR26*90</f>
        <v>109.07589137810884</v>
      </c>
      <c r="BS201" s="67">
        <f t="shared" ref="BS201" si="1535">+BR201</f>
        <v>109.07589137810884</v>
      </c>
      <c r="BT201" s="67">
        <f>BT171/BT26*90</f>
        <v>109.04392353426341</v>
      </c>
      <c r="BU201" s="67">
        <f t="shared" ref="BU201" si="1536">+BT201</f>
        <v>109.04392353426341</v>
      </c>
      <c r="BV201" s="67">
        <f>BV171/BV26*90</f>
        <v>73.401070809139583</v>
      </c>
      <c r="BW201" s="67">
        <f t="shared" ref="BW201" si="1537">+BV201</f>
        <v>73.401070809139583</v>
      </c>
      <c r="BX201" s="67">
        <f>BX171/BX26*90</f>
        <v>50.951594225276004</v>
      </c>
      <c r="BY201" s="67">
        <f t="shared" ref="BY201" si="1538">+BX201</f>
        <v>50.951594225276004</v>
      </c>
      <c r="BZ201" s="67">
        <f>BZ171/BZ26*90</f>
        <v>41.514816036180335</v>
      </c>
      <c r="CA201" s="67">
        <f t="shared" ref="CA201" si="1539">+BZ201</f>
        <v>41.514816036180335</v>
      </c>
      <c r="CB201" s="67">
        <f>CB171/CB26*90</f>
        <v>42.420086615797075</v>
      </c>
      <c r="CC201" s="67">
        <f t="shared" ref="CC201" si="1540">+CB201</f>
        <v>42.420086615797075</v>
      </c>
      <c r="CD201" s="67">
        <f>CD171/CD26*90</f>
        <v>29.952711558216141</v>
      </c>
      <c r="CE201" s="114">
        <f t="shared" si="1518"/>
        <v>29.952711558216141</v>
      </c>
      <c r="CF201" s="67">
        <f>CF171/CF26*90</f>
        <v>37.320226709174641</v>
      </c>
      <c r="CG201" s="67">
        <f t="shared" ref="CG201:CI201" si="1541">+CF201</f>
        <v>37.320226709174641</v>
      </c>
      <c r="CH201" s="67">
        <f>CH171/CH26*90</f>
        <v>31.611770753664253</v>
      </c>
      <c r="CI201" s="67">
        <f t="shared" si="1541"/>
        <v>31.611770753664253</v>
      </c>
      <c r="CJ201" s="67">
        <f>CJ171/CJ26*90</f>
        <v>32.761662601836953</v>
      </c>
      <c r="CK201" s="67">
        <f t="shared" ref="CK201" si="1542">+CJ201</f>
        <v>32.761662601836953</v>
      </c>
      <c r="CL201" s="67">
        <f>CL171/CL26*90</f>
        <v>34.808143667601023</v>
      </c>
      <c r="CM201" s="30">
        <f t="shared" ref="CM201" si="1543">+CL201</f>
        <v>34.808143667601023</v>
      </c>
      <c r="CN201" s="30">
        <f t="shared" ref="CN201" si="1544">+CM201</f>
        <v>34.808143667601023</v>
      </c>
      <c r="CO201" s="30">
        <f t="shared" ref="CO201" si="1545">+CN201</f>
        <v>34.808143667601023</v>
      </c>
      <c r="CP201" s="30">
        <f t="shared" ref="CP201" si="1546">+CO201</f>
        <v>34.808143667601023</v>
      </c>
      <c r="CQ201" s="30">
        <f t="shared" ref="CQ201" si="1547">+CP201</f>
        <v>34.808143667601023</v>
      </c>
      <c r="CR201" s="30">
        <f t="shared" ref="CR201" si="1548">+CQ201</f>
        <v>34.808143667601023</v>
      </c>
      <c r="CS201" s="30">
        <f t="shared" ref="CS201" si="1549">+CR201</f>
        <v>34.808143667601023</v>
      </c>
      <c r="CT201" s="30">
        <f t="shared" ref="CT201" si="1550">+CS201</f>
        <v>34.808143667601023</v>
      </c>
      <c r="CU201" s="30">
        <f t="shared" ref="CU201" si="1551">+CT201</f>
        <v>34.808143667601023</v>
      </c>
      <c r="CV201" s="30">
        <f t="shared" ref="CV201" si="1552">+CU201</f>
        <v>34.808143667601023</v>
      </c>
      <c r="CW201" s="30">
        <f t="shared" ref="CW201" si="1553">+CV201</f>
        <v>34.808143667601023</v>
      </c>
      <c r="CX201" s="30">
        <f t="shared" ref="CX201" si="1554">+CW201</f>
        <v>34.808143667601023</v>
      </c>
      <c r="CY201" s="30">
        <f t="shared" ref="CY201" si="1555">+CX201</f>
        <v>34.808143667601023</v>
      </c>
      <c r="CZ201" s="30">
        <f t="shared" ref="CZ201" si="1556">+CY201</f>
        <v>34.808143667601023</v>
      </c>
      <c r="DA201" s="30">
        <f t="shared" ref="DA201" si="1557">+CZ201</f>
        <v>34.808143667601023</v>
      </c>
      <c r="DB201" s="30">
        <f t="shared" ref="DB201" si="1558">+DA201</f>
        <v>34.808143667601023</v>
      </c>
      <c r="DE201" s="139"/>
      <c r="DF201" s="114">
        <v>44.485556095602369</v>
      </c>
    </row>
    <row r="202" spans="1:110" s="62" customFormat="1" outlineLevel="1" x14ac:dyDescent="0.2">
      <c r="A202" s="68" t="s">
        <v>466</v>
      </c>
      <c r="B202" s="67">
        <f>B203-B201</f>
        <v>45.944298869704596</v>
      </c>
      <c r="C202" s="67">
        <f t="shared" ref="C202:V202" si="1559">C203-C201</f>
        <v>52.871493984702184</v>
      </c>
      <c r="D202" s="67">
        <f t="shared" si="1559"/>
        <v>28.844121867267063</v>
      </c>
      <c r="E202" s="67">
        <f t="shared" si="1559"/>
        <v>46.868098524310938</v>
      </c>
      <c r="F202" s="67">
        <f t="shared" si="1559"/>
        <v>61.909828894756956</v>
      </c>
      <c r="G202" s="67">
        <f t="shared" si="1559"/>
        <v>45.930317199783985</v>
      </c>
      <c r="H202" s="67">
        <f t="shared" si="1559"/>
        <v>22.723099107641715</v>
      </c>
      <c r="I202" s="67">
        <f t="shared" si="1559"/>
        <v>28.717294773887431</v>
      </c>
      <c r="J202" s="67">
        <f t="shared" si="1559"/>
        <v>52.210165762515587</v>
      </c>
      <c r="K202" s="67">
        <f t="shared" si="1559"/>
        <v>36.862896757671962</v>
      </c>
      <c r="L202" s="67">
        <f t="shared" si="1559"/>
        <v>58.086104769230971</v>
      </c>
      <c r="M202" s="67">
        <f t="shared" si="1559"/>
        <v>52.109127068774228</v>
      </c>
      <c r="N202" s="67">
        <f t="shared" si="1559"/>
        <v>60.566309837189536</v>
      </c>
      <c r="O202" s="67">
        <f t="shared" si="1559"/>
        <v>85.081221890329289</v>
      </c>
      <c r="P202" s="67">
        <f t="shared" si="1559"/>
        <v>76.213702051897286</v>
      </c>
      <c r="Q202" s="67">
        <f t="shared" si="1559"/>
        <v>71.087499304308579</v>
      </c>
      <c r="R202" s="67">
        <f t="shared" si="1559"/>
        <v>69.14293149348444</v>
      </c>
      <c r="S202" s="67">
        <f t="shared" si="1559"/>
        <v>106.55639088444715</v>
      </c>
      <c r="T202" s="67">
        <f t="shared" si="1559"/>
        <v>110.7094836462071</v>
      </c>
      <c r="U202" s="67">
        <f t="shared" si="1559"/>
        <v>111.85221498644557</v>
      </c>
      <c r="V202" s="67">
        <f t="shared" si="1559"/>
        <v>116.27199600627932</v>
      </c>
      <c r="W202" s="67">
        <f t="shared" ref="W202" si="1560">W203-W201</f>
        <v>81.344429759152618</v>
      </c>
      <c r="X202" s="67">
        <f t="shared" ref="X202:Y202" si="1561">X203-X201</f>
        <v>55.043015532660426</v>
      </c>
      <c r="Y202" s="67">
        <f t="shared" si="1561"/>
        <v>57.744913338357179</v>
      </c>
      <c r="Z202" s="67">
        <f t="shared" ref="Z202:AA202" si="1562">Z203-Z201</f>
        <v>69.557760354923289</v>
      </c>
      <c r="AA202" s="67">
        <f t="shared" ref="AA202" si="1563">AA203-AA201</f>
        <v>92.167494347118605</v>
      </c>
      <c r="AB202" s="18">
        <f t="shared" ref="AB202:AD202" si="1564">AB203-AB201</f>
        <v>76.476145406918178</v>
      </c>
      <c r="AC202" s="18">
        <f t="shared" si="1564"/>
        <v>76.19478963980977</v>
      </c>
      <c r="AD202" s="18">
        <f t="shared" si="1564"/>
        <v>76.144831146087071</v>
      </c>
      <c r="AE202" s="18">
        <f t="shared" ref="AE202" si="1565">AE203-AE201</f>
        <v>76.130019979245589</v>
      </c>
      <c r="AI202" s="67">
        <f t="shared" ref="AI202:AK202" si="1566">AI203-AI201</f>
        <v>0</v>
      </c>
      <c r="AJ202" s="67">
        <f t="shared" ref="AJ202:AM202" si="1567">AJ203-AJ201</f>
        <v>198.32365734253005</v>
      </c>
      <c r="AK202" s="67">
        <f t="shared" si="1566"/>
        <v>324.0990383662139</v>
      </c>
      <c r="AL202" s="67">
        <f t="shared" si="1567"/>
        <v>171.93759611091832</v>
      </c>
      <c r="AM202" s="67">
        <f t="shared" si="1567"/>
        <v>296.17106724771423</v>
      </c>
      <c r="AN202" s="67">
        <f t="shared" ref="AN202:AY202" si="1568">AN203-AN201</f>
        <v>65.115351775248513</v>
      </c>
      <c r="AO202" s="67">
        <f t="shared" si="1568"/>
        <v>69.986456987570705</v>
      </c>
      <c r="AP202" s="67">
        <f t="shared" si="1568"/>
        <v>209.2214746165028</v>
      </c>
      <c r="AQ202" s="67">
        <f t="shared" si="1568"/>
        <v>127.35019824232597</v>
      </c>
      <c r="AR202" s="67">
        <f t="shared" si="1568"/>
        <v>21.91350514323635</v>
      </c>
      <c r="AS202" s="67">
        <f t="shared" si="1568"/>
        <v>21.438956967703632</v>
      </c>
      <c r="AT202" s="67">
        <f t="shared" si="1568"/>
        <v>66.28958534919154</v>
      </c>
      <c r="AU202" s="67">
        <f t="shared" si="1568"/>
        <v>118.08671383436534</v>
      </c>
      <c r="AV202" s="67">
        <f t="shared" si="1568"/>
        <v>93.52553309967567</v>
      </c>
      <c r="AW202" s="67">
        <f t="shared" si="1568"/>
        <v>75.328103256217275</v>
      </c>
      <c r="AX202" s="67">
        <f t="shared" si="1568"/>
        <v>63.601792325036499</v>
      </c>
      <c r="AY202" s="67">
        <f t="shared" si="1568"/>
        <v>103.3471037747169</v>
      </c>
      <c r="AZ202" s="67">
        <f t="shared" ref="AZ202:BC202" si="1569">AZ203-AZ201</f>
        <v>160.10381182230734</v>
      </c>
      <c r="BA202" s="67">
        <f t="shared" si="1569"/>
        <v>128.32164594233907</v>
      </c>
      <c r="BB202" s="67">
        <f t="shared" si="1569"/>
        <v>64.835988312865922</v>
      </c>
      <c r="BC202" s="67">
        <f t="shared" si="1569"/>
        <v>116.02228695321473</v>
      </c>
      <c r="BD202" s="67">
        <f t="shared" ref="BD202:CE202" si="1570">BD203-BD201</f>
        <v>123.9518691083326</v>
      </c>
      <c r="BE202" s="67">
        <f t="shared" si="1570"/>
        <v>119.418841620157</v>
      </c>
      <c r="BF202" s="67">
        <f t="shared" si="1570"/>
        <v>67.710411214611213</v>
      </c>
      <c r="BG202" s="67">
        <f t="shared" si="1570"/>
        <v>97.531014712424025</v>
      </c>
      <c r="BH202" s="67">
        <f t="shared" si="1570"/>
        <v>121.16244704033818</v>
      </c>
      <c r="BI202" s="67">
        <f t="shared" si="1570"/>
        <v>142.54800268484934</v>
      </c>
      <c r="BJ202" s="67">
        <f t="shared" si="1570"/>
        <v>108.22997057523133</v>
      </c>
      <c r="BK202" s="67">
        <f t="shared" si="1570"/>
        <v>130.79187271079144</v>
      </c>
      <c r="BL202" s="67">
        <f t="shared" si="1570"/>
        <v>162.00683045224508</v>
      </c>
      <c r="BM202" s="67">
        <f t="shared" si="1570"/>
        <v>154.27623811261617</v>
      </c>
      <c r="BN202" s="67">
        <f t="shared" si="1570"/>
        <v>117.9995083689021</v>
      </c>
      <c r="BO202" s="67">
        <f t="shared" si="1570"/>
        <v>235.06224866821972</v>
      </c>
      <c r="BP202" s="67">
        <f t="shared" si="1570"/>
        <v>127.33518171543008</v>
      </c>
      <c r="BQ202" s="67">
        <f t="shared" si="1570"/>
        <v>113.36751784640944</v>
      </c>
      <c r="BR202" s="67">
        <f t="shared" si="1570"/>
        <v>85.522003130248024</v>
      </c>
      <c r="BS202" s="67">
        <f t="shared" si="1570"/>
        <v>101.77795376755979</v>
      </c>
      <c r="BT202" s="67">
        <f t="shared" si="1570"/>
        <v>75.926635947048496</v>
      </c>
      <c r="BU202" s="67">
        <f t="shared" si="1570"/>
        <v>87.596155612460464</v>
      </c>
      <c r="BV202" s="67">
        <f t="shared" si="1570"/>
        <v>73.323701078350041</v>
      </c>
      <c r="BW202" s="67">
        <f t="shared" si="1570"/>
        <v>74.175027462467938</v>
      </c>
      <c r="BX202" s="67">
        <f t="shared" si="1570"/>
        <v>56.209526750559725</v>
      </c>
      <c r="BY202" s="67">
        <f t="shared" si="1570"/>
        <v>56.176276940486595</v>
      </c>
      <c r="BZ202" s="67">
        <f t="shared" si="1570"/>
        <v>48.90281245583455</v>
      </c>
      <c r="CA202" s="67">
        <f t="shared" si="1570"/>
        <v>50.106675676980245</v>
      </c>
      <c r="CB202" s="67">
        <f t="shared" si="1570"/>
        <v>39.500515570220671</v>
      </c>
      <c r="CC202" s="67">
        <f t="shared" si="1570"/>
        <v>40.446405946448181</v>
      </c>
      <c r="CD202" s="67">
        <f t="shared" si="1570"/>
        <v>48.857461655626793</v>
      </c>
      <c r="CE202" s="114">
        <f t="shared" si="1570"/>
        <v>70.307625649913348</v>
      </c>
      <c r="CF202" s="67">
        <f t="shared" ref="CF202:CG202" si="1571">CF203-CF201</f>
        <v>63.251859723698196</v>
      </c>
      <c r="CG202" s="67">
        <f t="shared" si="1571"/>
        <v>60.770292499385526</v>
      </c>
      <c r="CH202" s="67">
        <f t="shared" ref="CH202" si="1572">CH203-CH201</f>
        <v>47.889338866807925</v>
      </c>
      <c r="CI202" s="67">
        <f>CH202</f>
        <v>47.889338866807925</v>
      </c>
      <c r="CJ202" s="67">
        <f t="shared" ref="CJ202:CL202" si="1573">CJ203-CJ201</f>
        <v>76.982512583674946</v>
      </c>
      <c r="CK202" s="67">
        <f t="shared" ref="CK202:DB202" si="1574">CJ202</f>
        <v>76.982512583674946</v>
      </c>
      <c r="CL202" s="67">
        <f t="shared" si="1573"/>
        <v>72.11732675259185</v>
      </c>
      <c r="CM202" s="30">
        <f t="shared" si="1574"/>
        <v>72.11732675259185</v>
      </c>
      <c r="CN202" s="30">
        <f t="shared" si="1574"/>
        <v>72.11732675259185</v>
      </c>
      <c r="CO202" s="30">
        <f t="shared" si="1574"/>
        <v>72.11732675259185</v>
      </c>
      <c r="CP202" s="30">
        <f t="shared" si="1574"/>
        <v>72.11732675259185</v>
      </c>
      <c r="CQ202" s="30">
        <f t="shared" si="1574"/>
        <v>72.11732675259185</v>
      </c>
      <c r="CR202" s="30">
        <f t="shared" si="1574"/>
        <v>72.11732675259185</v>
      </c>
      <c r="CS202" s="30">
        <f t="shared" si="1574"/>
        <v>72.11732675259185</v>
      </c>
      <c r="CT202" s="30">
        <f t="shared" si="1574"/>
        <v>72.11732675259185</v>
      </c>
      <c r="CU202" s="30">
        <f t="shared" si="1574"/>
        <v>72.11732675259185</v>
      </c>
      <c r="CV202" s="30">
        <f t="shared" si="1574"/>
        <v>72.11732675259185</v>
      </c>
      <c r="CW202" s="30">
        <f t="shared" si="1574"/>
        <v>72.11732675259185</v>
      </c>
      <c r="CX202" s="30">
        <f t="shared" si="1574"/>
        <v>72.11732675259185</v>
      </c>
      <c r="CY202" s="30">
        <f t="shared" si="1574"/>
        <v>72.11732675259185</v>
      </c>
      <c r="CZ202" s="30">
        <f t="shared" si="1574"/>
        <v>72.11732675259185</v>
      </c>
      <c r="DA202" s="30">
        <f t="shared" si="1574"/>
        <v>72.11732675259185</v>
      </c>
      <c r="DB202" s="30">
        <f t="shared" si="1574"/>
        <v>72.11732675259185</v>
      </c>
      <c r="DE202" s="139"/>
      <c r="DF202" s="114">
        <v>92.167494347118605</v>
      </c>
    </row>
    <row r="203" spans="1:110" s="7" customFormat="1" outlineLevel="1" x14ac:dyDescent="0.2">
      <c r="A203" s="69" t="s">
        <v>469</v>
      </c>
      <c r="B203" s="70">
        <f t="shared" ref="B203:AE203" si="1575">B174/B26*365</f>
        <v>104.92511883101997</v>
      </c>
      <c r="C203" s="70">
        <f t="shared" si="1575"/>
        <v>137.75100281615948</v>
      </c>
      <c r="D203" s="70">
        <f t="shared" si="1575"/>
        <v>137.82710234802795</v>
      </c>
      <c r="E203" s="70">
        <f t="shared" si="1575"/>
        <v>199.00518594899725</v>
      </c>
      <c r="F203" s="70">
        <f t="shared" si="1575"/>
        <v>179.23883060413536</v>
      </c>
      <c r="G203" s="70">
        <f t="shared" si="1575"/>
        <v>155.77973996621168</v>
      </c>
      <c r="H203" s="70">
        <f t="shared" si="1575"/>
        <v>111.40343625254778</v>
      </c>
      <c r="I203" s="70">
        <f t="shared" si="1575"/>
        <v>134.43289160806162</v>
      </c>
      <c r="J203" s="70">
        <f t="shared" si="1575"/>
        <v>150.1913755765226</v>
      </c>
      <c r="K203" s="70">
        <f t="shared" si="1575"/>
        <v>132.05350035438636</v>
      </c>
      <c r="L203" s="70">
        <f t="shared" si="1575"/>
        <v>157.41116182425091</v>
      </c>
      <c r="M203" s="70">
        <f t="shared" si="1575"/>
        <v>160.53949572102721</v>
      </c>
      <c r="N203" s="70">
        <f t="shared" si="1575"/>
        <v>180.29354891577503</v>
      </c>
      <c r="O203" s="70">
        <f t="shared" si="1575"/>
        <v>215.18506969571223</v>
      </c>
      <c r="P203" s="70">
        <f t="shared" si="1575"/>
        <v>210.2930676812195</v>
      </c>
      <c r="Q203" s="70">
        <f t="shared" si="1575"/>
        <v>216.88654920954809</v>
      </c>
      <c r="R203" s="70">
        <f t="shared" si="1575"/>
        <v>207.40293690357407</v>
      </c>
      <c r="S203" s="70">
        <f t="shared" si="1575"/>
        <v>243.24337068067106</v>
      </c>
      <c r="T203" s="70">
        <f t="shared" si="1575"/>
        <v>230.21122154056641</v>
      </c>
      <c r="U203" s="70">
        <f t="shared" si="1575"/>
        <v>285.97778531948984</v>
      </c>
      <c r="V203" s="70">
        <f t="shared" si="1575"/>
        <v>264.56761357956935</v>
      </c>
      <c r="W203" s="70">
        <f t="shared" si="1575"/>
        <v>162.77451186348435</v>
      </c>
      <c r="X203" s="70">
        <f t="shared" si="1575"/>
        <v>101.77040296009623</v>
      </c>
      <c r="Y203" s="70">
        <f t="shared" si="1575"/>
        <v>93.146194423511659</v>
      </c>
      <c r="Z203" s="70">
        <f t="shared" si="1575"/>
        <v>115.47286435319897</v>
      </c>
      <c r="AA203" s="70">
        <f t="shared" ref="AA203" si="1576">AA174/AA26*365</f>
        <v>136.65305044272097</v>
      </c>
      <c r="AB203" s="71">
        <f t="shared" si="1575"/>
        <v>113.38811616812896</v>
      </c>
      <c r="AC203" s="71">
        <f t="shared" si="1575"/>
        <v>112.9709612470001</v>
      </c>
      <c r="AD203" s="71">
        <f t="shared" si="1575"/>
        <v>112.89688979034295</v>
      </c>
      <c r="AE203" s="71">
        <f t="shared" si="1575"/>
        <v>112.87492986679463</v>
      </c>
      <c r="AI203" s="70">
        <f t="shared" ref="AI203:CD203" si="1577">AI174/AI26*90</f>
        <v>0</v>
      </c>
      <c r="AJ203" s="70">
        <f t="shared" si="1577"/>
        <v>198.32365734253005</v>
      </c>
      <c r="AK203" s="70">
        <f t="shared" si="1577"/>
        <v>324.0990383662139</v>
      </c>
      <c r="AL203" s="70">
        <f t="shared" si="1577"/>
        <v>439.70583858326319</v>
      </c>
      <c r="AM203" s="70">
        <f t="shared" si="1577"/>
        <v>563.9393097200591</v>
      </c>
      <c r="AN203" s="70">
        <f t="shared" si="1577"/>
        <v>235.08882459732575</v>
      </c>
      <c r="AO203" s="70">
        <f t="shared" si="1577"/>
        <v>239.95992980964795</v>
      </c>
      <c r="AP203" s="70">
        <f t="shared" si="1577"/>
        <v>481.91641263746715</v>
      </c>
      <c r="AQ203" s="70">
        <f t="shared" si="1577"/>
        <v>400.04513626329032</v>
      </c>
      <c r="AR203" s="70">
        <f t="shared" si="1577"/>
        <v>85.890539059436293</v>
      </c>
      <c r="AS203" s="70">
        <f t="shared" si="1577"/>
        <v>85.415990883903575</v>
      </c>
      <c r="AT203" s="70">
        <f t="shared" si="1577"/>
        <v>166.22814522368213</v>
      </c>
      <c r="AU203" s="70">
        <f t="shared" si="1577"/>
        <v>218.02527370885593</v>
      </c>
      <c r="AV203" s="70">
        <f t="shared" si="1577"/>
        <v>226.58603295227482</v>
      </c>
      <c r="AW203" s="70">
        <f t="shared" si="1577"/>
        <v>208.38860310881643</v>
      </c>
      <c r="AX203" s="70">
        <f t="shared" si="1577"/>
        <v>171.90912179603146</v>
      </c>
      <c r="AY203" s="70">
        <f t="shared" si="1577"/>
        <v>211.65443324571186</v>
      </c>
      <c r="AZ203" s="70">
        <f t="shared" si="1577"/>
        <v>299.77551703830289</v>
      </c>
      <c r="BA203" s="70">
        <f t="shared" si="1577"/>
        <v>267.99335115833463</v>
      </c>
      <c r="BB203" s="70">
        <f t="shared" si="1577"/>
        <v>162.12795396791637</v>
      </c>
      <c r="BC203" s="70">
        <f t="shared" si="1577"/>
        <v>213.31425260826518</v>
      </c>
      <c r="BD203" s="70">
        <f t="shared" si="1577"/>
        <v>270.34577803061569</v>
      </c>
      <c r="BE203" s="70">
        <f t="shared" si="1577"/>
        <v>265.81275054244009</v>
      </c>
      <c r="BF203" s="70">
        <f t="shared" si="1577"/>
        <v>172.55984298080267</v>
      </c>
      <c r="BG203" s="70">
        <f t="shared" si="1577"/>
        <v>202.38044647861548</v>
      </c>
      <c r="BH203" s="70">
        <f t="shared" si="1577"/>
        <v>244.6537162952086</v>
      </c>
      <c r="BI203" s="70">
        <f t="shared" si="1577"/>
        <v>266.03927193971975</v>
      </c>
      <c r="BJ203" s="70">
        <f t="shared" si="1577"/>
        <v>218.27994694394047</v>
      </c>
      <c r="BK203" s="70">
        <f t="shared" si="1577"/>
        <v>240.84184907950058</v>
      </c>
      <c r="BL203" s="70">
        <f t="shared" si="1577"/>
        <v>297.63932356731453</v>
      </c>
      <c r="BM203" s="70">
        <f t="shared" si="1577"/>
        <v>289.90873122768562</v>
      </c>
      <c r="BN203" s="70">
        <f t="shared" si="1577"/>
        <v>292.05702920735655</v>
      </c>
      <c r="BO203" s="70">
        <f t="shared" si="1577"/>
        <v>409.11976950667417</v>
      </c>
      <c r="BP203" s="70">
        <f t="shared" si="1577"/>
        <v>246.13781698741533</v>
      </c>
      <c r="BQ203" s="70">
        <f t="shared" si="1577"/>
        <v>232.17015311839469</v>
      </c>
      <c r="BR203" s="70">
        <f t="shared" si="1577"/>
        <v>194.59789450835686</v>
      </c>
      <c r="BS203" s="70">
        <f t="shared" si="1577"/>
        <v>210.85384514566863</v>
      </c>
      <c r="BT203" s="70">
        <f t="shared" si="1577"/>
        <v>184.97055948131191</v>
      </c>
      <c r="BU203" s="70">
        <f t="shared" si="1577"/>
        <v>196.64007914672388</v>
      </c>
      <c r="BV203" s="70">
        <f t="shared" si="1577"/>
        <v>146.72477188748962</v>
      </c>
      <c r="BW203" s="70">
        <f t="shared" si="1577"/>
        <v>147.57609827160752</v>
      </c>
      <c r="BX203" s="70">
        <f t="shared" si="1577"/>
        <v>107.16112097583573</v>
      </c>
      <c r="BY203" s="70">
        <f t="shared" si="1577"/>
        <v>107.1278711657626</v>
      </c>
      <c r="BZ203" s="70">
        <f t="shared" si="1577"/>
        <v>90.417628492014885</v>
      </c>
      <c r="CA203" s="70">
        <f t="shared" si="1577"/>
        <v>91.62149171316058</v>
      </c>
      <c r="CB203" s="70">
        <f t="shared" si="1577"/>
        <v>81.920602186017746</v>
      </c>
      <c r="CC203" s="70">
        <f t="shared" si="1577"/>
        <v>82.866492562245256</v>
      </c>
      <c r="CD203" s="70">
        <f t="shared" si="1577"/>
        <v>78.81017321384293</v>
      </c>
      <c r="CE203" s="115">
        <f>CE174/CE28*90</f>
        <v>100.26033720812949</v>
      </c>
      <c r="CF203" s="70">
        <f>CF174/CF26*90</f>
        <v>100.57208643287284</v>
      </c>
      <c r="CG203" s="70">
        <f>CG174/CG28*90</f>
        <v>98.090519208560167</v>
      </c>
      <c r="CH203" s="70">
        <f>CH174/CH26*90</f>
        <v>79.501109620472178</v>
      </c>
      <c r="CI203" s="70">
        <f>CI201+CI202</f>
        <v>79.501109620472178</v>
      </c>
      <c r="CJ203" s="70">
        <f>CJ174/CJ26*90</f>
        <v>109.74417518551191</v>
      </c>
      <c r="CK203" s="70">
        <f t="shared" ref="CK203:DB203" si="1578">CK201+CK202</f>
        <v>109.74417518551189</v>
      </c>
      <c r="CL203" s="70">
        <f>CL174/CL26*90</f>
        <v>106.92547042019287</v>
      </c>
      <c r="CM203" s="50">
        <f t="shared" si="1578"/>
        <v>106.92547042019288</v>
      </c>
      <c r="CN203" s="50">
        <f t="shared" si="1578"/>
        <v>106.92547042019288</v>
      </c>
      <c r="CO203" s="50">
        <f t="shared" si="1578"/>
        <v>106.92547042019288</v>
      </c>
      <c r="CP203" s="50">
        <f t="shared" si="1578"/>
        <v>106.92547042019288</v>
      </c>
      <c r="CQ203" s="50">
        <f t="shared" si="1578"/>
        <v>106.92547042019288</v>
      </c>
      <c r="CR203" s="50">
        <f t="shared" si="1578"/>
        <v>106.92547042019288</v>
      </c>
      <c r="CS203" s="50">
        <f t="shared" si="1578"/>
        <v>106.92547042019288</v>
      </c>
      <c r="CT203" s="50">
        <f t="shared" si="1578"/>
        <v>106.92547042019288</v>
      </c>
      <c r="CU203" s="50">
        <f t="shared" si="1578"/>
        <v>106.92547042019288</v>
      </c>
      <c r="CV203" s="50">
        <f t="shared" si="1578"/>
        <v>106.92547042019288</v>
      </c>
      <c r="CW203" s="50">
        <f t="shared" si="1578"/>
        <v>106.92547042019288</v>
      </c>
      <c r="CX203" s="50">
        <f t="shared" si="1578"/>
        <v>106.92547042019288</v>
      </c>
      <c r="CY203" s="50">
        <f t="shared" si="1578"/>
        <v>106.92547042019288</v>
      </c>
      <c r="CZ203" s="50">
        <f t="shared" si="1578"/>
        <v>106.92547042019288</v>
      </c>
      <c r="DA203" s="50">
        <f t="shared" si="1578"/>
        <v>106.92547042019288</v>
      </c>
      <c r="DB203" s="50">
        <f t="shared" si="1578"/>
        <v>106.92547042019288</v>
      </c>
      <c r="DE203" s="138"/>
      <c r="DF203" s="115">
        <v>136.65305044272097</v>
      </c>
    </row>
    <row r="204" spans="1:110" s="7" customFormat="1" x14ac:dyDescent="0.2">
      <c r="A204" s="69" t="s">
        <v>470</v>
      </c>
      <c r="B204" s="70">
        <f>B200-B203</f>
        <v>166.82778168162577</v>
      </c>
      <c r="C204" s="70">
        <f t="shared" ref="C204:V204" si="1579">C200-C203</f>
        <v>170.89224537629497</v>
      </c>
      <c r="D204" s="70">
        <f t="shared" si="1579"/>
        <v>133.86171921488256</v>
      </c>
      <c r="E204" s="70">
        <f t="shared" si="1579"/>
        <v>159.0025675108528</v>
      </c>
      <c r="F204" s="70">
        <f t="shared" si="1579"/>
        <v>114.198297193755</v>
      </c>
      <c r="G204" s="70">
        <f t="shared" si="1579"/>
        <v>138.02184896722676</v>
      </c>
      <c r="H204" s="70">
        <f t="shared" si="1579"/>
        <v>147.99109249863901</v>
      </c>
      <c r="I204" s="70">
        <f t="shared" si="1579"/>
        <v>173.62245657585206</v>
      </c>
      <c r="J204" s="70">
        <f t="shared" si="1579"/>
        <v>179.36007898154639</v>
      </c>
      <c r="K204" s="70">
        <f t="shared" si="1579"/>
        <v>154.60363813100275</v>
      </c>
      <c r="L204" s="70">
        <f t="shared" si="1579"/>
        <v>155.90860625724983</v>
      </c>
      <c r="M204" s="70">
        <f t="shared" si="1579"/>
        <v>119.43675292622771</v>
      </c>
      <c r="N204" s="70">
        <f t="shared" si="1579"/>
        <v>139.88678293983162</v>
      </c>
      <c r="O204" s="70">
        <f t="shared" si="1579"/>
        <v>158.3459234496969</v>
      </c>
      <c r="P204" s="70">
        <f t="shared" si="1579"/>
        <v>151.52041192930784</v>
      </c>
      <c r="Q204" s="70">
        <f t="shared" si="1579"/>
        <v>104.77171216244329</v>
      </c>
      <c r="R204" s="70">
        <f t="shared" si="1579"/>
        <v>102.69298000071234</v>
      </c>
      <c r="S204" s="70">
        <f t="shared" si="1579"/>
        <v>121.36346754894365</v>
      </c>
      <c r="T204" s="70">
        <f t="shared" si="1579"/>
        <v>136.67486144973694</v>
      </c>
      <c r="U204" s="70">
        <f t="shared" si="1579"/>
        <v>106.36033876701032</v>
      </c>
      <c r="V204" s="70">
        <f t="shared" si="1579"/>
        <v>96.985182292973263</v>
      </c>
      <c r="W204" s="70">
        <f t="shared" ref="W204" si="1580">W200-W203</f>
        <v>80.732425080395501</v>
      </c>
      <c r="X204" s="70">
        <f t="shared" ref="X204:Y204" si="1581">X200-X203</f>
        <v>62.568837926886673</v>
      </c>
      <c r="Y204" s="70">
        <f t="shared" si="1581"/>
        <v>58.304446119065588</v>
      </c>
      <c r="Z204" s="70">
        <f t="shared" ref="Z204:AA204" si="1582">Z200-Z203</f>
        <v>40.988253044509136</v>
      </c>
      <c r="AA204" s="70">
        <f t="shared" ref="AA204" si="1583">AA200-AA203</f>
        <v>67.832104139811065</v>
      </c>
      <c r="AB204" s="71">
        <f t="shared" ref="AB204:AD204" si="1584">AB200-AB203</f>
        <v>93.99707531569689</v>
      </c>
      <c r="AC204" s="71">
        <f t="shared" si="1584"/>
        <v>93.651260041003354</v>
      </c>
      <c r="AD204" s="71">
        <f t="shared" si="1584"/>
        <v>93.589855896323598</v>
      </c>
      <c r="AE204" s="71">
        <f t="shared" ref="AE204" si="1585">AE200-AE203</f>
        <v>93.57165144371028</v>
      </c>
      <c r="AI204" s="70">
        <f t="shared" ref="AI204:AK204" si="1586">AI200-AI203</f>
        <v>0</v>
      </c>
      <c r="AJ204" s="70">
        <f t="shared" ref="AJ204:AM204" si="1587">AJ200-AJ203</f>
        <v>123.35505123118645</v>
      </c>
      <c r="AK204" s="70">
        <f t="shared" si="1586"/>
        <v>25.905558992760518</v>
      </c>
      <c r="AL204" s="70">
        <f t="shared" si="1587"/>
        <v>276.37283595416426</v>
      </c>
      <c r="AM204" s="70">
        <f t="shared" si="1587"/>
        <v>228.47107272794381</v>
      </c>
      <c r="AN204" s="70">
        <f t="shared" ref="AN204:AY204" si="1588">AN200-AN203</f>
        <v>254.87925989173596</v>
      </c>
      <c r="AO204" s="70">
        <f t="shared" si="1588"/>
        <v>270.85996989035459</v>
      </c>
      <c r="AP204" s="70">
        <f t="shared" si="1588"/>
        <v>300.99565134722366</v>
      </c>
      <c r="AQ204" s="70">
        <f t="shared" si="1588"/>
        <v>338.09039403913442</v>
      </c>
      <c r="AR204" s="70">
        <f t="shared" si="1588"/>
        <v>102.79112326673433</v>
      </c>
      <c r="AS204" s="70">
        <f t="shared" si="1588"/>
        <v>101.02104629086504</v>
      </c>
      <c r="AT204" s="70">
        <f t="shared" si="1588"/>
        <v>103.45648655579714</v>
      </c>
      <c r="AU204" s="70">
        <f t="shared" si="1588"/>
        <v>79.8388351850964</v>
      </c>
      <c r="AV204" s="70">
        <f t="shared" si="1588"/>
        <v>188.70136591437659</v>
      </c>
      <c r="AW204" s="70">
        <f t="shared" si="1588"/>
        <v>181.76427731775146</v>
      </c>
      <c r="AX204" s="70">
        <f t="shared" si="1588"/>
        <v>67.036067121734249</v>
      </c>
      <c r="AY204" s="70">
        <f t="shared" si="1588"/>
        <v>35.079571208533451</v>
      </c>
      <c r="AZ204" s="70">
        <f t="shared" ref="AZ204:BC204" si="1589">AZ200-AZ203</f>
        <v>150.17632998071576</v>
      </c>
      <c r="BA204" s="70">
        <f t="shared" si="1589"/>
        <v>142.89091238560843</v>
      </c>
      <c r="BB204" s="70">
        <f t="shared" si="1589"/>
        <v>56.083332400452264</v>
      </c>
      <c r="BC204" s="70">
        <f t="shared" si="1589"/>
        <v>24.462002975069595</v>
      </c>
      <c r="BD204" s="70">
        <f t="shared" ref="BD204:CE204" si="1590">BD200-BD203</f>
        <v>88.676019886944061</v>
      </c>
      <c r="BE204" s="70">
        <f t="shared" si="1590"/>
        <v>91.062625399917238</v>
      </c>
      <c r="BF204" s="70">
        <f t="shared" si="1590"/>
        <v>71.867165053163262</v>
      </c>
      <c r="BG204" s="70">
        <f t="shared" si="1590"/>
        <v>62.979014854703024</v>
      </c>
      <c r="BH204" s="70">
        <f t="shared" si="1590"/>
        <v>97.924168311183053</v>
      </c>
      <c r="BI204" s="70">
        <f t="shared" si="1590"/>
        <v>90.737872424127829</v>
      </c>
      <c r="BJ204" s="70">
        <f t="shared" si="1590"/>
        <v>119.58854111082312</v>
      </c>
      <c r="BK204" s="70">
        <f t="shared" si="1590"/>
        <v>115.28364249500478</v>
      </c>
      <c r="BL204" s="70">
        <f t="shared" si="1590"/>
        <v>129.67951728465107</v>
      </c>
      <c r="BM204" s="70">
        <f t="shared" si="1590"/>
        <v>131.02886554619045</v>
      </c>
      <c r="BN204" s="70">
        <f t="shared" si="1590"/>
        <v>122.04876086616457</v>
      </c>
      <c r="BO204" s="70">
        <f t="shared" si="1590"/>
        <v>110.32366496300563</v>
      </c>
      <c r="BP204" s="70">
        <f t="shared" si="1590"/>
        <v>111.89392157903924</v>
      </c>
      <c r="BQ204" s="70">
        <f t="shared" si="1590"/>
        <v>114.77037807794721</v>
      </c>
      <c r="BR204" s="70">
        <f t="shared" si="1590"/>
        <v>86.501605108930306</v>
      </c>
      <c r="BS204" s="70">
        <f t="shared" si="1590"/>
        <v>86.643589571578161</v>
      </c>
      <c r="BT204" s="70">
        <f t="shared" si="1590"/>
        <v>91.553676004623867</v>
      </c>
      <c r="BU204" s="70">
        <f t="shared" si="1590"/>
        <v>91.838014800407592</v>
      </c>
      <c r="BV204" s="70">
        <f t="shared" si="1590"/>
        <v>91.839227810874036</v>
      </c>
      <c r="BW204" s="70">
        <f t="shared" si="1590"/>
        <v>91.624706775008747</v>
      </c>
      <c r="BX204" s="70">
        <f t="shared" si="1590"/>
        <v>79.021616613911846</v>
      </c>
      <c r="BY204" s="70">
        <f t="shared" si="1590"/>
        <v>79.034613131060894</v>
      </c>
      <c r="BZ204" s="70">
        <f t="shared" si="1590"/>
        <v>72.915390775898615</v>
      </c>
      <c r="CA204" s="70">
        <f t="shared" si="1590"/>
        <v>72.472892238873541</v>
      </c>
      <c r="CB204" s="70">
        <f t="shared" si="1590"/>
        <v>64.193441946793158</v>
      </c>
      <c r="CC204" s="70">
        <f t="shared" si="1590"/>
        <v>63.911923779185557</v>
      </c>
      <c r="CD204" s="70">
        <f t="shared" si="1590"/>
        <v>66.17937728029473</v>
      </c>
      <c r="CE204" s="115">
        <f t="shared" si="1590"/>
        <v>61.158173187149103</v>
      </c>
      <c r="CF204" s="70">
        <f t="shared" ref="CF204:CG204" si="1591">CF200-CF203</f>
        <v>84.585547290116907</v>
      </c>
      <c r="CG204" s="70">
        <f t="shared" si="1591"/>
        <v>84.773096291528745</v>
      </c>
      <c r="CH204" s="70">
        <f t="shared" ref="CH204:CI204" si="1592">CH200-CH203</f>
        <v>28.219717391576921</v>
      </c>
      <c r="CI204" s="70">
        <f t="shared" si="1592"/>
        <v>28.219717391576921</v>
      </c>
      <c r="CJ204" s="70">
        <f t="shared" ref="CJ204:DB204" si="1593">CJ200-CJ203</f>
        <v>85.524363032535931</v>
      </c>
      <c r="CK204" s="70">
        <f t="shared" si="1593"/>
        <v>85.524363032535945</v>
      </c>
      <c r="CL204" s="70">
        <f t="shared" ref="CL204" si="1594">CL200-CL203</f>
        <v>88.639637343919688</v>
      </c>
      <c r="CM204" s="50">
        <f t="shared" si="1593"/>
        <v>88.639637343919674</v>
      </c>
      <c r="CN204" s="50">
        <f t="shared" si="1593"/>
        <v>88.639637343919674</v>
      </c>
      <c r="CO204" s="50">
        <f t="shared" si="1593"/>
        <v>88.639637343919674</v>
      </c>
      <c r="CP204" s="50">
        <f t="shared" si="1593"/>
        <v>88.639637343919674</v>
      </c>
      <c r="CQ204" s="50">
        <f t="shared" si="1593"/>
        <v>88.639637343919674</v>
      </c>
      <c r="CR204" s="50">
        <f t="shared" si="1593"/>
        <v>88.639637343919674</v>
      </c>
      <c r="CS204" s="50">
        <f t="shared" si="1593"/>
        <v>88.639637343919674</v>
      </c>
      <c r="CT204" s="50">
        <f t="shared" si="1593"/>
        <v>88.639637343919674</v>
      </c>
      <c r="CU204" s="50">
        <f t="shared" si="1593"/>
        <v>88.639637343919674</v>
      </c>
      <c r="CV204" s="50">
        <f t="shared" si="1593"/>
        <v>88.639637343919674</v>
      </c>
      <c r="CW204" s="50">
        <f t="shared" si="1593"/>
        <v>88.639637343919674</v>
      </c>
      <c r="CX204" s="50">
        <f t="shared" si="1593"/>
        <v>88.639637343919674</v>
      </c>
      <c r="CY204" s="50">
        <f t="shared" si="1593"/>
        <v>88.639637343919674</v>
      </c>
      <c r="CZ204" s="50">
        <f t="shared" si="1593"/>
        <v>88.639637343919674</v>
      </c>
      <c r="DA204" s="50">
        <f t="shared" si="1593"/>
        <v>88.639637343919674</v>
      </c>
      <c r="DB204" s="50">
        <f t="shared" si="1593"/>
        <v>88.639637343919674</v>
      </c>
      <c r="DE204" s="138"/>
      <c r="DF204" s="115">
        <v>113.28336256630246</v>
      </c>
    </row>
    <row r="205" spans="1:110" s="7" customFormat="1" x14ac:dyDescent="0.2">
      <c r="A205" s="69" t="s">
        <v>86</v>
      </c>
      <c r="AB205" s="77"/>
      <c r="AC205" s="77"/>
      <c r="AD205" s="77"/>
      <c r="AE205" s="77"/>
      <c r="CE205" s="115"/>
      <c r="CG205" s="115"/>
      <c r="CM205" s="50"/>
      <c r="CN205" s="50"/>
      <c r="CO205" s="50"/>
      <c r="CP205" s="50"/>
      <c r="CQ205" s="50"/>
      <c r="CR205" s="50"/>
      <c r="CS205" s="50"/>
      <c r="CT205" s="50"/>
      <c r="CU205" s="50"/>
      <c r="CV205" s="50"/>
      <c r="CW205" s="50"/>
      <c r="CX205" s="50"/>
      <c r="CY205" s="50"/>
      <c r="CZ205" s="50"/>
      <c r="DA205" s="50"/>
      <c r="DB205" s="50"/>
      <c r="DE205" s="138"/>
      <c r="DF205" s="115"/>
    </row>
    <row r="206" spans="1:110" s="86" customFormat="1" x14ac:dyDescent="0.2">
      <c r="A206" s="86" t="s">
        <v>440</v>
      </c>
      <c r="C206" s="86">
        <f t="shared" ref="C206:Y206" si="1595">C28/B28-1</f>
        <v>-2.6347023075174669E-2</v>
      </c>
      <c r="D206" s="86">
        <f t="shared" si="1595"/>
        <v>0.15511934890579426</v>
      </c>
      <c r="E206" s="86">
        <f t="shared" si="1595"/>
        <v>5.2979988067466177E-2</v>
      </c>
      <c r="F206" s="86">
        <f t="shared" si="1595"/>
        <v>0.73285039421916154</v>
      </c>
      <c r="G206" s="86">
        <f t="shared" si="1595"/>
        <v>0.58662597079600909</v>
      </c>
      <c r="H206" s="86">
        <f t="shared" si="1595"/>
        <v>0.62778292302313798</v>
      </c>
      <c r="I206" s="86">
        <f t="shared" si="1595"/>
        <v>0.1408018413434573</v>
      </c>
      <c r="J206" s="86">
        <f t="shared" si="1595"/>
        <v>0.150153914970236</v>
      </c>
      <c r="K206" s="86">
        <f t="shared" si="1595"/>
        <v>9.3014857762675485E-2</v>
      </c>
      <c r="L206" s="86">
        <f t="shared" si="1595"/>
        <v>0.2034661102504034</v>
      </c>
      <c r="M206" s="86">
        <f t="shared" si="1595"/>
        <v>0.25780635629977988</v>
      </c>
      <c r="N206" s="86">
        <f t="shared" si="1595"/>
        <v>-5.3539173808555995E-2</v>
      </c>
      <c r="O206" s="86">
        <f t="shared" si="1595"/>
        <v>-0.15321034870169681</v>
      </c>
      <c r="P206" s="86">
        <f t="shared" si="1595"/>
        <v>2.7822802979214689E-2</v>
      </c>
      <c r="Q206" s="86">
        <f t="shared" si="1595"/>
        <v>-3.6520014252491073E-2</v>
      </c>
      <c r="R206" s="86">
        <f t="shared" si="1595"/>
        <v>-6.1566385188408845E-2</v>
      </c>
      <c r="S206" s="86">
        <f t="shared" si="1595"/>
        <v>-1.7729361083343331E-2</v>
      </c>
      <c r="T206" s="86">
        <f t="shared" si="1595"/>
        <v>3.7801448683853822E-2</v>
      </c>
      <c r="U206" s="86">
        <f t="shared" si="1595"/>
        <v>-0.11134427453350604</v>
      </c>
      <c r="V206" s="86">
        <f t="shared" si="1595"/>
        <v>-4.0447147170294628E-2</v>
      </c>
      <c r="W206" s="86">
        <f t="shared" si="1595"/>
        <v>0.16037902048141417</v>
      </c>
      <c r="X206" s="86">
        <f t="shared" si="1595"/>
        <v>0.26216865473687023</v>
      </c>
      <c r="Y206" s="86">
        <f t="shared" si="1595"/>
        <v>0.26655248156477174</v>
      </c>
      <c r="Z206" s="86">
        <f>Z28/Y28-1</f>
        <v>0.14944617068059585</v>
      </c>
      <c r="AA206" s="86">
        <f>AA28/Z28-1</f>
        <v>6.2457340949096496E-2</v>
      </c>
      <c r="AB206" s="87">
        <f t="shared" ref="AB206:AE206" si="1596">AB28/AA28-1</f>
        <v>0.2109338699576131</v>
      </c>
      <c r="AC206" s="87">
        <f t="shared" si="1596"/>
        <v>0.10551075991027647</v>
      </c>
      <c r="AD206" s="87">
        <f t="shared" si="1596"/>
        <v>9.9964609940661919E-2</v>
      </c>
      <c r="AE206" s="87">
        <f t="shared" si="1596"/>
        <v>9.9975145923621778E-2</v>
      </c>
      <c r="AN206" s="86">
        <f t="shared" ref="AN206:CI206" si="1597">+(AN28+AM28)/(AJ28+AI28)-1</f>
        <v>-0.60039543446504928</v>
      </c>
      <c r="AO206" s="86">
        <f t="shared" si="1597"/>
        <v>-0.56180587179303831</v>
      </c>
      <c r="AP206" s="86">
        <f t="shared" si="1597"/>
        <v>-0.2815896818913749</v>
      </c>
      <c r="AQ206" s="86">
        <f t="shared" si="1597"/>
        <v>0.50263636934279088</v>
      </c>
      <c r="AR206" s="86">
        <f t="shared" si="1597"/>
        <v>1.5058063887979181</v>
      </c>
      <c r="AS206" s="86">
        <f t="shared" si="1597"/>
        <v>1.5908032945986106</v>
      </c>
      <c r="AT206" s="86">
        <f t="shared" si="1597"/>
        <v>1.7935293562050907</v>
      </c>
      <c r="AU206" s="86">
        <f t="shared" si="1597"/>
        <v>0.6814336737890847</v>
      </c>
      <c r="AV206" s="86">
        <f t="shared" si="1597"/>
        <v>-3.4688726914361645E-2</v>
      </c>
      <c r="AW206" s="86">
        <f t="shared" si="1597"/>
        <v>2.3211947423380952E-2</v>
      </c>
      <c r="AX206" s="86">
        <f t="shared" si="1597"/>
        <v>-2.3021225353907715E-2</v>
      </c>
      <c r="AY206" s="86">
        <f t="shared" si="1597"/>
        <v>-7.7608837875663639E-2</v>
      </c>
      <c r="AZ206" s="86">
        <f t="shared" si="1597"/>
        <v>-0.10002817592019997</v>
      </c>
      <c r="BA206" s="86">
        <f t="shared" si="1597"/>
        <v>-0.13978947504835459</v>
      </c>
      <c r="BB206" s="86">
        <f t="shared" si="1597"/>
        <v>-5.5433172319884871E-2</v>
      </c>
      <c r="BC206" s="86">
        <f t="shared" si="1597"/>
        <v>-1.7405643366866785E-2</v>
      </c>
      <c r="BD206" s="86">
        <f t="shared" si="1597"/>
        <v>-1.6048172980357545E-2</v>
      </c>
      <c r="BE206" s="86">
        <f t="shared" si="1597"/>
        <v>-4.2037964671763683E-2</v>
      </c>
      <c r="BF206" s="86">
        <f t="shared" si="1597"/>
        <v>-1.8892757846617259E-2</v>
      </c>
      <c r="BG206" s="86">
        <f t="shared" si="1597"/>
        <v>0.12787802460036235</v>
      </c>
      <c r="BH206" s="86">
        <f t="shared" si="1597"/>
        <v>0.28976859504132246</v>
      </c>
      <c r="BI206" s="86">
        <f t="shared" si="1597"/>
        <v>0.16651759298757418</v>
      </c>
      <c r="BJ206" s="86">
        <f t="shared" si="1597"/>
        <v>-0.13735978053229536</v>
      </c>
      <c r="BK206" s="86">
        <f t="shared" si="1597"/>
        <v>-0.19077297810374694</v>
      </c>
      <c r="BL206" s="86">
        <f t="shared" si="1597"/>
        <v>-0.13889511860670767</v>
      </c>
      <c r="BM206" s="86">
        <f t="shared" si="1597"/>
        <v>-8.0459518304561439E-2</v>
      </c>
      <c r="BN206" s="86">
        <f t="shared" si="1597"/>
        <v>-8.7586330911294863E-2</v>
      </c>
      <c r="BO206" s="86">
        <f t="shared" si="1597"/>
        <v>-0.32712981177534495</v>
      </c>
      <c r="BP206" s="86">
        <f t="shared" si="1597"/>
        <v>-0.25878301828876937</v>
      </c>
      <c r="BQ206" s="86">
        <f t="shared" si="1597"/>
        <v>2.5900791519978483E-2</v>
      </c>
      <c r="BR206" s="86">
        <f t="shared" si="1597"/>
        <v>0.17934203419028028</v>
      </c>
      <c r="BS206" s="86">
        <f t="shared" si="1597"/>
        <v>0.59776678998998189</v>
      </c>
      <c r="BT206" s="86">
        <f t="shared" si="1597"/>
        <v>0.52654880583079811</v>
      </c>
      <c r="BU206" s="86">
        <f t="shared" si="1597"/>
        <v>4.7196101409094915E-2</v>
      </c>
      <c r="BV206" s="86">
        <f t="shared" si="1597"/>
        <v>-6.5848639113683216E-2</v>
      </c>
      <c r="BW206" s="86">
        <f t="shared" si="1597"/>
        <v>2.3130609413338554E-2</v>
      </c>
      <c r="BX206" s="86">
        <f t="shared" si="1597"/>
        <v>0.17769206486998379</v>
      </c>
      <c r="BY206" s="86">
        <f t="shared" si="1597"/>
        <v>0.32615845462051274</v>
      </c>
      <c r="BZ206" s="86">
        <f t="shared" si="1597"/>
        <v>0.347260457766426</v>
      </c>
      <c r="CA206" s="86">
        <f t="shared" si="1597"/>
        <v>0.2724859498365555</v>
      </c>
      <c r="CB206" s="86">
        <f t="shared" si="1597"/>
        <v>0.25537825801678049</v>
      </c>
      <c r="CC206" s="86">
        <f t="shared" si="1597"/>
        <v>0.23288869451126182</v>
      </c>
      <c r="CD206" s="86">
        <f t="shared" si="1597"/>
        <v>0.27640897019769839</v>
      </c>
      <c r="CE206" s="86">
        <f t="shared" si="1597"/>
        <v>0.14078294869349617</v>
      </c>
      <c r="CF206" s="86">
        <f t="shared" si="1597"/>
        <v>1.4011832213869369E-3</v>
      </c>
      <c r="CG206" s="86">
        <f t="shared" si="1597"/>
        <v>8.1975251966696527E-2</v>
      </c>
      <c r="CH206" s="86">
        <f t="shared" si="1597"/>
        <v>0.27767824462039337</v>
      </c>
      <c r="CI206" s="86">
        <f t="shared" si="1597"/>
        <v>0.34604693932997566</v>
      </c>
      <c r="CJ206" s="86">
        <f>+(CJ28+CI28)/(CF28+CE28)-1</f>
        <v>0.18678511937812337</v>
      </c>
      <c r="CL206" s="86">
        <f>+(CL28+CK28)/(CH28+CG28)-1</f>
        <v>-2.1945629721212945E-2</v>
      </c>
      <c r="CM206" s="87"/>
      <c r="CN206" s="87"/>
      <c r="CO206" s="87"/>
      <c r="CP206" s="87"/>
      <c r="CQ206" s="87"/>
      <c r="CR206" s="87"/>
      <c r="CS206" s="87"/>
      <c r="CT206" s="87"/>
      <c r="CU206" s="87"/>
      <c r="CV206" s="87"/>
      <c r="CW206" s="87"/>
      <c r="CX206" s="87"/>
      <c r="CY206" s="87"/>
      <c r="CZ206" s="87"/>
      <c r="DA206" s="87"/>
      <c r="DB206" s="87"/>
      <c r="DE206" s="141"/>
      <c r="DF206" s="86">
        <v>6.2457340949096496E-2</v>
      </c>
    </row>
    <row r="207" spans="1:110" s="86" customFormat="1" x14ac:dyDescent="0.2">
      <c r="A207" s="86" t="s">
        <v>441</v>
      </c>
      <c r="C207" s="86">
        <f t="shared" ref="C207" si="1598">C204/B204-1</f>
        <v>2.4363230474561126E-2</v>
      </c>
      <c r="D207" s="86">
        <f t="shared" ref="D207" si="1599">D204/C204-1</f>
        <v>-0.21668933005048474</v>
      </c>
      <c r="E207" s="86">
        <f>E204/D204-1</f>
        <v>0.18781208282266793</v>
      </c>
      <c r="F207" s="86">
        <f t="shared" ref="F207" si="1600">F204/E204-1</f>
        <v>-0.28178331343007823</v>
      </c>
      <c r="G207" s="86">
        <f t="shared" ref="G207" si="1601">G204/F204-1</f>
        <v>0.208615648034151</v>
      </c>
      <c r="H207" s="86">
        <f t="shared" ref="H207" si="1602">H204/G204-1</f>
        <v>7.2229459364650639E-2</v>
      </c>
      <c r="I207" s="86">
        <f t="shared" ref="I207" si="1603">I204/H204-1</f>
        <v>0.17319531631573537</v>
      </c>
      <c r="J207" s="86">
        <f t="shared" ref="J207" si="1604">J204/I204-1</f>
        <v>3.3046545469120669E-2</v>
      </c>
      <c r="K207" s="86">
        <f>K204/J204-1</f>
        <v>-0.13802648276649521</v>
      </c>
      <c r="L207" s="86">
        <f t="shared" ref="L207" si="1605">L204/K204-1</f>
        <v>8.4407336206493433E-3</v>
      </c>
      <c r="M207" s="86">
        <f t="shared" ref="M207" si="1606">M204/L204-1</f>
        <v>-0.23393098178841654</v>
      </c>
      <c r="N207" s="86">
        <f t="shared" ref="N207" si="1607">N204/M204-1</f>
        <v>0.17122057919839162</v>
      </c>
      <c r="O207" s="86">
        <f t="shared" ref="O207" si="1608">O204/N204-1</f>
        <v>0.13195771696175873</v>
      </c>
      <c r="P207" s="86">
        <f t="shared" ref="P207" si="1609">P204/O204-1</f>
        <v>-4.3105066247931423E-2</v>
      </c>
      <c r="Q207" s="86">
        <f t="shared" ref="Q207" si="1610">Q204/P204-1</f>
        <v>-0.30853070666594573</v>
      </c>
      <c r="R207" s="86">
        <f t="shared" ref="R207" si="1611">R204/Q204-1</f>
        <v>-1.9840585963776025E-2</v>
      </c>
      <c r="S207" s="86">
        <f t="shared" ref="S207" si="1612">S204/R204-1</f>
        <v>0.18180880083625772</v>
      </c>
      <c r="T207" s="86">
        <f t="shared" ref="T207" si="1613">T204/S204-1</f>
        <v>0.12616147354737106</v>
      </c>
      <c r="U207" s="86">
        <f t="shared" ref="U207" si="1614">U204/T204-1</f>
        <v>-0.22180028105515937</v>
      </c>
      <c r="V207" s="86">
        <f t="shared" ref="V207" si="1615">V204/U204-1</f>
        <v>-8.8145229534986602E-2</v>
      </c>
      <c r="W207" s="86">
        <f t="shared" ref="W207:AA207" si="1616">W204/V204-1</f>
        <v>-0.16757979753527052</v>
      </c>
      <c r="X207" s="86">
        <f t="shared" si="1616"/>
        <v>-0.224985030926806</v>
      </c>
      <c r="Y207" s="86">
        <f t="shared" si="1616"/>
        <v>-6.8155202319789554E-2</v>
      </c>
      <c r="Z207" s="86">
        <f t="shared" si="1616"/>
        <v>-0.29699609939170735</v>
      </c>
      <c r="AA207" s="86">
        <f t="shared" si="1616"/>
        <v>0.6549157161236463</v>
      </c>
      <c r="AB207" s="87">
        <f t="shared" ref="AB207" si="1617">AB204/AA204-1</f>
        <v>0.38573138055626743</v>
      </c>
      <c r="AC207" s="87">
        <f t="shared" ref="AC207" si="1618">AC204/AB204-1</f>
        <v>-3.6790003681719252E-3</v>
      </c>
      <c r="AD207" s="87">
        <f t="shared" ref="AD207" si="1619">AD204/AC204-1</f>
        <v>-6.5566811010198123E-4</v>
      </c>
      <c r="AE207" s="87">
        <f t="shared" ref="AE207" si="1620">AE204/AD204-1</f>
        <v>-1.9451309587958932E-4</v>
      </c>
      <c r="AN207" s="86">
        <f t="shared" ref="AN207:CI207" si="1621">+AN204/AJ204-1</f>
        <v>1.0662247500027608</v>
      </c>
      <c r="AO207" s="86">
        <f t="shared" si="1621"/>
        <v>9.4556697643949015</v>
      </c>
      <c r="AP207" s="86">
        <f t="shared" si="1621"/>
        <v>8.9092747874624845E-2</v>
      </c>
      <c r="AQ207" s="86">
        <f t="shared" si="1621"/>
        <v>0.47979518808370925</v>
      </c>
      <c r="AR207" s="86">
        <f t="shared" si="1621"/>
        <v>-0.59670660017454336</v>
      </c>
      <c r="AS207" s="86">
        <f t="shared" si="1621"/>
        <v>-0.62703589485091193</v>
      </c>
      <c r="AT207" s="86">
        <f t="shared" si="1621"/>
        <v>-0.65628577657937182</v>
      </c>
      <c r="AU207" s="86">
        <f t="shared" si="1621"/>
        <v>-0.763853582968539</v>
      </c>
      <c r="AV207" s="86">
        <f t="shared" si="1621"/>
        <v>0.83577491827492145</v>
      </c>
      <c r="AW207" s="86">
        <f t="shared" si="1621"/>
        <v>0.79927137949458893</v>
      </c>
      <c r="AX207" s="86">
        <f t="shared" si="1621"/>
        <v>-0.35203611340909291</v>
      </c>
      <c r="AY207" s="86">
        <f t="shared" si="1621"/>
        <v>-0.56062020284732572</v>
      </c>
      <c r="AZ207" s="86">
        <f t="shared" si="1621"/>
        <v>-0.20415875500944491</v>
      </c>
      <c r="BA207" s="86">
        <f t="shared" si="1621"/>
        <v>-0.21386691326693696</v>
      </c>
      <c r="BB207" s="86">
        <f t="shared" si="1621"/>
        <v>-0.16338569954279014</v>
      </c>
      <c r="BC207" s="86">
        <f t="shared" si="1621"/>
        <v>-0.30267098107747192</v>
      </c>
      <c r="BD207" s="86">
        <f t="shared" si="1621"/>
        <v>-0.4095206621554075</v>
      </c>
      <c r="BE207" s="86">
        <f t="shared" si="1621"/>
        <v>-0.36271226854389649</v>
      </c>
      <c r="BF207" s="86">
        <f t="shared" si="1621"/>
        <v>0.28143535658704399</v>
      </c>
      <c r="BG207" s="86">
        <f t="shared" si="1621"/>
        <v>1.5745649249935898</v>
      </c>
      <c r="BH207" s="86">
        <f t="shared" si="1621"/>
        <v>0.1042914244012052</v>
      </c>
      <c r="BI207" s="86">
        <f t="shared" si="1621"/>
        <v>-3.5662597510581762E-3</v>
      </c>
      <c r="BJ207" s="86">
        <f t="shared" si="1621"/>
        <v>0.66402196360964405</v>
      </c>
      <c r="BK207" s="86">
        <f t="shared" si="1621"/>
        <v>0.83050882521697389</v>
      </c>
      <c r="BL207" s="86">
        <f t="shared" si="1621"/>
        <v>0.32428510265776267</v>
      </c>
      <c r="BM207" s="86">
        <f t="shared" si="1621"/>
        <v>0.44403722553394331</v>
      </c>
      <c r="BN207" s="86">
        <f t="shared" si="1621"/>
        <v>2.0572370333220791E-2</v>
      </c>
      <c r="BO207" s="86">
        <f t="shared" si="1621"/>
        <v>-4.3024122283558786E-2</v>
      </c>
      <c r="BP207" s="86">
        <f t="shared" si="1621"/>
        <v>-0.13715038487205211</v>
      </c>
      <c r="BQ207" s="86">
        <f t="shared" si="1621"/>
        <v>-0.12408324990428743</v>
      </c>
      <c r="BR207" s="86">
        <f t="shared" si="1621"/>
        <v>-0.2912537210944266</v>
      </c>
      <c r="BS207" s="86">
        <f t="shared" si="1621"/>
        <v>-0.21464184859493207</v>
      </c>
      <c r="BT207" s="86">
        <f t="shared" si="1621"/>
        <v>-0.18178150597794096</v>
      </c>
      <c r="BU207" s="86">
        <f t="shared" si="1621"/>
        <v>-0.19981081932103528</v>
      </c>
      <c r="BV207" s="86">
        <f t="shared" si="1621"/>
        <v>6.1705475814259447E-2</v>
      </c>
      <c r="BW207" s="86">
        <f t="shared" si="1621"/>
        <v>5.7489737302672372E-2</v>
      </c>
      <c r="BX207" s="86">
        <f t="shared" si="1621"/>
        <v>-0.13688209952464492</v>
      </c>
      <c r="BY207" s="86">
        <f t="shared" si="1621"/>
        <v>-0.13941287490994281</v>
      </c>
      <c r="BZ207" s="86">
        <f t="shared" si="1621"/>
        <v>-0.20605396502184858</v>
      </c>
      <c r="CA207" s="86">
        <f t="shared" si="1621"/>
        <v>-0.20902456564651173</v>
      </c>
      <c r="CB207" s="86">
        <f t="shared" si="1621"/>
        <v>-0.18764706801136455</v>
      </c>
      <c r="CC207" s="86">
        <f t="shared" si="1621"/>
        <v>-0.19134261246775264</v>
      </c>
      <c r="CD207" s="86">
        <f t="shared" si="1621"/>
        <v>-9.2381230134343628E-2</v>
      </c>
      <c r="CE207" s="86">
        <f t="shared" si="1621"/>
        <v>-0.15612346495612006</v>
      </c>
      <c r="CF207" s="86">
        <f t="shared" si="1621"/>
        <v>0.3176664893623522</v>
      </c>
      <c r="CG207" s="86">
        <f t="shared" si="1621"/>
        <v>0.32640501613467521</v>
      </c>
      <c r="CH207" s="86">
        <f t="shared" si="1621"/>
        <v>-0.5735874444382314</v>
      </c>
      <c r="CI207" s="86">
        <f t="shared" si="1621"/>
        <v>-0.53857815037701928</v>
      </c>
      <c r="CJ207" s="86">
        <f>+CJ204/CF204-1</f>
        <v>1.1099008902774044E-2</v>
      </c>
      <c r="CL207" s="86">
        <f>+CL204/CH204-1</f>
        <v>2.141053332106615</v>
      </c>
      <c r="CM207" s="87"/>
      <c r="CN207" s="87"/>
      <c r="CO207" s="87"/>
      <c r="CP207" s="87"/>
      <c r="CQ207" s="87"/>
      <c r="CR207" s="87"/>
      <c r="CS207" s="87"/>
      <c r="CT207" s="87"/>
      <c r="CU207" s="87"/>
      <c r="CV207" s="87"/>
      <c r="CW207" s="87"/>
      <c r="CX207" s="87"/>
      <c r="CY207" s="87"/>
      <c r="CZ207" s="87"/>
      <c r="DA207" s="87"/>
      <c r="DB207" s="87"/>
      <c r="DE207" s="141"/>
      <c r="DF207" s="86">
        <v>1.7638007026864031</v>
      </c>
    </row>
    <row r="208" spans="1:110" s="103" customFormat="1" x14ac:dyDescent="0.2">
      <c r="A208" s="147" t="s">
        <v>87</v>
      </c>
      <c r="C208" s="103" t="str">
        <f>IF(C207&gt;C206,"RF",0)</f>
        <v>RF</v>
      </c>
      <c r="D208" s="103">
        <f>IF(D207&gt;D206,"RF",0)</f>
        <v>0</v>
      </c>
      <c r="E208" s="103" t="str">
        <f t="shared" ref="E208:U208" si="1622">IF(E207&gt;E206,"RF",0)</f>
        <v>RF</v>
      </c>
      <c r="F208" s="103">
        <f t="shared" si="1622"/>
        <v>0</v>
      </c>
      <c r="G208" s="103">
        <f t="shared" si="1622"/>
        <v>0</v>
      </c>
      <c r="H208" s="103">
        <f t="shared" si="1622"/>
        <v>0</v>
      </c>
      <c r="I208" s="103" t="str">
        <f t="shared" si="1622"/>
        <v>RF</v>
      </c>
      <c r="J208" s="103">
        <f t="shared" si="1622"/>
        <v>0</v>
      </c>
      <c r="K208" s="103">
        <f t="shared" si="1622"/>
        <v>0</v>
      </c>
      <c r="L208" s="103">
        <f t="shared" si="1622"/>
        <v>0</v>
      </c>
      <c r="M208" s="103">
        <f t="shared" si="1622"/>
        <v>0</v>
      </c>
      <c r="N208" s="103" t="str">
        <f t="shared" si="1622"/>
        <v>RF</v>
      </c>
      <c r="O208" s="103" t="str">
        <f t="shared" si="1622"/>
        <v>RF</v>
      </c>
      <c r="P208" s="103">
        <f t="shared" si="1622"/>
        <v>0</v>
      </c>
      <c r="Q208" s="103">
        <f t="shared" si="1622"/>
        <v>0</v>
      </c>
      <c r="R208" s="103" t="str">
        <f t="shared" si="1622"/>
        <v>RF</v>
      </c>
      <c r="S208" s="103" t="str">
        <f t="shared" si="1622"/>
        <v>RF</v>
      </c>
      <c r="T208" s="103" t="str">
        <f t="shared" si="1622"/>
        <v>RF</v>
      </c>
      <c r="U208" s="103">
        <f t="shared" si="1622"/>
        <v>0</v>
      </c>
      <c r="V208" s="103">
        <f>IF(V207&gt;V206,"RF",0)</f>
        <v>0</v>
      </c>
      <c r="W208" s="103">
        <f t="shared" ref="W208" si="1623">IF(W207&gt;W206,"RF",0)</f>
        <v>0</v>
      </c>
      <c r="X208" s="103">
        <f t="shared" ref="X208:Y208" si="1624">IF(X207&gt;X206,"RF",0)</f>
        <v>0</v>
      </c>
      <c r="Y208" s="103">
        <f t="shared" si="1624"/>
        <v>0</v>
      </c>
      <c r="Z208" s="103">
        <f t="shared" ref="Z208:AA208" si="1625">IF(Z207&gt;Z206,"RF",0)</f>
        <v>0</v>
      </c>
      <c r="AA208" s="103" t="str">
        <f t="shared" ref="AA208" si="1626">IF(AA207&gt;AA206,"RF",0)</f>
        <v>RF</v>
      </c>
      <c r="AB208" s="73" t="str">
        <f t="shared" ref="AB208:AD208" si="1627">IF(AB207&gt;AB206,"RF",0)</f>
        <v>RF</v>
      </c>
      <c r="AC208" s="73">
        <f t="shared" si="1627"/>
        <v>0</v>
      </c>
      <c r="AD208" s="73">
        <f t="shared" si="1627"/>
        <v>0</v>
      </c>
      <c r="AE208" s="73">
        <f t="shared" ref="AE208" si="1628">IF(AE207&gt;AE206,"RF",0)</f>
        <v>0</v>
      </c>
      <c r="CM208" s="73"/>
      <c r="CN208" s="73"/>
      <c r="CO208" s="73"/>
      <c r="CP208" s="73"/>
      <c r="CQ208" s="73"/>
      <c r="CR208" s="73"/>
      <c r="CS208" s="73"/>
      <c r="CT208" s="73"/>
      <c r="CU208" s="73"/>
      <c r="CV208" s="73"/>
      <c r="CW208" s="73"/>
      <c r="CX208" s="73"/>
      <c r="CY208" s="73"/>
      <c r="CZ208" s="73"/>
      <c r="DA208" s="73"/>
      <c r="DB208" s="73"/>
      <c r="DE208" s="142"/>
      <c r="DF208" s="103" t="s">
        <v>540</v>
      </c>
    </row>
    <row r="209" spans="1:110" x14ac:dyDescent="0.2">
      <c r="A209" s="153" t="s">
        <v>494</v>
      </c>
      <c r="AA209" s="2"/>
      <c r="CL209" s="2"/>
      <c r="DF209" s="111"/>
    </row>
    <row r="210" spans="1:110" x14ac:dyDescent="0.2">
      <c r="A210" s="152" t="s">
        <v>495</v>
      </c>
      <c r="AA210" s="2"/>
      <c r="CL210" s="2"/>
      <c r="DF210" s="111"/>
    </row>
    <row r="211" spans="1:110" s="23" customFormat="1" x14ac:dyDescent="0.2">
      <c r="A211" s="23" t="s">
        <v>22</v>
      </c>
      <c r="C211" s="23">
        <f t="shared" ref="C211:AE211" si="1629">C66</f>
        <v>-1.4773185000000149</v>
      </c>
      <c r="D211" s="23">
        <f t="shared" si="1629"/>
        <v>1.7377504000000139</v>
      </c>
      <c r="E211" s="23">
        <f t="shared" si="1629"/>
        <v>2.1695915000000032</v>
      </c>
      <c r="F211" s="23">
        <f t="shared" si="1629"/>
        <v>10.038300000000019</v>
      </c>
      <c r="G211" s="23">
        <f t="shared" si="1629"/>
        <v>27.883599999999969</v>
      </c>
      <c r="H211" s="23">
        <f t="shared" si="1629"/>
        <v>54.902999999999963</v>
      </c>
      <c r="I211" s="23">
        <f t="shared" si="1629"/>
        <v>67.204200000000085</v>
      </c>
      <c r="J211" s="23">
        <f t="shared" si="1629"/>
        <v>57.451199999999972</v>
      </c>
      <c r="K211" s="23">
        <f t="shared" si="1629"/>
        <v>66.175300000000021</v>
      </c>
      <c r="L211" s="23">
        <f t="shared" si="1629"/>
        <v>89.957900000000208</v>
      </c>
      <c r="M211" s="23">
        <f t="shared" si="1629"/>
        <v>61.100199999999973</v>
      </c>
      <c r="N211" s="23">
        <f t="shared" si="1629"/>
        <v>17.932199999999934</v>
      </c>
      <c r="O211" s="23">
        <f t="shared" si="1629"/>
        <v>13.732799999999958</v>
      </c>
      <c r="P211" s="23">
        <f t="shared" si="1629"/>
        <v>16.344299999999894</v>
      </c>
      <c r="Q211" s="23">
        <f t="shared" si="1629"/>
        <v>37.369199999999914</v>
      </c>
      <c r="R211" s="23">
        <f t="shared" si="1629"/>
        <v>10.75020000000012</v>
      </c>
      <c r="S211" s="23">
        <f t="shared" si="1629"/>
        <v>7.4850000000000625</v>
      </c>
      <c r="T211" s="23">
        <f t="shared" si="1629"/>
        <v>70.109200000000087</v>
      </c>
      <c r="U211" s="23">
        <f t="shared" si="1629"/>
        <v>89.701499999999939</v>
      </c>
      <c r="V211" s="23">
        <f t="shared" si="1629"/>
        <v>57.630999999999922</v>
      </c>
      <c r="W211" s="23">
        <f t="shared" si="1629"/>
        <v>140.49249999999998</v>
      </c>
      <c r="X211" s="23">
        <f t="shared" si="1629"/>
        <v>237.51000000000005</v>
      </c>
      <c r="Y211" s="23">
        <f t="shared" si="1629"/>
        <v>355.58000000000015</v>
      </c>
      <c r="Z211" s="23">
        <f t="shared" si="1629"/>
        <v>415.10000000000014</v>
      </c>
      <c r="AA211" s="23">
        <f t="shared" ref="AA211" si="1630">AA66</f>
        <v>341.1500000000002</v>
      </c>
      <c r="AB211" s="24">
        <f t="shared" si="1629"/>
        <v>416.31998699050541</v>
      </c>
      <c r="AC211" s="24">
        <f t="shared" si="1629"/>
        <v>483.28239817138154</v>
      </c>
      <c r="AD211" s="24">
        <f t="shared" si="1629"/>
        <v>562.48974423555956</v>
      </c>
      <c r="AE211" s="24">
        <f t="shared" si="1629"/>
        <v>647.76511908838791</v>
      </c>
      <c r="AI211" s="23">
        <f t="shared" ref="AI211:BN211" si="1631">AI66</f>
        <v>6.3979999999999677</v>
      </c>
      <c r="AJ211" s="23">
        <f t="shared" si="1631"/>
        <v>22.98299999999999</v>
      </c>
      <c r="AK211" s="23">
        <f t="shared" si="1631"/>
        <v>7.0499999999999936</v>
      </c>
      <c r="AL211" s="23">
        <f t="shared" si="1631"/>
        <v>11.165999999999984</v>
      </c>
      <c r="AM211" s="23">
        <f t="shared" si="1631"/>
        <v>3.2569999999999957</v>
      </c>
      <c r="AN211" s="23">
        <f t="shared" si="1631"/>
        <v>8.8329999999999984</v>
      </c>
      <c r="AO211" s="23">
        <f t="shared" si="1631"/>
        <v>4.4329999999999972</v>
      </c>
      <c r="AP211" s="23">
        <f t="shared" si="1631"/>
        <v>10.904999999999978</v>
      </c>
      <c r="AQ211" s="23">
        <f t="shared" si="1631"/>
        <v>-6.6960000000000264</v>
      </c>
      <c r="AR211" s="23">
        <f t="shared" si="1631"/>
        <v>-3.0120000000000182</v>
      </c>
      <c r="AS211" s="23">
        <f t="shared" si="1631"/>
        <v>-3.7519999999999385</v>
      </c>
      <c r="AT211" s="23">
        <f t="shared" si="1631"/>
        <v>31.691000000000013</v>
      </c>
      <c r="AU211" s="23">
        <f t="shared" si="1631"/>
        <v>1.9630000000000256</v>
      </c>
      <c r="AV211" s="23">
        <f t="shared" si="1631"/>
        <v>7.6289999999999889</v>
      </c>
      <c r="AW211" s="23">
        <f t="shared" si="1631"/>
        <v>7.1629999999999656</v>
      </c>
      <c r="AX211" s="23">
        <f t="shared" si="1631"/>
        <v>22.975000000000037</v>
      </c>
      <c r="AY211" s="23">
        <f t="shared" si="1631"/>
        <v>-2.0380000000000091</v>
      </c>
      <c r="AZ211" s="23">
        <f t="shared" si="1631"/>
        <v>-7.4339999999999673</v>
      </c>
      <c r="BA211" s="23">
        <f t="shared" si="1631"/>
        <v>-9.4830000000000378</v>
      </c>
      <c r="BB211" s="23">
        <f t="shared" si="1631"/>
        <v>30.047999999999981</v>
      </c>
      <c r="BC211" s="23">
        <f t="shared" si="1631"/>
        <v>-36.191999999999972</v>
      </c>
      <c r="BD211" s="23">
        <f t="shared" si="1631"/>
        <v>-7.3370000000000024</v>
      </c>
      <c r="BE211" s="23">
        <f t="shared" si="1631"/>
        <v>-2.3679999999999515</v>
      </c>
      <c r="BF211" s="23">
        <f t="shared" si="1631"/>
        <v>53.380999999999965</v>
      </c>
      <c r="BG211" s="23">
        <f t="shared" si="1631"/>
        <v>7.51200000000002</v>
      </c>
      <c r="BH211" s="23">
        <f t="shared" si="1631"/>
        <v>49.41799999999995</v>
      </c>
      <c r="BI211" s="23">
        <f t="shared" si="1631"/>
        <v>3.0440000000000138</v>
      </c>
      <c r="BJ211" s="23">
        <f t="shared" si="1631"/>
        <v>10.134000000000023</v>
      </c>
      <c r="BK211" s="23">
        <f t="shared" si="1631"/>
        <v>0.45200000000002116</v>
      </c>
      <c r="BL211" s="23">
        <f t="shared" si="1631"/>
        <v>9.7689999999999984</v>
      </c>
      <c r="BM211" s="23">
        <f t="shared" si="1631"/>
        <v>9.2729999999999908</v>
      </c>
      <c r="BN211" s="23">
        <f t="shared" si="1631"/>
        <v>70.204999999999998</v>
      </c>
      <c r="BO211" s="23">
        <f t="shared" ref="BO211:CT211" si="1632">BO66</f>
        <v>-20.623999999999988</v>
      </c>
      <c r="BP211" s="23">
        <f t="shared" si="1632"/>
        <v>21.957999999999991</v>
      </c>
      <c r="BQ211" s="23">
        <f t="shared" si="1632"/>
        <v>24.672000000000018</v>
      </c>
      <c r="BR211" s="23">
        <f t="shared" si="1632"/>
        <v>31.622999999999994</v>
      </c>
      <c r="BS211" s="23">
        <f t="shared" si="1632"/>
        <v>27.26899999999997</v>
      </c>
      <c r="BT211" s="23">
        <f t="shared" si="1632"/>
        <v>35.381000000000029</v>
      </c>
      <c r="BU211" s="23">
        <f t="shared" si="1632"/>
        <v>31.539000000000012</v>
      </c>
      <c r="BV211" s="23">
        <f t="shared" si="1632"/>
        <v>46.302999999999976</v>
      </c>
      <c r="BW211" s="23">
        <f t="shared" si="1632"/>
        <v>42.310000000000031</v>
      </c>
      <c r="BX211" s="23">
        <f t="shared" si="1632"/>
        <v>64.499999999999943</v>
      </c>
      <c r="BY211" s="23">
        <f t="shared" si="1632"/>
        <v>62.750000000000007</v>
      </c>
      <c r="BZ211" s="23">
        <f t="shared" si="1632"/>
        <v>67.940000000000026</v>
      </c>
      <c r="CA211" s="23">
        <f t="shared" si="1632"/>
        <v>72.959999999999965</v>
      </c>
      <c r="CB211" s="23">
        <f t="shared" si="1632"/>
        <v>88.570000000000007</v>
      </c>
      <c r="CC211" s="23">
        <f t="shared" si="1632"/>
        <v>90.400000000000048</v>
      </c>
      <c r="CD211" s="23">
        <f t="shared" si="1632"/>
        <v>103.64999999999995</v>
      </c>
      <c r="CE211" s="23">
        <f t="shared" si="1632"/>
        <v>73.36</v>
      </c>
      <c r="CF211" s="23">
        <f t="shared" si="1632"/>
        <v>87.719999999999956</v>
      </c>
      <c r="CG211" s="23">
        <f t="shared" si="1632"/>
        <v>107.53999999999994</v>
      </c>
      <c r="CH211" s="23">
        <f t="shared" si="1632"/>
        <v>146.48000000000005</v>
      </c>
      <c r="CI211" s="23">
        <f t="shared" si="1632"/>
        <v>175.43999999999994</v>
      </c>
      <c r="CJ211" s="23">
        <f t="shared" si="1632"/>
        <v>87.719999999999985</v>
      </c>
      <c r="CK211" s="23">
        <f t="shared" si="1632"/>
        <v>71.990000000000023</v>
      </c>
      <c r="CL211" s="23">
        <f t="shared" ref="CL211" si="1633">CL66</f>
        <v>6.0000000000000568</v>
      </c>
      <c r="CM211" s="24">
        <f t="shared" si="1632"/>
        <v>102.72211234072715</v>
      </c>
      <c r="CN211" s="24">
        <f t="shared" si="1632"/>
        <v>99.504116180140784</v>
      </c>
      <c r="CO211" s="24">
        <f t="shared" si="1632"/>
        <v>102.8235959478029</v>
      </c>
      <c r="CP211" s="24">
        <f t="shared" si="1632"/>
        <v>111.27016252183472</v>
      </c>
      <c r="CQ211" s="24">
        <f t="shared" si="1632"/>
        <v>115.36650460488605</v>
      </c>
      <c r="CR211" s="24">
        <f t="shared" si="1632"/>
        <v>116.96481333089494</v>
      </c>
      <c r="CS211" s="24">
        <f t="shared" si="1632"/>
        <v>123.07718983045213</v>
      </c>
      <c r="CT211" s="24">
        <f t="shared" si="1632"/>
        <v>127.87389040514849</v>
      </c>
      <c r="CU211" s="24">
        <f t="shared" ref="CU211:DB211" si="1634">CU66</f>
        <v>132.98967974930571</v>
      </c>
      <c r="CV211" s="24">
        <f t="shared" si="1634"/>
        <v>136.65409163849759</v>
      </c>
      <c r="CW211" s="24">
        <f t="shared" si="1634"/>
        <v>143.8820050693792</v>
      </c>
      <c r="CX211" s="24">
        <f t="shared" si="1634"/>
        <v>148.96396777837697</v>
      </c>
      <c r="CY211" s="24">
        <f t="shared" si="1634"/>
        <v>153.37083842179146</v>
      </c>
      <c r="CZ211" s="24">
        <f t="shared" si="1634"/>
        <v>157.7718711210124</v>
      </c>
      <c r="DA211" s="24">
        <f t="shared" si="1634"/>
        <v>165.64490971472776</v>
      </c>
      <c r="DB211" s="24">
        <f t="shared" si="1634"/>
        <v>170.977499830856</v>
      </c>
      <c r="DE211" s="123"/>
      <c r="DF211" s="23">
        <v>341.15000000000032</v>
      </c>
    </row>
    <row r="212" spans="1:110" s="23" customFormat="1" x14ac:dyDescent="0.2">
      <c r="A212" s="23" t="s">
        <v>88</v>
      </c>
      <c r="C212" s="23">
        <f t="shared" ref="C212:AE212" si="1635">C50</f>
        <v>7.4983586999999998</v>
      </c>
      <c r="D212" s="23">
        <f t="shared" si="1635"/>
        <v>8.0777785000000009</v>
      </c>
      <c r="E212" s="23">
        <f t="shared" si="1635"/>
        <v>7.8435405999999999</v>
      </c>
      <c r="F212" s="23">
        <f t="shared" si="1635"/>
        <v>8.2318999999999996</v>
      </c>
      <c r="G212" s="23">
        <f t="shared" si="1635"/>
        <v>9.4300999999999995</v>
      </c>
      <c r="H212" s="23">
        <f t="shared" si="1635"/>
        <v>12.223000000000001</v>
      </c>
      <c r="I212" s="23">
        <f t="shared" si="1635"/>
        <v>14.198</v>
      </c>
      <c r="J212" s="23">
        <f t="shared" si="1635"/>
        <v>22.147099999999998</v>
      </c>
      <c r="K212" s="23">
        <f t="shared" si="1635"/>
        <v>33.1203</v>
      </c>
      <c r="L212" s="23">
        <f t="shared" si="1635"/>
        <v>41.65</v>
      </c>
      <c r="M212" s="23">
        <f t="shared" si="1635"/>
        <v>48.647100000000002</v>
      </c>
      <c r="N212" s="23">
        <f t="shared" si="1635"/>
        <v>57.0899</v>
      </c>
      <c r="O212" s="23">
        <f t="shared" si="1635"/>
        <v>61.623600000000003</v>
      </c>
      <c r="P212" s="23">
        <f t="shared" si="1635"/>
        <v>71.578699999999998</v>
      </c>
      <c r="Q212" s="23">
        <f t="shared" si="1635"/>
        <v>62.122599999999998</v>
      </c>
      <c r="R212" s="23">
        <f t="shared" si="1635"/>
        <v>53.238199999999999</v>
      </c>
      <c r="S212" s="23">
        <f t="shared" si="1635"/>
        <v>52.923200000000001</v>
      </c>
      <c r="T212" s="23">
        <f t="shared" si="1635"/>
        <v>47.892499999999998</v>
      </c>
      <c r="U212" s="23">
        <f t="shared" si="1635"/>
        <v>53.258099999999999</v>
      </c>
      <c r="V212" s="23">
        <f t="shared" si="1635"/>
        <v>52.112299999999998</v>
      </c>
      <c r="W212" s="23">
        <f t="shared" si="1635"/>
        <v>48.5764</v>
      </c>
      <c r="X212" s="23">
        <f t="shared" si="1635"/>
        <v>49.04</v>
      </c>
      <c r="Y212" s="23">
        <f t="shared" si="1635"/>
        <v>50.92</v>
      </c>
      <c r="Z212" s="23">
        <f t="shared" si="1635"/>
        <v>60.76</v>
      </c>
      <c r="AA212" s="23">
        <f t="shared" ref="AA212" si="1636">AA50</f>
        <v>104.24</v>
      </c>
      <c r="AB212" s="24">
        <f t="shared" si="1635"/>
        <v>108.85593453111491</v>
      </c>
      <c r="AC212" s="24">
        <f t="shared" si="1635"/>
        <v>89.433521020801223</v>
      </c>
      <c r="AD212" s="24">
        <f t="shared" si="1635"/>
        <v>73.476514777353529</v>
      </c>
      <c r="AE212" s="24">
        <f t="shared" si="1635"/>
        <v>60.366607086519082</v>
      </c>
      <c r="AI212" s="23">
        <f t="shared" ref="AI212:BN212" si="1637">AI50</f>
        <v>11.411</v>
      </c>
      <c r="AJ212" s="23">
        <f t="shared" si="1637"/>
        <v>12.071999999999999</v>
      </c>
      <c r="AK212" s="23">
        <f t="shared" si="1637"/>
        <v>12.038</v>
      </c>
      <c r="AL212" s="23">
        <f t="shared" si="1637"/>
        <v>12.108000000000001</v>
      </c>
      <c r="AM212" s="23">
        <f t="shared" si="1637"/>
        <v>11.378</v>
      </c>
      <c r="AN212" s="23">
        <f t="shared" si="1637"/>
        <v>11.351000000000001</v>
      </c>
      <c r="AO212" s="23">
        <f t="shared" si="1637"/>
        <v>11.484</v>
      </c>
      <c r="AP212" s="23">
        <f t="shared" si="1637"/>
        <v>11.21</v>
      </c>
      <c r="AQ212" s="23">
        <f t="shared" si="1637"/>
        <v>19.446999999999999</v>
      </c>
      <c r="AR212" s="23">
        <f t="shared" si="1637"/>
        <v>15.053000000000001</v>
      </c>
      <c r="AS212" s="23">
        <f t="shared" si="1637"/>
        <v>16.89</v>
      </c>
      <c r="AT212" s="23">
        <f t="shared" si="1637"/>
        <v>20.189</v>
      </c>
      <c r="AU212" s="23">
        <f t="shared" si="1637"/>
        <v>15.686999999999999</v>
      </c>
      <c r="AV212" s="23">
        <f t="shared" si="1637"/>
        <v>15.909000000000001</v>
      </c>
      <c r="AW212" s="23">
        <f t="shared" si="1637"/>
        <v>16.013999999999999</v>
      </c>
      <c r="AX212" s="23">
        <f t="shared" si="1637"/>
        <v>14.513</v>
      </c>
      <c r="AY212" s="23">
        <f t="shared" si="1637"/>
        <v>14.317</v>
      </c>
      <c r="AZ212" s="23">
        <f t="shared" si="1637"/>
        <v>14.307</v>
      </c>
      <c r="BA212" s="23">
        <f t="shared" si="1637"/>
        <v>14.156000000000001</v>
      </c>
      <c r="BB212" s="23">
        <f t="shared" si="1637"/>
        <v>10.459</v>
      </c>
      <c r="BC212" s="23">
        <f t="shared" si="1637"/>
        <v>12.304</v>
      </c>
      <c r="BD212" s="23">
        <f t="shared" si="1637"/>
        <v>12.936999999999999</v>
      </c>
      <c r="BE212" s="23">
        <f t="shared" si="1637"/>
        <v>13.038</v>
      </c>
      <c r="BF212" s="23">
        <f t="shared" si="1637"/>
        <v>14.644</v>
      </c>
      <c r="BG212" s="23">
        <f t="shared" si="1637"/>
        <v>11.988</v>
      </c>
      <c r="BH212" s="23">
        <f t="shared" si="1637"/>
        <v>12.163</v>
      </c>
      <c r="BI212" s="23">
        <f t="shared" si="1637"/>
        <v>11.994999999999999</v>
      </c>
      <c r="BJ212" s="23">
        <f t="shared" si="1637"/>
        <v>11.747</v>
      </c>
      <c r="BK212" s="23">
        <f t="shared" si="1637"/>
        <v>12.063000000000001</v>
      </c>
      <c r="BL212" s="23">
        <f t="shared" si="1637"/>
        <v>12.645</v>
      </c>
      <c r="BM212" s="23">
        <f t="shared" si="1637"/>
        <v>12.52</v>
      </c>
      <c r="BN212" s="23">
        <f t="shared" si="1637"/>
        <v>16.030999999999999</v>
      </c>
      <c r="BO212" s="23">
        <f t="shared" ref="BO212:CT212" si="1638">BO50</f>
        <v>13.13</v>
      </c>
      <c r="BP212" s="23">
        <f t="shared" si="1638"/>
        <v>13.217000000000001</v>
      </c>
      <c r="BQ212" s="23">
        <f t="shared" si="1638"/>
        <v>12.801</v>
      </c>
      <c r="BR212" s="23">
        <f t="shared" si="1638"/>
        <v>12.964</v>
      </c>
      <c r="BS212" s="23">
        <f t="shared" si="1638"/>
        <v>12.241</v>
      </c>
      <c r="BT212" s="23">
        <f t="shared" si="1638"/>
        <v>12.359</v>
      </c>
      <c r="BU212" s="23">
        <f t="shared" si="1638"/>
        <v>12.055</v>
      </c>
      <c r="BV212" s="23">
        <f t="shared" si="1638"/>
        <v>11.920999999999999</v>
      </c>
      <c r="BW212" s="23">
        <f t="shared" si="1638"/>
        <v>11.42</v>
      </c>
      <c r="BX212" s="23">
        <f t="shared" si="1638"/>
        <v>11.9</v>
      </c>
      <c r="BY212" s="23">
        <f t="shared" si="1638"/>
        <v>12.11</v>
      </c>
      <c r="BZ212" s="23">
        <f t="shared" si="1638"/>
        <v>13.6</v>
      </c>
      <c r="CA212" s="23">
        <f t="shared" si="1638"/>
        <v>12.42</v>
      </c>
      <c r="CB212" s="23">
        <f t="shared" si="1638"/>
        <v>13.28</v>
      </c>
      <c r="CC212" s="23">
        <f t="shared" si="1638"/>
        <v>12.64</v>
      </c>
      <c r="CD212" s="23">
        <f t="shared" si="1638"/>
        <v>12.58</v>
      </c>
      <c r="CE212" s="23">
        <f t="shared" si="1638"/>
        <v>12.83</v>
      </c>
      <c r="CF212" s="23">
        <f t="shared" si="1638"/>
        <v>13.13</v>
      </c>
      <c r="CG212" s="23">
        <f t="shared" si="1638"/>
        <v>15.54</v>
      </c>
      <c r="CH212" s="23">
        <f t="shared" si="1638"/>
        <v>19.260000000000002</v>
      </c>
      <c r="CI212" s="23">
        <f t="shared" si="1638"/>
        <v>24.54</v>
      </c>
      <c r="CJ212" s="23">
        <f t="shared" si="1638"/>
        <v>25.28</v>
      </c>
      <c r="CK212" s="23">
        <f t="shared" si="1638"/>
        <v>27.24</v>
      </c>
      <c r="CL212" s="23">
        <f t="shared" ref="CL212" si="1639">CL50</f>
        <v>27.18</v>
      </c>
      <c r="CM212" s="24">
        <f t="shared" si="1638"/>
        <v>29.25122243781972</v>
      </c>
      <c r="CN212" s="24">
        <f t="shared" si="1638"/>
        <v>27.848773635808886</v>
      </c>
      <c r="CO212" s="24">
        <f t="shared" si="1638"/>
        <v>26.513565190895697</v>
      </c>
      <c r="CP212" s="24">
        <f t="shared" si="1638"/>
        <v>25.242373266590622</v>
      </c>
      <c r="CQ212" s="24">
        <f t="shared" si="1638"/>
        <v>24.032128593128046</v>
      </c>
      <c r="CR212" s="24">
        <f t="shared" si="1638"/>
        <v>22.879909056770277</v>
      </c>
      <c r="CS212" s="24">
        <f t="shared" si="1638"/>
        <v>21.782932644417098</v>
      </c>
      <c r="CT212" s="24">
        <f t="shared" si="1638"/>
        <v>20.738550726485794</v>
      </c>
      <c r="CU212" s="24">
        <f t="shared" ref="CU212:DB212" si="1640">CU50</f>
        <v>19.744241661843205</v>
      </c>
      <c r="CV212" s="24">
        <f t="shared" si="1640"/>
        <v>18.797604709349116</v>
      </c>
      <c r="CW212" s="24">
        <f t="shared" si="1640"/>
        <v>17.896354231310468</v>
      </c>
      <c r="CX212" s="24">
        <f t="shared" si="1640"/>
        <v>17.03831417485074</v>
      </c>
      <c r="CY212" s="24">
        <f t="shared" si="1640"/>
        <v>16.221412817869894</v>
      </c>
      <c r="CZ212" s="24">
        <f t="shared" si="1640"/>
        <v>15.443677766909046</v>
      </c>
      <c r="DA212" s="24">
        <f t="shared" si="1640"/>
        <v>14.703231194842392</v>
      </c>
      <c r="DB212" s="24">
        <f t="shared" si="1640"/>
        <v>13.998285306897753</v>
      </c>
      <c r="DE212" s="123"/>
      <c r="DF212" s="23">
        <v>104.24000000000001</v>
      </c>
    </row>
    <row r="213" spans="1:110" s="22" customFormat="1" x14ac:dyDescent="0.2">
      <c r="A213" s="22" t="s">
        <v>89</v>
      </c>
      <c r="C213" s="22">
        <f t="shared" ref="C213:W213" si="1641">C211+C212</f>
        <v>6.0210401999999847</v>
      </c>
      <c r="D213" s="22">
        <f t="shared" si="1641"/>
        <v>9.8155289000000145</v>
      </c>
      <c r="E213" s="22">
        <f t="shared" si="1641"/>
        <v>10.013132100000004</v>
      </c>
      <c r="F213" s="22">
        <f t="shared" si="1641"/>
        <v>18.270200000000017</v>
      </c>
      <c r="G213" s="22">
        <f t="shared" si="1641"/>
        <v>37.313699999999969</v>
      </c>
      <c r="H213" s="22">
        <f t="shared" si="1641"/>
        <v>67.125999999999962</v>
      </c>
      <c r="I213" s="22">
        <f t="shared" si="1641"/>
        <v>81.402200000000079</v>
      </c>
      <c r="J213" s="22">
        <f t="shared" si="1641"/>
        <v>79.598299999999966</v>
      </c>
      <c r="K213" s="22">
        <f t="shared" si="1641"/>
        <v>99.295600000000022</v>
      </c>
      <c r="L213" s="22">
        <f t="shared" si="1641"/>
        <v>131.6079000000002</v>
      </c>
      <c r="M213" s="22">
        <f t="shared" si="1641"/>
        <v>109.74729999999997</v>
      </c>
      <c r="N213" s="22">
        <f t="shared" si="1641"/>
        <v>75.022099999999938</v>
      </c>
      <c r="O213" s="22">
        <f t="shared" si="1641"/>
        <v>75.356399999999965</v>
      </c>
      <c r="P213" s="22">
        <f t="shared" si="1641"/>
        <v>87.922999999999888</v>
      </c>
      <c r="Q213" s="22">
        <f t="shared" si="1641"/>
        <v>99.491799999999913</v>
      </c>
      <c r="R213" s="22">
        <f t="shared" si="1641"/>
        <v>63.988400000000119</v>
      </c>
      <c r="S213" s="22">
        <f t="shared" si="1641"/>
        <v>60.408200000000065</v>
      </c>
      <c r="T213" s="22">
        <f t="shared" si="1641"/>
        <v>118.00170000000008</v>
      </c>
      <c r="U213" s="22">
        <f t="shared" si="1641"/>
        <v>142.95959999999994</v>
      </c>
      <c r="V213" s="22">
        <f t="shared" si="1641"/>
        <v>109.74329999999992</v>
      </c>
      <c r="W213" s="22">
        <f t="shared" si="1641"/>
        <v>189.06889999999999</v>
      </c>
      <c r="X213" s="22">
        <f t="shared" ref="X213:Y213" si="1642">X211+X212</f>
        <v>286.55000000000007</v>
      </c>
      <c r="Y213" s="22">
        <f t="shared" si="1642"/>
        <v>406.50000000000017</v>
      </c>
      <c r="Z213" s="22">
        <f t="shared" ref="Z213:AA213" si="1643">Z211+Z212</f>
        <v>475.86000000000013</v>
      </c>
      <c r="AA213" s="22">
        <f t="shared" ref="AA213" si="1644">AA211+AA212</f>
        <v>445.39000000000021</v>
      </c>
      <c r="AB213" s="21">
        <f t="shared" ref="AB213:AD213" si="1645">AB211+AB212</f>
        <v>525.17592152162035</v>
      </c>
      <c r="AC213" s="21">
        <f t="shared" si="1645"/>
        <v>572.71591919218281</v>
      </c>
      <c r="AD213" s="21">
        <f t="shared" si="1645"/>
        <v>635.96625901291304</v>
      </c>
      <c r="AE213" s="21">
        <f t="shared" ref="AE213" si="1646">AE211+AE212</f>
        <v>708.13172617490704</v>
      </c>
      <c r="AI213" s="22">
        <f t="shared" ref="AI213" si="1647">AI211+AI212</f>
        <v>17.808999999999969</v>
      </c>
      <c r="AJ213" s="22">
        <f t="shared" ref="AJ213:AL213" si="1648">AJ211+AJ212</f>
        <v>35.054999999999993</v>
      </c>
      <c r="AK213" s="22">
        <f t="shared" si="1648"/>
        <v>19.087999999999994</v>
      </c>
      <c r="AL213" s="22">
        <f t="shared" si="1648"/>
        <v>23.273999999999987</v>
      </c>
      <c r="AM213" s="22">
        <f t="shared" ref="AM213" si="1649">AM211+AM212</f>
        <v>14.634999999999996</v>
      </c>
      <c r="AN213" s="22">
        <f t="shared" ref="AN213:CD213" si="1650">AN211+AN212</f>
        <v>20.183999999999997</v>
      </c>
      <c r="AO213" s="22">
        <f t="shared" si="1650"/>
        <v>15.916999999999998</v>
      </c>
      <c r="AP213" s="22">
        <f t="shared" si="1650"/>
        <v>22.114999999999981</v>
      </c>
      <c r="AQ213" s="22">
        <f t="shared" si="1650"/>
        <v>12.750999999999973</v>
      </c>
      <c r="AR213" s="22">
        <f t="shared" si="1650"/>
        <v>12.040999999999983</v>
      </c>
      <c r="AS213" s="22">
        <f t="shared" si="1650"/>
        <v>13.138000000000062</v>
      </c>
      <c r="AT213" s="22">
        <f t="shared" si="1650"/>
        <v>51.88000000000001</v>
      </c>
      <c r="AU213" s="22">
        <f t="shared" si="1650"/>
        <v>17.650000000000023</v>
      </c>
      <c r="AV213" s="22">
        <f t="shared" si="1650"/>
        <v>23.53799999999999</v>
      </c>
      <c r="AW213" s="22">
        <f t="shared" si="1650"/>
        <v>23.176999999999964</v>
      </c>
      <c r="AX213" s="22">
        <f t="shared" si="1650"/>
        <v>37.488000000000035</v>
      </c>
      <c r="AY213" s="22">
        <f t="shared" si="1650"/>
        <v>12.278999999999991</v>
      </c>
      <c r="AZ213" s="22">
        <f t="shared" si="1650"/>
        <v>6.8730000000000331</v>
      </c>
      <c r="BA213" s="22">
        <f t="shared" si="1650"/>
        <v>4.6729999999999627</v>
      </c>
      <c r="BB213" s="22">
        <f t="shared" si="1650"/>
        <v>40.506999999999977</v>
      </c>
      <c r="BC213" s="22">
        <f t="shared" si="1650"/>
        <v>-23.88799999999997</v>
      </c>
      <c r="BD213" s="22">
        <f t="shared" si="1650"/>
        <v>5.599999999999997</v>
      </c>
      <c r="BE213" s="22">
        <f t="shared" si="1650"/>
        <v>10.670000000000048</v>
      </c>
      <c r="BF213" s="22">
        <f t="shared" si="1650"/>
        <v>68.024999999999963</v>
      </c>
      <c r="BG213" s="22">
        <f t="shared" si="1650"/>
        <v>19.500000000000021</v>
      </c>
      <c r="BH213" s="22">
        <f t="shared" si="1650"/>
        <v>61.580999999999946</v>
      </c>
      <c r="BI213" s="22">
        <f t="shared" si="1650"/>
        <v>15.039000000000012</v>
      </c>
      <c r="BJ213" s="22">
        <f t="shared" si="1650"/>
        <v>21.881000000000022</v>
      </c>
      <c r="BK213" s="22">
        <f t="shared" si="1650"/>
        <v>12.515000000000022</v>
      </c>
      <c r="BL213" s="22">
        <f t="shared" si="1650"/>
        <v>22.413999999999998</v>
      </c>
      <c r="BM213" s="22">
        <f t="shared" si="1650"/>
        <v>21.792999999999992</v>
      </c>
      <c r="BN213" s="22">
        <f t="shared" si="1650"/>
        <v>86.23599999999999</v>
      </c>
      <c r="BO213" s="22">
        <f t="shared" si="1650"/>
        <v>-7.4939999999999873</v>
      </c>
      <c r="BP213" s="22">
        <f t="shared" si="1650"/>
        <v>35.17499999999999</v>
      </c>
      <c r="BQ213" s="22">
        <f t="shared" si="1650"/>
        <v>37.47300000000002</v>
      </c>
      <c r="BR213" s="22">
        <f t="shared" si="1650"/>
        <v>44.586999999999996</v>
      </c>
      <c r="BS213" s="22">
        <f t="shared" si="1650"/>
        <v>39.50999999999997</v>
      </c>
      <c r="BT213" s="22">
        <f t="shared" si="1650"/>
        <v>47.74000000000003</v>
      </c>
      <c r="BU213" s="22">
        <f t="shared" si="1650"/>
        <v>43.594000000000008</v>
      </c>
      <c r="BV213" s="22">
        <f t="shared" si="1650"/>
        <v>58.223999999999975</v>
      </c>
      <c r="BW213" s="22">
        <f t="shared" si="1650"/>
        <v>53.730000000000032</v>
      </c>
      <c r="BX213" s="22">
        <f t="shared" si="1650"/>
        <v>76.399999999999949</v>
      </c>
      <c r="BY213" s="22">
        <f t="shared" si="1650"/>
        <v>74.860000000000014</v>
      </c>
      <c r="BZ213" s="22">
        <f t="shared" si="1650"/>
        <v>81.54000000000002</v>
      </c>
      <c r="CA213" s="22">
        <f t="shared" si="1650"/>
        <v>85.379999999999967</v>
      </c>
      <c r="CB213" s="22">
        <f t="shared" si="1650"/>
        <v>101.85000000000001</v>
      </c>
      <c r="CC213" s="22">
        <f t="shared" si="1650"/>
        <v>103.04000000000005</v>
      </c>
      <c r="CD213" s="22">
        <f t="shared" si="1650"/>
        <v>116.22999999999995</v>
      </c>
      <c r="CE213" s="22">
        <f t="shared" ref="CE213:CF213" si="1651">CE211+CE212</f>
        <v>86.19</v>
      </c>
      <c r="CF213" s="22">
        <f t="shared" si="1651"/>
        <v>100.84999999999995</v>
      </c>
      <c r="CG213" s="22">
        <f t="shared" ref="CG213:CH213" si="1652">CG211+CG212</f>
        <v>123.07999999999993</v>
      </c>
      <c r="CH213" s="22">
        <f t="shared" si="1652"/>
        <v>165.74000000000004</v>
      </c>
      <c r="CI213" s="22">
        <f t="shared" ref="CI213:CJ213" si="1653">CI211+CI212</f>
        <v>199.97999999999993</v>
      </c>
      <c r="CJ213" s="22">
        <f t="shared" si="1653"/>
        <v>112.99999999999999</v>
      </c>
      <c r="CK213" s="22">
        <f t="shared" ref="CK213:DB213" si="1654">CK211+CK212</f>
        <v>99.230000000000018</v>
      </c>
      <c r="CL213" s="22">
        <f t="shared" si="1654"/>
        <v>33.180000000000057</v>
      </c>
      <c r="CM213" s="21">
        <f t="shared" si="1654"/>
        <v>131.97333477854687</v>
      </c>
      <c r="CN213" s="21">
        <f t="shared" si="1654"/>
        <v>127.35288981594967</v>
      </c>
      <c r="CO213" s="21">
        <f t="shared" si="1654"/>
        <v>129.3371611386986</v>
      </c>
      <c r="CP213" s="21">
        <f t="shared" si="1654"/>
        <v>136.51253578842534</v>
      </c>
      <c r="CQ213" s="21">
        <f t="shared" si="1654"/>
        <v>139.3986331980141</v>
      </c>
      <c r="CR213" s="21">
        <f t="shared" si="1654"/>
        <v>139.84472238766523</v>
      </c>
      <c r="CS213" s="21">
        <f t="shared" si="1654"/>
        <v>144.86012247486923</v>
      </c>
      <c r="CT213" s="21">
        <f t="shared" si="1654"/>
        <v>148.61244113163428</v>
      </c>
      <c r="CU213" s="21">
        <f t="shared" si="1654"/>
        <v>152.73392141114891</v>
      </c>
      <c r="CV213" s="21">
        <f t="shared" si="1654"/>
        <v>155.45169634784671</v>
      </c>
      <c r="CW213" s="21">
        <f t="shared" si="1654"/>
        <v>161.77835930068966</v>
      </c>
      <c r="CX213" s="21">
        <f t="shared" si="1654"/>
        <v>166.00228195322771</v>
      </c>
      <c r="CY213" s="21">
        <f t="shared" si="1654"/>
        <v>169.59225123966135</v>
      </c>
      <c r="CZ213" s="21">
        <f t="shared" si="1654"/>
        <v>173.21554888792144</v>
      </c>
      <c r="DA213" s="21">
        <f t="shared" si="1654"/>
        <v>180.34814090957016</v>
      </c>
      <c r="DB213" s="21">
        <f t="shared" si="1654"/>
        <v>184.97578513775375</v>
      </c>
      <c r="DE213" s="126"/>
      <c r="DF213" s="22">
        <v>445.39000000000033</v>
      </c>
    </row>
    <row r="214" spans="1:110" s="23" customFormat="1" x14ac:dyDescent="0.2">
      <c r="A214" s="23" t="s">
        <v>65</v>
      </c>
      <c r="C214" s="23">
        <f t="shared" ref="C214:AA214" si="1655">B166-C166+B181+B182-C181-C182</f>
        <v>-4.1472774999999888</v>
      </c>
      <c r="D214" s="23">
        <f t="shared" si="1655"/>
        <v>-16.948810300000005</v>
      </c>
      <c r="E214" s="23">
        <f>D166-E166+D181+D182-E181-E182</f>
        <v>-50.631718400000011</v>
      </c>
      <c r="F214" s="23">
        <f t="shared" si="1655"/>
        <v>-69.355105699999982</v>
      </c>
      <c r="G214" s="23">
        <f t="shared" si="1655"/>
        <v>-147.20910000000001</v>
      </c>
      <c r="H214" s="23">
        <f t="shared" si="1655"/>
        <v>-181.34469999999999</v>
      </c>
      <c r="I214" s="23">
        <f t="shared" si="1655"/>
        <v>-205.7353</v>
      </c>
      <c r="J214" s="23">
        <f>I166-J166+I181+I182-J181-J182</f>
        <v>-130.33059999999998</v>
      </c>
      <c r="K214" s="23">
        <f>J166-K166+J181+J182-K181-K182</f>
        <v>66.518100000000047</v>
      </c>
      <c r="L214" s="23">
        <f t="shared" si="1655"/>
        <v>-286.83540000000016</v>
      </c>
      <c r="M214" s="23">
        <f t="shared" si="1655"/>
        <v>-134.98850000000002</v>
      </c>
      <c r="N214" s="23">
        <f t="shared" si="1655"/>
        <v>-130.57179999999991</v>
      </c>
      <c r="O214" s="23">
        <f t="shared" si="1655"/>
        <v>23.916000000000174</v>
      </c>
      <c r="P214" s="23">
        <f t="shared" si="1655"/>
        <v>20.55459999999978</v>
      </c>
      <c r="Q214" s="23">
        <f t="shared" si="1655"/>
        <v>213.22969999999981</v>
      </c>
      <c r="R214" s="23">
        <f t="shared" si="1655"/>
        <v>130.87160000000037</v>
      </c>
      <c r="S214" s="23">
        <f t="shared" si="1655"/>
        <v>-108.9899000000003</v>
      </c>
      <c r="T214" s="23">
        <f t="shared" si="1655"/>
        <v>-32.261399999999952</v>
      </c>
      <c r="U214" s="23">
        <f t="shared" si="1655"/>
        <v>-12.803299999999725</v>
      </c>
      <c r="V214" s="23">
        <f t="shared" si="1655"/>
        <v>158.3197999999997</v>
      </c>
      <c r="W214" s="23">
        <f t="shared" si="1655"/>
        <v>224.68670000000014</v>
      </c>
      <c r="X214" s="23">
        <f t="shared" si="1655"/>
        <v>120.19259999999998</v>
      </c>
      <c r="Y214" s="23">
        <f t="shared" si="1655"/>
        <v>-114.80000000000007</v>
      </c>
      <c r="Z214" s="23">
        <f t="shared" si="1655"/>
        <v>-152.40000000000003</v>
      </c>
      <c r="AA214" s="23">
        <f t="shared" si="1655"/>
        <v>-351.86999999999983</v>
      </c>
      <c r="AB214" s="24">
        <f t="shared" ref="AB214" si="1656">AA166-AB166+AA181+AA182-AB181-AB182</f>
        <v>-302.36561888154665</v>
      </c>
      <c r="AC214" s="24">
        <f t="shared" ref="AC214" si="1657">AB166-AC166+AB181+AB182-AC181-AC182</f>
        <v>-165.14058270071746</v>
      </c>
      <c r="AD214" s="24">
        <f t="shared" ref="AD214" si="1658">AC166-AD166+AC181+AC182-AD181-AD182</f>
        <v>-177.94799821709171</v>
      </c>
      <c r="AE214" s="24">
        <f t="shared" ref="AE214" si="1659">AD166-AE166+AD181+AD182-AE181-AE182</f>
        <v>-196.62871966607213</v>
      </c>
      <c r="AI214" s="23">
        <f>AH166-AI166+AH181+AH182-AI181-AJ182</f>
        <v>0</v>
      </c>
      <c r="AJ214" s="23">
        <f t="shared" ref="AJ214:AL214" si="1660">AI166-AJ166+AI181+AI182-AJ181-AK182</f>
        <v>-1131.6490000000001</v>
      </c>
      <c r="AK214" s="23">
        <f t="shared" si="1660"/>
        <v>393.79725032000556</v>
      </c>
      <c r="AL214" s="23">
        <f t="shared" si="1660"/>
        <v>-664.33525032000534</v>
      </c>
      <c r="AM214" s="23">
        <f t="shared" ref="AM214" si="1661">AL166-AM166+AL181+AL182-AM181-AM182</f>
        <v>516.18512942110215</v>
      </c>
      <c r="AN214" s="23">
        <f t="shared" ref="AN214" si="1662">AM166-AN166+AM181+AM182-AN181-AN182</f>
        <v>270.73587057889773</v>
      </c>
      <c r="AO214" s="23">
        <f t="shared" ref="AO214" si="1663">AN166-AO166+AN181+AN182-AO181-AO182</f>
        <v>19.705206190780132</v>
      </c>
      <c r="AP214" s="23">
        <f t="shared" ref="AP214" si="1664">AO166-AP166+AO181+AO182-AP181-AP182</f>
        <v>-782.70920619078015</v>
      </c>
      <c r="AQ214" s="23">
        <f t="shared" ref="AQ214" si="1665">AP166-AQ166+AP181+AP182-AQ181-AQ182</f>
        <v>-778.52615926250769</v>
      </c>
      <c r="AR214" s="23">
        <f t="shared" ref="AR214" si="1666">AQ166-AR166+AQ181+AQ182-AR181-AR182</f>
        <v>1570.4151592625078</v>
      </c>
      <c r="AS214" s="23">
        <f t="shared" ref="AS214" si="1667">AR166-AS166+AR181+AR182-AS181-AS182</f>
        <v>-6.2393282856214682</v>
      </c>
      <c r="AT214" s="23">
        <f t="shared" ref="AT214" si="1668">AS166-AT166+AS181+AS182-AT181-AT182</f>
        <v>-765.09567171437845</v>
      </c>
      <c r="AU214" s="23">
        <f t="shared" ref="AU214" si="1669">AT166-AU166+AT181+AT182-AU181-AU182</f>
        <v>528.34629042581355</v>
      </c>
      <c r="AV214" s="23">
        <f t="shared" ref="AV214" si="1670">AU166-AV166+AU181+AU182-AV181-AV182</f>
        <v>-548.40029042581375</v>
      </c>
      <c r="AW214" s="23">
        <f t="shared" ref="AW214" si="1671">AV166-AW166+AV181+AV182-AW181-AW182</f>
        <v>-102.13134919584628</v>
      </c>
      <c r="AX214" s="23">
        <f t="shared" ref="AX214" si="1672">AW166-AX166+AW181+AW182-AX181-AX182</f>
        <v>335.41534919584637</v>
      </c>
      <c r="AY214" s="23">
        <f t="shared" ref="AY214" si="1673">AX166-AY166+AX181+AX182-AY181-AY182</f>
        <v>481.73841781646979</v>
      </c>
      <c r="AZ214" s="23">
        <f t="shared" ref="AZ214" si="1674">AY166-AZ166+AY181+AY182-AZ181-AZ182</f>
        <v>-532.22941781646989</v>
      </c>
      <c r="BA214" s="23">
        <f t="shared" ref="BA214" si="1675">AZ166-BA166+AZ181+AZ182-BA181-BA182</f>
        <v>-93.490111587123693</v>
      </c>
      <c r="BB214" s="23">
        <f t="shared" ref="BB214" si="1676">BA166-BB166+BA181+BA182-BB181-BB182</f>
        <v>274.84911158712367</v>
      </c>
      <c r="BC214" s="23">
        <f t="shared" ref="BC214" si="1677">BB166-BC166+BB181+BB182-BC181-BC182</f>
        <v>441.8243757794221</v>
      </c>
      <c r="BD214" s="23">
        <f t="shared" ref="BD214" si="1678">BC166-BD166+BC181+BC182-BD181-BD182</f>
        <v>-364.38437577942204</v>
      </c>
      <c r="BE214" s="23">
        <f t="shared" ref="BE214" si="1679">BD166-BE166+BD181+BD182-BE181-BE182</f>
        <v>-31.618040571128855</v>
      </c>
      <c r="BF214" s="23">
        <f t="shared" ref="BF214" si="1680">BE166-BF166+BE181+BE182-BF181-BF182</f>
        <v>-154.80795942887119</v>
      </c>
      <c r="BG214" s="23">
        <f t="shared" ref="BG214" si="1681">BF166-BG166+BF181+BF182-BG181-BG182</f>
        <v>292.41315419175362</v>
      </c>
      <c r="BH214" s="23">
        <f t="shared" ref="BH214" si="1682">BG166-BH166+BG181+BG182-BH181-BH182</f>
        <v>-320.69315419175342</v>
      </c>
      <c r="BI214" s="23">
        <f t="shared" ref="BI214" si="1683">BH166-BI166+BH181+BH182-BI181-BI182</f>
        <v>140.1581398166245</v>
      </c>
      <c r="BJ214" s="23">
        <f t="shared" ref="BJ214" si="1684">BI166-BJ166+BI181+BI182-BJ181-BJ182</f>
        <v>-144.14013981662464</v>
      </c>
      <c r="BK214" s="23">
        <f t="shared" ref="BK214" si="1685">BJ166-BK166+BJ181+BJ182-BK181-BK182</f>
        <v>157.32902050586199</v>
      </c>
      <c r="BL214" s="23">
        <f t="shared" ref="BL214" si="1686">BK166-BL166+BK181+BK182-BL181-BL182</f>
        <v>-187.03002050586204</v>
      </c>
      <c r="BM214" s="23">
        <f t="shared" ref="BM214" si="1687">BL166-BM166+BL181+BL182-BM181-BM182</f>
        <v>-43.506738034497857</v>
      </c>
      <c r="BN214" s="23">
        <f t="shared" ref="BN214" si="1688">BM166-BN166+BM181+BM182-BN181-BN182</f>
        <v>-4.9942619655020266</v>
      </c>
      <c r="BO214" s="23">
        <f t="shared" ref="BO214" si="1689">BN166-BO166+BN181+BN182-BO181-BO182</f>
        <v>457.48105572564009</v>
      </c>
      <c r="BP214" s="23">
        <f t="shared" ref="BP214" si="1690">BO166-BP166+BO181+BO182-BP181-BP182</f>
        <v>-269.84205572564031</v>
      </c>
      <c r="BQ214" s="23">
        <f t="shared" ref="BQ214" si="1691">BP166-BQ166+BP181+BP182-BQ181-BQ182</f>
        <v>-92.730833638025388</v>
      </c>
      <c r="BR214" s="23">
        <f t="shared" ref="BR214" si="1692">BQ166-BR166+BQ181+BQ182-BR181-BR182</f>
        <v>69.809833638025523</v>
      </c>
      <c r="BS214" s="23">
        <f t="shared" ref="BS214" si="1693">BR166-BS166+BR181+BR182-BS181-BS182</f>
        <v>121.06119143637261</v>
      </c>
      <c r="BT214" s="23">
        <f t="shared" ref="BT214" si="1694">BS166-BT166+BS181+BS182-BT181-BT182</f>
        <v>9.5928085636273046</v>
      </c>
      <c r="BU214" s="23">
        <f t="shared" ref="BU214" si="1695">BT166-BU166+BT181+BT182-BU181-BU182</f>
        <v>92.382289851380392</v>
      </c>
      <c r="BV214" s="23">
        <f t="shared" ref="BV214" si="1696">BU166-BV166+BU181+BU182-BV181-BV182</f>
        <v>-9.5862898513803536</v>
      </c>
      <c r="BW214" s="23">
        <f t="shared" ref="BW214" si="1697">BV166-BW166+BV181+BV182-BW181-BW182</f>
        <v>7.7671352235879567</v>
      </c>
      <c r="BX214" s="23">
        <f t="shared" ref="BX214" si="1698">BW166-BX166+BW181+BW182-BX181-BX182</f>
        <v>67.546864776412093</v>
      </c>
      <c r="BY214" s="23">
        <f t="shared" ref="BY214" si="1699">BX166-BY166+BX181+BX182-BY181-BY182</f>
        <v>-0.38830160323220753</v>
      </c>
      <c r="BZ214" s="23">
        <f t="shared" ref="BZ214" si="1700">BY166-BZ166+BY181+BY182-BZ181-BZ182</f>
        <v>33.774301603232288</v>
      </c>
      <c r="CA214" s="23">
        <f t="shared" ref="CA214" si="1701">BZ166-CA166+BZ181+BZ182-CA181-CA182</f>
        <v>15.005921703490912</v>
      </c>
      <c r="CB214" s="23">
        <f t="shared" ref="CB214" si="1702">CA166-CB166+CA181+CA182-CB181-CB182</f>
        <v>-33.045921703491018</v>
      </c>
      <c r="CC214" s="23">
        <f t="shared" ref="CC214" si="1703">CB166-CC166+CB181+CB182-CC181-CC182</f>
        <v>14.914590637244714</v>
      </c>
      <c r="CD214" s="23">
        <f t="shared" ref="CD214" si="1704">CC166-CD166+CC181+CC182-CD181-CD182</f>
        <v>-135.64459063724473</v>
      </c>
      <c r="CE214" s="23">
        <f t="shared" ref="CE214" si="1705">CD166-CE166+CD181+CD182-CE181-CE182</f>
        <v>205.88703623676099</v>
      </c>
      <c r="CF214" s="23">
        <f t="shared" ref="CF214" si="1706">CE166-CF166+CE181+CE182-CF181-CF182</f>
        <v>-342.04703623676107</v>
      </c>
      <c r="CG214" s="23">
        <f t="shared" ref="CG214" si="1707">CF166-CG166+CF181+CF182-CG181-CG182</f>
        <v>-29.208195576022259</v>
      </c>
      <c r="CH214" s="23">
        <f t="shared" ref="CH214:CL214" si="1708">CG166-CH166+CG181+CG182-CH181-CH182</f>
        <v>118.66819557602223</v>
      </c>
      <c r="CI214" s="23">
        <f t="shared" si="1708"/>
        <v>367.44770991887879</v>
      </c>
      <c r="CJ214" s="23">
        <f t="shared" si="1708"/>
        <v>-642.78770991887859</v>
      </c>
      <c r="CK214" s="23">
        <f t="shared" ref="CK214" si="1709">CJ166-CK166+CJ181+CJ182-CK181-CK182</f>
        <v>57.257074706380763</v>
      </c>
      <c r="CL214" s="23">
        <f t="shared" si="1708"/>
        <v>-428.41707470638067</v>
      </c>
      <c r="CM214" s="24">
        <f t="shared" ref="CM214" si="1710">CL166-CM166+CL181+CL182-CM181-CM182</f>
        <v>96.731717241737897</v>
      </c>
      <c r="CN214" s="24">
        <f t="shared" ref="CN214" si="1711">CM166-CN166+CM181+CM182-CN181-CN182</f>
        <v>4.224424493727156</v>
      </c>
      <c r="CO214" s="24">
        <f t="shared" ref="CO214" si="1712">CN166-CO166+CN181+CN182-CO181-CO182</f>
        <v>-36.000308972002586</v>
      </c>
      <c r="CP214" s="24">
        <f t="shared" ref="CP214" si="1713">CO166-CP166+CO181+CO182-CP181-CP182</f>
        <v>-72.691451645009238</v>
      </c>
      <c r="CQ214" s="24">
        <f t="shared" ref="CQ214" si="1714">CP166-CQ166+CP181+CP182-CQ181-CQ182</f>
        <v>-34.731109166008537</v>
      </c>
      <c r="CR214" s="24">
        <f t="shared" ref="CR214" si="1715">CQ166-CR166+CQ181+CQ182-CR181-CR182</f>
        <v>-18.002207440958045</v>
      </c>
      <c r="CS214" s="24">
        <f t="shared" ref="CS214" si="1716">CR166-CS166+CR181+CR182-CS181-CS182</f>
        <v>-65.69705359473528</v>
      </c>
      <c r="CT214" s="24">
        <f t="shared" ref="CT214" si="1717">CS166-CT166+CS181+CS182-CT181-CT182</f>
        <v>-46.710212499015597</v>
      </c>
      <c r="CU214" s="24">
        <f t="shared" ref="CU214" si="1718">CT166-CU166+CT181+CT182-CU181-CU182</f>
        <v>-28.908263765250467</v>
      </c>
      <c r="CV214" s="24">
        <f t="shared" ref="CV214" si="1719">CU166-CV166+CU181+CU182-CV181-CV182</f>
        <v>-29.614514918771647</v>
      </c>
      <c r="CW214" s="24">
        <f t="shared" ref="CW214" si="1720">CV166-CW166+CV181+CV182-CW181-CW182</f>
        <v>-74.5934362724322</v>
      </c>
      <c r="CX214" s="24">
        <f t="shared" ref="CX214" si="1721">CW166-CX166+CW181+CW182-CX181-CX182</f>
        <v>-44.831783260637394</v>
      </c>
      <c r="CY214" s="24">
        <f t="shared" ref="CY214" si="1722">CX166-CY166+CX181+CX182-CY181-CY182</f>
        <v>-31.882469193764791</v>
      </c>
      <c r="CZ214" s="24">
        <f t="shared" ref="CZ214" si="1723">CY166-CZ166+CY181+CY182-CZ181-CZ182</f>
        <v>-34.749492965582476</v>
      </c>
      <c r="DA214" s="24">
        <f t="shared" ref="DA214" si="1724">CZ166-DA166+CZ181+CZ182-DA181-DA182</f>
        <v>-81.807993510613414</v>
      </c>
      <c r="DB214" s="24">
        <f t="shared" ref="DB214" si="1725">DA166-DB166+DA181+DA182-DB181-DB182</f>
        <v>-48.188763996111447</v>
      </c>
      <c r="DE214" s="123"/>
      <c r="DF214" s="23">
        <v>-646.49999999999977</v>
      </c>
    </row>
    <row r="215" spans="1:110" s="23" customFormat="1" x14ac:dyDescent="0.2">
      <c r="A215" s="23" t="s">
        <v>73</v>
      </c>
      <c r="C215" s="23">
        <f t="shared" ref="C215:AA215" si="1726">B174-C174</f>
        <v>-13.304389</v>
      </c>
      <c r="D215" s="23">
        <f t="shared" si="1726"/>
        <v>-11.757614899999993</v>
      </c>
      <c r="E215" s="23">
        <f>D174-E174</f>
        <v>-36.337541000000002</v>
      </c>
      <c r="F215" s="23">
        <f t="shared" si="1726"/>
        <v>-56.075993099999991</v>
      </c>
      <c r="G215" s="23">
        <f t="shared" si="1726"/>
        <v>-58.299700000000001</v>
      </c>
      <c r="H215" s="23">
        <f t="shared" si="1726"/>
        <v>-39.511700000000019</v>
      </c>
      <c r="I215" s="23">
        <f t="shared" si="1726"/>
        <v>-93.820400000000006</v>
      </c>
      <c r="J215" s="23">
        <f>I174-J174</f>
        <v>-81.736399999999946</v>
      </c>
      <c r="K215" s="23">
        <f>J174-K174</f>
        <v>22.956400000000087</v>
      </c>
      <c r="L215" s="23">
        <f t="shared" si="1726"/>
        <v>-181.91720000000015</v>
      </c>
      <c r="M215" s="23">
        <f t="shared" si="1726"/>
        <v>-162.90489999999988</v>
      </c>
      <c r="N215" s="23">
        <f t="shared" si="1726"/>
        <v>-59.220300000000066</v>
      </c>
      <c r="O215" s="23">
        <f t="shared" si="1726"/>
        <v>-4.1893000000000029</v>
      </c>
      <c r="P215" s="23">
        <f t="shared" si="1726"/>
        <v>8.8850999999999658</v>
      </c>
      <c r="Q215" s="23">
        <f t="shared" si="1726"/>
        <v>-3.258899999999926</v>
      </c>
      <c r="R215" s="23">
        <f t="shared" si="1726"/>
        <v>87.127999999999929</v>
      </c>
      <c r="S215" s="23">
        <f t="shared" si="1726"/>
        <v>-67.746899999999982</v>
      </c>
      <c r="T215" s="23">
        <f t="shared" si="1726"/>
        <v>19.512299999999982</v>
      </c>
      <c r="U215" s="23">
        <f t="shared" si="1726"/>
        <v>-80.284599999999955</v>
      </c>
      <c r="V215" s="23">
        <f t="shared" si="1726"/>
        <v>95.758600000000001</v>
      </c>
      <c r="W215" s="23">
        <f t="shared" si="1726"/>
        <v>216.57809999999995</v>
      </c>
      <c r="X215" s="23">
        <f t="shared" si="1726"/>
        <v>113.96639999999996</v>
      </c>
      <c r="Y215" s="23">
        <f t="shared" si="1726"/>
        <v>-67.909999999999911</v>
      </c>
      <c r="Z215" s="23">
        <f t="shared" si="1726"/>
        <v>-210.11</v>
      </c>
      <c r="AA215" s="23">
        <f t="shared" si="1726"/>
        <v>-181.30000000000007</v>
      </c>
      <c r="AB215" s="24">
        <f t="shared" ref="AB215" si="1727">AA174-AB174</f>
        <v>-4.2294594232954523</v>
      </c>
      <c r="AC215" s="24">
        <f t="shared" ref="AC215" si="1728">AB174-AC174</f>
        <v>-90.290822798704312</v>
      </c>
      <c r="AD215" s="24">
        <f t="shared" ref="AD215" si="1729">AC174-AD174</f>
        <v>-97.293293457258642</v>
      </c>
      <c r="AE215" s="24">
        <f t="shared" ref="AE215" si="1730">AD174-AE174</f>
        <v>-107.50700157501797</v>
      </c>
      <c r="AI215" s="23">
        <f t="shared" ref="AI215" si="1731">AH174-AI174</f>
        <v>0</v>
      </c>
      <c r="AJ215" s="23">
        <f t="shared" ref="AJ215" si="1732">AI174-AJ174</f>
        <v>-726.48599999999999</v>
      </c>
      <c r="AK215" s="23">
        <f t="shared" ref="AK215" si="1733">AJ174-AK174</f>
        <v>0</v>
      </c>
      <c r="AL215" s="23">
        <f t="shared" ref="AL215" si="1734">AK174-AL174</f>
        <v>-159.91700000000014</v>
      </c>
      <c r="AM215" s="23">
        <f t="shared" ref="AM215" si="1735">AL174-AM174</f>
        <v>226.42482583461492</v>
      </c>
      <c r="AN215" s="23">
        <f t="shared" ref="AN215" si="1736">AM174-AN174</f>
        <v>344.87817416538519</v>
      </c>
      <c r="AO215" s="23">
        <f t="shared" ref="AO215" si="1737">AN174-AO174</f>
        <v>15.856636420157372</v>
      </c>
      <c r="AP215" s="23">
        <f t="shared" ref="AP215" si="1738">AO174-AP174</f>
        <v>-573.76963642015744</v>
      </c>
      <c r="AQ215" s="23">
        <f t="shared" ref="AQ215" si="1739">AP174-AQ174</f>
        <v>-317.58355476297072</v>
      </c>
      <c r="AR215" s="23">
        <f t="shared" ref="AR215" si="1740">AQ174-AR174</f>
        <v>905.86655476297074</v>
      </c>
      <c r="AS215" s="23">
        <f t="shared" ref="AS215" si="1741">AR174-AS174</f>
        <v>-4.6944925775843558</v>
      </c>
      <c r="AT215" s="23">
        <f t="shared" ref="AT215" si="1742">AS174-AT174</f>
        <v>-567.62750742241565</v>
      </c>
      <c r="AU215" s="23">
        <f t="shared" ref="AU215" si="1743">AT174-AU174</f>
        <v>226.01660529837568</v>
      </c>
      <c r="AV215" s="23">
        <f t="shared" ref="AV215" si="1744">AU174-AV174</f>
        <v>-137.56960529837568</v>
      </c>
      <c r="AW215" s="23">
        <f t="shared" ref="AW215" si="1745">AV174-AW174</f>
        <v>-38.361342107504242</v>
      </c>
      <c r="AX215" s="23">
        <f t="shared" ref="AX215" si="1746">AW174-AX174</f>
        <v>-58.817657892495845</v>
      </c>
      <c r="AY215" s="23">
        <f t="shared" ref="AY215" si="1747">AX174-AY174</f>
        <v>246.72770677924223</v>
      </c>
      <c r="AZ215" s="23">
        <f t="shared" ref="AZ215" si="1748">AY174-AZ174</f>
        <v>-246.2857067792421</v>
      </c>
      <c r="BA215" s="23">
        <f t="shared" ref="BA215" si="1749">AZ174-BA174</f>
        <v>-42.78920284683818</v>
      </c>
      <c r="BB215" s="23">
        <f t="shared" ref="BB215" si="1750">BA174-BB174</f>
        <v>103.53520284683805</v>
      </c>
      <c r="BC215" s="23">
        <f t="shared" ref="BC215" si="1751">BB174-BC174</f>
        <v>229.45337180087085</v>
      </c>
      <c r="BD215" s="23">
        <f t="shared" ref="BD215" si="1752">BC174-BD174</f>
        <v>-174.64937180087088</v>
      </c>
      <c r="BE215" s="23">
        <f t="shared" ref="BE215" si="1753">BD174-BE174</f>
        <v>-15.412025411540299</v>
      </c>
      <c r="BF215" s="23">
        <f t="shared" ref="BF215" si="1754">BE174-BF174</f>
        <v>-72.945974588459762</v>
      </c>
      <c r="BG215" s="23">
        <f t="shared" ref="BG215" si="1755">BF174-BG174</f>
        <v>155.71189111597096</v>
      </c>
      <c r="BH215" s="23">
        <f t="shared" ref="BH215" si="1756">BG174-BH174</f>
        <v>-189.51589111597082</v>
      </c>
      <c r="BI215" s="23">
        <f t="shared" ref="BI215" si="1757">BH174-BI174</f>
        <v>66.029409545365183</v>
      </c>
      <c r="BJ215" s="23">
        <f t="shared" ref="BJ215" si="1758">BI174-BJ174</f>
        <v>10.52459045463479</v>
      </c>
      <c r="BK215" s="23">
        <f t="shared" ref="BK215" si="1759">BJ174-BK174</f>
        <v>69.176192367855265</v>
      </c>
      <c r="BL215" s="23">
        <f t="shared" ref="BL215" si="1760">BK174-BL174</f>
        <v>-153.99819236785527</v>
      </c>
      <c r="BM215" s="23">
        <f t="shared" ref="BM215" si="1761">BL174-BM174</f>
        <v>-20.099228451952058</v>
      </c>
      <c r="BN215" s="23">
        <f t="shared" ref="BN215" si="1762">BM174-BN174</f>
        <v>29.037228451952046</v>
      </c>
      <c r="BO215" s="23">
        <f t="shared" ref="BO215" si="1763">BN174-BO174</f>
        <v>258.59532473723812</v>
      </c>
      <c r="BP215" s="23">
        <f t="shared" ref="BP215" si="1764">BO174-BP174</f>
        <v>-108.36932473723812</v>
      </c>
      <c r="BQ215" s="23">
        <f t="shared" ref="BQ215" si="1765">BP174-BQ174</f>
        <v>-42.879831157501826</v>
      </c>
      <c r="BR215" s="23">
        <f t="shared" ref="BR215" si="1766">BQ174-BR174</f>
        <v>6.8828311575018688</v>
      </c>
      <c r="BS215" s="23">
        <f t="shared" ref="BS215" si="1767">BR174-BS174</f>
        <v>67.776123039310846</v>
      </c>
      <c r="BT215" s="23">
        <f t="shared" ref="BT215" si="1768">BS174-BT174</f>
        <v>43.88987696068898</v>
      </c>
      <c r="BU215" s="23">
        <f t="shared" ref="BU215" si="1769">BT174-BU174</f>
        <v>50.68603885702646</v>
      </c>
      <c r="BV215" s="23">
        <f t="shared" ref="BV215" si="1770">BU174-BV174</f>
        <v>54.225961142973688</v>
      </c>
      <c r="BW215" s="23">
        <f t="shared" ref="BW215" si="1771">BV174-BW174</f>
        <v>3.1032341603197438</v>
      </c>
      <c r="BX215" s="23">
        <f t="shared" ref="BX215" si="1772">BW174-BX174</f>
        <v>74.687765839680253</v>
      </c>
      <c r="BY215" s="23">
        <f t="shared" ref="BY215" si="1773">BX174-BY174</f>
        <v>-0.130209629686874</v>
      </c>
      <c r="BZ215" s="23">
        <f t="shared" ref="BZ215" si="1774">BY174-BZ174</f>
        <v>36.306209629686862</v>
      </c>
      <c r="CA215" s="23">
        <f t="shared" ref="CA215" si="1775">BZ174-CA174</f>
        <v>4.7050124841005072</v>
      </c>
      <c r="CB215" s="23">
        <f t="shared" ref="CB215" si="1776">CA174-CB174</f>
        <v>-19.565012484100521</v>
      </c>
      <c r="CC215" s="23">
        <f t="shared" ref="CC215" si="1777">CB174-CC174</f>
        <v>5.3449309135904173</v>
      </c>
      <c r="CD215" s="23">
        <f t="shared" ref="CD215" si="1778">CC174-CD174</f>
        <v>-58.394930913590372</v>
      </c>
      <c r="CE215" s="23">
        <f t="shared" ref="CE215" si="1779">CD174-CE174</f>
        <v>57.329489922425637</v>
      </c>
      <c r="CF215" s="23">
        <f t="shared" ref="CF215" si="1780">CE174-CF174</f>
        <v>-130.73948992242572</v>
      </c>
      <c r="CG215" s="23">
        <f t="shared" ref="CG215" si="1781">CF174-CG174</f>
        <v>-8.6043856023931085</v>
      </c>
      <c r="CH215" s="23">
        <f t="shared" ref="CH215:CL215" si="1782">CG174-CH174</f>
        <v>-128.09561439760682</v>
      </c>
      <c r="CI215" s="23">
        <f t="shared" si="1782"/>
        <v>271.18711837205512</v>
      </c>
      <c r="CJ215" s="23">
        <f t="shared" si="1782"/>
        <v>-271.61711837205507</v>
      </c>
      <c r="CK215" s="23">
        <f t="shared" ref="CK215" si="1783">CJ174-CK174</f>
        <v>32.179430923840641</v>
      </c>
      <c r="CL215" s="23">
        <f t="shared" si="1782"/>
        <v>-213.04943092384076</v>
      </c>
      <c r="CM215" s="24">
        <f t="shared" ref="CM215" si="1784">CL174-CM174</f>
        <v>52.888188945757634</v>
      </c>
      <c r="CN215" s="24">
        <f t="shared" ref="CN215" si="1785">CM174-CN174</f>
        <v>2.3097094436252519</v>
      </c>
      <c r="CO215" s="24">
        <f t="shared" ref="CO215" si="1786">CN174-CO174</f>
        <v>-19.683214537158847</v>
      </c>
      <c r="CP215" s="24">
        <f t="shared" ref="CP215" si="1787">CO174-CP174</f>
        <v>-39.744143275519491</v>
      </c>
      <c r="CQ215" s="24">
        <f t="shared" ref="CQ215" si="1788">CP174-CQ174</f>
        <v>-18.989277935356085</v>
      </c>
      <c r="CR215" s="24">
        <f t="shared" ref="CR215" si="1789">CQ174-CR174</f>
        <v>-9.8427297243026715</v>
      </c>
      <c r="CS215" s="24">
        <f t="shared" ref="CS215" si="1790">CR174-CS174</f>
        <v>-35.919947280732458</v>
      </c>
      <c r="CT215" s="24">
        <f t="shared" ref="CT215" si="1791">CS174-CT174</f>
        <v>-25.538867858313097</v>
      </c>
      <c r="CU215" s="24">
        <f t="shared" ref="CU215" si="1792">CT174-CU174</f>
        <v>-15.805629835864238</v>
      </c>
      <c r="CV215" s="24">
        <f t="shared" ref="CV215" si="1793">CU174-CV174</f>
        <v>-16.191773548760466</v>
      </c>
      <c r="CW215" s="24">
        <f t="shared" ref="CW215" si="1794">CV174-CW174</f>
        <v>-40.784055780077779</v>
      </c>
      <c r="CX215" s="24">
        <f t="shared" ref="CX215" si="1795">CW174-CX174</f>
        <v>-24.511834292556159</v>
      </c>
      <c r="CY215" s="24">
        <f t="shared" ref="CY215" si="1796">CX174-CY174</f>
        <v>-17.431780421753501</v>
      </c>
      <c r="CZ215" s="24">
        <f t="shared" ref="CZ215" si="1797">CY174-CZ174</f>
        <v>-18.999329301062062</v>
      </c>
      <c r="DA215" s="24">
        <f t="shared" ref="DA215" si="1798">CZ174-DA174</f>
        <v>-44.728624089760388</v>
      </c>
      <c r="DB215" s="24">
        <f t="shared" ref="DB215" si="1799">DA174-DB174</f>
        <v>-26.347267762442016</v>
      </c>
      <c r="DE215" s="123"/>
      <c r="DF215" s="23">
        <v>-181.30000000000007</v>
      </c>
    </row>
    <row r="216" spans="1:110" s="22" customFormat="1" x14ac:dyDescent="0.2">
      <c r="A216" s="22" t="s">
        <v>90</v>
      </c>
      <c r="C216" s="22">
        <f t="shared" ref="C216:W216" si="1800">C214-C215</f>
        <v>9.1571115000000116</v>
      </c>
      <c r="D216" s="22">
        <f t="shared" si="1800"/>
        <v>-5.1911954000000122</v>
      </c>
      <c r="E216" s="22">
        <f t="shared" si="1800"/>
        <v>-14.294177400000009</v>
      </c>
      <c r="F216" s="22">
        <f t="shared" si="1800"/>
        <v>-13.279112599999991</v>
      </c>
      <c r="G216" s="22">
        <f t="shared" si="1800"/>
        <v>-88.909400000000005</v>
      </c>
      <c r="H216" s="22">
        <f t="shared" si="1800"/>
        <v>-141.83299999999997</v>
      </c>
      <c r="I216" s="22">
        <f t="shared" si="1800"/>
        <v>-111.91489999999999</v>
      </c>
      <c r="J216" s="22">
        <f>J214-J215</f>
        <v>-48.594200000000029</v>
      </c>
      <c r="K216" s="22">
        <f t="shared" si="1800"/>
        <v>43.561699999999959</v>
      </c>
      <c r="L216" s="22">
        <f t="shared" si="1800"/>
        <v>-104.91820000000001</v>
      </c>
      <c r="M216" s="22">
        <f t="shared" si="1800"/>
        <v>27.916399999999868</v>
      </c>
      <c r="N216" s="22">
        <f t="shared" si="1800"/>
        <v>-71.351499999999845</v>
      </c>
      <c r="O216" s="22">
        <f t="shared" si="1800"/>
        <v>28.105300000000177</v>
      </c>
      <c r="P216" s="22">
        <f t="shared" si="1800"/>
        <v>11.669499999999815</v>
      </c>
      <c r="Q216" s="22">
        <f t="shared" si="1800"/>
        <v>216.48859999999974</v>
      </c>
      <c r="R216" s="22">
        <f t="shared" si="1800"/>
        <v>43.743600000000441</v>
      </c>
      <c r="S216" s="22">
        <f t="shared" si="1800"/>
        <v>-41.243000000000322</v>
      </c>
      <c r="T216" s="22">
        <f t="shared" si="1800"/>
        <v>-51.773699999999934</v>
      </c>
      <c r="U216" s="22">
        <f t="shared" si="1800"/>
        <v>67.481300000000232</v>
      </c>
      <c r="V216" s="22">
        <f t="shared" si="1800"/>
        <v>62.561199999999701</v>
      </c>
      <c r="W216" s="22">
        <f t="shared" si="1800"/>
        <v>8.1086000000001945</v>
      </c>
      <c r="X216" s="22">
        <f t="shared" ref="X216:Y216" si="1801">X214-X215</f>
        <v>6.2262000000000199</v>
      </c>
      <c r="Y216" s="22">
        <f t="shared" si="1801"/>
        <v>-46.890000000000157</v>
      </c>
      <c r="Z216" s="22">
        <f t="shared" ref="Z216:AA216" si="1802">Z214-Z215</f>
        <v>57.70999999999998</v>
      </c>
      <c r="AA216" s="22">
        <f t="shared" ref="AA216" si="1803">AA214-AA215</f>
        <v>-170.56999999999977</v>
      </c>
      <c r="AB216" s="21">
        <f t="shared" ref="AB216:AD216" si="1804">AB214-AB215</f>
        <v>-298.1361594582512</v>
      </c>
      <c r="AC216" s="21">
        <f t="shared" si="1804"/>
        <v>-74.849759902013147</v>
      </c>
      <c r="AD216" s="21">
        <f t="shared" si="1804"/>
        <v>-80.654704759833066</v>
      </c>
      <c r="AE216" s="21">
        <f t="shared" ref="AE216" si="1805">AE214-AE215</f>
        <v>-89.121718091054163</v>
      </c>
      <c r="AI216" s="22">
        <f t="shared" ref="AI216" si="1806">AI214-AI215</f>
        <v>0</v>
      </c>
      <c r="AJ216" s="22">
        <f t="shared" ref="AJ216:AL216" si="1807">AJ214-AJ215</f>
        <v>-405.16300000000012</v>
      </c>
      <c r="AK216" s="22">
        <f t="shared" si="1807"/>
        <v>393.79725032000556</v>
      </c>
      <c r="AL216" s="22">
        <f t="shared" si="1807"/>
        <v>-504.4182503200052</v>
      </c>
      <c r="AM216" s="22">
        <f t="shared" ref="AM216" si="1808">AM214-AM215</f>
        <v>289.76030358648723</v>
      </c>
      <c r="AN216" s="22">
        <f t="shared" ref="AN216:CD216" si="1809">AN214-AN215</f>
        <v>-74.142303586487458</v>
      </c>
      <c r="AO216" s="22">
        <f t="shared" si="1809"/>
        <v>3.8485697706227597</v>
      </c>
      <c r="AP216" s="22">
        <f t="shared" si="1809"/>
        <v>-208.93956977062271</v>
      </c>
      <c r="AQ216" s="22">
        <f t="shared" si="1809"/>
        <v>-460.94260449953697</v>
      </c>
      <c r="AR216" s="22">
        <f t="shared" si="1809"/>
        <v>664.54860449953708</v>
      </c>
      <c r="AS216" s="22">
        <f t="shared" si="1809"/>
        <v>-1.5448357080371125</v>
      </c>
      <c r="AT216" s="22">
        <f t="shared" si="1809"/>
        <v>-197.46816429196281</v>
      </c>
      <c r="AU216" s="22">
        <f t="shared" si="1809"/>
        <v>302.32968512743787</v>
      </c>
      <c r="AV216" s="22">
        <f t="shared" si="1809"/>
        <v>-410.83068512743807</v>
      </c>
      <c r="AW216" s="22">
        <f t="shared" si="1809"/>
        <v>-63.770007088342041</v>
      </c>
      <c r="AX216" s="22">
        <f t="shared" si="1809"/>
        <v>394.23300708834222</v>
      </c>
      <c r="AY216" s="22">
        <f t="shared" si="1809"/>
        <v>235.01071103722757</v>
      </c>
      <c r="AZ216" s="22">
        <f t="shared" si="1809"/>
        <v>-285.94371103722779</v>
      </c>
      <c r="BA216" s="22">
        <f t="shared" si="1809"/>
        <v>-50.700908740285513</v>
      </c>
      <c r="BB216" s="22">
        <f t="shared" si="1809"/>
        <v>171.31390874028563</v>
      </c>
      <c r="BC216" s="22">
        <f t="shared" si="1809"/>
        <v>212.37100397855124</v>
      </c>
      <c r="BD216" s="22">
        <f t="shared" si="1809"/>
        <v>-189.73500397855116</v>
      </c>
      <c r="BE216" s="22">
        <f t="shared" si="1809"/>
        <v>-16.206015159588556</v>
      </c>
      <c r="BF216" s="22">
        <f t="shared" si="1809"/>
        <v>-81.861984840411424</v>
      </c>
      <c r="BG216" s="22">
        <f t="shared" si="1809"/>
        <v>136.70126307578266</v>
      </c>
      <c r="BH216" s="22">
        <f t="shared" si="1809"/>
        <v>-131.17726307578261</v>
      </c>
      <c r="BI216" s="22">
        <f t="shared" si="1809"/>
        <v>74.128730271259315</v>
      </c>
      <c r="BJ216" s="22">
        <f t="shared" si="1809"/>
        <v>-154.66473027125943</v>
      </c>
      <c r="BK216" s="22">
        <f t="shared" si="1809"/>
        <v>88.152828138006726</v>
      </c>
      <c r="BL216" s="22">
        <f t="shared" si="1809"/>
        <v>-33.031828138006773</v>
      </c>
      <c r="BM216" s="22">
        <f t="shared" si="1809"/>
        <v>-23.407509582545799</v>
      </c>
      <c r="BN216" s="22">
        <f t="shared" si="1809"/>
        <v>-34.031490417454073</v>
      </c>
      <c r="BO216" s="22">
        <f t="shared" si="1809"/>
        <v>198.88573098840197</v>
      </c>
      <c r="BP216" s="22">
        <f t="shared" si="1809"/>
        <v>-161.47273098840219</v>
      </c>
      <c r="BQ216" s="22">
        <f t="shared" si="1809"/>
        <v>-49.851002480523562</v>
      </c>
      <c r="BR216" s="22">
        <f t="shared" si="1809"/>
        <v>62.927002480523655</v>
      </c>
      <c r="BS216" s="22">
        <f t="shared" si="1809"/>
        <v>53.285068397061764</v>
      </c>
      <c r="BT216" s="22">
        <f t="shared" si="1809"/>
        <v>-34.297068397061679</v>
      </c>
      <c r="BU216" s="22">
        <f t="shared" si="1809"/>
        <v>41.696250994353932</v>
      </c>
      <c r="BV216" s="22">
        <f t="shared" si="1809"/>
        <v>-63.812250994354045</v>
      </c>
      <c r="BW216" s="22">
        <f t="shared" si="1809"/>
        <v>4.663901063268213</v>
      </c>
      <c r="BX216" s="22">
        <f t="shared" si="1809"/>
        <v>-7.14090106326816</v>
      </c>
      <c r="BY216" s="22">
        <f t="shared" si="1809"/>
        <v>-0.25809197354533353</v>
      </c>
      <c r="BZ216" s="22">
        <f t="shared" si="1809"/>
        <v>-2.5319080264545732</v>
      </c>
      <c r="CA216" s="22">
        <f t="shared" si="1809"/>
        <v>10.300909219390405</v>
      </c>
      <c r="CB216" s="22">
        <f t="shared" si="1809"/>
        <v>-13.480909219390497</v>
      </c>
      <c r="CC216" s="22">
        <f t="shared" si="1809"/>
        <v>9.5696597236542971</v>
      </c>
      <c r="CD216" s="22">
        <f t="shared" si="1809"/>
        <v>-77.249659723654361</v>
      </c>
      <c r="CE216" s="22">
        <f t="shared" ref="CE216:CF216" si="1810">CE214-CE215</f>
        <v>148.55754631433535</v>
      </c>
      <c r="CF216" s="22">
        <f t="shared" si="1810"/>
        <v>-211.30754631433535</v>
      </c>
      <c r="CG216" s="22">
        <f t="shared" ref="CG216:CH216" si="1811">CG214-CG215</f>
        <v>-20.603809973629151</v>
      </c>
      <c r="CH216" s="22">
        <f t="shared" si="1811"/>
        <v>246.76380997362907</v>
      </c>
      <c r="CI216" s="22">
        <f t="shared" ref="CI216:CJ216" si="1812">CI214-CI215</f>
        <v>96.260591546823662</v>
      </c>
      <c r="CJ216" s="22">
        <f t="shared" si="1812"/>
        <v>-371.17059154682352</v>
      </c>
      <c r="CK216" s="22">
        <f t="shared" ref="CK216:DB216" si="1813">CK214-CK215</f>
        <v>25.077643782540122</v>
      </c>
      <c r="CL216" s="22">
        <f t="shared" si="1813"/>
        <v>-215.36764378253991</v>
      </c>
      <c r="CM216" s="21">
        <f t="shared" si="1813"/>
        <v>43.843528295980263</v>
      </c>
      <c r="CN216" s="21">
        <f t="shared" si="1813"/>
        <v>1.9147150501019041</v>
      </c>
      <c r="CO216" s="21">
        <f t="shared" si="1813"/>
        <v>-16.317094434843739</v>
      </c>
      <c r="CP216" s="21">
        <f t="shared" si="1813"/>
        <v>-32.947308369489747</v>
      </c>
      <c r="CQ216" s="21">
        <f t="shared" si="1813"/>
        <v>-15.741831230652451</v>
      </c>
      <c r="CR216" s="21">
        <f t="shared" si="1813"/>
        <v>-8.159477716655374</v>
      </c>
      <c r="CS216" s="21">
        <f t="shared" si="1813"/>
        <v>-29.777106314002822</v>
      </c>
      <c r="CT216" s="21">
        <f t="shared" si="1813"/>
        <v>-21.1713446407025</v>
      </c>
      <c r="CU216" s="21">
        <f t="shared" si="1813"/>
        <v>-13.102633929386229</v>
      </c>
      <c r="CV216" s="21">
        <f t="shared" si="1813"/>
        <v>-13.422741370011181</v>
      </c>
      <c r="CW216" s="21">
        <f t="shared" si="1813"/>
        <v>-33.809380492354421</v>
      </c>
      <c r="CX216" s="21">
        <f t="shared" si="1813"/>
        <v>-20.319948968081235</v>
      </c>
      <c r="CY216" s="21">
        <f t="shared" si="1813"/>
        <v>-14.45068877201129</v>
      </c>
      <c r="CZ216" s="21">
        <f t="shared" si="1813"/>
        <v>-15.750163664520414</v>
      </c>
      <c r="DA216" s="21">
        <f t="shared" si="1813"/>
        <v>-37.079369420853027</v>
      </c>
      <c r="DB216" s="21">
        <f t="shared" si="1813"/>
        <v>-21.841496233669432</v>
      </c>
      <c r="DE216" s="126"/>
      <c r="DF216" s="22">
        <v>-465.1999999999997</v>
      </c>
    </row>
    <row r="217" spans="1:110" s="22" customFormat="1" x14ac:dyDescent="0.2">
      <c r="A217" s="22" t="s">
        <v>91</v>
      </c>
      <c r="C217" s="22">
        <f t="shared" ref="C217:W217" si="1814">C213+C216</f>
        <v>15.178151699999997</v>
      </c>
      <c r="D217" s="22">
        <f>D213+D216</f>
        <v>4.6243335000000023</v>
      </c>
      <c r="E217" s="22">
        <f t="shared" si="1814"/>
        <v>-4.2810453000000059</v>
      </c>
      <c r="F217" s="22">
        <f t="shared" si="1814"/>
        <v>4.9910874000000263</v>
      </c>
      <c r="G217" s="22">
        <f t="shared" si="1814"/>
        <v>-51.595700000000036</v>
      </c>
      <c r="H217" s="22">
        <f t="shared" si="1814"/>
        <v>-74.707000000000008</v>
      </c>
      <c r="I217" s="22">
        <f t="shared" si="1814"/>
        <v>-30.51269999999991</v>
      </c>
      <c r="J217" s="22">
        <f>J213+J216</f>
        <v>31.004099999999937</v>
      </c>
      <c r="K217" s="22">
        <f t="shared" si="1814"/>
        <v>142.85729999999998</v>
      </c>
      <c r="L217" s="22">
        <f t="shared" si="1814"/>
        <v>26.689700000000187</v>
      </c>
      <c r="M217" s="22">
        <f t="shared" si="1814"/>
        <v>137.66369999999984</v>
      </c>
      <c r="N217" s="22">
        <f t="shared" si="1814"/>
        <v>3.6706000000000927</v>
      </c>
      <c r="O217" s="22">
        <f t="shared" si="1814"/>
        <v>103.46170000000015</v>
      </c>
      <c r="P217" s="22">
        <f t="shared" si="1814"/>
        <v>99.592499999999703</v>
      </c>
      <c r="Q217" s="22">
        <f t="shared" si="1814"/>
        <v>315.98039999999963</v>
      </c>
      <c r="R217" s="22">
        <f t="shared" si="1814"/>
        <v>107.73200000000057</v>
      </c>
      <c r="S217" s="22">
        <f t="shared" si="1814"/>
        <v>19.165199999999743</v>
      </c>
      <c r="T217" s="22">
        <f t="shared" si="1814"/>
        <v>66.228000000000151</v>
      </c>
      <c r="U217" s="22">
        <f t="shared" si="1814"/>
        <v>210.44090000000017</v>
      </c>
      <c r="V217" s="22">
        <f t="shared" si="1814"/>
        <v>172.30449999999962</v>
      </c>
      <c r="W217" s="22">
        <f t="shared" si="1814"/>
        <v>197.17750000000018</v>
      </c>
      <c r="X217" s="22">
        <f t="shared" ref="X217:Y217" si="1815">X213+X216</f>
        <v>292.77620000000007</v>
      </c>
      <c r="Y217" s="22">
        <f t="shared" si="1815"/>
        <v>359.61</v>
      </c>
      <c r="Z217" s="22">
        <f t="shared" ref="Z217:AA217" si="1816">Z213+Z216</f>
        <v>533.57000000000016</v>
      </c>
      <c r="AA217" s="22">
        <f t="shared" ref="AA217" si="1817">AA213+AA216</f>
        <v>274.82000000000045</v>
      </c>
      <c r="AB217" s="21">
        <f t="shared" ref="AB217:AD217" si="1818">AB213+AB216</f>
        <v>227.03976206336915</v>
      </c>
      <c r="AC217" s="21">
        <f t="shared" si="1818"/>
        <v>497.86615929016966</v>
      </c>
      <c r="AD217" s="21">
        <f t="shared" si="1818"/>
        <v>555.31155425307998</v>
      </c>
      <c r="AE217" s="21">
        <f t="shared" ref="AE217" si="1819">AE213+AE216</f>
        <v>619.01000808385288</v>
      </c>
      <c r="AI217" s="22">
        <f t="shared" ref="AI217" si="1820">AI213+AI216</f>
        <v>17.808999999999969</v>
      </c>
      <c r="AJ217" s="22">
        <f t="shared" ref="AJ217:AL217" si="1821">AJ213+AJ216</f>
        <v>-370.10800000000012</v>
      </c>
      <c r="AK217" s="22">
        <f t="shared" si="1821"/>
        <v>412.88525032000553</v>
      </c>
      <c r="AL217" s="22">
        <f t="shared" si="1821"/>
        <v>-481.1442503200052</v>
      </c>
      <c r="AM217" s="22">
        <f t="shared" ref="AM217" si="1822">AM213+AM216</f>
        <v>304.39530358648722</v>
      </c>
      <c r="AN217" s="22">
        <f t="shared" ref="AN217:CD217" si="1823">AN213+AN216</f>
        <v>-53.95830358648746</v>
      </c>
      <c r="AO217" s="22">
        <f t="shared" si="1823"/>
        <v>19.765569770622758</v>
      </c>
      <c r="AP217" s="22">
        <f t="shared" si="1823"/>
        <v>-186.82456977062273</v>
      </c>
      <c r="AQ217" s="22">
        <f t="shared" si="1823"/>
        <v>-448.19160449953699</v>
      </c>
      <c r="AR217" s="22">
        <f t="shared" si="1823"/>
        <v>676.58960449953702</v>
      </c>
      <c r="AS217" s="22">
        <f t="shared" si="1823"/>
        <v>11.59316429196295</v>
      </c>
      <c r="AT217" s="22">
        <f t="shared" si="1823"/>
        <v>-145.58816429196281</v>
      </c>
      <c r="AU217" s="22">
        <f t="shared" si="1823"/>
        <v>319.9796851274379</v>
      </c>
      <c r="AV217" s="22">
        <f t="shared" si="1823"/>
        <v>-387.29268512743806</v>
      </c>
      <c r="AW217" s="22">
        <f t="shared" si="1823"/>
        <v>-40.593007088342077</v>
      </c>
      <c r="AX217" s="22">
        <f t="shared" si="1823"/>
        <v>431.72100708834228</v>
      </c>
      <c r="AY217" s="22">
        <f t="shared" si="1823"/>
        <v>247.28971103722756</v>
      </c>
      <c r="AZ217" s="22">
        <f t="shared" si="1823"/>
        <v>-279.07071103722774</v>
      </c>
      <c r="BA217" s="22">
        <f t="shared" si="1823"/>
        <v>-46.027908740285554</v>
      </c>
      <c r="BB217" s="22">
        <f t="shared" si="1823"/>
        <v>211.8209087402856</v>
      </c>
      <c r="BC217" s="22">
        <f t="shared" si="1823"/>
        <v>188.48300397855127</v>
      </c>
      <c r="BD217" s="22">
        <f t="shared" si="1823"/>
        <v>-184.13500397855117</v>
      </c>
      <c r="BE217" s="22">
        <f t="shared" si="1823"/>
        <v>-5.5360151595885085</v>
      </c>
      <c r="BF217" s="22">
        <f t="shared" si="1823"/>
        <v>-13.836984840411461</v>
      </c>
      <c r="BG217" s="22">
        <f t="shared" si="1823"/>
        <v>156.20126307578269</v>
      </c>
      <c r="BH217" s="22">
        <f t="shared" si="1823"/>
        <v>-69.596263075782659</v>
      </c>
      <c r="BI217" s="22">
        <f t="shared" si="1823"/>
        <v>89.16773027125933</v>
      </c>
      <c r="BJ217" s="22">
        <f t="shared" si="1823"/>
        <v>-132.7837302712594</v>
      </c>
      <c r="BK217" s="22">
        <f t="shared" si="1823"/>
        <v>100.66782813800674</v>
      </c>
      <c r="BL217" s="22">
        <f t="shared" si="1823"/>
        <v>-10.617828138006775</v>
      </c>
      <c r="BM217" s="22">
        <f t="shared" si="1823"/>
        <v>-1.6145095825458071</v>
      </c>
      <c r="BN217" s="22">
        <f t="shared" si="1823"/>
        <v>52.204509582545917</v>
      </c>
      <c r="BO217" s="22">
        <f t="shared" si="1823"/>
        <v>191.39173098840197</v>
      </c>
      <c r="BP217" s="22">
        <f t="shared" si="1823"/>
        <v>-126.29773098840221</v>
      </c>
      <c r="BQ217" s="22">
        <f t="shared" si="1823"/>
        <v>-12.378002480523541</v>
      </c>
      <c r="BR217" s="22">
        <f t="shared" si="1823"/>
        <v>107.51400248052366</v>
      </c>
      <c r="BS217" s="22">
        <f t="shared" si="1823"/>
        <v>92.795068397061726</v>
      </c>
      <c r="BT217" s="22">
        <f t="shared" si="1823"/>
        <v>13.442931602938351</v>
      </c>
      <c r="BU217" s="22">
        <f t="shared" si="1823"/>
        <v>85.29025099435394</v>
      </c>
      <c r="BV217" s="22">
        <f t="shared" si="1823"/>
        <v>-5.5882509943540697</v>
      </c>
      <c r="BW217" s="22">
        <f t="shared" si="1823"/>
        <v>58.393901063268245</v>
      </c>
      <c r="BX217" s="22">
        <f t="shared" si="1823"/>
        <v>69.259098936731789</v>
      </c>
      <c r="BY217" s="22">
        <f t="shared" si="1823"/>
        <v>74.60190802645468</v>
      </c>
      <c r="BZ217" s="22">
        <f t="shared" si="1823"/>
        <v>79.008091973545447</v>
      </c>
      <c r="CA217" s="22">
        <f t="shared" si="1823"/>
        <v>95.680909219390372</v>
      </c>
      <c r="CB217" s="22">
        <f t="shared" si="1823"/>
        <v>88.369090780609511</v>
      </c>
      <c r="CC217" s="22">
        <f t="shared" si="1823"/>
        <v>112.60965972365435</v>
      </c>
      <c r="CD217" s="22">
        <f t="shared" si="1823"/>
        <v>38.980340276345586</v>
      </c>
      <c r="CE217" s="22">
        <f t="shared" ref="CE217:CF217" si="1824">CE213+CE216</f>
        <v>234.74754631433535</v>
      </c>
      <c r="CF217" s="22">
        <f t="shared" si="1824"/>
        <v>-110.4575463143354</v>
      </c>
      <c r="CG217" s="22">
        <f t="shared" ref="CG217:CH217" si="1825">CG213+CG216</f>
        <v>102.47619002637077</v>
      </c>
      <c r="CH217" s="22">
        <f t="shared" si="1825"/>
        <v>412.50380997362913</v>
      </c>
      <c r="CI217" s="22">
        <f t="shared" ref="CI217:CJ217" si="1826">CI213+CI216</f>
        <v>296.24059154682357</v>
      </c>
      <c r="CJ217" s="22">
        <f t="shared" si="1826"/>
        <v>-258.17059154682352</v>
      </c>
      <c r="CK217" s="22">
        <f t="shared" ref="CK217:DB217" si="1827">CK213+CK216</f>
        <v>124.30764378254014</v>
      </c>
      <c r="CL217" s="22">
        <f t="shared" si="1827"/>
        <v>-182.18764378253985</v>
      </c>
      <c r="CM217" s="21">
        <f t="shared" si="1827"/>
        <v>175.81686307452713</v>
      </c>
      <c r="CN217" s="21">
        <f t="shared" si="1827"/>
        <v>129.26760486605156</v>
      </c>
      <c r="CO217" s="21">
        <f t="shared" si="1827"/>
        <v>113.02006670385487</v>
      </c>
      <c r="CP217" s="21">
        <f t="shared" si="1827"/>
        <v>103.56522741893559</v>
      </c>
      <c r="CQ217" s="21">
        <f t="shared" si="1827"/>
        <v>123.65680196736164</v>
      </c>
      <c r="CR217" s="21">
        <f t="shared" si="1827"/>
        <v>131.68524467100985</v>
      </c>
      <c r="CS217" s="21">
        <f t="shared" si="1827"/>
        <v>115.08301616086641</v>
      </c>
      <c r="CT217" s="21">
        <f t="shared" si="1827"/>
        <v>127.44109649093178</v>
      </c>
      <c r="CU217" s="21">
        <f t="shared" si="1827"/>
        <v>139.63128748176268</v>
      </c>
      <c r="CV217" s="21">
        <f t="shared" si="1827"/>
        <v>142.02895497783553</v>
      </c>
      <c r="CW217" s="21">
        <f t="shared" si="1827"/>
        <v>127.96897880833524</v>
      </c>
      <c r="CX217" s="21">
        <f t="shared" si="1827"/>
        <v>145.68233298514647</v>
      </c>
      <c r="CY217" s="21">
        <f t="shared" si="1827"/>
        <v>155.14156246765006</v>
      </c>
      <c r="CZ217" s="21">
        <f t="shared" si="1827"/>
        <v>157.46538522340103</v>
      </c>
      <c r="DA217" s="21">
        <f t="shared" si="1827"/>
        <v>143.26877148871714</v>
      </c>
      <c r="DB217" s="21">
        <f t="shared" si="1827"/>
        <v>163.13428890408431</v>
      </c>
      <c r="DE217" s="126"/>
      <c r="DF217" s="22">
        <v>-19.809999999999377</v>
      </c>
    </row>
    <row r="218" spans="1:110" s="23" customFormat="1" x14ac:dyDescent="0.2">
      <c r="AB218" s="24"/>
      <c r="AC218" s="24"/>
      <c r="AD218" s="24"/>
      <c r="AE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E218" s="123"/>
    </row>
    <row r="219" spans="1:110" s="22" customFormat="1" x14ac:dyDescent="0.2">
      <c r="A219" s="22" t="s">
        <v>92</v>
      </c>
      <c r="C219" s="22">
        <f t="shared" ref="C219:W219" si="1828">C220+C221</f>
        <v>-2.5715837999999707</v>
      </c>
      <c r="D219" s="22">
        <f>D220+D221</f>
        <v>-5.6790012000000152</v>
      </c>
      <c r="E219" s="22">
        <f t="shared" si="1828"/>
        <v>-5.8472447999999906</v>
      </c>
      <c r="F219" s="22">
        <f t="shared" si="1828"/>
        <v>-24.609213299999993</v>
      </c>
      <c r="G219" s="22">
        <f t="shared" si="1828"/>
        <v>-43.23810000000001</v>
      </c>
      <c r="H219" s="22">
        <f t="shared" si="1828"/>
        <v>-45.49669999999999</v>
      </c>
      <c r="I219" s="22">
        <f t="shared" si="1828"/>
        <v>-81.943600000000046</v>
      </c>
      <c r="J219" s="22">
        <f t="shared" si="1828"/>
        <v>-141.51150000000001</v>
      </c>
      <c r="K219" s="22">
        <f t="shared" si="1828"/>
        <v>-79.128499999999903</v>
      </c>
      <c r="L219" s="22">
        <f t="shared" si="1828"/>
        <v>-166.98279999999991</v>
      </c>
      <c r="M219" s="22">
        <f t="shared" si="1828"/>
        <v>-134.60400000000013</v>
      </c>
      <c r="N219" s="22">
        <f t="shared" si="1828"/>
        <v>-117.88099999999991</v>
      </c>
      <c r="O219" s="22">
        <f t="shared" si="1828"/>
        <v>-29.03420000000003</v>
      </c>
      <c r="P219" s="22">
        <f t="shared" si="1828"/>
        <v>2.8400999999998513</v>
      </c>
      <c r="Q219" s="22">
        <f t="shared" si="1828"/>
        <v>-484.08409999999981</v>
      </c>
      <c r="R219" s="22">
        <f t="shared" si="1828"/>
        <v>-9.7293999999999414</v>
      </c>
      <c r="S219" s="22">
        <f t="shared" si="1828"/>
        <v>-27.530900000000038</v>
      </c>
      <c r="T219" s="22">
        <f t="shared" si="1828"/>
        <v>-20.161000000000065</v>
      </c>
      <c r="U219" s="22">
        <f t="shared" si="1828"/>
        <v>-46.859500000000111</v>
      </c>
      <c r="V219" s="22">
        <f t="shared" si="1828"/>
        <v>-11.872700000000002</v>
      </c>
      <c r="W219" s="22">
        <f t="shared" si="1828"/>
        <v>-30.852299999999971</v>
      </c>
      <c r="X219" s="22">
        <f t="shared" ref="X219:Y219" si="1829">X220+X221</f>
        <v>-66.825300000000055</v>
      </c>
      <c r="Y219" s="22">
        <f t="shared" si="1829"/>
        <v>-91.78999999999975</v>
      </c>
      <c r="Z219" s="22">
        <f t="shared" ref="Z219:AA219" si="1830">Z220+Z221</f>
        <v>-210.04000000000019</v>
      </c>
      <c r="AA219" s="22">
        <f t="shared" ref="AA219" si="1831">AA220+AA221</f>
        <v>-203.50999999999976</v>
      </c>
      <c r="AB219" s="21">
        <f t="shared" ref="AB219:AD219" si="1832">AB220+AB221</f>
        <v>294.63000000000005</v>
      </c>
      <c r="AC219" s="21">
        <f t="shared" si="1832"/>
        <v>0</v>
      </c>
      <c r="AD219" s="21">
        <f t="shared" si="1832"/>
        <v>0</v>
      </c>
      <c r="AE219" s="21">
        <f t="shared" ref="AE219" si="1833">AE220+AE221</f>
        <v>0</v>
      </c>
      <c r="AI219" s="22">
        <f t="shared" ref="AI219" si="1834">AI220+AI221</f>
        <v>-11.411</v>
      </c>
      <c r="AJ219" s="22">
        <f t="shared" ref="AJ219:AL219" si="1835">AJ220+AJ221</f>
        <v>-543.93399999999997</v>
      </c>
      <c r="AK219" s="22">
        <f t="shared" si="1835"/>
        <v>-12.038000000000011</v>
      </c>
      <c r="AL219" s="22">
        <f t="shared" si="1835"/>
        <v>-120.22200000000008</v>
      </c>
      <c r="AM219" s="22">
        <f t="shared" ref="AM219" si="1836">AM220+AM221</f>
        <v>-11.378000000000043</v>
      </c>
      <c r="AN219" s="22">
        <f t="shared" ref="AN219:CD219" si="1837">AN220+AN221</f>
        <v>191.01600000000008</v>
      </c>
      <c r="AO219" s="22">
        <f t="shared" si="1837"/>
        <v>-11.48399999999998</v>
      </c>
      <c r="AP219" s="22">
        <f t="shared" si="1837"/>
        <v>-180.98800000000006</v>
      </c>
      <c r="AQ219" s="22">
        <f t="shared" si="1837"/>
        <v>-19.447000000000003</v>
      </c>
      <c r="AR219" s="22">
        <f t="shared" si="1837"/>
        <v>192.39900000000011</v>
      </c>
      <c r="AS219" s="22">
        <f t="shared" si="1837"/>
        <v>-16.889999999999986</v>
      </c>
      <c r="AT219" s="22">
        <f t="shared" si="1837"/>
        <v>-153.22300000000007</v>
      </c>
      <c r="AU219" s="22">
        <f t="shared" si="1837"/>
        <v>-15.687000000000012</v>
      </c>
      <c r="AV219" s="22">
        <f t="shared" si="1837"/>
        <v>10.092000000000052</v>
      </c>
      <c r="AW219" s="22">
        <f t="shared" si="1837"/>
        <v>-16.01400000000001</v>
      </c>
      <c r="AX219" s="22">
        <f t="shared" si="1837"/>
        <v>-462.476</v>
      </c>
      <c r="AY219" s="22">
        <f t="shared" si="1837"/>
        <v>-14.317000000000007</v>
      </c>
      <c r="AZ219" s="22">
        <f t="shared" si="1837"/>
        <v>6.8660000000000068</v>
      </c>
      <c r="BA219" s="22">
        <f t="shared" si="1837"/>
        <v>-14.155999999999949</v>
      </c>
      <c r="BB219" s="22">
        <f t="shared" si="1837"/>
        <v>11.878000000000057</v>
      </c>
      <c r="BC219" s="22">
        <f t="shared" si="1837"/>
        <v>-12.303999999999974</v>
      </c>
      <c r="BD219" s="22">
        <f t="shared" si="1837"/>
        <v>-8.7550000000000239</v>
      </c>
      <c r="BE219" s="22">
        <f t="shared" si="1837"/>
        <v>-13.038000000000011</v>
      </c>
      <c r="BF219" s="22">
        <f t="shared" si="1837"/>
        <v>6.5650000000000333</v>
      </c>
      <c r="BG219" s="22">
        <f t="shared" si="1837"/>
        <v>-11.988000000000056</v>
      </c>
      <c r="BH219" s="22">
        <f t="shared" si="1837"/>
        <v>-4.5380000000000251</v>
      </c>
      <c r="BI219" s="22">
        <f t="shared" si="1837"/>
        <v>-11.995000000000005</v>
      </c>
      <c r="BJ219" s="22">
        <f t="shared" si="1837"/>
        <v>8.3589999999999876</v>
      </c>
      <c r="BK219" s="22">
        <f t="shared" si="1837"/>
        <v>-12.062999999999988</v>
      </c>
      <c r="BL219" s="22">
        <f t="shared" si="1837"/>
        <v>3.9100000000000392</v>
      </c>
      <c r="BM219" s="22">
        <f t="shared" si="1837"/>
        <v>-12.519999999999982</v>
      </c>
      <c r="BN219" s="22">
        <f t="shared" si="1837"/>
        <v>39.214000000000098</v>
      </c>
      <c r="BO219" s="22">
        <f t="shared" si="1837"/>
        <v>-13.129999999999995</v>
      </c>
      <c r="BP219" s="22">
        <f t="shared" si="1837"/>
        <v>5.5529999999999262</v>
      </c>
      <c r="BQ219" s="22">
        <f t="shared" si="1837"/>
        <v>-12.801000000000045</v>
      </c>
      <c r="BR219" s="22">
        <f t="shared" si="1837"/>
        <v>2.107000000000042</v>
      </c>
      <c r="BS219" s="22">
        <f t="shared" si="1837"/>
        <v>-12.240999999999985</v>
      </c>
      <c r="BT219" s="22">
        <f t="shared" si="1837"/>
        <v>-0.10100000000008436</v>
      </c>
      <c r="BU219" s="22">
        <f t="shared" si="1837"/>
        <v>-12.05499999999995</v>
      </c>
      <c r="BV219" s="22">
        <f t="shared" si="1837"/>
        <v>4.7799999999999301</v>
      </c>
      <c r="BW219" s="22">
        <f t="shared" si="1837"/>
        <v>-11.419999999999959</v>
      </c>
      <c r="BX219" s="22">
        <f t="shared" si="1837"/>
        <v>2.9570000000000078</v>
      </c>
      <c r="BY219" s="22">
        <f t="shared" si="1837"/>
        <v>-12.110000000000014</v>
      </c>
      <c r="BZ219" s="22">
        <f t="shared" si="1837"/>
        <v>-34.748000000000076</v>
      </c>
      <c r="CA219" s="22">
        <f t="shared" si="1837"/>
        <v>-12.419999999999959</v>
      </c>
      <c r="CB219" s="22">
        <f t="shared" si="1837"/>
        <v>-18.379999999999811</v>
      </c>
      <c r="CC219" s="22">
        <f t="shared" si="1837"/>
        <v>-12.639999999999986</v>
      </c>
      <c r="CD219" s="22">
        <f t="shared" si="1837"/>
        <v>-24.380000000000095</v>
      </c>
      <c r="CE219" s="22">
        <f t="shared" ref="CE219:CF219" si="1838">CE220+CE221</f>
        <v>-12.830000000000041</v>
      </c>
      <c r="CF219" s="22">
        <f t="shared" si="1838"/>
        <v>-35.669999999999973</v>
      </c>
      <c r="CG219" s="22">
        <f t="shared" ref="CG219:CH219" si="1839">CG220+CG221</f>
        <v>-15.539999999999964</v>
      </c>
      <c r="CH219" s="22">
        <f t="shared" si="1839"/>
        <v>-251.70000000000016</v>
      </c>
      <c r="CI219" s="22">
        <f t="shared" ref="CI219:CJ219" si="1840">CI220+CI221</f>
        <v>0</v>
      </c>
      <c r="CJ219" s="22">
        <f t="shared" si="1840"/>
        <v>29.070000000000164</v>
      </c>
      <c r="CK219" s="22">
        <f t="shared" ref="CK219:DB219" si="1841">CK220+CK221</f>
        <v>0</v>
      </c>
      <c r="CL219" s="22">
        <f t="shared" si="1841"/>
        <v>62.050000000000011</v>
      </c>
      <c r="CM219" s="21">
        <f t="shared" si="1841"/>
        <v>0</v>
      </c>
      <c r="CN219" s="21">
        <f t="shared" si="1841"/>
        <v>0</v>
      </c>
      <c r="CO219" s="21">
        <f t="shared" si="1841"/>
        <v>0</v>
      </c>
      <c r="CP219" s="21">
        <f t="shared" si="1841"/>
        <v>0</v>
      </c>
      <c r="CQ219" s="21">
        <f t="shared" si="1841"/>
        <v>0</v>
      </c>
      <c r="CR219" s="21">
        <f t="shared" si="1841"/>
        <v>0</v>
      </c>
      <c r="CS219" s="21">
        <f t="shared" si="1841"/>
        <v>0</v>
      </c>
      <c r="CT219" s="21">
        <f t="shared" si="1841"/>
        <v>0</v>
      </c>
      <c r="CU219" s="21">
        <f t="shared" si="1841"/>
        <v>0</v>
      </c>
      <c r="CV219" s="21">
        <f t="shared" si="1841"/>
        <v>0</v>
      </c>
      <c r="CW219" s="21">
        <f t="shared" si="1841"/>
        <v>0</v>
      </c>
      <c r="CX219" s="21">
        <f t="shared" si="1841"/>
        <v>0</v>
      </c>
      <c r="CY219" s="21">
        <f t="shared" si="1841"/>
        <v>0</v>
      </c>
      <c r="CZ219" s="21">
        <f t="shared" si="1841"/>
        <v>0</v>
      </c>
      <c r="DA219" s="21">
        <f t="shared" si="1841"/>
        <v>0</v>
      </c>
      <c r="DB219" s="21">
        <f t="shared" si="1841"/>
        <v>0</v>
      </c>
      <c r="DE219" s="126"/>
      <c r="DF219" s="22">
        <v>91.119999999999948</v>
      </c>
    </row>
    <row r="220" spans="1:110" s="23" customFormat="1" x14ac:dyDescent="0.2">
      <c r="A220" s="23" t="s">
        <v>93</v>
      </c>
      <c r="C220" s="23">
        <f t="shared" ref="C220:AA220" si="1842">B158-C158</f>
        <v>-0.68155840000000012</v>
      </c>
      <c r="D220" s="23">
        <f t="shared" si="1842"/>
        <v>-1.0728809000000004</v>
      </c>
      <c r="E220" s="23">
        <f>D158-E158</f>
        <v>0.14984200000000047</v>
      </c>
      <c r="F220" s="23">
        <f t="shared" si="1842"/>
        <v>0.1155033999999997</v>
      </c>
      <c r="G220" s="23">
        <f t="shared" si="1842"/>
        <v>-0.64139999999999997</v>
      </c>
      <c r="H220" s="23">
        <f t="shared" si="1842"/>
        <v>-1.7530999999999999</v>
      </c>
      <c r="I220" s="23">
        <f t="shared" si="1842"/>
        <v>-1.4158000000000008</v>
      </c>
      <c r="J220" s="23">
        <f>I158-J158</f>
        <v>-1.4124999999999996</v>
      </c>
      <c r="K220" s="23">
        <f>J158-K158</f>
        <v>5.1923000000000004</v>
      </c>
      <c r="L220" s="23">
        <f t="shared" si="1842"/>
        <v>1.9102000000000001</v>
      </c>
      <c r="M220" s="23">
        <f t="shared" si="1842"/>
        <v>-2.3870999999999998</v>
      </c>
      <c r="N220" s="23">
        <f t="shared" si="1842"/>
        <v>1.4562999999999997</v>
      </c>
      <c r="O220" s="23">
        <f t="shared" si="1842"/>
        <v>-0.10860000000000003</v>
      </c>
      <c r="P220" s="23">
        <f t="shared" si="1842"/>
        <v>-1.2709999999999999</v>
      </c>
      <c r="Q220" s="23">
        <f t="shared" si="1842"/>
        <v>-39.9758</v>
      </c>
      <c r="R220" s="23">
        <f t="shared" si="1842"/>
        <v>-2.8066000000000031</v>
      </c>
      <c r="S220" s="23">
        <f t="shared" si="1842"/>
        <v>-2.0016000000000034</v>
      </c>
      <c r="T220" s="23">
        <f t="shared" si="1842"/>
        <v>-3.1195999999999984</v>
      </c>
      <c r="U220" s="23">
        <f t="shared" si="1842"/>
        <v>1.4376000000000033</v>
      </c>
      <c r="V220" s="23">
        <f t="shared" si="1842"/>
        <v>-0.89399999999999835</v>
      </c>
      <c r="W220" s="23">
        <f t="shared" si="1842"/>
        <v>-0.80190000000000339</v>
      </c>
      <c r="X220" s="23">
        <f t="shared" si="1842"/>
        <v>-3.3721999999999994</v>
      </c>
      <c r="Y220" s="23">
        <f t="shared" si="1842"/>
        <v>-25.519999999999996</v>
      </c>
      <c r="Z220" s="23">
        <f t="shared" si="1842"/>
        <v>1.8799999999999955</v>
      </c>
      <c r="AA220" s="23">
        <f t="shared" si="1842"/>
        <v>-67.139999999999986</v>
      </c>
      <c r="AB220" s="24">
        <f t="shared" ref="AB220" si="1843">AA158-AB158</f>
        <v>-24.910000000000025</v>
      </c>
      <c r="AC220" s="24">
        <f t="shared" ref="AC220" si="1844">AB158-AC158</f>
        <v>0</v>
      </c>
      <c r="AD220" s="24">
        <f t="shared" ref="AD220" si="1845">AC158-AD158</f>
        <v>0</v>
      </c>
      <c r="AE220" s="24">
        <f t="shared" ref="AE220" si="1846">AD158-AE158</f>
        <v>0</v>
      </c>
      <c r="AI220" s="23">
        <f t="shared" ref="AI220" si="1847">AH158-AI158</f>
        <v>0</v>
      </c>
      <c r="AJ220" s="23">
        <f t="shared" ref="AJ220" si="1848">AI158-AJ158</f>
        <v>-35.484999999999999</v>
      </c>
      <c r="AK220" s="23">
        <f t="shared" ref="AK220" si="1849">AJ158-AK158</f>
        <v>0</v>
      </c>
      <c r="AL220" s="23">
        <f t="shared" ref="AL220" si="1850">AK158-AL158</f>
        <v>30.789000000000001</v>
      </c>
      <c r="AM220" s="23">
        <f t="shared" ref="AM220" si="1851">AL158-AM158</f>
        <v>0</v>
      </c>
      <c r="AN220" s="23">
        <f t="shared" ref="AN220" si="1852">AM158-AN158</f>
        <v>-32.373000000000005</v>
      </c>
      <c r="AO220" s="23">
        <f t="shared" ref="AO220" si="1853">AN158-AO158</f>
        <v>0</v>
      </c>
      <c r="AP220" s="23">
        <f t="shared" ref="AP220" si="1854">AO158-AP158</f>
        <v>32.264000000000003</v>
      </c>
      <c r="AQ220" s="23">
        <f t="shared" ref="AQ220" si="1855">AP158-AQ158</f>
        <v>0</v>
      </c>
      <c r="AR220" s="23">
        <f t="shared" ref="AR220" si="1856">AQ158-AR158</f>
        <v>-32.264000000000003</v>
      </c>
      <c r="AS220" s="23">
        <f t="shared" ref="AS220" si="1857">AR158-AS158</f>
        <v>0</v>
      </c>
      <c r="AT220" s="23">
        <f t="shared" ref="AT220" si="1858">AS158-AT158</f>
        <v>30.993000000000002</v>
      </c>
      <c r="AU220" s="23">
        <f t="shared" ref="AU220" si="1859">AT158-AU158</f>
        <v>0</v>
      </c>
      <c r="AV220" s="23">
        <f t="shared" ref="AV220" si="1860">AU158-AV158</f>
        <v>0.11099999999999977</v>
      </c>
      <c r="AW220" s="23">
        <f t="shared" ref="AW220" si="1861">AV158-AW158</f>
        <v>0</v>
      </c>
      <c r="AX220" s="23">
        <f t="shared" ref="AX220" si="1862">AW158-AX158</f>
        <v>-40.087000000000003</v>
      </c>
      <c r="AY220" s="23">
        <f t="shared" ref="AY220" si="1863">AX158-AY158</f>
        <v>0</v>
      </c>
      <c r="AZ220" s="23">
        <f t="shared" ref="AZ220" si="1864">AY158-AZ158</f>
        <v>-1.2779999999999987</v>
      </c>
      <c r="BA220" s="23">
        <f t="shared" ref="BA220" si="1865">AZ158-BA158</f>
        <v>0</v>
      </c>
      <c r="BB220" s="23">
        <f t="shared" ref="BB220" si="1866">BA158-BB158</f>
        <v>-4.5570000000000022</v>
      </c>
      <c r="BC220" s="23">
        <f t="shared" ref="BC220" si="1867">BB158-BC158</f>
        <v>0</v>
      </c>
      <c r="BD220" s="23">
        <f t="shared" ref="BD220" si="1868">BC158-BD158</f>
        <v>-0.1839999999999975</v>
      </c>
      <c r="BE220" s="23">
        <f t="shared" ref="BE220" si="1869">BD158-BE158</f>
        <v>0</v>
      </c>
      <c r="BF220" s="23">
        <f t="shared" ref="BF220" si="1870">BE158-BF158</f>
        <v>-1.669000000000004</v>
      </c>
      <c r="BG220" s="23">
        <f t="shared" ref="BG220" si="1871">BF158-BG158</f>
        <v>0</v>
      </c>
      <c r="BH220" s="23">
        <f t="shared" ref="BH220" si="1872">BG158-BH158</f>
        <v>-0.49599999999999511</v>
      </c>
      <c r="BI220" s="23">
        <f t="shared" ref="BI220" si="1873">BH158-BI158</f>
        <v>0</v>
      </c>
      <c r="BJ220" s="23">
        <f t="shared" ref="BJ220" si="1874">BI158-BJ158</f>
        <v>-2.4780000000000015</v>
      </c>
      <c r="BK220" s="23">
        <f t="shared" ref="BK220" si="1875">BJ158-BK158</f>
        <v>0</v>
      </c>
      <c r="BL220" s="23">
        <f t="shared" ref="BL220" si="1876">BK158-BL158</f>
        <v>0.42600000000000193</v>
      </c>
      <c r="BM220" s="23">
        <f t="shared" ref="BM220" si="1877">BL158-BM158</f>
        <v>0</v>
      </c>
      <c r="BN220" s="23">
        <f t="shared" ref="BN220" si="1878">BM158-BN158</f>
        <v>-21.853999999999999</v>
      </c>
      <c r="BO220" s="23">
        <f t="shared" ref="BO220" si="1879">BN158-BO158</f>
        <v>0</v>
      </c>
      <c r="BP220" s="23">
        <f t="shared" ref="BP220" si="1880">BO158-BP158</f>
        <v>-0.74300000000000921</v>
      </c>
      <c r="BQ220" s="23">
        <f t="shared" ref="BQ220" si="1881">BP158-BQ158</f>
        <v>0</v>
      </c>
      <c r="BR220" s="23">
        <f t="shared" ref="BR220" si="1882">BQ158-BR158</f>
        <v>-2.1000000000000796E-2</v>
      </c>
      <c r="BS220" s="23">
        <f t="shared" ref="BS220" si="1883">BR158-BS158</f>
        <v>0</v>
      </c>
      <c r="BT220" s="23">
        <f t="shared" ref="BT220" si="1884">BS158-BT158</f>
        <v>4.4000000000011141E-2</v>
      </c>
      <c r="BU220" s="23">
        <f t="shared" ref="BU220" si="1885">BT158-BU158</f>
        <v>0</v>
      </c>
      <c r="BV220" s="23">
        <f t="shared" ref="BV220" si="1886">BU158-BV158</f>
        <v>-0.72299999999999898</v>
      </c>
      <c r="BW220" s="23">
        <f t="shared" ref="BW220" si="1887">BV158-BW158</f>
        <v>0</v>
      </c>
      <c r="BX220" s="23">
        <f t="shared" ref="BX220" si="1888">BW158-BX158</f>
        <v>-0.49900000000000944</v>
      </c>
      <c r="BY220" s="23">
        <f t="shared" ref="BY220" si="1889">BX158-BY158</f>
        <v>0</v>
      </c>
      <c r="BZ220" s="23">
        <f t="shared" ref="BZ220" si="1890">BY158-BZ158</f>
        <v>-2.7560000000000002</v>
      </c>
      <c r="CA220" s="23">
        <f t="shared" ref="CA220" si="1891">BZ158-CA158</f>
        <v>0</v>
      </c>
      <c r="CB220" s="23">
        <f t="shared" ref="CB220" si="1892">CA158-CB158</f>
        <v>-1.5499999999999972</v>
      </c>
      <c r="CC220" s="23">
        <f t="shared" ref="CC220" si="1893">CB158-CC158</f>
        <v>0</v>
      </c>
      <c r="CD220" s="23">
        <f t="shared" ref="CD220" si="1894">CC158-CD158</f>
        <v>-23.86</v>
      </c>
      <c r="CE220" s="23">
        <f t="shared" ref="CE220" si="1895">CD158-CE158</f>
        <v>0</v>
      </c>
      <c r="CF220" s="23">
        <f t="shared" ref="CF220" si="1896">CE158-CF158</f>
        <v>-13.64</v>
      </c>
      <c r="CG220" s="23">
        <f t="shared" ref="CG220" si="1897">CF158-CG158</f>
        <v>0</v>
      </c>
      <c r="CH220" s="23">
        <f t="shared" ref="CH220:CL220" si="1898">CG158-CH158</f>
        <v>40.64</v>
      </c>
      <c r="CI220" s="23">
        <f t="shared" si="1898"/>
        <v>0</v>
      </c>
      <c r="CJ220" s="23">
        <f t="shared" si="1898"/>
        <v>-119.87</v>
      </c>
      <c r="CK220" s="23">
        <f t="shared" ref="CK220" si="1899">CJ158-CK158</f>
        <v>0</v>
      </c>
      <c r="CL220" s="23">
        <f t="shared" si="1898"/>
        <v>27.819999999999993</v>
      </c>
      <c r="CM220" s="24">
        <f t="shared" ref="CM220" si="1900">CL158-CM158</f>
        <v>0</v>
      </c>
      <c r="CN220" s="24">
        <f t="shared" ref="CN220" si="1901">CM158-CN158</f>
        <v>0</v>
      </c>
      <c r="CO220" s="24">
        <f t="shared" ref="CO220" si="1902">CN158-CO158</f>
        <v>0</v>
      </c>
      <c r="CP220" s="24">
        <f t="shared" ref="CP220" si="1903">CO158-CP158</f>
        <v>0</v>
      </c>
      <c r="CQ220" s="24">
        <f t="shared" ref="CQ220" si="1904">CP158-CQ158</f>
        <v>0</v>
      </c>
      <c r="CR220" s="24">
        <f t="shared" ref="CR220" si="1905">CQ158-CR158</f>
        <v>0</v>
      </c>
      <c r="CS220" s="24">
        <f t="shared" ref="CS220" si="1906">CR158-CS158</f>
        <v>0</v>
      </c>
      <c r="CT220" s="24">
        <f t="shared" ref="CT220" si="1907">CS158-CT158</f>
        <v>0</v>
      </c>
      <c r="CU220" s="24">
        <f t="shared" ref="CU220" si="1908">CT158-CU158</f>
        <v>0</v>
      </c>
      <c r="CV220" s="24">
        <f t="shared" ref="CV220" si="1909">CU158-CV158</f>
        <v>0</v>
      </c>
      <c r="CW220" s="24">
        <f t="shared" ref="CW220" si="1910">CV158-CW158</f>
        <v>0</v>
      </c>
      <c r="CX220" s="24">
        <f t="shared" ref="CX220" si="1911">CW158-CX158</f>
        <v>0</v>
      </c>
      <c r="CY220" s="24">
        <f t="shared" ref="CY220" si="1912">CX158-CY158</f>
        <v>0</v>
      </c>
      <c r="CZ220" s="24">
        <f t="shared" ref="CZ220" si="1913">CY158-CZ158</f>
        <v>0</v>
      </c>
      <c r="DA220" s="24">
        <f t="shared" ref="DA220" si="1914">CZ158-DA158</f>
        <v>0</v>
      </c>
      <c r="DB220" s="24">
        <f t="shared" ref="DB220" si="1915">DA158-DB158</f>
        <v>0</v>
      </c>
      <c r="DE220" s="123"/>
      <c r="DF220" s="23">
        <v>-92.050000000000011</v>
      </c>
    </row>
    <row r="221" spans="1:110" s="23" customFormat="1" x14ac:dyDescent="0.2">
      <c r="A221" s="23" t="s">
        <v>94</v>
      </c>
      <c r="C221" s="23">
        <f t="shared" ref="C221:AE221" si="1916">B156-C50-C156</f>
        <v>-1.8900253999999705</v>
      </c>
      <c r="D221" s="23">
        <f t="shared" si="1916"/>
        <v>-4.6061203000000148</v>
      </c>
      <c r="E221" s="23">
        <f t="shared" si="1916"/>
        <v>-5.9970867999999911</v>
      </c>
      <c r="F221" s="23">
        <f t="shared" si="1916"/>
        <v>-24.724716699999995</v>
      </c>
      <c r="G221" s="23">
        <f t="shared" si="1916"/>
        <v>-42.596700000000013</v>
      </c>
      <c r="H221" s="23">
        <f t="shared" si="1916"/>
        <v>-43.743599999999986</v>
      </c>
      <c r="I221" s="23">
        <f t="shared" si="1916"/>
        <v>-80.527800000000042</v>
      </c>
      <c r="J221" s="23">
        <f t="shared" si="1916"/>
        <v>-140.09900000000002</v>
      </c>
      <c r="K221" s="23">
        <f t="shared" si="1916"/>
        <v>-84.320799999999906</v>
      </c>
      <c r="L221" s="23">
        <f t="shared" si="1916"/>
        <v>-168.89299999999992</v>
      </c>
      <c r="M221" s="23">
        <f t="shared" si="1916"/>
        <v>-132.21690000000012</v>
      </c>
      <c r="N221" s="23">
        <f t="shared" si="1916"/>
        <v>-119.33729999999991</v>
      </c>
      <c r="O221" s="23">
        <f t="shared" si="1916"/>
        <v>-28.925600000000031</v>
      </c>
      <c r="P221" s="23">
        <f t="shared" si="1916"/>
        <v>4.1110999999998512</v>
      </c>
      <c r="Q221" s="23">
        <f t="shared" si="1916"/>
        <v>-444.10829999999982</v>
      </c>
      <c r="R221" s="23">
        <f t="shared" si="1916"/>
        <v>-6.9227999999999383</v>
      </c>
      <c r="S221" s="23">
        <f t="shared" si="1916"/>
        <v>-25.529300000000035</v>
      </c>
      <c r="T221" s="23">
        <f t="shared" si="1916"/>
        <v>-17.041400000000067</v>
      </c>
      <c r="U221" s="23">
        <f t="shared" si="1916"/>
        <v>-48.297100000000114</v>
      </c>
      <c r="V221" s="23">
        <f t="shared" si="1916"/>
        <v>-10.978700000000003</v>
      </c>
      <c r="W221" s="23">
        <f t="shared" si="1916"/>
        <v>-30.050399999999968</v>
      </c>
      <c r="X221" s="23">
        <f t="shared" si="1916"/>
        <v>-63.453100000000063</v>
      </c>
      <c r="Y221" s="23">
        <f t="shared" si="1916"/>
        <v>-66.269999999999754</v>
      </c>
      <c r="Z221" s="23">
        <f t="shared" si="1916"/>
        <v>-211.92000000000019</v>
      </c>
      <c r="AA221" s="23">
        <f t="shared" si="1916"/>
        <v>-136.36999999999978</v>
      </c>
      <c r="AB221" s="24">
        <f t="shared" si="1916"/>
        <v>319.54000000000008</v>
      </c>
      <c r="AC221" s="24">
        <f t="shared" si="1916"/>
        <v>0</v>
      </c>
      <c r="AD221" s="24">
        <f t="shared" si="1916"/>
        <v>0</v>
      </c>
      <c r="AE221" s="24">
        <f t="shared" si="1916"/>
        <v>0</v>
      </c>
      <c r="AI221" s="23">
        <f t="shared" ref="AI221:BN221" si="1917">AH156-AI50-AI156</f>
        <v>-11.411</v>
      </c>
      <c r="AJ221" s="23">
        <f t="shared" si="1917"/>
        <v>-508.44900000000001</v>
      </c>
      <c r="AK221" s="23">
        <f t="shared" si="1917"/>
        <v>-12.038000000000011</v>
      </c>
      <c r="AL221" s="23">
        <f t="shared" si="1917"/>
        <v>-151.01100000000008</v>
      </c>
      <c r="AM221" s="23">
        <f t="shared" si="1917"/>
        <v>-11.378000000000043</v>
      </c>
      <c r="AN221" s="23">
        <f t="shared" si="1917"/>
        <v>223.38900000000007</v>
      </c>
      <c r="AO221" s="23">
        <f t="shared" si="1917"/>
        <v>-11.48399999999998</v>
      </c>
      <c r="AP221" s="23">
        <f t="shared" si="1917"/>
        <v>-213.25200000000007</v>
      </c>
      <c r="AQ221" s="23">
        <f t="shared" si="1917"/>
        <v>-19.447000000000003</v>
      </c>
      <c r="AR221" s="23">
        <f t="shared" si="1917"/>
        <v>224.66300000000012</v>
      </c>
      <c r="AS221" s="23">
        <f t="shared" si="1917"/>
        <v>-16.889999999999986</v>
      </c>
      <c r="AT221" s="23">
        <f t="shared" si="1917"/>
        <v>-184.21600000000007</v>
      </c>
      <c r="AU221" s="23">
        <f t="shared" si="1917"/>
        <v>-15.687000000000012</v>
      </c>
      <c r="AV221" s="23">
        <f t="shared" si="1917"/>
        <v>9.9810000000000514</v>
      </c>
      <c r="AW221" s="23">
        <f t="shared" si="1917"/>
        <v>-16.01400000000001</v>
      </c>
      <c r="AX221" s="23">
        <f t="shared" si="1917"/>
        <v>-422.38900000000001</v>
      </c>
      <c r="AY221" s="23">
        <f t="shared" si="1917"/>
        <v>-14.317000000000007</v>
      </c>
      <c r="AZ221" s="23">
        <f t="shared" si="1917"/>
        <v>8.1440000000000055</v>
      </c>
      <c r="BA221" s="23">
        <f t="shared" si="1917"/>
        <v>-14.155999999999949</v>
      </c>
      <c r="BB221" s="23">
        <f t="shared" si="1917"/>
        <v>16.435000000000059</v>
      </c>
      <c r="BC221" s="23">
        <f t="shared" si="1917"/>
        <v>-12.303999999999974</v>
      </c>
      <c r="BD221" s="23">
        <f t="shared" si="1917"/>
        <v>-8.5710000000000264</v>
      </c>
      <c r="BE221" s="23">
        <f t="shared" si="1917"/>
        <v>-13.038000000000011</v>
      </c>
      <c r="BF221" s="23">
        <f t="shared" si="1917"/>
        <v>8.2340000000000373</v>
      </c>
      <c r="BG221" s="23">
        <f t="shared" si="1917"/>
        <v>-11.988000000000056</v>
      </c>
      <c r="BH221" s="23">
        <f t="shared" si="1917"/>
        <v>-4.04200000000003</v>
      </c>
      <c r="BI221" s="23">
        <f t="shared" si="1917"/>
        <v>-11.995000000000005</v>
      </c>
      <c r="BJ221" s="23">
        <f t="shared" si="1917"/>
        <v>10.836999999999989</v>
      </c>
      <c r="BK221" s="23">
        <f t="shared" si="1917"/>
        <v>-12.062999999999988</v>
      </c>
      <c r="BL221" s="23">
        <f t="shared" si="1917"/>
        <v>3.4840000000000373</v>
      </c>
      <c r="BM221" s="23">
        <f t="shared" si="1917"/>
        <v>-12.519999999999982</v>
      </c>
      <c r="BN221" s="23">
        <f t="shared" si="1917"/>
        <v>61.068000000000097</v>
      </c>
      <c r="BO221" s="23">
        <f t="shared" ref="BO221:CT221" si="1918">BN156-BO50-BO156</f>
        <v>-13.129999999999995</v>
      </c>
      <c r="BP221" s="23">
        <f t="shared" si="1918"/>
        <v>6.2959999999999354</v>
      </c>
      <c r="BQ221" s="23">
        <f t="shared" si="1918"/>
        <v>-12.801000000000045</v>
      </c>
      <c r="BR221" s="23">
        <f t="shared" si="1918"/>
        <v>2.1280000000000427</v>
      </c>
      <c r="BS221" s="23">
        <f t="shared" si="1918"/>
        <v>-12.240999999999985</v>
      </c>
      <c r="BT221" s="23">
        <f t="shared" si="1918"/>
        <v>-0.1450000000000955</v>
      </c>
      <c r="BU221" s="23">
        <f t="shared" si="1918"/>
        <v>-12.05499999999995</v>
      </c>
      <c r="BV221" s="23">
        <f t="shared" si="1918"/>
        <v>5.5029999999999291</v>
      </c>
      <c r="BW221" s="23">
        <f t="shared" si="1918"/>
        <v>-11.419999999999959</v>
      </c>
      <c r="BX221" s="23">
        <f t="shared" si="1918"/>
        <v>3.4560000000000173</v>
      </c>
      <c r="BY221" s="23">
        <f t="shared" si="1918"/>
        <v>-12.110000000000014</v>
      </c>
      <c r="BZ221" s="23">
        <f t="shared" si="1918"/>
        <v>-31.992000000000075</v>
      </c>
      <c r="CA221" s="23">
        <f t="shared" si="1918"/>
        <v>-12.419999999999959</v>
      </c>
      <c r="CB221" s="23">
        <f t="shared" si="1918"/>
        <v>-16.829999999999814</v>
      </c>
      <c r="CC221" s="23">
        <f t="shared" si="1918"/>
        <v>-12.639999999999986</v>
      </c>
      <c r="CD221" s="23">
        <f t="shared" si="1918"/>
        <v>-0.5200000000000955</v>
      </c>
      <c r="CE221" s="23">
        <f t="shared" si="1918"/>
        <v>-12.830000000000041</v>
      </c>
      <c r="CF221" s="23">
        <f t="shared" si="1918"/>
        <v>-22.029999999999973</v>
      </c>
      <c r="CG221" s="23">
        <f t="shared" si="1918"/>
        <v>-15.539999999999964</v>
      </c>
      <c r="CH221" s="23">
        <f t="shared" si="1918"/>
        <v>-292.34000000000015</v>
      </c>
      <c r="CI221" s="23">
        <f t="shared" si="1918"/>
        <v>0</v>
      </c>
      <c r="CJ221" s="23">
        <f t="shared" si="1918"/>
        <v>148.94000000000017</v>
      </c>
      <c r="CK221" s="23">
        <f t="shared" si="1918"/>
        <v>0</v>
      </c>
      <c r="CL221" s="23">
        <f t="shared" si="1918"/>
        <v>34.230000000000018</v>
      </c>
      <c r="CM221" s="24">
        <f t="shared" si="1918"/>
        <v>0</v>
      </c>
      <c r="CN221" s="24">
        <f t="shared" si="1918"/>
        <v>0</v>
      </c>
      <c r="CO221" s="24">
        <f t="shared" si="1918"/>
        <v>0</v>
      </c>
      <c r="CP221" s="24">
        <f t="shared" si="1918"/>
        <v>0</v>
      </c>
      <c r="CQ221" s="24">
        <f t="shared" si="1918"/>
        <v>0</v>
      </c>
      <c r="CR221" s="24">
        <f t="shared" si="1918"/>
        <v>0</v>
      </c>
      <c r="CS221" s="24">
        <f t="shared" si="1918"/>
        <v>0</v>
      </c>
      <c r="CT221" s="24">
        <f t="shared" si="1918"/>
        <v>0</v>
      </c>
      <c r="CU221" s="24">
        <f t="shared" ref="CU221:DB221" si="1919">CT156-CU50-CU156</f>
        <v>0</v>
      </c>
      <c r="CV221" s="24">
        <f t="shared" si="1919"/>
        <v>0</v>
      </c>
      <c r="CW221" s="24">
        <f t="shared" si="1919"/>
        <v>0</v>
      </c>
      <c r="CX221" s="24">
        <f t="shared" si="1919"/>
        <v>0</v>
      </c>
      <c r="CY221" s="24">
        <f t="shared" si="1919"/>
        <v>0</v>
      </c>
      <c r="CZ221" s="24">
        <f t="shared" si="1919"/>
        <v>0</v>
      </c>
      <c r="DA221" s="24">
        <f t="shared" si="1919"/>
        <v>0</v>
      </c>
      <c r="DB221" s="24">
        <f t="shared" si="1919"/>
        <v>0</v>
      </c>
      <c r="DE221" s="123"/>
      <c r="DF221" s="23">
        <v>183.16999999999996</v>
      </c>
    </row>
    <row r="222" spans="1:110" s="23" customFormat="1" x14ac:dyDescent="0.2">
      <c r="AB222" s="24"/>
      <c r="AC222" s="24"/>
      <c r="AD222" s="24"/>
      <c r="AE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E222" s="123"/>
    </row>
    <row r="223" spans="1:110" s="22" customFormat="1" x14ac:dyDescent="0.2">
      <c r="A223" s="22" t="s">
        <v>95</v>
      </c>
      <c r="C223" s="22">
        <f t="shared" ref="C223:W223" si="1920">C224+C225</f>
        <v>-12.005834999999983</v>
      </c>
      <c r="D223" s="22">
        <f t="shared" si="1920"/>
        <v>0.91429489999998736</v>
      </c>
      <c r="E223" s="22">
        <f t="shared" si="1920"/>
        <v>11.060300499999983</v>
      </c>
      <c r="F223" s="22">
        <f t="shared" si="1920"/>
        <v>25.428176599999986</v>
      </c>
      <c r="G223" s="22">
        <f t="shared" si="1920"/>
        <v>111.06890000000004</v>
      </c>
      <c r="H223" s="22">
        <f t="shared" si="1920"/>
        <v>108.25580000000005</v>
      </c>
      <c r="I223" s="22">
        <f t="shared" si="1920"/>
        <v>107.2196999999999</v>
      </c>
      <c r="J223" s="22">
        <f t="shared" si="1920"/>
        <v>164.0437</v>
      </c>
      <c r="K223" s="22">
        <f t="shared" si="1920"/>
        <v>-85.974999999999909</v>
      </c>
      <c r="L223" s="22">
        <f t="shared" si="1920"/>
        <v>129.21019999999976</v>
      </c>
      <c r="M223" s="22">
        <f t="shared" si="1920"/>
        <v>-4.5250999999999522</v>
      </c>
      <c r="N223" s="22">
        <f t="shared" si="1920"/>
        <v>127.75570000000006</v>
      </c>
      <c r="O223" s="22">
        <f t="shared" si="1920"/>
        <v>-82.341000000000051</v>
      </c>
      <c r="P223" s="22">
        <f t="shared" si="1920"/>
        <v>-93.551900000000018</v>
      </c>
      <c r="Q223" s="22">
        <f t="shared" si="1920"/>
        <v>172.34990000000028</v>
      </c>
      <c r="R223" s="22">
        <f t="shared" si="1920"/>
        <v>-50.478899999999953</v>
      </c>
      <c r="S223" s="22">
        <f t="shared" si="1920"/>
        <v>-1.4179000000000315</v>
      </c>
      <c r="T223" s="22">
        <f t="shared" si="1920"/>
        <v>-53.240200000000186</v>
      </c>
      <c r="U223" s="22">
        <f t="shared" si="1920"/>
        <v>-131.6887999999999</v>
      </c>
      <c r="V223" s="22">
        <f t="shared" si="1920"/>
        <v>-126.42969999999991</v>
      </c>
      <c r="W223" s="22">
        <f t="shared" si="1920"/>
        <v>-195.67529999999991</v>
      </c>
      <c r="X223" s="22">
        <f t="shared" ref="X223:Y223" si="1921">X224+X225</f>
        <v>-108.65529999999998</v>
      </c>
      <c r="Y223" s="22">
        <f t="shared" si="1921"/>
        <v>-30.660000000000309</v>
      </c>
      <c r="Z223" s="22">
        <f t="shared" ref="Z223:AA223" si="1922">Z224+Z225</f>
        <v>-17.130000000000056</v>
      </c>
      <c r="AA223" s="22">
        <f t="shared" ref="AA223" si="1923">AA224+AA225</f>
        <v>-37.300000000000239</v>
      </c>
      <c r="AB223" s="21">
        <f t="shared" ref="AB223:AD223" si="1924">AB224+AB225</f>
        <v>4.5474735088646412E-13</v>
      </c>
      <c r="AC223" s="21">
        <f t="shared" si="1924"/>
        <v>0</v>
      </c>
      <c r="AD223" s="21">
        <f t="shared" si="1924"/>
        <v>0</v>
      </c>
      <c r="AE223" s="21">
        <f t="shared" ref="AE223" si="1925">AE224+AE225</f>
        <v>-9.0949470177292824E-13</v>
      </c>
      <c r="AI223" s="22">
        <f t="shared" ref="AI223" si="1926">AI224+AI225</f>
        <v>-6.3979999999999677</v>
      </c>
      <c r="AJ223" s="22">
        <f t="shared" ref="AJ223:AL223" si="1927">AJ224+AJ225</f>
        <v>921.44600000000003</v>
      </c>
      <c r="AK223" s="22">
        <f t="shared" si="1927"/>
        <v>0</v>
      </c>
      <c r="AL223" s="22">
        <f t="shared" si="1927"/>
        <v>232.92400000000006</v>
      </c>
      <c r="AM223" s="22">
        <f t="shared" ref="AM223" si="1928">AM224+AM225</f>
        <v>0</v>
      </c>
      <c r="AN223" s="22">
        <f t="shared" ref="AN223:CD223" si="1929">AN224+AN225</f>
        <v>-466.04300000000001</v>
      </c>
      <c r="AO223" s="22">
        <f t="shared" si="1929"/>
        <v>0</v>
      </c>
      <c r="AP223" s="22">
        <f t="shared" si="1929"/>
        <v>387.58600000000013</v>
      </c>
      <c r="AQ223" s="22">
        <f t="shared" si="1929"/>
        <v>0</v>
      </c>
      <c r="AR223" s="22">
        <f t="shared" si="1929"/>
        <v>-430.38100000000009</v>
      </c>
      <c r="AS223" s="22">
        <f t="shared" si="1929"/>
        <v>0</v>
      </c>
      <c r="AT223" s="22">
        <f t="shared" si="1929"/>
        <v>342.01899999999989</v>
      </c>
      <c r="AU223" s="22">
        <f t="shared" si="1929"/>
        <v>0</v>
      </c>
      <c r="AV223" s="22">
        <f t="shared" si="1929"/>
        <v>76.187999999999946</v>
      </c>
      <c r="AW223" s="22">
        <f t="shared" si="1929"/>
        <v>0</v>
      </c>
      <c r="AX223" s="22">
        <f t="shared" si="1929"/>
        <v>88.328000000000046</v>
      </c>
      <c r="AY223" s="22">
        <f t="shared" si="1929"/>
        <v>0</v>
      </c>
      <c r="AZ223" s="22">
        <f t="shared" si="1929"/>
        <v>34.606999999999971</v>
      </c>
      <c r="BA223" s="22">
        <f t="shared" si="1929"/>
        <v>0</v>
      </c>
      <c r="BB223" s="22">
        <f t="shared" si="1929"/>
        <v>-111.36799999999994</v>
      </c>
      <c r="BC223" s="22">
        <f t="shared" si="1929"/>
        <v>0</v>
      </c>
      <c r="BD223" s="22">
        <f t="shared" si="1929"/>
        <v>-10.268000000000029</v>
      </c>
      <c r="BE223" s="22">
        <f t="shared" si="1929"/>
        <v>0</v>
      </c>
      <c r="BF223" s="22">
        <f t="shared" si="1929"/>
        <v>43.043000000000006</v>
      </c>
      <c r="BG223" s="22">
        <f t="shared" si="1929"/>
        <v>0</v>
      </c>
      <c r="BH223" s="22">
        <f t="shared" si="1929"/>
        <v>-42.941000000000145</v>
      </c>
      <c r="BI223" s="22">
        <f t="shared" si="1929"/>
        <v>0</v>
      </c>
      <c r="BJ223" s="22">
        <f t="shared" si="1929"/>
        <v>12.939000000000078</v>
      </c>
      <c r="BK223" s="22">
        <f t="shared" si="1929"/>
        <v>0</v>
      </c>
      <c r="BL223" s="22">
        <f t="shared" si="1929"/>
        <v>-71.491999999999962</v>
      </c>
      <c r="BM223" s="22">
        <f t="shared" si="1929"/>
        <v>0</v>
      </c>
      <c r="BN223" s="22">
        <f t="shared" si="1929"/>
        <v>-55.792000000000144</v>
      </c>
      <c r="BO223" s="22">
        <f t="shared" si="1929"/>
        <v>0</v>
      </c>
      <c r="BP223" s="22">
        <f t="shared" si="1929"/>
        <v>-52.160999999999945</v>
      </c>
      <c r="BQ223" s="22">
        <f t="shared" si="1929"/>
        <v>0</v>
      </c>
      <c r="BR223" s="22">
        <f t="shared" si="1929"/>
        <v>-55.797000000000082</v>
      </c>
      <c r="BS223" s="22">
        <f t="shared" si="1929"/>
        <v>0</v>
      </c>
      <c r="BT223" s="22">
        <f t="shared" si="1929"/>
        <v>-88.081999999999965</v>
      </c>
      <c r="BU223" s="22">
        <f t="shared" si="1929"/>
        <v>0</v>
      </c>
      <c r="BV223" s="22">
        <f t="shared" si="1929"/>
        <v>-107.59199999999998</v>
      </c>
      <c r="BW223" s="22">
        <f t="shared" si="1929"/>
        <v>0</v>
      </c>
      <c r="BX223" s="22">
        <f t="shared" si="1929"/>
        <v>-125.1089999999999</v>
      </c>
      <c r="BY223" s="22">
        <f t="shared" si="1929"/>
        <v>0</v>
      </c>
      <c r="BZ223" s="22">
        <f t="shared" si="1929"/>
        <v>16.462999999999965</v>
      </c>
      <c r="CA223" s="22">
        <f t="shared" si="1929"/>
        <v>0</v>
      </c>
      <c r="CB223" s="22">
        <f t="shared" si="1929"/>
        <v>-25.910000000000082</v>
      </c>
      <c r="CC223" s="22">
        <f t="shared" si="1929"/>
        <v>0</v>
      </c>
      <c r="CD223" s="22">
        <f t="shared" si="1929"/>
        <v>-4.75</v>
      </c>
      <c r="CE223" s="22">
        <f t="shared" ref="CE223:CF223" si="1930">CE224+CE225</f>
        <v>0</v>
      </c>
      <c r="CF223" s="22">
        <f t="shared" si="1930"/>
        <v>-10.699999999999818</v>
      </c>
      <c r="CG223" s="22">
        <f t="shared" ref="CG223:CH223" si="1931">CG224+CG225</f>
        <v>0</v>
      </c>
      <c r="CH223" s="22">
        <f t="shared" si="1931"/>
        <v>-6.4300000000000086</v>
      </c>
      <c r="CI223" s="22">
        <f t="shared" ref="CI223:CJ223" si="1932">CI224+CI225</f>
        <v>0</v>
      </c>
      <c r="CJ223" s="22">
        <f t="shared" si="1932"/>
        <v>-21.069999999999762</v>
      </c>
      <c r="CK223" s="22">
        <f t="shared" ref="CK223:DB223" si="1933">CK224+CK225</f>
        <v>0</v>
      </c>
      <c r="CL223" s="22">
        <f t="shared" si="1933"/>
        <v>-16.230000000000473</v>
      </c>
      <c r="CM223" s="21">
        <f t="shared" si="1933"/>
        <v>0</v>
      </c>
      <c r="CN223" s="21">
        <f t="shared" si="1933"/>
        <v>0</v>
      </c>
      <c r="CO223" s="21">
        <f t="shared" si="1933"/>
        <v>0</v>
      </c>
      <c r="CP223" s="21">
        <f t="shared" si="1933"/>
        <v>0</v>
      </c>
      <c r="CQ223" s="21">
        <f t="shared" si="1933"/>
        <v>0</v>
      </c>
      <c r="CR223" s="21">
        <f t="shared" si="1933"/>
        <v>0</v>
      </c>
      <c r="CS223" s="21">
        <f t="shared" si="1933"/>
        <v>0</v>
      </c>
      <c r="CT223" s="21">
        <f t="shared" si="1933"/>
        <v>0</v>
      </c>
      <c r="CU223" s="21">
        <f t="shared" si="1933"/>
        <v>0</v>
      </c>
      <c r="CV223" s="21">
        <f t="shared" si="1933"/>
        <v>0</v>
      </c>
      <c r="CW223" s="21">
        <f t="shared" si="1933"/>
        <v>0</v>
      </c>
      <c r="CX223" s="21">
        <f t="shared" si="1933"/>
        <v>0</v>
      </c>
      <c r="CY223" s="21">
        <f t="shared" si="1933"/>
        <v>0</v>
      </c>
      <c r="CZ223" s="21">
        <f t="shared" si="1933"/>
        <v>0</v>
      </c>
      <c r="DA223" s="21">
        <f t="shared" si="1933"/>
        <v>-4.5474735088646412E-13</v>
      </c>
      <c r="DB223" s="21">
        <f t="shared" si="1933"/>
        <v>0</v>
      </c>
      <c r="DE223" s="126"/>
      <c r="DF223" s="22">
        <v>-37.300000000000466</v>
      </c>
    </row>
    <row r="224" spans="1:110" s="23" customFormat="1" x14ac:dyDescent="0.2">
      <c r="A224" s="23" t="s">
        <v>49</v>
      </c>
      <c r="C224" s="23">
        <f t="shared" ref="C224:AA224" si="1934">C146-B146</f>
        <v>-1.4468994000000066</v>
      </c>
      <c r="D224" s="23">
        <f t="shared" si="1934"/>
        <v>0.91429490000000158</v>
      </c>
      <c r="E224" s="23">
        <f>E146-D146</f>
        <v>11.697398899999996</v>
      </c>
      <c r="F224" s="23">
        <f t="shared" si="1934"/>
        <v>27.2896894</v>
      </c>
      <c r="G224" s="23">
        <f t="shared" si="1934"/>
        <v>109.5939</v>
      </c>
      <c r="H224" s="23">
        <f t="shared" si="1934"/>
        <v>77.918900000000036</v>
      </c>
      <c r="I224" s="23">
        <f t="shared" si="1934"/>
        <v>125.60139999999996</v>
      </c>
      <c r="J224" s="23">
        <f>J146-I146</f>
        <v>182.8211</v>
      </c>
      <c r="K224" s="23">
        <f>K146-J146</f>
        <v>-70.506099999999947</v>
      </c>
      <c r="L224" s="23">
        <f t="shared" si="1934"/>
        <v>126.8836</v>
      </c>
      <c r="M224" s="23">
        <f t="shared" si="1934"/>
        <v>16.273099999999999</v>
      </c>
      <c r="N224" s="23">
        <f t="shared" si="1934"/>
        <v>32.244500000000016</v>
      </c>
      <c r="O224" s="23">
        <f t="shared" si="1934"/>
        <v>-63.599000000000046</v>
      </c>
      <c r="P224" s="23">
        <f t="shared" si="1934"/>
        <v>-81.683900000000108</v>
      </c>
      <c r="Q224" s="23">
        <f t="shared" si="1934"/>
        <v>77.039000000000101</v>
      </c>
      <c r="R224" s="23">
        <f t="shared" si="1934"/>
        <v>-45.294899999999984</v>
      </c>
      <c r="S224" s="23">
        <f t="shared" si="1934"/>
        <v>7.0448999999999842</v>
      </c>
      <c r="T224" s="23">
        <f t="shared" si="1934"/>
        <v>-42.323500000000081</v>
      </c>
      <c r="U224" s="23">
        <f t="shared" si="1934"/>
        <v>-128.11669999999992</v>
      </c>
      <c r="V224" s="23">
        <f t="shared" si="1934"/>
        <v>-133.85320000000002</v>
      </c>
      <c r="W224" s="23">
        <f t="shared" si="1934"/>
        <v>-186.17229999999998</v>
      </c>
      <c r="X224" s="23">
        <f t="shared" si="1934"/>
        <v>-100.01750000000001</v>
      </c>
      <c r="Y224" s="23">
        <f t="shared" si="1934"/>
        <v>0</v>
      </c>
      <c r="Z224" s="23">
        <f t="shared" si="1934"/>
        <v>3.31</v>
      </c>
      <c r="AA224" s="23">
        <f t="shared" si="1934"/>
        <v>-3.31</v>
      </c>
      <c r="AB224" s="24">
        <f t="shared" ref="AB224" si="1935">AB146-AA146</f>
        <v>0</v>
      </c>
      <c r="AC224" s="24">
        <f t="shared" ref="AC224" si="1936">AC146-AB146</f>
        <v>0</v>
      </c>
      <c r="AD224" s="24">
        <f t="shared" ref="AD224" si="1937">AD146-AC146</f>
        <v>0</v>
      </c>
      <c r="AE224" s="24">
        <f t="shared" ref="AE224" si="1938">AE146-AD146</f>
        <v>0</v>
      </c>
      <c r="AI224" s="23">
        <f t="shared" ref="AI224" si="1939">AI146-AH146</f>
        <v>0</v>
      </c>
      <c r="AJ224" s="23">
        <f t="shared" ref="AJ224" si="1940">AJ146-AI146</f>
        <v>470.286</v>
      </c>
      <c r="AK224" s="23">
        <f t="shared" ref="AK224" si="1941">AK146-AJ146</f>
        <v>0</v>
      </c>
      <c r="AL224" s="23">
        <f t="shared" ref="AL224" si="1942">AL146-AK146</f>
        <v>153.14699999999999</v>
      </c>
      <c r="AM224" s="23">
        <f t="shared" ref="AM224" si="1943">AM146-AL146</f>
        <v>0</v>
      </c>
      <c r="AN224" s="23">
        <f t="shared" ref="AN224" si="1944">AN146-AM146</f>
        <v>-370.04499999999996</v>
      </c>
      <c r="AO224" s="23">
        <f t="shared" ref="AO224" si="1945">AO146-AN146</f>
        <v>0</v>
      </c>
      <c r="AP224" s="23">
        <f t="shared" ref="AP224" si="1946">AP146-AO146</f>
        <v>324.02499999999998</v>
      </c>
      <c r="AQ224" s="23">
        <f t="shared" ref="AQ224" si="1947">AQ146-AP146</f>
        <v>0</v>
      </c>
      <c r="AR224" s="23">
        <f t="shared" ref="AR224" si="1948">AR146-AQ146</f>
        <v>-368.57600000000002</v>
      </c>
      <c r="AS224" s="23">
        <f t="shared" ref="AS224" si="1949">AS146-AR146</f>
        <v>0</v>
      </c>
      <c r="AT224" s="23">
        <f t="shared" ref="AT224" si="1950">AT146-AS146</f>
        <v>293.96899999999994</v>
      </c>
      <c r="AU224" s="23">
        <f t="shared" ref="AU224" si="1951">AU146-AT146</f>
        <v>0</v>
      </c>
      <c r="AV224" s="23">
        <f t="shared" ref="AV224" si="1952">AV146-AU146</f>
        <v>90.699000000000012</v>
      </c>
      <c r="AW224" s="23">
        <f t="shared" ref="AW224" si="1953">AW146-AV146</f>
        <v>0</v>
      </c>
      <c r="AX224" s="23">
        <f t="shared" ref="AX224" si="1954">AX146-AW146</f>
        <v>-19.132999999999925</v>
      </c>
      <c r="AY224" s="23">
        <f t="shared" ref="AY224" si="1955">AY146-AX146</f>
        <v>0</v>
      </c>
      <c r="AZ224" s="23">
        <f t="shared" ref="AZ224" si="1956">AZ146-AY146</f>
        <v>-49.485000000000014</v>
      </c>
      <c r="BA224" s="23">
        <f t="shared" ref="BA224" si="1957">BA146-AZ146</f>
        <v>0</v>
      </c>
      <c r="BB224" s="23">
        <f t="shared" ref="BB224" si="1958">BB146-BA146</f>
        <v>-21.75</v>
      </c>
      <c r="BC224" s="23">
        <f t="shared" ref="BC224" si="1959">BC146-BB146</f>
        <v>0</v>
      </c>
      <c r="BD224" s="23">
        <f t="shared" ref="BD224" si="1960">BD146-BC146</f>
        <v>-6.4440000000000737</v>
      </c>
      <c r="BE224" s="23">
        <f t="shared" ref="BE224" si="1961">BE146-BD146</f>
        <v>0</v>
      </c>
      <c r="BF224" s="23">
        <f t="shared" ref="BF224" si="1962">BF146-BE146</f>
        <v>47.68100000000004</v>
      </c>
      <c r="BG224" s="23">
        <f t="shared" ref="BG224" si="1963">BG146-BF146</f>
        <v>0</v>
      </c>
      <c r="BH224" s="23">
        <f t="shared" ref="BH224" si="1964">BH146-BG146</f>
        <v>-45.344000000000051</v>
      </c>
      <c r="BI224" s="23">
        <f t="shared" ref="BI224" si="1965">BI146-BH146</f>
        <v>0</v>
      </c>
      <c r="BJ224" s="23">
        <f t="shared" ref="BJ224" si="1966">BJ146-BI146</f>
        <v>26.258000000000038</v>
      </c>
      <c r="BK224" s="23">
        <f t="shared" ref="BK224" si="1967">BK146-BJ146</f>
        <v>0</v>
      </c>
      <c r="BL224" s="23">
        <f t="shared" ref="BL224" si="1968">BL146-BK146</f>
        <v>-65.452999999999975</v>
      </c>
      <c r="BM224" s="23">
        <f t="shared" ref="BM224" si="1969">BM146-BL146</f>
        <v>0</v>
      </c>
      <c r="BN224" s="23">
        <f t="shared" ref="BN224" si="1970">BN146-BM146</f>
        <v>-58.262000000000057</v>
      </c>
      <c r="BO224" s="23">
        <f t="shared" ref="BO224" si="1971">BO146-BN146</f>
        <v>0</v>
      </c>
      <c r="BP224" s="23">
        <f t="shared" ref="BP224" si="1972">BP146-BO146</f>
        <v>-53.216000000000008</v>
      </c>
      <c r="BQ224" s="23">
        <f t="shared" ref="BQ224" si="1973">BQ146-BP146</f>
        <v>0</v>
      </c>
      <c r="BR224" s="23">
        <f t="shared" ref="BR224" si="1974">BR146-BQ146</f>
        <v>-62.166999999999973</v>
      </c>
      <c r="BS224" s="23">
        <f t="shared" ref="BS224" si="1975">BS146-BR146</f>
        <v>0</v>
      </c>
      <c r="BT224" s="23">
        <f t="shared" ref="BT224" si="1976">BT146-BS146</f>
        <v>-83.59099999999998</v>
      </c>
      <c r="BU224" s="23">
        <f t="shared" ref="BU224" si="1977">BU146-BT146</f>
        <v>0</v>
      </c>
      <c r="BV224" s="23">
        <f t="shared" ref="BV224" si="1978">BV146-BU146</f>
        <v>-102.58100000000002</v>
      </c>
      <c r="BW224" s="23">
        <f t="shared" ref="BW224" si="1979">BW146-BV146</f>
        <v>0</v>
      </c>
      <c r="BX224" s="23">
        <f t="shared" ref="BX224" si="1980">BX146-BW146</f>
        <v>-100.018</v>
      </c>
      <c r="BY224" s="23">
        <f t="shared" ref="BY224" si="1981">BY146-BX146</f>
        <v>0</v>
      </c>
      <c r="BZ224" s="23">
        <f t="shared" ref="BZ224" si="1982">BZ146-BY146</f>
        <v>0</v>
      </c>
      <c r="CA224" s="23">
        <f t="shared" ref="CA224" si="1983">CA146-BZ146</f>
        <v>0</v>
      </c>
      <c r="CB224" s="23">
        <f t="shared" ref="CB224" si="1984">CB146-CA146</f>
        <v>0</v>
      </c>
      <c r="CC224" s="23">
        <f t="shared" ref="CC224" si="1985">CC146-CB146</f>
        <v>0</v>
      </c>
      <c r="CD224" s="23">
        <f t="shared" ref="CD224" si="1986">CD146-CC146</f>
        <v>0</v>
      </c>
      <c r="CE224" s="23">
        <f t="shared" ref="CE224" si="1987">CE146-CD146</f>
        <v>0</v>
      </c>
      <c r="CF224" s="23">
        <f t="shared" ref="CF224" si="1988">CF146-CE146</f>
        <v>0</v>
      </c>
      <c r="CG224" s="23">
        <f t="shared" ref="CG224" si="1989">CG146-CF146</f>
        <v>0</v>
      </c>
      <c r="CH224" s="23">
        <f t="shared" ref="CH224:CL224" si="1990">CH146-CG146</f>
        <v>3.31</v>
      </c>
      <c r="CI224" s="23">
        <f t="shared" si="1990"/>
        <v>0</v>
      </c>
      <c r="CJ224" s="23">
        <f t="shared" si="1990"/>
        <v>-3.31</v>
      </c>
      <c r="CK224" s="23">
        <f t="shared" ref="CK224" si="1991">CK146-CJ146</f>
        <v>0</v>
      </c>
      <c r="CL224" s="23">
        <f t="shared" si="1990"/>
        <v>0</v>
      </c>
      <c r="CM224" s="24">
        <f t="shared" ref="CM224" si="1992">CM146-CL146</f>
        <v>0</v>
      </c>
      <c r="CN224" s="24">
        <f t="shared" ref="CN224" si="1993">CN146-CM146</f>
        <v>0</v>
      </c>
      <c r="CO224" s="24">
        <f t="shared" ref="CO224" si="1994">CO146-CN146</f>
        <v>0</v>
      </c>
      <c r="CP224" s="24">
        <f t="shared" ref="CP224" si="1995">CP146-CO146</f>
        <v>0</v>
      </c>
      <c r="CQ224" s="24">
        <f t="shared" ref="CQ224" si="1996">CQ146-CP146</f>
        <v>0</v>
      </c>
      <c r="CR224" s="24">
        <f t="shared" ref="CR224" si="1997">CR146-CQ146</f>
        <v>0</v>
      </c>
      <c r="CS224" s="24">
        <f t="shared" ref="CS224" si="1998">CS146-CR146</f>
        <v>0</v>
      </c>
      <c r="CT224" s="24">
        <f t="shared" ref="CT224" si="1999">CT146-CS146</f>
        <v>0</v>
      </c>
      <c r="CU224" s="24">
        <f t="shared" ref="CU224" si="2000">CU146-CT146</f>
        <v>0</v>
      </c>
      <c r="CV224" s="24">
        <f t="shared" ref="CV224" si="2001">CV146-CU146</f>
        <v>0</v>
      </c>
      <c r="CW224" s="24">
        <f t="shared" ref="CW224" si="2002">CW146-CV146</f>
        <v>0</v>
      </c>
      <c r="CX224" s="24">
        <f t="shared" ref="CX224" si="2003">CX146-CW146</f>
        <v>0</v>
      </c>
      <c r="CY224" s="24">
        <f t="shared" ref="CY224" si="2004">CY146-CX146</f>
        <v>0</v>
      </c>
      <c r="CZ224" s="24">
        <f t="shared" ref="CZ224" si="2005">CZ146-CY146</f>
        <v>0</v>
      </c>
      <c r="DA224" s="24">
        <f t="shared" ref="DA224" si="2006">DA146-CZ146</f>
        <v>0</v>
      </c>
      <c r="DB224" s="24">
        <f t="shared" ref="DB224" si="2007">DB146-DA146</f>
        <v>0</v>
      </c>
      <c r="DE224" s="123"/>
      <c r="DF224" s="23">
        <v>-3.31</v>
      </c>
    </row>
    <row r="225" spans="1:110" s="23" customFormat="1" x14ac:dyDescent="0.2">
      <c r="A225" s="23" t="s">
        <v>27</v>
      </c>
      <c r="C225" s="23">
        <f t="shared" ref="C225:AE225" si="2008">C138-C66-B138+C140-B140</f>
        <v>-10.558935599999977</v>
      </c>
      <c r="D225" s="23">
        <f t="shared" si="2008"/>
        <v>-1.4210854715202004E-14</v>
      </c>
      <c r="E225" s="23">
        <f t="shared" si="2008"/>
        <v>-0.6370984000000135</v>
      </c>
      <c r="F225" s="23">
        <f t="shared" si="2008"/>
        <v>-1.8615128000000141</v>
      </c>
      <c r="G225" s="23">
        <f t="shared" si="2008"/>
        <v>1.4750000000000369</v>
      </c>
      <c r="H225" s="23">
        <f t="shared" si="2008"/>
        <v>30.336900000000014</v>
      </c>
      <c r="I225" s="23">
        <f t="shared" si="2008"/>
        <v>-18.381700000000052</v>
      </c>
      <c r="J225" s="23">
        <f t="shared" si="2008"/>
        <v>-18.7774</v>
      </c>
      <c r="K225" s="23">
        <f t="shared" si="2008"/>
        <v>-15.468899999999962</v>
      </c>
      <c r="L225" s="23">
        <f t="shared" si="2008"/>
        <v>2.3265999999997575</v>
      </c>
      <c r="M225" s="23">
        <f t="shared" si="2008"/>
        <v>-20.798199999999952</v>
      </c>
      <c r="N225" s="23">
        <f t="shared" si="2008"/>
        <v>95.511200000000045</v>
      </c>
      <c r="O225" s="23">
        <f t="shared" si="2008"/>
        <v>-18.742000000000004</v>
      </c>
      <c r="P225" s="23">
        <f t="shared" si="2008"/>
        <v>-11.867999999999917</v>
      </c>
      <c r="Q225" s="23">
        <f t="shared" si="2008"/>
        <v>95.310900000000174</v>
      </c>
      <c r="R225" s="23">
        <f t="shared" si="2008"/>
        <v>-5.1839999999999691</v>
      </c>
      <c r="S225" s="23">
        <f t="shared" si="2008"/>
        <v>-8.4628000000000156</v>
      </c>
      <c r="T225" s="23">
        <f t="shared" si="2008"/>
        <v>-10.916700000000105</v>
      </c>
      <c r="U225" s="23">
        <f t="shared" si="2008"/>
        <v>-3.5720999999999776</v>
      </c>
      <c r="V225" s="23">
        <f t="shared" si="2008"/>
        <v>7.4235000000001037</v>
      </c>
      <c r="W225" s="23">
        <f t="shared" si="2008"/>
        <v>-9.5029999999999291</v>
      </c>
      <c r="X225" s="23">
        <f t="shared" si="2008"/>
        <v>-8.6377999999999702</v>
      </c>
      <c r="Y225" s="23">
        <f t="shared" si="2008"/>
        <v>-30.660000000000309</v>
      </c>
      <c r="Z225" s="23">
        <f t="shared" si="2008"/>
        <v>-20.440000000000055</v>
      </c>
      <c r="AA225" s="23">
        <f t="shared" si="2008"/>
        <v>-33.990000000000236</v>
      </c>
      <c r="AB225" s="24">
        <f t="shared" si="2008"/>
        <v>4.5474735088646412E-13</v>
      </c>
      <c r="AC225" s="24">
        <f t="shared" si="2008"/>
        <v>0</v>
      </c>
      <c r="AD225" s="24">
        <f t="shared" si="2008"/>
        <v>0</v>
      </c>
      <c r="AE225" s="24">
        <f t="shared" si="2008"/>
        <v>-9.0949470177292824E-13</v>
      </c>
      <c r="AI225" s="23">
        <f t="shared" ref="AI225:BN225" si="2009">AI138-AI66-AH138+AI140-AH140</f>
        <v>-6.3979999999999677</v>
      </c>
      <c r="AJ225" s="23">
        <f t="shared" si="2009"/>
        <v>451.16</v>
      </c>
      <c r="AK225" s="23">
        <f t="shared" si="2009"/>
        <v>0</v>
      </c>
      <c r="AL225" s="23">
        <f t="shared" si="2009"/>
        <v>79.777000000000072</v>
      </c>
      <c r="AM225" s="23">
        <f t="shared" si="2009"/>
        <v>0</v>
      </c>
      <c r="AN225" s="23">
        <f t="shared" si="2009"/>
        <v>-95.998000000000019</v>
      </c>
      <c r="AO225" s="23">
        <f t="shared" si="2009"/>
        <v>0</v>
      </c>
      <c r="AP225" s="23">
        <f t="shared" si="2009"/>
        <v>63.561000000000135</v>
      </c>
      <c r="AQ225" s="23">
        <f t="shared" si="2009"/>
        <v>0</v>
      </c>
      <c r="AR225" s="23">
        <f t="shared" si="2009"/>
        <v>-61.805000000000049</v>
      </c>
      <c r="AS225" s="23">
        <f t="shared" si="2009"/>
        <v>0</v>
      </c>
      <c r="AT225" s="23">
        <f t="shared" si="2009"/>
        <v>48.049999999999926</v>
      </c>
      <c r="AU225" s="23">
        <f t="shared" si="2009"/>
        <v>0</v>
      </c>
      <c r="AV225" s="23">
        <f t="shared" si="2009"/>
        <v>-14.511000000000067</v>
      </c>
      <c r="AW225" s="23">
        <f t="shared" si="2009"/>
        <v>0</v>
      </c>
      <c r="AX225" s="23">
        <f t="shared" si="2009"/>
        <v>107.46099999999997</v>
      </c>
      <c r="AY225" s="23">
        <f t="shared" si="2009"/>
        <v>0</v>
      </c>
      <c r="AZ225" s="23">
        <f t="shared" si="2009"/>
        <v>84.091999999999985</v>
      </c>
      <c r="BA225" s="23">
        <f t="shared" si="2009"/>
        <v>0</v>
      </c>
      <c r="BB225" s="23">
        <f t="shared" si="2009"/>
        <v>-89.617999999999938</v>
      </c>
      <c r="BC225" s="23">
        <f t="shared" si="2009"/>
        <v>0</v>
      </c>
      <c r="BD225" s="23">
        <f t="shared" si="2009"/>
        <v>-3.8239999999999554</v>
      </c>
      <c r="BE225" s="23">
        <f t="shared" si="2009"/>
        <v>0</v>
      </c>
      <c r="BF225" s="23">
        <f t="shared" si="2009"/>
        <v>-4.6380000000000337</v>
      </c>
      <c r="BG225" s="23">
        <f t="shared" si="2009"/>
        <v>0</v>
      </c>
      <c r="BH225" s="23">
        <f t="shared" si="2009"/>
        <v>2.4029999999999063</v>
      </c>
      <c r="BI225" s="23">
        <f t="shared" si="2009"/>
        <v>0</v>
      </c>
      <c r="BJ225" s="23">
        <f t="shared" si="2009"/>
        <v>-13.31899999999996</v>
      </c>
      <c r="BK225" s="23">
        <f t="shared" si="2009"/>
        <v>0</v>
      </c>
      <c r="BL225" s="23">
        <f t="shared" si="2009"/>
        <v>-6.0389999999999873</v>
      </c>
      <c r="BM225" s="23">
        <f t="shared" si="2009"/>
        <v>0</v>
      </c>
      <c r="BN225" s="23">
        <f t="shared" si="2009"/>
        <v>2.4699999999999136</v>
      </c>
      <c r="BO225" s="23">
        <f t="shared" ref="BO225:CT225" si="2010">BO138-BO66-BN138+BO140-BN140</f>
        <v>0</v>
      </c>
      <c r="BP225" s="23">
        <f t="shared" si="2010"/>
        <v>1.0550000000000637</v>
      </c>
      <c r="BQ225" s="23">
        <f t="shared" si="2010"/>
        <v>0</v>
      </c>
      <c r="BR225" s="23">
        <f t="shared" si="2010"/>
        <v>6.3699999999998909</v>
      </c>
      <c r="BS225" s="23">
        <f t="shared" si="2010"/>
        <v>0</v>
      </c>
      <c r="BT225" s="23">
        <f t="shared" si="2010"/>
        <v>-4.4909999999999854</v>
      </c>
      <c r="BU225" s="23">
        <f t="shared" si="2010"/>
        <v>0</v>
      </c>
      <c r="BV225" s="23">
        <f t="shared" si="2010"/>
        <v>-5.0109999999999673</v>
      </c>
      <c r="BW225" s="23">
        <f t="shared" si="2010"/>
        <v>0</v>
      </c>
      <c r="BX225" s="23">
        <f t="shared" si="2010"/>
        <v>-25.090999999999894</v>
      </c>
      <c r="BY225" s="23">
        <f t="shared" si="2010"/>
        <v>0</v>
      </c>
      <c r="BZ225" s="23">
        <f t="shared" si="2010"/>
        <v>16.462999999999965</v>
      </c>
      <c r="CA225" s="23">
        <f t="shared" si="2010"/>
        <v>0</v>
      </c>
      <c r="CB225" s="23">
        <f t="shared" si="2010"/>
        <v>-25.910000000000082</v>
      </c>
      <c r="CC225" s="23">
        <f t="shared" si="2010"/>
        <v>0</v>
      </c>
      <c r="CD225" s="23">
        <f t="shared" si="2010"/>
        <v>-4.75</v>
      </c>
      <c r="CE225" s="23">
        <f t="shared" si="2010"/>
        <v>0</v>
      </c>
      <c r="CF225" s="23">
        <f t="shared" si="2010"/>
        <v>-10.699999999999818</v>
      </c>
      <c r="CG225" s="23">
        <f t="shared" si="2010"/>
        <v>0</v>
      </c>
      <c r="CH225" s="23">
        <f t="shared" si="2010"/>
        <v>-9.7400000000000091</v>
      </c>
      <c r="CI225" s="23">
        <f t="shared" si="2010"/>
        <v>0</v>
      </c>
      <c r="CJ225" s="23">
        <f t="shared" si="2010"/>
        <v>-17.759999999999764</v>
      </c>
      <c r="CK225" s="23">
        <f t="shared" si="2010"/>
        <v>0</v>
      </c>
      <c r="CL225" s="23">
        <f t="shared" si="2010"/>
        <v>-16.230000000000473</v>
      </c>
      <c r="CM225" s="24">
        <f t="shared" si="2010"/>
        <v>0</v>
      </c>
      <c r="CN225" s="24">
        <f t="shared" si="2010"/>
        <v>0</v>
      </c>
      <c r="CO225" s="24">
        <f t="shared" si="2010"/>
        <v>0</v>
      </c>
      <c r="CP225" s="24">
        <f t="shared" si="2010"/>
        <v>0</v>
      </c>
      <c r="CQ225" s="24">
        <f t="shared" si="2010"/>
        <v>0</v>
      </c>
      <c r="CR225" s="24">
        <f t="shared" si="2010"/>
        <v>0</v>
      </c>
      <c r="CS225" s="24">
        <f t="shared" si="2010"/>
        <v>0</v>
      </c>
      <c r="CT225" s="24">
        <f t="shared" si="2010"/>
        <v>0</v>
      </c>
      <c r="CU225" s="24">
        <f t="shared" ref="CU225:DB225" si="2011">CU138-CU66-CT138+CU140-CT140</f>
        <v>0</v>
      </c>
      <c r="CV225" s="24">
        <f t="shared" si="2011"/>
        <v>0</v>
      </c>
      <c r="CW225" s="24">
        <f t="shared" si="2011"/>
        <v>0</v>
      </c>
      <c r="CX225" s="24">
        <f t="shared" si="2011"/>
        <v>0</v>
      </c>
      <c r="CY225" s="24">
        <f t="shared" si="2011"/>
        <v>0</v>
      </c>
      <c r="CZ225" s="24">
        <f t="shared" si="2011"/>
        <v>0</v>
      </c>
      <c r="DA225" s="24">
        <f t="shared" si="2011"/>
        <v>-4.5474735088646412E-13</v>
      </c>
      <c r="DB225" s="24">
        <f t="shared" si="2011"/>
        <v>0</v>
      </c>
      <c r="DE225" s="123"/>
      <c r="DF225" s="23">
        <v>-33.990000000000464</v>
      </c>
    </row>
    <row r="226" spans="1:110" s="23" customFormat="1" x14ac:dyDescent="0.2">
      <c r="AB226" s="24"/>
      <c r="AC226" s="24"/>
      <c r="AD226" s="24"/>
      <c r="AE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E226" s="123"/>
    </row>
    <row r="227" spans="1:110" s="23" customFormat="1" x14ac:dyDescent="0.2">
      <c r="A227" s="23" t="s">
        <v>442</v>
      </c>
      <c r="C227" s="23">
        <f t="shared" ref="C227" si="2012">B179</f>
        <v>1.2693787999999999</v>
      </c>
      <c r="D227" s="23">
        <f t="shared" ref="D227" si="2013">C179</f>
        <v>1.8701117</v>
      </c>
      <c r="E227" s="23">
        <f>D179</f>
        <v>1.7297389000000001</v>
      </c>
      <c r="F227" s="23">
        <f t="shared" ref="F227" si="2014">E179</f>
        <v>2.6617492999999999</v>
      </c>
      <c r="G227" s="23">
        <f t="shared" ref="G227" si="2015">F179</f>
        <v>8.4718</v>
      </c>
      <c r="H227" s="23">
        <f t="shared" ref="H227" si="2016">G179</f>
        <v>24.706900000000001</v>
      </c>
      <c r="I227" s="23">
        <f t="shared" ref="I227" si="2017">H179</f>
        <v>12.759</v>
      </c>
      <c r="J227" s="23">
        <f>I179</f>
        <v>7.5224000000000002</v>
      </c>
      <c r="K227" s="23">
        <f>J179</f>
        <v>61.058700000000002</v>
      </c>
      <c r="L227" s="23">
        <f t="shared" ref="L227" si="2018">K179</f>
        <v>38.8125</v>
      </c>
      <c r="M227" s="23">
        <f t="shared" ref="M227" si="2019">L179</f>
        <v>27.729599999999998</v>
      </c>
      <c r="N227" s="23">
        <f t="shared" ref="N227" si="2020">M179</f>
        <v>26.264199999999999</v>
      </c>
      <c r="O227" s="23">
        <f t="shared" ref="O227" si="2021">N179</f>
        <v>39.8095</v>
      </c>
      <c r="P227" s="23">
        <f t="shared" ref="P227" si="2022">O179</f>
        <v>31.896000000000001</v>
      </c>
      <c r="Q227" s="23">
        <f t="shared" ref="Q227" si="2023">P179</f>
        <v>40.776699999999998</v>
      </c>
      <c r="R227" s="23">
        <f t="shared" ref="R227" si="2024">Q179</f>
        <v>45.0229</v>
      </c>
      <c r="S227" s="23">
        <f t="shared" ref="S227" si="2025">R179</f>
        <v>92.546599999999998</v>
      </c>
      <c r="T227" s="23">
        <f t="shared" ref="T227" si="2026">S179</f>
        <v>82.763000000000005</v>
      </c>
      <c r="U227" s="23">
        <f t="shared" ref="U227" si="2027">T179</f>
        <v>75.589799999999997</v>
      </c>
      <c r="V227" s="23">
        <f t="shared" ref="V227" si="2028">U179</f>
        <v>107.4824</v>
      </c>
      <c r="W227" s="23">
        <f t="shared" ref="W227:AA227" si="2029">V179</f>
        <v>141.4845</v>
      </c>
      <c r="X227" s="23">
        <f t="shared" si="2029"/>
        <v>112.1344</v>
      </c>
      <c r="Y227" s="23">
        <f t="shared" si="2029"/>
        <v>229.43</v>
      </c>
      <c r="Z227" s="23">
        <f t="shared" si="2029"/>
        <v>466.59000000000003</v>
      </c>
      <c r="AA227" s="23">
        <f t="shared" si="2029"/>
        <v>772.99</v>
      </c>
      <c r="AB227" s="24">
        <f t="shared" ref="AB227" si="2030">AA179</f>
        <v>807</v>
      </c>
      <c r="AC227" s="24">
        <f t="shared" ref="AC227" si="2031">AB179</f>
        <v>1328.669762063369</v>
      </c>
      <c r="AD227" s="24">
        <f t="shared" ref="AD227" si="2032">AC179</f>
        <v>1826.5359213535387</v>
      </c>
      <c r="AE227" s="24">
        <f t="shared" ref="AE227" si="2033">AD179</f>
        <v>2381.8474756066184</v>
      </c>
      <c r="AI227" s="23">
        <f t="shared" ref="AI227" si="2034">AH179</f>
        <v>0</v>
      </c>
      <c r="AJ227" s="23">
        <f t="shared" ref="AJ227" si="2035">AI179</f>
        <v>0</v>
      </c>
      <c r="AK227" s="23">
        <f t="shared" ref="AK227" si="2036">AJ179</f>
        <v>7.4039999999999999</v>
      </c>
      <c r="AL227" s="23">
        <f t="shared" ref="AL227" si="2037">AK179</f>
        <v>408.25125032000551</v>
      </c>
      <c r="AM227" s="23">
        <f t="shared" ref="AM227" si="2038">AL179</f>
        <v>39.808999999999997</v>
      </c>
      <c r="AN227" s="23">
        <f t="shared" ref="AN227" si="2039">AM179</f>
        <v>332.82630358648714</v>
      </c>
      <c r="AO227" s="23">
        <f t="shared" ref="AO227" si="2040">AN179</f>
        <v>3.8410000000000002</v>
      </c>
      <c r="AP227" s="23">
        <f t="shared" ref="AP227" si="2041">AO179</f>
        <v>12.122569770622778</v>
      </c>
      <c r="AQ227" s="23">
        <f t="shared" ref="AQ227" si="2042">AP179</f>
        <v>31.896000000000001</v>
      </c>
      <c r="AR227" s="23">
        <f t="shared" ref="AR227" si="2043">AQ179</f>
        <v>-435.74260449953698</v>
      </c>
      <c r="AS227" s="23">
        <f t="shared" ref="AS227" si="2044">AR179</f>
        <v>2.8650000000000002</v>
      </c>
      <c r="AT227" s="23">
        <f t="shared" ref="AT227" si="2045">AS179</f>
        <v>-2.4318357080370365</v>
      </c>
      <c r="AU227" s="23">
        <f t="shared" ref="AU227" si="2046">AT179</f>
        <v>40.777000000000001</v>
      </c>
      <c r="AV227" s="23">
        <f t="shared" ref="AV227" si="2047">AU179</f>
        <v>345.06968512743788</v>
      </c>
      <c r="AW227" s="23">
        <f t="shared" ref="AW227" si="2048">AV179</f>
        <v>44.057000000000002</v>
      </c>
      <c r="AX227" s="23">
        <f t="shared" ref="AX227" si="2049">AW179</f>
        <v>-12.550007088342085</v>
      </c>
      <c r="AY227" s="23">
        <f t="shared" ref="AY227" si="2050">AX179</f>
        <v>45.023000000000003</v>
      </c>
      <c r="AZ227" s="23">
        <f t="shared" ref="AZ227" si="2051">AY179</f>
        <v>277.99571103722758</v>
      </c>
      <c r="BA227" s="23">
        <f t="shared" ref="BA227" si="2052">AZ179</f>
        <v>40.401000000000003</v>
      </c>
      <c r="BB227" s="23">
        <f t="shared" ref="BB227" si="2053">BA179</f>
        <v>-19.7829087402855</v>
      </c>
      <c r="BC227" s="23">
        <f t="shared" ref="BC227" si="2054">BB179</f>
        <v>92.546999999999997</v>
      </c>
      <c r="BD227" s="23">
        <f t="shared" ref="BD227" si="2055">BC179</f>
        <v>268.72600397855126</v>
      </c>
      <c r="BE227" s="23">
        <f t="shared" ref="BE227" si="2056">BD179</f>
        <v>65.566000000000003</v>
      </c>
      <c r="BF227" s="23">
        <f t="shared" ref="BF227" si="2057">BE179</f>
        <v>46.991984840411483</v>
      </c>
      <c r="BG227" s="23">
        <f t="shared" ref="BG227" si="2058">BF179</f>
        <v>82.763000000000005</v>
      </c>
      <c r="BH227" s="23">
        <f t="shared" ref="BH227" si="2059">BG179</f>
        <v>226.97626307578264</v>
      </c>
      <c r="BI227" s="23">
        <f t="shared" ref="BI227" si="2060">BH179</f>
        <v>109.9</v>
      </c>
      <c r="BJ227" s="23">
        <f t="shared" ref="BJ227" si="2061">BI179</f>
        <v>187.07273027125933</v>
      </c>
      <c r="BK227" s="23">
        <f t="shared" ref="BK227" si="2062">BJ179</f>
        <v>75.59</v>
      </c>
      <c r="BL227" s="23">
        <f t="shared" ref="BL227" si="2063">BK179</f>
        <v>164.19482813800676</v>
      </c>
      <c r="BM227" s="23">
        <f t="shared" ref="BM227" si="2064">BL179</f>
        <v>85.992000000000004</v>
      </c>
      <c r="BN227" s="23">
        <f t="shared" ref="BN227" si="2065">BM179</f>
        <v>71.857490417454216</v>
      </c>
      <c r="BO227" s="23">
        <f t="shared" ref="BO227" si="2066">BN179</f>
        <v>107.483</v>
      </c>
      <c r="BP227" s="23">
        <f t="shared" ref="BP227" si="2067">BO179</f>
        <v>285.74473098840201</v>
      </c>
      <c r="BQ227" s="23">
        <f t="shared" ref="BQ227" si="2068">BP179</f>
        <v>112.84</v>
      </c>
      <c r="BR227" s="23">
        <f t="shared" ref="BR227" si="2069">BQ179</f>
        <v>87.66099751947641</v>
      </c>
      <c r="BS227" s="23">
        <f t="shared" ref="BS227" si="2070">BR179</f>
        <v>141.48500000000001</v>
      </c>
      <c r="BT227" s="23">
        <f t="shared" ref="BT227" si="2071">BS179</f>
        <v>222.03906839706175</v>
      </c>
      <c r="BU227" s="23">
        <f t="shared" ref="BU227" si="2072">BT179</f>
        <v>147.30000000000001</v>
      </c>
      <c r="BV227" s="23">
        <f t="shared" ref="BV227" si="2073">BU179</f>
        <v>220.53525099435399</v>
      </c>
      <c r="BW227" s="23">
        <f t="shared" ref="BW227" si="2074">BV179</f>
        <v>112.134</v>
      </c>
      <c r="BX227" s="23">
        <f t="shared" ref="BX227" si="2075">BW179</f>
        <v>159.10790106326829</v>
      </c>
      <c r="BY227" s="23">
        <f t="shared" ref="BY227" si="2076">BX179</f>
        <v>106.21599999999999</v>
      </c>
      <c r="BZ227" s="23">
        <f t="shared" ref="BZ227" si="2077">BY179</f>
        <v>168.70790802645467</v>
      </c>
      <c r="CA227" s="23">
        <f t="shared" ref="CA227" si="2078">BZ179</f>
        <v>229.43</v>
      </c>
      <c r="CB227" s="23">
        <f t="shared" ref="CB227" si="2079">CA179</f>
        <v>312.69090921939039</v>
      </c>
      <c r="CC227" s="23">
        <f t="shared" ref="CC227" si="2080">CB179</f>
        <v>356.77000000000004</v>
      </c>
      <c r="CD227" s="23">
        <f t="shared" ref="CD227" si="2081">CC179</f>
        <v>456.73965972365443</v>
      </c>
      <c r="CE227" s="23">
        <f t="shared" ref="CE227" si="2082">CD179</f>
        <v>466.59000000000003</v>
      </c>
      <c r="CF227" s="23">
        <f t="shared" ref="CF227" si="2083">CE179</f>
        <v>688.50754631433529</v>
      </c>
      <c r="CG227" s="23">
        <f t="shared" ref="CG227" si="2084">CF179</f>
        <v>531.68000000000006</v>
      </c>
      <c r="CH227" s="23">
        <f t="shared" ref="CH227:CL227" si="2085">CG179</f>
        <v>618.61619002637087</v>
      </c>
      <c r="CI227" s="23">
        <f t="shared" si="2085"/>
        <v>772.99</v>
      </c>
      <c r="CJ227" s="23">
        <f t="shared" si="2085"/>
        <v>1069.2305915468237</v>
      </c>
      <c r="CK227" s="23">
        <f t="shared" ref="CK227" si="2086">CJ179</f>
        <v>819.06</v>
      </c>
      <c r="CL227" s="23">
        <f t="shared" si="2085"/>
        <v>943.36764378254009</v>
      </c>
      <c r="CM227" s="24">
        <f t="shared" ref="CM227" si="2087">CL179</f>
        <v>807</v>
      </c>
      <c r="CN227" s="24">
        <f t="shared" ref="CN227" si="2088">CM179</f>
        <v>982.81686307452719</v>
      </c>
      <c r="CO227" s="24">
        <f t="shared" ref="CO227" si="2089">CN179</f>
        <v>1112.0844679405786</v>
      </c>
      <c r="CP227" s="24">
        <f t="shared" ref="CP227" si="2090">CO179</f>
        <v>1225.1045346444334</v>
      </c>
      <c r="CQ227" s="24">
        <f t="shared" ref="CQ227" si="2091">CP179</f>
        <v>1328.669762063369</v>
      </c>
      <c r="CR227" s="24">
        <f t="shared" ref="CR227" si="2092">CQ179</f>
        <v>1452.3265640307307</v>
      </c>
      <c r="CS227" s="24">
        <f t="shared" ref="CS227" si="2093">CR179</f>
        <v>1584.0118087017404</v>
      </c>
      <c r="CT227" s="24">
        <f t="shared" ref="CT227" si="2094">CS179</f>
        <v>1699.0948248626069</v>
      </c>
      <c r="CU227" s="24">
        <f t="shared" ref="CU227" si="2095">CT179</f>
        <v>1826.5359213535387</v>
      </c>
      <c r="CV227" s="24">
        <f t="shared" ref="CV227" si="2096">CU179</f>
        <v>1966.1672088353014</v>
      </c>
      <c r="CW227" s="24">
        <f t="shared" ref="CW227" si="2097">CV179</f>
        <v>2108.196163813137</v>
      </c>
      <c r="CX227" s="24">
        <f t="shared" ref="CX227" si="2098">CW179</f>
        <v>2236.1651426214721</v>
      </c>
      <c r="CY227" s="24">
        <f t="shared" ref="CY227" si="2099">CX179</f>
        <v>2381.8474756066184</v>
      </c>
      <c r="CZ227" s="24">
        <f t="shared" ref="CZ227" si="2100">CY179</f>
        <v>2536.9890380742686</v>
      </c>
      <c r="DA227" s="24">
        <f t="shared" ref="DA227" si="2101">CZ179</f>
        <v>2694.4544232976696</v>
      </c>
      <c r="DB227" s="24">
        <f t="shared" ref="DB227" si="2102">DA179</f>
        <v>2837.7231947863861</v>
      </c>
      <c r="DE227" s="123"/>
      <c r="DF227" s="23">
        <v>772.99</v>
      </c>
    </row>
    <row r="228" spans="1:110" s="23" customFormat="1" x14ac:dyDescent="0.2">
      <c r="A228" s="23" t="s">
        <v>443</v>
      </c>
      <c r="C228" s="23">
        <f t="shared" ref="C228:W228" si="2103">C227+C223+C219+C217</f>
        <v>1.8701117000000433</v>
      </c>
      <c r="D228" s="23">
        <f t="shared" si="2103"/>
        <v>1.7297388999999743</v>
      </c>
      <c r="E228" s="23">
        <f t="shared" si="2103"/>
        <v>2.661749299999987</v>
      </c>
      <c r="F228" s="23">
        <f t="shared" si="2103"/>
        <v>8.4718000000000195</v>
      </c>
      <c r="G228" s="23">
        <f t="shared" si="2103"/>
        <v>24.706900000000005</v>
      </c>
      <c r="H228" s="23">
        <f t="shared" si="2103"/>
        <v>12.759000000000043</v>
      </c>
      <c r="I228" s="23">
        <f t="shared" si="2103"/>
        <v>7.5223999999999478</v>
      </c>
      <c r="J228" s="23">
        <f>J227+J223+J219+J217</f>
        <v>61.058699999999931</v>
      </c>
      <c r="K228" s="23">
        <f>K227+K223+K219+K217</f>
        <v>38.812500000000171</v>
      </c>
      <c r="L228" s="23">
        <f>L227+L223+L219+L217</f>
        <v>27.729600000000033</v>
      </c>
      <c r="M228" s="23">
        <f>M227+M223+M219+M217</f>
        <v>26.264199999999761</v>
      </c>
      <c r="N228" s="23">
        <f t="shared" si="2103"/>
        <v>39.809500000000241</v>
      </c>
      <c r="O228" s="23">
        <f t="shared" si="2103"/>
        <v>31.896000000000072</v>
      </c>
      <c r="P228" s="23">
        <f t="shared" si="2103"/>
        <v>40.776699999999536</v>
      </c>
      <c r="Q228" s="23">
        <f t="shared" si="2103"/>
        <v>45.022900000000107</v>
      </c>
      <c r="R228" s="23">
        <f t="shared" si="2103"/>
        <v>92.546600000000666</v>
      </c>
      <c r="S228" s="23">
        <f t="shared" si="2103"/>
        <v>82.762999999999664</v>
      </c>
      <c r="T228" s="23">
        <f t="shared" si="2103"/>
        <v>75.589799999999912</v>
      </c>
      <c r="U228" s="23">
        <f t="shared" si="2103"/>
        <v>107.48240000000015</v>
      </c>
      <c r="V228" s="23">
        <f t="shared" si="2103"/>
        <v>141.48449999999971</v>
      </c>
      <c r="W228" s="23">
        <f t="shared" si="2103"/>
        <v>112.1344000000003</v>
      </c>
      <c r="X228" s="23">
        <f t="shared" ref="X228:Y228" si="2104">X227+X223+X219+X217</f>
        <v>229.43000000000004</v>
      </c>
      <c r="Y228" s="23">
        <f t="shared" si="2104"/>
        <v>466.59</v>
      </c>
      <c r="Z228" s="23">
        <f t="shared" ref="Z228:AA228" si="2105">Z227+Z223+Z219+Z217</f>
        <v>772.99</v>
      </c>
      <c r="AA228" s="23">
        <f t="shared" ref="AA228" si="2106">AA227+AA223+AA219+AA217</f>
        <v>807.00000000000045</v>
      </c>
      <c r="AB228" s="24">
        <f t="shared" ref="AB228:AD228" si="2107">AB227+AB223+AB219+AB217</f>
        <v>1328.6697620633697</v>
      </c>
      <c r="AC228" s="24">
        <f t="shared" si="2107"/>
        <v>1826.5359213535387</v>
      </c>
      <c r="AD228" s="24">
        <f t="shared" si="2107"/>
        <v>2381.8474756066189</v>
      </c>
      <c r="AE228" s="24">
        <f t="shared" ref="AE228" si="2108">AE227+AE223+AE219+AE217</f>
        <v>3000.8574836904704</v>
      </c>
      <c r="AI228" s="23">
        <f t="shared" ref="AI228" si="2109">AI227+AI223+AI219+AI217</f>
        <v>0</v>
      </c>
      <c r="AJ228" s="23">
        <f t="shared" ref="AJ228:AL228" si="2110">AJ227+AJ223+AJ219+AJ217</f>
        <v>7.4039999999999395</v>
      </c>
      <c r="AK228" s="23">
        <f t="shared" si="2110"/>
        <v>408.25125032000551</v>
      </c>
      <c r="AL228" s="23">
        <f t="shared" si="2110"/>
        <v>39.80900000000031</v>
      </c>
      <c r="AM228" s="23">
        <f t="shared" ref="AM228" si="2111">AM227+AM223+AM219+AM217</f>
        <v>332.82630358648714</v>
      </c>
      <c r="AN228" s="23">
        <f t="shared" ref="AN228:CD228" si="2112">AN227+AN223+AN219+AN217</f>
        <v>3.8409999999997524</v>
      </c>
      <c r="AO228" s="23">
        <f t="shared" si="2112"/>
        <v>12.122569770622778</v>
      </c>
      <c r="AP228" s="23">
        <f t="shared" si="2112"/>
        <v>31.8960000000001</v>
      </c>
      <c r="AQ228" s="23">
        <f t="shared" si="2112"/>
        <v>-435.74260449953698</v>
      </c>
      <c r="AR228" s="23">
        <f t="shared" si="2112"/>
        <v>2.8650000000000091</v>
      </c>
      <c r="AS228" s="23">
        <f t="shared" si="2112"/>
        <v>-2.4318357080370365</v>
      </c>
      <c r="AT228" s="23">
        <f t="shared" si="2112"/>
        <v>40.775999999999954</v>
      </c>
      <c r="AU228" s="23">
        <f t="shared" si="2112"/>
        <v>345.06968512743788</v>
      </c>
      <c r="AV228" s="23">
        <f t="shared" si="2112"/>
        <v>44.056999999999789</v>
      </c>
      <c r="AW228" s="23">
        <f t="shared" si="2112"/>
        <v>-12.550007088342085</v>
      </c>
      <c r="AX228" s="23">
        <f t="shared" si="2112"/>
        <v>45.023000000000252</v>
      </c>
      <c r="AY228" s="23">
        <f t="shared" si="2112"/>
        <v>277.99571103722758</v>
      </c>
      <c r="AZ228" s="23">
        <f t="shared" si="2112"/>
        <v>40.397999999999797</v>
      </c>
      <c r="BA228" s="23">
        <f t="shared" si="2112"/>
        <v>-19.7829087402855</v>
      </c>
      <c r="BB228" s="23">
        <f t="shared" si="2112"/>
        <v>92.548000000000215</v>
      </c>
      <c r="BC228" s="23">
        <f t="shared" si="2112"/>
        <v>268.72600397855126</v>
      </c>
      <c r="BD228" s="23">
        <f t="shared" si="2112"/>
        <v>65.56800000000004</v>
      </c>
      <c r="BE228" s="23">
        <f t="shared" si="2112"/>
        <v>46.991984840411483</v>
      </c>
      <c r="BF228" s="23">
        <f t="shared" si="2112"/>
        <v>82.763000000000048</v>
      </c>
      <c r="BG228" s="23">
        <f t="shared" si="2112"/>
        <v>226.97626307578264</v>
      </c>
      <c r="BH228" s="23">
        <f t="shared" si="2112"/>
        <v>109.90099999999983</v>
      </c>
      <c r="BI228" s="23">
        <f t="shared" si="2112"/>
        <v>187.07273027125933</v>
      </c>
      <c r="BJ228" s="23">
        <f t="shared" si="2112"/>
        <v>75.586999999999989</v>
      </c>
      <c r="BK228" s="23">
        <f t="shared" si="2112"/>
        <v>164.19482813800676</v>
      </c>
      <c r="BL228" s="23">
        <f t="shared" si="2112"/>
        <v>85.995000000000061</v>
      </c>
      <c r="BM228" s="23">
        <f t="shared" si="2112"/>
        <v>71.857490417454216</v>
      </c>
      <c r="BN228" s="23">
        <f t="shared" si="2112"/>
        <v>107.48400000000009</v>
      </c>
      <c r="BO228" s="23">
        <f t="shared" si="2112"/>
        <v>285.74473098840201</v>
      </c>
      <c r="BP228" s="23">
        <f t="shared" si="2112"/>
        <v>112.8389999999998</v>
      </c>
      <c r="BQ228" s="23">
        <f t="shared" si="2112"/>
        <v>87.66099751947641</v>
      </c>
      <c r="BR228" s="23">
        <f t="shared" si="2112"/>
        <v>141.48500000000001</v>
      </c>
      <c r="BS228" s="23">
        <f t="shared" si="2112"/>
        <v>222.03906839706175</v>
      </c>
      <c r="BT228" s="23">
        <f t="shared" si="2112"/>
        <v>147.29900000000006</v>
      </c>
      <c r="BU228" s="23">
        <f t="shared" si="2112"/>
        <v>220.53525099435399</v>
      </c>
      <c r="BV228" s="23">
        <f t="shared" si="2112"/>
        <v>112.13499999999986</v>
      </c>
      <c r="BW228" s="23">
        <f t="shared" si="2112"/>
        <v>159.10790106326829</v>
      </c>
      <c r="BX228" s="23">
        <f t="shared" si="2112"/>
        <v>106.21500000000019</v>
      </c>
      <c r="BY228" s="23">
        <f t="shared" si="2112"/>
        <v>168.70790802645467</v>
      </c>
      <c r="BZ228" s="23">
        <f t="shared" si="2112"/>
        <v>229.43100000000001</v>
      </c>
      <c r="CA228" s="23">
        <f t="shared" si="2112"/>
        <v>312.69090921939039</v>
      </c>
      <c r="CB228" s="23">
        <f t="shared" si="2112"/>
        <v>356.77</v>
      </c>
      <c r="CC228" s="23">
        <f t="shared" si="2112"/>
        <v>456.73965972365443</v>
      </c>
      <c r="CD228" s="23">
        <f t="shared" si="2112"/>
        <v>466.58999999999992</v>
      </c>
      <c r="CE228" s="23">
        <f t="shared" ref="CE228:CF228" si="2113">CE227+CE223+CE219+CE217</f>
        <v>688.50754631433529</v>
      </c>
      <c r="CF228" s="23">
        <f t="shared" si="2113"/>
        <v>531.68000000000006</v>
      </c>
      <c r="CG228" s="23">
        <f t="shared" ref="CG228:CH228" si="2114">CG227+CG223+CG219+CG217</f>
        <v>618.61619002637087</v>
      </c>
      <c r="CH228" s="23">
        <f t="shared" si="2114"/>
        <v>772.98999999999978</v>
      </c>
      <c r="CI228" s="23">
        <f t="shared" ref="CI228:CJ228" si="2115">CI227+CI223+CI219+CI217</f>
        <v>1069.2305915468237</v>
      </c>
      <c r="CJ228" s="23">
        <f t="shared" si="2115"/>
        <v>819.06000000000063</v>
      </c>
      <c r="CK228" s="23">
        <f t="shared" ref="CK228:DB228" si="2116">CK227+CK223+CK219+CK217</f>
        <v>943.36764378254009</v>
      </c>
      <c r="CL228" s="23">
        <f t="shared" si="2116"/>
        <v>806.99999999999977</v>
      </c>
      <c r="CM228" s="24">
        <f t="shared" si="2116"/>
        <v>982.81686307452719</v>
      </c>
      <c r="CN228" s="24">
        <f t="shared" si="2116"/>
        <v>1112.0844679405786</v>
      </c>
      <c r="CO228" s="24">
        <f t="shared" si="2116"/>
        <v>1225.1045346444334</v>
      </c>
      <c r="CP228" s="24">
        <f t="shared" si="2116"/>
        <v>1328.669762063369</v>
      </c>
      <c r="CQ228" s="24">
        <f t="shared" si="2116"/>
        <v>1452.3265640307307</v>
      </c>
      <c r="CR228" s="24">
        <f t="shared" si="2116"/>
        <v>1584.0118087017404</v>
      </c>
      <c r="CS228" s="24">
        <f t="shared" si="2116"/>
        <v>1699.0948248626069</v>
      </c>
      <c r="CT228" s="24">
        <f t="shared" si="2116"/>
        <v>1826.5359213535387</v>
      </c>
      <c r="CU228" s="24">
        <f t="shared" si="2116"/>
        <v>1966.1672088353014</v>
      </c>
      <c r="CV228" s="24">
        <f t="shared" si="2116"/>
        <v>2108.196163813137</v>
      </c>
      <c r="CW228" s="24">
        <f t="shared" si="2116"/>
        <v>2236.1651426214721</v>
      </c>
      <c r="CX228" s="24">
        <f t="shared" si="2116"/>
        <v>2381.8474756066184</v>
      </c>
      <c r="CY228" s="24">
        <f t="shared" si="2116"/>
        <v>2536.9890380742686</v>
      </c>
      <c r="CZ228" s="24">
        <f t="shared" si="2116"/>
        <v>2694.4544232976696</v>
      </c>
      <c r="DA228" s="24">
        <f t="shared" si="2116"/>
        <v>2837.7231947863861</v>
      </c>
      <c r="DB228" s="24">
        <f t="shared" si="2116"/>
        <v>3000.8574836904704</v>
      </c>
      <c r="DE228" s="123"/>
      <c r="DF228" s="23">
        <v>807.00000000000011</v>
      </c>
    </row>
    <row r="229" spans="1:110" s="28" customFormat="1" x14ac:dyDescent="0.2">
      <c r="A229" s="28" t="s">
        <v>444</v>
      </c>
      <c r="C229" s="28">
        <f t="shared" ref="C229:W229" si="2117">C228-C179</f>
        <v>4.3298697960381105E-14</v>
      </c>
      <c r="D229" s="28">
        <f t="shared" si="2117"/>
        <v>-2.5757174171303632E-14</v>
      </c>
      <c r="E229" s="28">
        <f t="shared" si="2117"/>
        <v>-1.2878587085651816E-14</v>
      </c>
      <c r="F229" s="28">
        <f t="shared" si="2117"/>
        <v>1.9539925233402755E-14</v>
      </c>
      <c r="G229" s="28">
        <f t="shared" si="2117"/>
        <v>0</v>
      </c>
      <c r="H229" s="28">
        <f t="shared" si="2117"/>
        <v>4.2632564145606011E-14</v>
      </c>
      <c r="I229" s="28">
        <f t="shared" si="2117"/>
        <v>-5.2402526762307389E-14</v>
      </c>
      <c r="J229" s="28">
        <f>J228-J179</f>
        <v>-7.1054273576010019E-14</v>
      </c>
      <c r="K229" s="28">
        <f t="shared" si="2117"/>
        <v>1.7053025658242404E-13</v>
      </c>
      <c r="L229" s="28">
        <f t="shared" si="2117"/>
        <v>3.5527136788005009E-14</v>
      </c>
      <c r="M229" s="28">
        <f t="shared" si="2117"/>
        <v>-2.3803181647963356E-13</v>
      </c>
      <c r="N229" s="28">
        <f t="shared" si="2117"/>
        <v>2.4158453015843406E-13</v>
      </c>
      <c r="O229" s="28">
        <f t="shared" si="2117"/>
        <v>7.1054273576010019E-14</v>
      </c>
      <c r="P229" s="28">
        <f t="shared" si="2117"/>
        <v>-4.6185277824406512E-13</v>
      </c>
      <c r="Q229" s="28">
        <f t="shared" si="2117"/>
        <v>1.0658141036401503E-13</v>
      </c>
      <c r="R229" s="28">
        <f t="shared" si="2117"/>
        <v>6.6791017161449417E-13</v>
      </c>
      <c r="S229" s="28">
        <f t="shared" si="2117"/>
        <v>-3.4106051316484809E-13</v>
      </c>
      <c r="T229" s="28">
        <f t="shared" si="2117"/>
        <v>0</v>
      </c>
      <c r="U229" s="28">
        <f t="shared" si="2117"/>
        <v>1.5631940186722204E-13</v>
      </c>
      <c r="V229" s="28">
        <f t="shared" si="2117"/>
        <v>-2.8421709430404007E-13</v>
      </c>
      <c r="W229" s="28">
        <f t="shared" si="2117"/>
        <v>2.9842794901924208E-13</v>
      </c>
      <c r="X229" s="28">
        <f t="shared" ref="X229:Y229" si="2118">X228-X179</f>
        <v>0</v>
      </c>
      <c r="Y229" s="28">
        <f t="shared" si="2118"/>
        <v>0</v>
      </c>
      <c r="Z229" s="28">
        <f t="shared" ref="Z229:AA229" si="2119">Z228-Z179</f>
        <v>0</v>
      </c>
      <c r="AA229" s="28">
        <f t="shared" ref="AA229" si="2120">AA228-AA179</f>
        <v>0</v>
      </c>
      <c r="AB229" s="30">
        <f t="shared" ref="AB229:AD229" si="2121">AB228-AB179</f>
        <v>0</v>
      </c>
      <c r="AC229" s="30">
        <f t="shared" si="2121"/>
        <v>0</v>
      </c>
      <c r="AD229" s="30">
        <f t="shared" si="2121"/>
        <v>0</v>
      </c>
      <c r="AE229" s="30">
        <f t="shared" ref="AE229" si="2122">AE228-AE179</f>
        <v>0</v>
      </c>
      <c r="AI229" s="28">
        <f t="shared" ref="AI229" si="2123">AI228-AI179</f>
        <v>0</v>
      </c>
      <c r="AJ229" s="28">
        <f t="shared" ref="AJ229:AL229" si="2124">AJ228-AJ179</f>
        <v>-6.0396132539608516E-14</v>
      </c>
      <c r="AK229" s="28">
        <f t="shared" si="2124"/>
        <v>0</v>
      </c>
      <c r="AL229" s="28">
        <f t="shared" si="2124"/>
        <v>3.1263880373444408E-13</v>
      </c>
      <c r="AM229" s="28">
        <f t="shared" ref="AM229" si="2125">AM228-AM179</f>
        <v>0</v>
      </c>
      <c r="AN229" s="28">
        <f t="shared" ref="AN229:CD229" si="2126">AN228-AN179</f>
        <v>-2.4780177909633494E-13</v>
      </c>
      <c r="AO229" s="28">
        <f t="shared" si="2126"/>
        <v>0</v>
      </c>
      <c r="AP229" s="28">
        <f t="shared" si="2126"/>
        <v>9.9475983006414026E-14</v>
      </c>
      <c r="AQ229" s="28">
        <f t="shared" si="2126"/>
        <v>0</v>
      </c>
      <c r="AR229" s="28">
        <f t="shared" si="2126"/>
        <v>8.8817841970012523E-15</v>
      </c>
      <c r="AS229" s="28">
        <f t="shared" si="2126"/>
        <v>0</v>
      </c>
      <c r="AT229" s="28">
        <f t="shared" si="2126"/>
        <v>-1.0000000000474074E-3</v>
      </c>
      <c r="AU229" s="28">
        <f t="shared" si="2126"/>
        <v>0</v>
      </c>
      <c r="AV229" s="28">
        <f t="shared" si="2126"/>
        <v>-2.1316282072803006E-13</v>
      </c>
      <c r="AW229" s="28">
        <f t="shared" si="2126"/>
        <v>0</v>
      </c>
      <c r="AX229" s="28">
        <f t="shared" si="2126"/>
        <v>2.4868995751603507E-13</v>
      </c>
      <c r="AY229" s="28">
        <f t="shared" si="2126"/>
        <v>0</v>
      </c>
      <c r="AZ229" s="28">
        <f t="shared" si="2126"/>
        <v>-3.0000000002061711E-3</v>
      </c>
      <c r="BA229" s="28">
        <f t="shared" si="2126"/>
        <v>0</v>
      </c>
      <c r="BB229" s="28">
        <f t="shared" si="2126"/>
        <v>1.0000000002179377E-3</v>
      </c>
      <c r="BC229" s="28">
        <f t="shared" si="2126"/>
        <v>0</v>
      </c>
      <c r="BD229" s="28">
        <f t="shared" si="2126"/>
        <v>2.0000000000379714E-3</v>
      </c>
      <c r="BE229" s="28">
        <f t="shared" si="2126"/>
        <v>0</v>
      </c>
      <c r="BF229" s="28">
        <f t="shared" si="2126"/>
        <v>0</v>
      </c>
      <c r="BG229" s="28">
        <f t="shared" si="2126"/>
        <v>0</v>
      </c>
      <c r="BH229" s="28">
        <f t="shared" si="2126"/>
        <v>9.9999999982003374E-4</v>
      </c>
      <c r="BI229" s="28">
        <f t="shared" si="2126"/>
        <v>0</v>
      </c>
      <c r="BJ229" s="28">
        <f t="shared" si="2126"/>
        <v>-3.0000000000143245E-3</v>
      </c>
      <c r="BK229" s="28">
        <f t="shared" si="2126"/>
        <v>0</v>
      </c>
      <c r="BL229" s="28">
        <f t="shared" si="2126"/>
        <v>3.0000000000569571E-3</v>
      </c>
      <c r="BM229" s="28">
        <f t="shared" si="2126"/>
        <v>0</v>
      </c>
      <c r="BN229" s="28">
        <f t="shared" si="2126"/>
        <v>1.00000000009004E-3</v>
      </c>
      <c r="BO229" s="28">
        <f t="shared" si="2126"/>
        <v>0</v>
      </c>
      <c r="BP229" s="28">
        <f t="shared" si="2126"/>
        <v>-1.0000000002037268E-3</v>
      </c>
      <c r="BQ229" s="28">
        <f t="shared" si="2126"/>
        <v>0</v>
      </c>
      <c r="BR229" s="28">
        <f t="shared" si="2126"/>
        <v>0</v>
      </c>
      <c r="BS229" s="28">
        <f t="shared" si="2126"/>
        <v>0</v>
      </c>
      <c r="BT229" s="28">
        <f t="shared" si="2126"/>
        <v>-9.9999999994793143E-4</v>
      </c>
      <c r="BU229" s="28">
        <f t="shared" si="2126"/>
        <v>0</v>
      </c>
      <c r="BV229" s="28">
        <f t="shared" si="2126"/>
        <v>9.999999998626663E-4</v>
      </c>
      <c r="BW229" s="28">
        <f t="shared" si="2126"/>
        <v>0</v>
      </c>
      <c r="BX229" s="28">
        <f t="shared" si="2126"/>
        <v>-9.9999999980582288E-4</v>
      </c>
      <c r="BY229" s="28">
        <f t="shared" si="2126"/>
        <v>0</v>
      </c>
      <c r="BZ229" s="28">
        <f t="shared" si="2126"/>
        <v>1.0000000000047748E-3</v>
      </c>
      <c r="CA229" s="28">
        <f t="shared" si="2126"/>
        <v>0</v>
      </c>
      <c r="CB229" s="28">
        <f t="shared" si="2126"/>
        <v>0</v>
      </c>
      <c r="CC229" s="28">
        <f t="shared" si="2126"/>
        <v>0</v>
      </c>
      <c r="CD229" s="28">
        <f t="shared" si="2126"/>
        <v>0</v>
      </c>
      <c r="CE229" s="28">
        <f t="shared" ref="CE229:CF229" si="2127">CE228-CE179</f>
        <v>0</v>
      </c>
      <c r="CF229" s="28">
        <f t="shared" si="2127"/>
        <v>0</v>
      </c>
      <c r="CG229" s="28">
        <f t="shared" ref="CG229:CH229" si="2128">CG228-CG179</f>
        <v>0</v>
      </c>
      <c r="CH229" s="28">
        <f t="shared" si="2128"/>
        <v>0</v>
      </c>
      <c r="CI229" s="28">
        <f t="shared" ref="CI229:CJ229" si="2129">CI228-CI179</f>
        <v>0</v>
      </c>
      <c r="CJ229" s="28">
        <f t="shared" si="2129"/>
        <v>0</v>
      </c>
      <c r="CK229" s="28">
        <f t="shared" ref="CK229:DB229" si="2130">CK228-CK179</f>
        <v>0</v>
      </c>
      <c r="CL229" s="28">
        <f t="shared" si="2130"/>
        <v>0</v>
      </c>
      <c r="CM229" s="30">
        <f t="shared" si="2130"/>
        <v>0</v>
      </c>
      <c r="CN229" s="30">
        <f t="shared" si="2130"/>
        <v>0</v>
      </c>
      <c r="CO229" s="30">
        <f t="shared" si="2130"/>
        <v>0</v>
      </c>
      <c r="CP229" s="30">
        <f t="shared" si="2130"/>
        <v>0</v>
      </c>
      <c r="CQ229" s="30">
        <f t="shared" si="2130"/>
        <v>0</v>
      </c>
      <c r="CR229" s="30">
        <f t="shared" si="2130"/>
        <v>0</v>
      </c>
      <c r="CS229" s="30">
        <f t="shared" si="2130"/>
        <v>0</v>
      </c>
      <c r="CT229" s="30">
        <f t="shared" si="2130"/>
        <v>0</v>
      </c>
      <c r="CU229" s="30">
        <f t="shared" si="2130"/>
        <v>0</v>
      </c>
      <c r="CV229" s="30">
        <f t="shared" si="2130"/>
        <v>0</v>
      </c>
      <c r="CW229" s="30">
        <f t="shared" si="2130"/>
        <v>0</v>
      </c>
      <c r="CX229" s="30">
        <f t="shared" si="2130"/>
        <v>0</v>
      </c>
      <c r="CY229" s="30">
        <f t="shared" si="2130"/>
        <v>0</v>
      </c>
      <c r="CZ229" s="30">
        <f t="shared" si="2130"/>
        <v>0</v>
      </c>
      <c r="DA229" s="30">
        <f t="shared" si="2130"/>
        <v>0</v>
      </c>
      <c r="DB229" s="30">
        <f t="shared" si="2130"/>
        <v>0</v>
      </c>
      <c r="DE229" s="139"/>
      <c r="DF229" s="28">
        <v>0</v>
      </c>
    </row>
    <row r="230" spans="1:110" s="23" customFormat="1" x14ac:dyDescent="0.2">
      <c r="AB230" s="24"/>
      <c r="AC230" s="24"/>
      <c r="AD230" s="24"/>
      <c r="AE230" s="24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  <c r="CW230" s="24"/>
      <c r="CX230" s="24"/>
      <c r="CY230" s="24"/>
      <c r="CZ230" s="24"/>
      <c r="DA230" s="24"/>
      <c r="DB230" s="24"/>
      <c r="DE230" s="123"/>
    </row>
    <row r="231" spans="1:110" s="22" customFormat="1" x14ac:dyDescent="0.2">
      <c r="A231" s="22" t="s">
        <v>96</v>
      </c>
      <c r="C231" s="22">
        <f t="shared" ref="C231:W231" si="2131">C217+C219</f>
        <v>12.606567900000027</v>
      </c>
      <c r="D231" s="22">
        <f t="shared" si="2131"/>
        <v>-1.0546677000000129</v>
      </c>
      <c r="E231" s="22">
        <f t="shared" si="2131"/>
        <v>-10.128290099999997</v>
      </c>
      <c r="F231" s="22">
        <f t="shared" si="2131"/>
        <v>-19.618125899999967</v>
      </c>
      <c r="G231" s="22">
        <f t="shared" si="2131"/>
        <v>-94.833800000000053</v>
      </c>
      <c r="H231" s="22">
        <f t="shared" si="2131"/>
        <v>-120.2037</v>
      </c>
      <c r="I231" s="22">
        <f t="shared" si="2131"/>
        <v>-112.45629999999996</v>
      </c>
      <c r="J231" s="22">
        <f>J217+J219</f>
        <v>-110.50740000000008</v>
      </c>
      <c r="K231" s="22">
        <f t="shared" si="2131"/>
        <v>63.728800000000078</v>
      </c>
      <c r="L231" s="22">
        <f t="shared" si="2131"/>
        <v>-140.29309999999973</v>
      </c>
      <c r="M231" s="22">
        <f t="shared" si="2131"/>
        <v>3.0596999999997081</v>
      </c>
      <c r="N231" s="22">
        <f t="shared" si="2131"/>
        <v>-114.21039999999982</v>
      </c>
      <c r="O231" s="22">
        <f t="shared" si="2131"/>
        <v>74.427500000000123</v>
      </c>
      <c r="P231" s="22">
        <f t="shared" si="2131"/>
        <v>102.43259999999955</v>
      </c>
      <c r="Q231" s="22">
        <f t="shared" si="2131"/>
        <v>-168.10370000000017</v>
      </c>
      <c r="R231" s="22">
        <f t="shared" si="2131"/>
        <v>98.002600000000626</v>
      </c>
      <c r="S231" s="22">
        <f t="shared" si="2131"/>
        <v>-8.3657000000002952</v>
      </c>
      <c r="T231" s="22">
        <f t="shared" si="2131"/>
        <v>46.067000000000085</v>
      </c>
      <c r="U231" s="22">
        <f t="shared" si="2131"/>
        <v>163.58140000000006</v>
      </c>
      <c r="V231" s="22">
        <f t="shared" si="2131"/>
        <v>160.43179999999961</v>
      </c>
      <c r="W231" s="22">
        <f t="shared" si="2131"/>
        <v>166.32520000000022</v>
      </c>
      <c r="X231" s="22">
        <f t="shared" ref="X231:Y231" si="2132">X217+X219</f>
        <v>225.95090000000002</v>
      </c>
      <c r="Y231" s="22">
        <f t="shared" si="2132"/>
        <v>267.82000000000028</v>
      </c>
      <c r="Z231" s="22">
        <f t="shared" ref="Z231:AA231" si="2133">Z217+Z219</f>
        <v>323.52999999999997</v>
      </c>
      <c r="AA231" s="22">
        <f t="shared" ref="AA231" si="2134">AA217+AA219</f>
        <v>71.310000000000684</v>
      </c>
      <c r="AB231" s="21">
        <f t="shared" ref="AB231:AD231" si="2135">AB217+AB219</f>
        <v>521.66976206336926</v>
      </c>
      <c r="AC231" s="21">
        <f t="shared" si="2135"/>
        <v>497.86615929016966</v>
      </c>
      <c r="AD231" s="21">
        <f t="shared" si="2135"/>
        <v>555.31155425307998</v>
      </c>
      <c r="AE231" s="21">
        <f t="shared" ref="AE231" si="2136">AE217+AE219</f>
        <v>619.01000808385288</v>
      </c>
      <c r="AI231" s="22">
        <f t="shared" ref="AI231" si="2137">AI217+AI219</f>
        <v>6.3979999999999695</v>
      </c>
      <c r="AJ231" s="22">
        <f t="shared" ref="AJ231:AL231" si="2138">AJ217+AJ219</f>
        <v>-914.04200000000014</v>
      </c>
      <c r="AK231" s="22">
        <f t="shared" si="2138"/>
        <v>400.84725032000551</v>
      </c>
      <c r="AL231" s="22">
        <f t="shared" si="2138"/>
        <v>-601.36625032000529</v>
      </c>
      <c r="AM231" s="22">
        <f t="shared" ref="AM231" si="2139">AM217+AM219</f>
        <v>293.01730358648717</v>
      </c>
      <c r="AN231" s="22">
        <f t="shared" ref="AN231:CD231" si="2140">AN217+AN219</f>
        <v>137.05769641351262</v>
      </c>
      <c r="AO231" s="22">
        <f t="shared" si="2140"/>
        <v>8.2815697706227773</v>
      </c>
      <c r="AP231" s="22">
        <f t="shared" si="2140"/>
        <v>-367.81256977062276</v>
      </c>
      <c r="AQ231" s="22">
        <f t="shared" si="2140"/>
        <v>-467.638604499537</v>
      </c>
      <c r="AR231" s="22">
        <f t="shared" si="2140"/>
        <v>868.98860449953713</v>
      </c>
      <c r="AS231" s="22">
        <f t="shared" si="2140"/>
        <v>-5.2968357080370367</v>
      </c>
      <c r="AT231" s="22">
        <f t="shared" si="2140"/>
        <v>-298.81116429196288</v>
      </c>
      <c r="AU231" s="22">
        <f t="shared" si="2140"/>
        <v>304.29268512743789</v>
      </c>
      <c r="AV231" s="22">
        <f t="shared" si="2140"/>
        <v>-377.20068512743802</v>
      </c>
      <c r="AW231" s="22">
        <f t="shared" si="2140"/>
        <v>-56.607007088342087</v>
      </c>
      <c r="AX231" s="22">
        <f t="shared" si="2140"/>
        <v>-30.754992911657723</v>
      </c>
      <c r="AY231" s="22">
        <f t="shared" si="2140"/>
        <v>232.97271103722755</v>
      </c>
      <c r="AZ231" s="22">
        <f t="shared" si="2140"/>
        <v>-272.20471103722775</v>
      </c>
      <c r="BA231" s="22">
        <f t="shared" si="2140"/>
        <v>-60.183908740285503</v>
      </c>
      <c r="BB231" s="22">
        <f t="shared" si="2140"/>
        <v>223.69890874028567</v>
      </c>
      <c r="BC231" s="22">
        <f t="shared" si="2140"/>
        <v>176.17900397855129</v>
      </c>
      <c r="BD231" s="22">
        <f t="shared" si="2140"/>
        <v>-192.89000397855119</v>
      </c>
      <c r="BE231" s="22">
        <f t="shared" si="2140"/>
        <v>-18.574015159588519</v>
      </c>
      <c r="BF231" s="22">
        <f t="shared" si="2140"/>
        <v>-7.2719848404114273</v>
      </c>
      <c r="BG231" s="22">
        <f t="shared" si="2140"/>
        <v>144.21326307578263</v>
      </c>
      <c r="BH231" s="22">
        <f t="shared" si="2140"/>
        <v>-74.134263075782684</v>
      </c>
      <c r="BI231" s="22">
        <f t="shared" si="2140"/>
        <v>77.172730271259326</v>
      </c>
      <c r="BJ231" s="22">
        <f t="shared" si="2140"/>
        <v>-124.42473027125942</v>
      </c>
      <c r="BK231" s="22">
        <f t="shared" si="2140"/>
        <v>88.604828138006752</v>
      </c>
      <c r="BL231" s="22">
        <f t="shared" si="2140"/>
        <v>-6.7078281380067359</v>
      </c>
      <c r="BM231" s="22">
        <f t="shared" si="2140"/>
        <v>-14.134509582545789</v>
      </c>
      <c r="BN231" s="22">
        <f t="shared" si="2140"/>
        <v>91.418509582546022</v>
      </c>
      <c r="BO231" s="22">
        <f t="shared" si="2140"/>
        <v>178.26173098840198</v>
      </c>
      <c r="BP231" s="22">
        <f t="shared" si="2140"/>
        <v>-120.74473098840228</v>
      </c>
      <c r="BQ231" s="22">
        <f t="shared" si="2140"/>
        <v>-25.179002480523586</v>
      </c>
      <c r="BR231" s="22">
        <f t="shared" si="2140"/>
        <v>109.6210024805237</v>
      </c>
      <c r="BS231" s="22">
        <f t="shared" si="2140"/>
        <v>80.554068397061741</v>
      </c>
      <c r="BT231" s="22">
        <f t="shared" si="2140"/>
        <v>13.341931602938267</v>
      </c>
      <c r="BU231" s="22">
        <f t="shared" si="2140"/>
        <v>73.23525099435399</v>
      </c>
      <c r="BV231" s="22">
        <f t="shared" si="2140"/>
        <v>-0.80825099435413961</v>
      </c>
      <c r="BW231" s="22">
        <f t="shared" si="2140"/>
        <v>46.973901063268286</v>
      </c>
      <c r="BX231" s="22">
        <f t="shared" si="2140"/>
        <v>72.216098936731797</v>
      </c>
      <c r="BY231" s="22">
        <f t="shared" si="2140"/>
        <v>62.491908026454666</v>
      </c>
      <c r="BZ231" s="22">
        <f t="shared" si="2140"/>
        <v>44.260091973545372</v>
      </c>
      <c r="CA231" s="22">
        <f t="shared" si="2140"/>
        <v>83.260909219390413</v>
      </c>
      <c r="CB231" s="22">
        <f t="shared" si="2140"/>
        <v>69.9890907806097</v>
      </c>
      <c r="CC231" s="22">
        <f t="shared" si="2140"/>
        <v>99.96965972365436</v>
      </c>
      <c r="CD231" s="22">
        <f t="shared" si="2140"/>
        <v>14.600340276345491</v>
      </c>
      <c r="CE231" s="22">
        <f t="shared" ref="CE231:CF231" si="2141">CE217+CE219</f>
        <v>221.91754631433531</v>
      </c>
      <c r="CF231" s="22">
        <f t="shared" si="2141"/>
        <v>-146.12754631433538</v>
      </c>
      <c r="CG231" s="22">
        <f t="shared" ref="CG231:CH231" si="2142">CG217+CG219</f>
        <v>86.936190026370809</v>
      </c>
      <c r="CH231" s="22">
        <f t="shared" si="2142"/>
        <v>160.80380997362897</v>
      </c>
      <c r="CI231" s="22">
        <f t="shared" ref="CI231:CJ231" si="2143">CI217+CI219</f>
        <v>296.24059154682357</v>
      </c>
      <c r="CJ231" s="22">
        <f t="shared" si="2143"/>
        <v>-229.10059154682335</v>
      </c>
      <c r="CK231" s="22">
        <f t="shared" ref="CK231:DB231" si="2144">CK217+CK219</f>
        <v>124.30764378254014</v>
      </c>
      <c r="CL231" s="22">
        <f t="shared" si="2144"/>
        <v>-120.13764378253984</v>
      </c>
      <c r="CM231" s="21">
        <f t="shared" si="2144"/>
        <v>175.81686307452713</v>
      </c>
      <c r="CN231" s="21">
        <f t="shared" si="2144"/>
        <v>129.26760486605156</v>
      </c>
      <c r="CO231" s="21">
        <f t="shared" si="2144"/>
        <v>113.02006670385487</v>
      </c>
      <c r="CP231" s="21">
        <f t="shared" si="2144"/>
        <v>103.56522741893559</v>
      </c>
      <c r="CQ231" s="21">
        <f t="shared" si="2144"/>
        <v>123.65680196736164</v>
      </c>
      <c r="CR231" s="21">
        <f t="shared" si="2144"/>
        <v>131.68524467100985</v>
      </c>
      <c r="CS231" s="21">
        <f t="shared" si="2144"/>
        <v>115.08301616086641</v>
      </c>
      <c r="CT231" s="21">
        <f t="shared" si="2144"/>
        <v>127.44109649093178</v>
      </c>
      <c r="CU231" s="21">
        <f t="shared" si="2144"/>
        <v>139.63128748176268</v>
      </c>
      <c r="CV231" s="21">
        <f t="shared" si="2144"/>
        <v>142.02895497783553</v>
      </c>
      <c r="CW231" s="21">
        <f t="shared" si="2144"/>
        <v>127.96897880833524</v>
      </c>
      <c r="CX231" s="21">
        <f t="shared" si="2144"/>
        <v>145.68233298514647</v>
      </c>
      <c r="CY231" s="21">
        <f t="shared" si="2144"/>
        <v>155.14156246765006</v>
      </c>
      <c r="CZ231" s="21">
        <f t="shared" si="2144"/>
        <v>157.46538522340103</v>
      </c>
      <c r="DA231" s="21">
        <f t="shared" si="2144"/>
        <v>143.26877148871714</v>
      </c>
      <c r="DB231" s="21">
        <f t="shared" si="2144"/>
        <v>163.13428890408431</v>
      </c>
      <c r="DE231" s="126"/>
      <c r="DF231" s="22">
        <v>71.310000000000571</v>
      </c>
    </row>
    <row r="232" spans="1:110" x14ac:dyDescent="0.2">
      <c r="A232" s="152" t="s">
        <v>496</v>
      </c>
      <c r="AA232" s="2"/>
      <c r="CL232" s="2"/>
      <c r="DF232" s="111"/>
    </row>
    <row r="233" spans="1:110" x14ac:dyDescent="0.2">
      <c r="AA233" s="2"/>
      <c r="CL233" s="2"/>
      <c r="DF233" s="111"/>
    </row>
    <row r="234" spans="1:110" s="7" customFormat="1" hidden="1" outlineLevel="1" x14ac:dyDescent="0.2">
      <c r="A234" s="61" t="s">
        <v>97</v>
      </c>
      <c r="AB234" s="77"/>
      <c r="AC234" s="77"/>
      <c r="AD234" s="77"/>
      <c r="AE234" s="77"/>
      <c r="CM234" s="50"/>
      <c r="CN234" s="50"/>
      <c r="CO234" s="50"/>
      <c r="CP234" s="50"/>
      <c r="CQ234" s="50"/>
      <c r="CR234" s="50"/>
      <c r="CS234" s="50"/>
      <c r="CT234" s="50"/>
      <c r="CU234" s="50"/>
      <c r="CV234" s="50"/>
      <c r="CW234" s="50"/>
      <c r="CX234" s="50"/>
      <c r="CY234" s="50"/>
      <c r="CZ234" s="50"/>
      <c r="DA234" s="50"/>
      <c r="DB234" s="50"/>
      <c r="DE234" s="138"/>
      <c r="DF234" s="115"/>
    </row>
    <row r="235" spans="1:110" s="62" customFormat="1" hidden="1" outlineLevel="1" x14ac:dyDescent="0.2">
      <c r="A235" s="62" t="s">
        <v>98</v>
      </c>
      <c r="AB235" s="63"/>
      <c r="AC235" s="63"/>
      <c r="AD235" s="63"/>
      <c r="AE235" s="63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  <c r="DF235" s="114"/>
    </row>
    <row r="236" spans="1:110" s="62" customFormat="1" hidden="1" outlineLevel="1" x14ac:dyDescent="0.2">
      <c r="A236" s="62" t="s">
        <v>99</v>
      </c>
      <c r="AB236" s="63"/>
      <c r="AC236" s="63"/>
      <c r="AD236" s="63"/>
      <c r="AE236" s="63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  <c r="DF236" s="114"/>
    </row>
    <row r="237" spans="1:110" s="62" customFormat="1" hidden="1" outlineLevel="1" x14ac:dyDescent="0.2">
      <c r="A237" s="62" t="s">
        <v>100</v>
      </c>
      <c r="AB237" s="63"/>
      <c r="AC237" s="63"/>
      <c r="AD237" s="63"/>
      <c r="AE237" s="63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  <c r="DF237" s="114"/>
    </row>
    <row r="238" spans="1:110" s="62" customFormat="1" hidden="1" outlineLevel="1" x14ac:dyDescent="0.2">
      <c r="AB238" s="63"/>
      <c r="AC238" s="63"/>
      <c r="AD238" s="63"/>
      <c r="AE238" s="63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  <c r="DF238" s="114"/>
    </row>
    <row r="239" spans="1:110" s="62" customFormat="1" hidden="1" outlineLevel="1" x14ac:dyDescent="0.2">
      <c r="AB239" s="63"/>
      <c r="AC239" s="63"/>
      <c r="AD239" s="63"/>
      <c r="AE239" s="63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  <c r="DF239" s="114"/>
    </row>
    <row r="240" spans="1:110" s="62" customFormat="1" hidden="1" outlineLevel="1" x14ac:dyDescent="0.2">
      <c r="AB240" s="63"/>
      <c r="AC240" s="63"/>
      <c r="AD240" s="63"/>
      <c r="AE240" s="63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  <c r="DF240" s="114"/>
    </row>
    <row r="241" spans="1:110" s="11" customFormat="1" collapsed="1" x14ac:dyDescent="0.2">
      <c r="AB241" s="63"/>
      <c r="AC241" s="63"/>
      <c r="AD241" s="63"/>
      <c r="AE241" s="63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  <c r="DF241" s="194"/>
    </row>
    <row r="242" spans="1:110" s="83" customFormat="1" x14ac:dyDescent="0.2">
      <c r="A242" s="82" t="s">
        <v>101</v>
      </c>
      <c r="AB242" s="72"/>
      <c r="AC242" s="72"/>
      <c r="AD242" s="72"/>
      <c r="AE242" s="72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6" customFormat="1" x14ac:dyDescent="0.2">
      <c r="A243" s="66" t="s">
        <v>471</v>
      </c>
      <c r="AB243" s="50"/>
      <c r="AC243" s="50"/>
      <c r="AD243" s="50"/>
      <c r="AE243" s="50"/>
      <c r="AL243" s="66">
        <f t="shared" ref="AL243:BQ243" si="2145">SUM(AI28:AL28)</f>
        <v>948.625</v>
      </c>
      <c r="AM243" s="66">
        <f t="shared" si="2145"/>
        <v>818.18000000000006</v>
      </c>
      <c r="AN243" s="66">
        <f t="shared" si="2145"/>
        <v>609.12900000000002</v>
      </c>
      <c r="AO243" s="66">
        <f t="shared" si="2145"/>
        <v>519.62400000000002</v>
      </c>
      <c r="AP243" s="66">
        <f t="shared" si="2145"/>
        <v>501.23199999999997</v>
      </c>
      <c r="AQ243" s="66">
        <f t="shared" si="2145"/>
        <v>663.75900000000001</v>
      </c>
      <c r="AR243" s="66">
        <f t="shared" si="2145"/>
        <v>841.48099999999999</v>
      </c>
      <c r="AS243" s="66">
        <f t="shared" si="2145"/>
        <v>1034.203</v>
      </c>
      <c r="AT243" s="66">
        <f t="shared" si="2145"/>
        <v>1335.193</v>
      </c>
      <c r="AU243" s="66">
        <f t="shared" si="2145"/>
        <v>1327.828</v>
      </c>
      <c r="AV243" s="66">
        <f t="shared" si="2145"/>
        <v>1315.5520000000001</v>
      </c>
      <c r="AW243" s="66">
        <f t="shared" si="2145"/>
        <v>1341.8319999999999</v>
      </c>
      <c r="AX243" s="66">
        <f t="shared" si="2145"/>
        <v>1297.8490000000002</v>
      </c>
      <c r="AY243" s="66">
        <f t="shared" si="2145"/>
        <v>1285.6030000000001</v>
      </c>
      <c r="AZ243" s="66">
        <f t="shared" si="2145"/>
        <v>1243.1770000000001</v>
      </c>
      <c r="BA243" s="66">
        <f t="shared" si="2145"/>
        <v>1199.309</v>
      </c>
      <c r="BB243" s="66">
        <f t="shared" si="2145"/>
        <v>1201.5309999999999</v>
      </c>
      <c r="BC243" s="66">
        <f t="shared" si="2145"/>
        <v>1187.6770000000001</v>
      </c>
      <c r="BD243" s="66">
        <f t="shared" si="2145"/>
        <v>1193.6369999999999</v>
      </c>
      <c r="BE243" s="66">
        <f t="shared" si="2145"/>
        <v>1165.3539999999998</v>
      </c>
      <c r="BF243" s="66">
        <f t="shared" si="2145"/>
        <v>1180.23</v>
      </c>
      <c r="BG243" s="66">
        <f t="shared" si="2145"/>
        <v>1249.326</v>
      </c>
      <c r="BH243" s="66">
        <f t="shared" si="2145"/>
        <v>1320.4780000000001</v>
      </c>
      <c r="BI243" s="66">
        <f t="shared" si="2145"/>
        <v>1334.0330000000001</v>
      </c>
      <c r="BJ243" s="66">
        <f t="shared" si="2145"/>
        <v>1224.8440000000001</v>
      </c>
      <c r="BK243" s="66">
        <f t="shared" si="2145"/>
        <v>1192.741</v>
      </c>
      <c r="BL243" s="66">
        <f t="shared" si="2145"/>
        <v>1138.1390000000001</v>
      </c>
      <c r="BM243" s="66">
        <f t="shared" si="2145"/>
        <v>1144.9960000000001</v>
      </c>
      <c r="BN243" s="66">
        <f t="shared" si="2145"/>
        <v>1085.5349999999999</v>
      </c>
      <c r="BO243" s="66">
        <f t="shared" si="2145"/>
        <v>948.93500000000006</v>
      </c>
      <c r="BP243" s="66">
        <f t="shared" si="2145"/>
        <v>946.428</v>
      </c>
      <c r="BQ243" s="66">
        <f t="shared" si="2145"/>
        <v>963.06799999999998</v>
      </c>
      <c r="BR243" s="66">
        <f t="shared" ref="BR243:CW243" si="2146">SUM(BO28:BR28)</f>
        <v>1044.7060000000001</v>
      </c>
      <c r="BS243" s="66">
        <f t="shared" si="2146"/>
        <v>1204.133</v>
      </c>
      <c r="BT243" s="66">
        <f t="shared" si="2146"/>
        <v>1254.502</v>
      </c>
      <c r="BU243" s="66">
        <f t="shared" si="2146"/>
        <v>1230.5530000000001</v>
      </c>
      <c r="BV243" s="66">
        <f t="shared" si="2146"/>
        <v>1211.9459999999999</v>
      </c>
      <c r="BW243" s="66">
        <f t="shared" si="2146"/>
        <v>1245.4569999999999</v>
      </c>
      <c r="BX243" s="66">
        <f t="shared" si="2146"/>
        <v>1320.0239999999999</v>
      </c>
      <c r="BY243" s="66">
        <f t="shared" si="2146"/>
        <v>1436.655</v>
      </c>
      <c r="BZ243" s="66">
        <f t="shared" si="2146"/>
        <v>1529.6699999999998</v>
      </c>
      <c r="CA243" s="66">
        <f t="shared" si="2146"/>
        <v>1616.29</v>
      </c>
      <c r="CB243" s="66">
        <f t="shared" si="2146"/>
        <v>1712.6</v>
      </c>
      <c r="CC243" s="66">
        <f t="shared" si="2146"/>
        <v>1797.34</v>
      </c>
      <c r="CD243" s="66">
        <f t="shared" si="2146"/>
        <v>1937.42</v>
      </c>
      <c r="CE243" s="66">
        <f t="shared" si="2146"/>
        <v>1915.44</v>
      </c>
      <c r="CF243" s="66">
        <f t="shared" si="2146"/>
        <v>1938.6799999999998</v>
      </c>
      <c r="CG243" s="66">
        <f t="shared" si="2146"/>
        <v>1994.0099999999998</v>
      </c>
      <c r="CH243" s="66">
        <f t="shared" si="2146"/>
        <v>2226.96</v>
      </c>
      <c r="CI243" s="66">
        <f t="shared" si="2146"/>
        <v>2325.17</v>
      </c>
      <c r="CJ243" s="66">
        <f t="shared" si="2146"/>
        <v>2395.16</v>
      </c>
      <c r="CK243" s="66">
        <f t="shared" si="2146"/>
        <v>2418.0100000000002</v>
      </c>
      <c r="CL243" s="66">
        <f t="shared" si="2146"/>
        <v>2366.0500000000002</v>
      </c>
      <c r="CM243" s="50">
        <f t="shared" si="2146"/>
        <v>2576.5736000588754</v>
      </c>
      <c r="CN243" s="50">
        <f t="shared" si="2146"/>
        <v>2697.5930997167015</v>
      </c>
      <c r="CO243" s="50">
        <f t="shared" si="2146"/>
        <v>2861.5701141245941</v>
      </c>
      <c r="CP243" s="50">
        <f t="shared" si="2146"/>
        <v>2865.1300830132104</v>
      </c>
      <c r="CQ243" s="50">
        <f t="shared" si="2146"/>
        <v>2929.1898747586138</v>
      </c>
      <c r="CR243" s="50">
        <f t="shared" si="2146"/>
        <v>3003.4784690598108</v>
      </c>
      <c r="CS243" s="50">
        <f t="shared" si="2146"/>
        <v>3091.433647582513</v>
      </c>
      <c r="CT243" s="50">
        <f t="shared" si="2146"/>
        <v>3167.4321353137275</v>
      </c>
      <c r="CU243" s="50">
        <f t="shared" si="2146"/>
        <v>3240.7509216807275</v>
      </c>
      <c r="CV243" s="50">
        <f t="shared" si="2146"/>
        <v>3319.413747610572</v>
      </c>
      <c r="CW243" s="50">
        <f t="shared" si="2146"/>
        <v>3402.1707314919381</v>
      </c>
      <c r="CX243" s="50">
        <f t="shared" ref="CX243:DB243" si="2147">SUM(CU28:CX28)</f>
        <v>3484.0632532338823</v>
      </c>
      <c r="CY243" s="50">
        <f t="shared" si="2147"/>
        <v>3567.3245185703595</v>
      </c>
      <c r="CZ243" s="50">
        <f t="shared" si="2147"/>
        <v>3652.9489254175933</v>
      </c>
      <c r="DA243" s="50">
        <f t="shared" si="2147"/>
        <v>3741.8935060875497</v>
      </c>
      <c r="DB243" s="50">
        <f t="shared" si="2147"/>
        <v>3832.3829853830684</v>
      </c>
      <c r="DE243" s="138"/>
    </row>
    <row r="244" spans="1:110" s="66" customFormat="1" x14ac:dyDescent="0.2">
      <c r="A244" s="66" t="s">
        <v>472</v>
      </c>
      <c r="AB244" s="50"/>
      <c r="AC244" s="50"/>
      <c r="AD244" s="50"/>
      <c r="AE244" s="50"/>
      <c r="AL244" s="66">
        <f t="shared" ref="AL244:BQ244" si="2148">SUM(AI46:AL46)</f>
        <v>148.44199999999995</v>
      </c>
      <c r="AM244" s="66">
        <f t="shared" si="2148"/>
        <v>134.46599999999998</v>
      </c>
      <c r="AN244" s="66">
        <f t="shared" si="2148"/>
        <v>98.497999999999962</v>
      </c>
      <c r="AO244" s="66">
        <f t="shared" si="2148"/>
        <v>91.353999999999985</v>
      </c>
      <c r="AP244" s="66">
        <f t="shared" si="2148"/>
        <v>100.06899999999997</v>
      </c>
      <c r="AQ244" s="66">
        <f t="shared" si="2148"/>
        <v>108.55499999999995</v>
      </c>
      <c r="AR244" s="66">
        <f t="shared" si="2148"/>
        <v>109.02099999999994</v>
      </c>
      <c r="AS244" s="66">
        <f t="shared" si="2148"/>
        <v>122.58</v>
      </c>
      <c r="AT244" s="66">
        <f t="shared" si="2148"/>
        <v>173.40600000000003</v>
      </c>
      <c r="AU244" s="66">
        <f t="shared" si="2148"/>
        <v>172.73800000000011</v>
      </c>
      <c r="AV244" s="66">
        <f t="shared" si="2148"/>
        <v>190.5750000000001</v>
      </c>
      <c r="AW244" s="66">
        <f t="shared" si="2148"/>
        <v>172.00799999999998</v>
      </c>
      <c r="AX244" s="66">
        <f t="shared" si="2148"/>
        <v>163.803</v>
      </c>
      <c r="AY244" s="66">
        <f t="shared" si="2148"/>
        <v>172.72699999999998</v>
      </c>
      <c r="AZ244" s="66">
        <f t="shared" si="2148"/>
        <v>144.66500000000002</v>
      </c>
      <c r="BA244" s="66">
        <f t="shared" si="2148"/>
        <v>151.53300000000002</v>
      </c>
      <c r="BB244" s="66">
        <f t="shared" si="2148"/>
        <v>163.12899999999996</v>
      </c>
      <c r="BC244" s="66">
        <f t="shared" si="2148"/>
        <v>119.423</v>
      </c>
      <c r="BD244" s="66">
        <f t="shared" si="2148"/>
        <v>126.71899999999997</v>
      </c>
      <c r="BE244" s="66">
        <f t="shared" si="2148"/>
        <v>126.86200000000005</v>
      </c>
      <c r="BF244" s="66">
        <f t="shared" si="2148"/>
        <v>117.95600000000005</v>
      </c>
      <c r="BG244" s="66">
        <f t="shared" si="2148"/>
        <v>162.84700000000004</v>
      </c>
      <c r="BH244" s="66">
        <f t="shared" si="2148"/>
        <v>173.95</v>
      </c>
      <c r="BI244" s="66">
        <f t="shared" si="2148"/>
        <v>172.12799999999996</v>
      </c>
      <c r="BJ244" s="66">
        <f t="shared" si="2148"/>
        <v>141.53100000000001</v>
      </c>
      <c r="BK244" s="66">
        <f t="shared" si="2148"/>
        <v>137.74299999999999</v>
      </c>
      <c r="BL244" s="66">
        <f t="shared" si="2148"/>
        <v>144.62800000000004</v>
      </c>
      <c r="BM244" s="66">
        <f t="shared" si="2148"/>
        <v>157.25700000000003</v>
      </c>
      <c r="BN244" s="66">
        <f t="shared" si="2148"/>
        <v>137.44600000000003</v>
      </c>
      <c r="BO244" s="66">
        <f t="shared" si="2148"/>
        <v>103.075</v>
      </c>
      <c r="BP244" s="66">
        <f t="shared" si="2148"/>
        <v>121.83499999999999</v>
      </c>
      <c r="BQ244" s="66">
        <f t="shared" si="2148"/>
        <v>140.36100000000002</v>
      </c>
      <c r="BR244" s="66">
        <f t="shared" ref="BR244:CW244" si="2149">SUM(BO46:BR46)</f>
        <v>185.60700000000003</v>
      </c>
      <c r="BS244" s="66">
        <f t="shared" si="2149"/>
        <v>247.12999999999997</v>
      </c>
      <c r="BT244" s="66">
        <f t="shared" si="2149"/>
        <v>255.00900000000001</v>
      </c>
      <c r="BU244" s="66">
        <f t="shared" si="2149"/>
        <v>251.4</v>
      </c>
      <c r="BV244" s="66">
        <f t="shared" si="2149"/>
        <v>246.43799999999999</v>
      </c>
      <c r="BW244" s="66">
        <f t="shared" si="2149"/>
        <v>252.46000000000004</v>
      </c>
      <c r="BX244" s="66">
        <f t="shared" si="2149"/>
        <v>278.37599999999998</v>
      </c>
      <c r="BY244" s="66">
        <f t="shared" si="2149"/>
        <v>314.56899999999996</v>
      </c>
      <c r="BZ244" s="66">
        <f t="shared" si="2149"/>
        <v>338.87</v>
      </c>
      <c r="CA244" s="66">
        <f t="shared" si="2149"/>
        <v>373.94999999999993</v>
      </c>
      <c r="CB244" s="66">
        <f t="shared" si="2149"/>
        <v>400.1</v>
      </c>
      <c r="CC244" s="66">
        <f t="shared" si="2149"/>
        <v>431.95000000000005</v>
      </c>
      <c r="CD244" s="66">
        <f t="shared" si="2149"/>
        <v>474.46</v>
      </c>
      <c r="CE244" s="66">
        <f t="shared" si="2149"/>
        <v>466.87</v>
      </c>
      <c r="CF244" s="66">
        <f t="shared" si="2149"/>
        <v>460.42999999999995</v>
      </c>
      <c r="CG244" s="66">
        <f t="shared" si="2149"/>
        <v>482.61999999999989</v>
      </c>
      <c r="CH244" s="66">
        <f t="shared" si="2149"/>
        <v>542.58999999999992</v>
      </c>
      <c r="CI244" s="66">
        <f t="shared" si="2149"/>
        <v>580.50999999999988</v>
      </c>
      <c r="CJ244" s="66">
        <f t="shared" si="2149"/>
        <v>593.84999999999991</v>
      </c>
      <c r="CK244" s="66">
        <f t="shared" si="2149"/>
        <v>560.45000000000005</v>
      </c>
      <c r="CL244" s="66">
        <f t="shared" si="2149"/>
        <v>523.14</v>
      </c>
      <c r="CM244" s="50">
        <f t="shared" si="2149"/>
        <v>547.16096771074012</v>
      </c>
      <c r="CN244" s="50">
        <f t="shared" si="2149"/>
        <v>567.52675672605301</v>
      </c>
      <c r="CO244" s="50">
        <f t="shared" si="2149"/>
        <v>606.26962852200302</v>
      </c>
      <c r="CP244" s="50">
        <f t="shared" si="2149"/>
        <v>604.76039583662293</v>
      </c>
      <c r="CQ244" s="50">
        <f t="shared" si="2149"/>
        <v>609.6629860991701</v>
      </c>
      <c r="CR244" s="50">
        <f t="shared" si="2149"/>
        <v>622.28650155293303</v>
      </c>
      <c r="CS244" s="50">
        <f t="shared" si="2149"/>
        <v>638.43219139412702</v>
      </c>
      <c r="CT244" s="50">
        <f t="shared" si="2149"/>
        <v>649.84976803347922</v>
      </c>
      <c r="CU244" s="50">
        <f t="shared" si="2149"/>
        <v>662.69045367052422</v>
      </c>
      <c r="CV244" s="50">
        <f t="shared" si="2149"/>
        <v>678.30822762231674</v>
      </c>
      <c r="CW244" s="50">
        <f t="shared" si="2149"/>
        <v>695.37245414111408</v>
      </c>
      <c r="CX244" s="50">
        <f t="shared" ref="CX244:DB244" si="2150">SUM(CU46:CX46)</f>
        <v>712.8361592977011</v>
      </c>
      <c r="CY244" s="50">
        <f t="shared" si="2150"/>
        <v>729.36554345271475</v>
      </c>
      <c r="CZ244" s="50">
        <f t="shared" si="2150"/>
        <v>746.84253889211527</v>
      </c>
      <c r="DA244" s="50">
        <f t="shared" si="2150"/>
        <v>765.12285781064656</v>
      </c>
      <c r="DB244" s="50">
        <f t="shared" si="2150"/>
        <v>783.70484402671366</v>
      </c>
      <c r="DE244" s="138"/>
    </row>
    <row r="245" spans="1:110" s="66" customFormat="1" x14ac:dyDescent="0.2">
      <c r="A245" s="66" t="s">
        <v>473</v>
      </c>
      <c r="AB245" s="50"/>
      <c r="AC245" s="50"/>
      <c r="AD245" s="50"/>
      <c r="AE245" s="50"/>
      <c r="AL245" s="66">
        <f t="shared" ref="AL245:BQ245" si="2151">SUM(AI59:AL59)</f>
        <v>47.596999999999937</v>
      </c>
      <c r="AM245" s="66">
        <f t="shared" si="2151"/>
        <v>44.455999999999968</v>
      </c>
      <c r="AN245" s="66">
        <f t="shared" si="2151"/>
        <v>30.305999999999973</v>
      </c>
      <c r="AO245" s="66">
        <f t="shared" si="2151"/>
        <v>27.688999999999975</v>
      </c>
      <c r="AP245" s="66">
        <f t="shared" si="2151"/>
        <v>27.427999999999969</v>
      </c>
      <c r="AQ245" s="66">
        <f t="shared" si="2151"/>
        <v>16.838999999999945</v>
      </c>
      <c r="AR245" s="66">
        <f t="shared" si="2151"/>
        <v>0.71199999999993224</v>
      </c>
      <c r="AS245" s="66">
        <f t="shared" si="2151"/>
        <v>-9.6080000000000041</v>
      </c>
      <c r="AT245" s="66">
        <f t="shared" si="2151"/>
        <v>19.029000000000032</v>
      </c>
      <c r="AU245" s="66">
        <f t="shared" si="2151"/>
        <v>21.324000000000087</v>
      </c>
      <c r="AV245" s="66">
        <f t="shared" si="2151"/>
        <v>35.455000000000098</v>
      </c>
      <c r="AW245" s="66">
        <f t="shared" si="2151"/>
        <v>47.845999999999989</v>
      </c>
      <c r="AX245" s="66">
        <f t="shared" si="2151"/>
        <v>29.952000000000016</v>
      </c>
      <c r="AY245" s="66">
        <f t="shared" si="2151"/>
        <v>32.66999999999998</v>
      </c>
      <c r="AZ245" s="66">
        <f t="shared" si="2151"/>
        <v>17.875000000000025</v>
      </c>
      <c r="BA245" s="66">
        <f t="shared" si="2151"/>
        <v>1.127000000000022</v>
      </c>
      <c r="BB245" s="66">
        <f t="shared" si="2151"/>
        <v>7.0089999999999648</v>
      </c>
      <c r="BC245" s="66">
        <f t="shared" si="2151"/>
        <v>-27.201000000000001</v>
      </c>
      <c r="BD245" s="66">
        <f t="shared" si="2151"/>
        <v>-26.538000000000032</v>
      </c>
      <c r="BE245" s="66">
        <f t="shared" si="2151"/>
        <v>-19.651999999999948</v>
      </c>
      <c r="BF245" s="66">
        <f t="shared" si="2151"/>
        <v>4.7810000000000343</v>
      </c>
      <c r="BG245" s="66">
        <f t="shared" si="2151"/>
        <v>48.22500000000003</v>
      </c>
      <c r="BH245" s="66">
        <f t="shared" si="2151"/>
        <v>104.20099999999998</v>
      </c>
      <c r="BI245" s="66">
        <f t="shared" si="2151"/>
        <v>109.38999999999996</v>
      </c>
      <c r="BJ245" s="66">
        <f t="shared" si="2151"/>
        <v>66.248000000000005</v>
      </c>
      <c r="BK245" s="66">
        <f t="shared" si="2151"/>
        <v>59.623000000000005</v>
      </c>
      <c r="BL245" s="66">
        <f t="shared" si="2151"/>
        <v>19.969000000000054</v>
      </c>
      <c r="BM245" s="66">
        <f t="shared" si="2151"/>
        <v>26.934000000000033</v>
      </c>
      <c r="BN245" s="66">
        <f t="shared" si="2151"/>
        <v>88.122000000000014</v>
      </c>
      <c r="BO245" s="66">
        <f t="shared" si="2151"/>
        <v>66.364000000000004</v>
      </c>
      <c r="BP245" s="66">
        <f t="shared" si="2151"/>
        <v>78.834999999999994</v>
      </c>
      <c r="BQ245" s="66">
        <f t="shared" si="2151"/>
        <v>94.183000000000021</v>
      </c>
      <c r="BR245" s="66">
        <f t="shared" ref="BR245:CW245" si="2152">SUM(BO59:BR59)</f>
        <v>55.75500000000001</v>
      </c>
      <c r="BS245" s="66">
        <f t="shared" si="2152"/>
        <v>104.20199999999997</v>
      </c>
      <c r="BT245" s="66">
        <f t="shared" si="2152"/>
        <v>117.87700000000001</v>
      </c>
      <c r="BU245" s="66">
        <f t="shared" si="2152"/>
        <v>124.95699999999999</v>
      </c>
      <c r="BV245" s="66">
        <f t="shared" si="2152"/>
        <v>139.04999999999998</v>
      </c>
      <c r="BW245" s="66">
        <f t="shared" si="2152"/>
        <v>154.60100000000006</v>
      </c>
      <c r="BX245" s="66">
        <f t="shared" si="2152"/>
        <v>182.91799999999995</v>
      </c>
      <c r="BY245" s="66">
        <f t="shared" si="2152"/>
        <v>213.62399999999997</v>
      </c>
      <c r="BZ245" s="66">
        <f t="shared" si="2152"/>
        <v>234.26000000000002</v>
      </c>
      <c r="CA245" s="66">
        <f t="shared" si="2152"/>
        <v>263.79999999999995</v>
      </c>
      <c r="CB245" s="66">
        <f t="shared" si="2152"/>
        <v>287.09000000000003</v>
      </c>
      <c r="CC245" s="66">
        <f t="shared" si="2152"/>
        <v>314.31000000000006</v>
      </c>
      <c r="CD245" s="66">
        <f t="shared" si="2152"/>
        <v>349.17999999999995</v>
      </c>
      <c r="CE245" s="66">
        <f t="shared" si="2152"/>
        <v>348.01</v>
      </c>
      <c r="CF245" s="66">
        <f t="shared" si="2152"/>
        <v>346.78</v>
      </c>
      <c r="CG245" s="66">
        <f t="shared" si="2152"/>
        <v>364.14999999999981</v>
      </c>
      <c r="CH245" s="66">
        <f t="shared" si="2152"/>
        <v>406.96999999999997</v>
      </c>
      <c r="CI245" s="66">
        <f t="shared" si="2152"/>
        <v>430.42999999999989</v>
      </c>
      <c r="CJ245" s="66">
        <f t="shared" si="2152"/>
        <v>432.59999999999991</v>
      </c>
      <c r="CK245" s="66">
        <f t="shared" si="2152"/>
        <v>398.07</v>
      </c>
      <c r="CL245" s="66">
        <f t="shared" si="2152"/>
        <v>361.84</v>
      </c>
      <c r="CM245" s="50">
        <f t="shared" si="2152"/>
        <v>370.20211234072724</v>
      </c>
      <c r="CN245" s="50">
        <f t="shared" si="2152"/>
        <v>381.986228520868</v>
      </c>
      <c r="CO245" s="50">
        <f t="shared" si="2152"/>
        <v>412.8198244686709</v>
      </c>
      <c r="CP245" s="50">
        <f t="shared" si="2152"/>
        <v>416.31998699050558</v>
      </c>
      <c r="CQ245" s="50">
        <f t="shared" si="2152"/>
        <v>428.96437925466444</v>
      </c>
      <c r="CR245" s="50">
        <f t="shared" si="2152"/>
        <v>446.42507640541862</v>
      </c>
      <c r="CS245" s="50">
        <f t="shared" si="2152"/>
        <v>466.67867028806785</v>
      </c>
      <c r="CT245" s="50">
        <f t="shared" si="2152"/>
        <v>483.2823981713816</v>
      </c>
      <c r="CU245" s="50">
        <f t="shared" si="2152"/>
        <v>500.90557331580123</v>
      </c>
      <c r="CV245" s="50">
        <f t="shared" si="2152"/>
        <v>520.59485162340388</v>
      </c>
      <c r="CW245" s="50">
        <f t="shared" si="2152"/>
        <v>541.39966686233106</v>
      </c>
      <c r="CX245" s="50">
        <f t="shared" ref="CX245:DB245" si="2153">SUM(CU59:CX59)</f>
        <v>562.48974423555956</v>
      </c>
      <c r="CY245" s="50">
        <f t="shared" si="2153"/>
        <v>582.87090290804531</v>
      </c>
      <c r="CZ245" s="50">
        <f t="shared" si="2153"/>
        <v>603.98868239056003</v>
      </c>
      <c r="DA245" s="50">
        <f t="shared" si="2153"/>
        <v>625.75158703590864</v>
      </c>
      <c r="DB245" s="50">
        <f t="shared" si="2153"/>
        <v>647.76511908838756</v>
      </c>
      <c r="DE245" s="138"/>
    </row>
    <row r="246" spans="1:110" s="93" customFormat="1" x14ac:dyDescent="0.2">
      <c r="AB246" s="30"/>
      <c r="AC246" s="30"/>
      <c r="AD246" s="30"/>
      <c r="AE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10" s="11" customFormat="1" x14ac:dyDescent="0.2">
      <c r="AB247" s="63"/>
      <c r="AC247" s="63"/>
      <c r="AD247" s="63"/>
      <c r="AE247" s="63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  <c r="DF247" s="194"/>
    </row>
    <row r="248" spans="1:110" s="62" customFormat="1" hidden="1" outlineLevel="1" x14ac:dyDescent="0.2">
      <c r="A248" s="61" t="s">
        <v>339</v>
      </c>
      <c r="AB248" s="63"/>
      <c r="AC248" s="63"/>
      <c r="AD248" s="63"/>
      <c r="AE248" s="63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  <c r="DF248" s="114"/>
    </row>
    <row r="249" spans="1:110" s="64" customFormat="1" hidden="1" outlineLevel="1" x14ac:dyDescent="0.2">
      <c r="A249" s="64" t="s">
        <v>474</v>
      </c>
      <c r="B249" s="64">
        <f t="shared" ref="B249:Z249" si="2154">B26-B255</f>
        <v>142.37875349999999</v>
      </c>
      <c r="C249" s="64">
        <f t="shared" si="2154"/>
        <v>143.7028349</v>
      </c>
      <c r="D249" s="64">
        <f t="shared" si="2154"/>
        <v>174.76054160000001</v>
      </c>
      <c r="E249" s="64">
        <f t="shared" si="2154"/>
        <v>187.68325730000001</v>
      </c>
      <c r="F249" s="64">
        <f t="shared" si="2154"/>
        <v>322.57339999999999</v>
      </c>
      <c r="G249" s="64">
        <f t="shared" si="2154"/>
        <v>507.74939999999998</v>
      </c>
      <c r="H249" s="64">
        <f t="shared" si="2154"/>
        <v>839.46100000000001</v>
      </c>
      <c r="I249" s="64">
        <f t="shared" si="2154"/>
        <v>950.38710000000003</v>
      </c>
      <c r="J249" s="64">
        <f t="shared" si="2154"/>
        <v>1049.3083999999999</v>
      </c>
      <c r="K249" s="64">
        <f t="shared" si="2154"/>
        <v>1129.9812999999999</v>
      </c>
      <c r="L249" s="64">
        <f t="shared" si="2154"/>
        <v>1369.7743</v>
      </c>
      <c r="M249" s="64">
        <f t="shared" si="2154"/>
        <v>1713.4603</v>
      </c>
      <c r="N249" s="64">
        <f t="shared" si="2154"/>
        <v>1645.6133</v>
      </c>
      <c r="O249" s="64">
        <f t="shared" si="2154"/>
        <v>1385.8887</v>
      </c>
      <c r="P249" s="64">
        <f t="shared" si="2154"/>
        <v>1402.7067</v>
      </c>
      <c r="Q249" s="64">
        <f t="shared" si="2154"/>
        <v>1365.548</v>
      </c>
      <c r="R249" s="64">
        <f t="shared" si="2154"/>
        <v>1274.6554000000001</v>
      </c>
      <c r="S249" s="64">
        <f t="shared" si="2154"/>
        <v>1188.5006000000001</v>
      </c>
      <c r="T249" s="64">
        <f t="shared" si="2154"/>
        <v>1224.8443</v>
      </c>
      <c r="U249" s="64">
        <f t="shared" si="2154"/>
        <v>1088.4648999999999</v>
      </c>
      <c r="V249" s="64">
        <f t="shared" si="2154"/>
        <v>1044.4395999999999</v>
      </c>
      <c r="W249" s="64">
        <f t="shared" si="2154"/>
        <v>1211.9458</v>
      </c>
      <c r="X249" s="64">
        <f t="shared" si="2154"/>
        <v>1529.68</v>
      </c>
      <c r="Y249" s="64">
        <f t="shared" si="2154"/>
        <v>1937.42</v>
      </c>
      <c r="Z249" s="64">
        <f t="shared" si="2154"/>
        <v>2226.96</v>
      </c>
      <c r="AA249" s="64">
        <f t="shared" ref="AA249" si="2155">AA26-AA255</f>
        <v>2366.0500000000002</v>
      </c>
      <c r="AB249" s="30"/>
      <c r="AC249" s="30"/>
      <c r="AD249" s="30"/>
      <c r="AE249" s="30"/>
      <c r="AI249" s="64">
        <f t="shared" ref="AI249:BN249" si="2156">AI26-AI255</f>
        <v>235.77199999999999</v>
      </c>
      <c r="AJ249" s="64">
        <f t="shared" si="2156"/>
        <v>329.68200000000002</v>
      </c>
      <c r="AK249" s="64">
        <f t="shared" si="2156"/>
        <v>201.74</v>
      </c>
      <c r="AL249" s="64">
        <f t="shared" si="2156"/>
        <v>181.43099999999998</v>
      </c>
      <c r="AM249" s="64">
        <f t="shared" si="2156"/>
        <v>105.327</v>
      </c>
      <c r="AN249" s="64">
        <f t="shared" si="2156"/>
        <v>120.631</v>
      </c>
      <c r="AO249" s="64">
        <f t="shared" si="2156"/>
        <v>112.235</v>
      </c>
      <c r="AP249" s="64">
        <f t="shared" si="2156"/>
        <v>163.03899999999999</v>
      </c>
      <c r="AQ249" s="64">
        <f t="shared" si="2156"/>
        <v>267.85399999999998</v>
      </c>
      <c r="AR249" s="64">
        <f t="shared" si="2156"/>
        <v>298.35300000000001</v>
      </c>
      <c r="AS249" s="64">
        <f t="shared" si="2156"/>
        <v>304.95700000000005</v>
      </c>
      <c r="AT249" s="64">
        <f t="shared" si="2156"/>
        <v>464.029</v>
      </c>
      <c r="AU249" s="64">
        <f t="shared" si="2156"/>
        <v>260.48900000000003</v>
      </c>
      <c r="AV249" s="64">
        <f t="shared" si="2156"/>
        <v>305.29000000000002</v>
      </c>
      <c r="AW249" s="64">
        <f t="shared" si="2156"/>
        <v>348.517</v>
      </c>
      <c r="AX249" s="64">
        <f t="shared" si="2156"/>
        <v>453.26600000000002</v>
      </c>
      <c r="AY249" s="64">
        <f t="shared" si="2156"/>
        <v>263.23599999999999</v>
      </c>
      <c r="AZ249" s="64">
        <f t="shared" si="2156"/>
        <v>259.79700000000003</v>
      </c>
      <c r="BA249" s="64">
        <f t="shared" si="2156"/>
        <v>304.97699999999998</v>
      </c>
      <c r="BB249" s="64">
        <f t="shared" si="2156"/>
        <v>446.64499999999998</v>
      </c>
      <c r="BC249" s="64">
        <f t="shared" si="2156"/>
        <v>242.66</v>
      </c>
      <c r="BD249" s="64">
        <f t="shared" si="2156"/>
        <v>249.61099999999999</v>
      </c>
      <c r="BE249" s="64">
        <f t="shared" si="2156"/>
        <v>259.08600000000001</v>
      </c>
      <c r="BF249" s="64">
        <f t="shared" si="2156"/>
        <v>437.14400000000001</v>
      </c>
      <c r="BG249" s="64">
        <f t="shared" si="2156"/>
        <v>303.48500000000001</v>
      </c>
      <c r="BH249" s="64">
        <f t="shared" si="2156"/>
        <v>320.76299999999998</v>
      </c>
      <c r="BI249" s="64">
        <f t="shared" si="2156"/>
        <v>272.64100000000002</v>
      </c>
      <c r="BJ249" s="64">
        <f t="shared" si="2156"/>
        <v>327.95499999999998</v>
      </c>
      <c r="BK249" s="64">
        <f t="shared" si="2156"/>
        <v>271.38200000000001</v>
      </c>
      <c r="BL249" s="64">
        <f t="shared" si="2156"/>
        <v>266.161</v>
      </c>
      <c r="BM249" s="64">
        <f t="shared" si="2156"/>
        <v>279.49799999999999</v>
      </c>
      <c r="BN249" s="64">
        <f t="shared" si="2156"/>
        <v>268.49400000000003</v>
      </c>
      <c r="BO249" s="64">
        <f t="shared" ref="BO249:CT249" si="2157">BO26-BO255</f>
        <v>134.78200000000001</v>
      </c>
      <c r="BP249" s="64">
        <f t="shared" si="2157"/>
        <v>263.654</v>
      </c>
      <c r="BQ249" s="64">
        <f t="shared" si="2157"/>
        <v>296.13799999999998</v>
      </c>
      <c r="BR249" s="64">
        <f t="shared" si="2157"/>
        <v>350.13200000000001</v>
      </c>
      <c r="BS249" s="64">
        <f t="shared" si="2157"/>
        <v>294.209</v>
      </c>
      <c r="BT249" s="64">
        <f t="shared" si="2157"/>
        <v>314.02300000000002</v>
      </c>
      <c r="BU249" s="64">
        <f t="shared" si="2157"/>
        <v>272.18900000000002</v>
      </c>
      <c r="BV249" s="64">
        <f t="shared" si="2157"/>
        <v>331.52499999999998</v>
      </c>
      <c r="BW249" s="64">
        <f t="shared" si="2157"/>
        <v>327.72</v>
      </c>
      <c r="BX249" s="64">
        <f t="shared" si="2157"/>
        <v>388.59</v>
      </c>
      <c r="BY249" s="64">
        <f t="shared" si="2157"/>
        <v>388.82</v>
      </c>
      <c r="BZ249" s="64">
        <f t="shared" si="2157"/>
        <v>424.54</v>
      </c>
      <c r="CA249" s="64">
        <f t="shared" si="2157"/>
        <v>414.34</v>
      </c>
      <c r="CB249" s="64">
        <f t="shared" si="2157"/>
        <v>484.9</v>
      </c>
      <c r="CC249" s="64">
        <f t="shared" si="2157"/>
        <v>473.56</v>
      </c>
      <c r="CD249" s="64">
        <f t="shared" si="2157"/>
        <v>564.62</v>
      </c>
      <c r="CE249" s="64">
        <f t="shared" si="2157"/>
        <v>392.36</v>
      </c>
      <c r="CF249" s="64">
        <f t="shared" si="2157"/>
        <v>508.14</v>
      </c>
      <c r="CG249" s="64">
        <f t="shared" si="2157"/>
        <v>528.89</v>
      </c>
      <c r="CH249" s="64">
        <f t="shared" si="2157"/>
        <v>797.57</v>
      </c>
      <c r="CI249" s="64">
        <f t="shared" si="2157"/>
        <v>490.57</v>
      </c>
      <c r="CJ249" s="64">
        <f t="shared" si="2157"/>
        <v>578.13</v>
      </c>
      <c r="CK249" s="64">
        <f t="shared" si="2157"/>
        <v>551.74</v>
      </c>
      <c r="CL249" s="64">
        <f t="shared" ref="CL249" si="2158">CL26-CL255</f>
        <v>745.61</v>
      </c>
      <c r="CM249" s="30">
        <f t="shared" si="2157"/>
        <v>701.09360005887538</v>
      </c>
      <c r="CN249" s="30">
        <f t="shared" si="2157"/>
        <v>699.14949965782614</v>
      </c>
      <c r="CO249" s="30">
        <f t="shared" si="2157"/>
        <v>715.71701440789229</v>
      </c>
      <c r="CP249" s="30">
        <f t="shared" si="2157"/>
        <v>749.16996888861672</v>
      </c>
      <c r="CQ249" s="30">
        <f t="shared" si="2157"/>
        <v>765.15339180427861</v>
      </c>
      <c r="CR249" s="30">
        <f t="shared" si="2157"/>
        <v>773.43809395902315</v>
      </c>
      <c r="CS249" s="30">
        <f t="shared" si="2157"/>
        <v>803.67219293059441</v>
      </c>
      <c r="CT249" s="30">
        <f t="shared" si="2157"/>
        <v>825.16845661983143</v>
      </c>
      <c r="CU249" s="30">
        <f t="shared" ref="CU249:DB249" si="2159">CU26-CU255</f>
        <v>838.47217817127876</v>
      </c>
      <c r="CV249" s="30">
        <f t="shared" si="2159"/>
        <v>852.10091988886722</v>
      </c>
      <c r="CW249" s="30">
        <f t="shared" si="2159"/>
        <v>886.42917681196059</v>
      </c>
      <c r="CX249" s="30">
        <f t="shared" si="2159"/>
        <v>907.0609783617756</v>
      </c>
      <c r="CY249" s="30">
        <f t="shared" si="2159"/>
        <v>921.73344350775596</v>
      </c>
      <c r="CZ249" s="30">
        <f t="shared" si="2159"/>
        <v>937.72532673610101</v>
      </c>
      <c r="DA249" s="30">
        <f t="shared" si="2159"/>
        <v>975.3737574819171</v>
      </c>
      <c r="DB249" s="30">
        <f t="shared" si="2159"/>
        <v>997.55045765729415</v>
      </c>
      <c r="DE249" s="139"/>
      <c r="DF249" s="64">
        <v>2366.0500000000002</v>
      </c>
    </row>
    <row r="250" spans="1:110" s="64" customFormat="1" hidden="1" outlineLevel="1" x14ac:dyDescent="0.2">
      <c r="A250" s="64" t="s">
        <v>475</v>
      </c>
      <c r="B250" s="64">
        <f t="shared" ref="B250:Z250" si="2160">B46-B256</f>
        <v>12.241993199999989</v>
      </c>
      <c r="C250" s="64">
        <f t="shared" si="2160"/>
        <v>11.499346299999985</v>
      </c>
      <c r="D250" s="64">
        <f t="shared" si="2160"/>
        <v>11.848633100000015</v>
      </c>
      <c r="E250" s="64">
        <f t="shared" si="2160"/>
        <v>15.668042900000003</v>
      </c>
      <c r="F250" s="64">
        <f t="shared" si="2160"/>
        <v>40.901200000000017</v>
      </c>
      <c r="G250" s="64">
        <f t="shared" si="2160"/>
        <v>63.873999999999967</v>
      </c>
      <c r="H250" s="64">
        <f t="shared" si="2160"/>
        <v>115.26099999999997</v>
      </c>
      <c r="I250" s="64">
        <f t="shared" si="2160"/>
        <v>136.57260000000011</v>
      </c>
      <c r="J250" s="64">
        <f t="shared" si="2160"/>
        <v>158.16409999999996</v>
      </c>
      <c r="K250" s="64">
        <f t="shared" si="2160"/>
        <v>156.91840000000002</v>
      </c>
      <c r="L250" s="64">
        <f t="shared" si="2160"/>
        <v>195.90720000000022</v>
      </c>
      <c r="M250" s="64">
        <f t="shared" si="2160"/>
        <v>214.51389999999998</v>
      </c>
      <c r="N250" s="64">
        <f t="shared" si="2160"/>
        <v>216.33469999999994</v>
      </c>
      <c r="O250" s="64">
        <f t="shared" si="2160"/>
        <v>156.65369999999996</v>
      </c>
      <c r="P250" s="64">
        <f t="shared" si="2160"/>
        <v>175.95289999999989</v>
      </c>
      <c r="Q250" s="64">
        <f t="shared" si="2160"/>
        <v>171.9575999999999</v>
      </c>
      <c r="R250" s="64">
        <f t="shared" si="2160"/>
        <v>174.24750000000012</v>
      </c>
      <c r="S250" s="64">
        <f t="shared" si="2160"/>
        <v>125.61950000000007</v>
      </c>
      <c r="T250" s="64">
        <f t="shared" si="2160"/>
        <v>106.54500000000007</v>
      </c>
      <c r="U250" s="64">
        <f t="shared" si="2160"/>
        <v>112.37679999999995</v>
      </c>
      <c r="V250" s="64">
        <f t="shared" si="2160"/>
        <v>112.24059999999992</v>
      </c>
      <c r="W250" s="64">
        <f t="shared" si="2160"/>
        <v>239.78519999999997</v>
      </c>
      <c r="X250" s="64">
        <f t="shared" si="2160"/>
        <v>333.28000000000003</v>
      </c>
      <c r="Y250" s="64">
        <f t="shared" si="2160"/>
        <v>474.72000000000014</v>
      </c>
      <c r="Z250" s="64">
        <f t="shared" si="2160"/>
        <v>546.70000000000016</v>
      </c>
      <c r="AA250" s="64">
        <f t="shared" ref="AA250" si="2161">AA46-AA256</f>
        <v>520.37000000000023</v>
      </c>
      <c r="AB250" s="30"/>
      <c r="AC250" s="30"/>
      <c r="AD250" s="30"/>
      <c r="AE250" s="30"/>
      <c r="AI250" s="64">
        <f t="shared" ref="AI250:BN250" si="2162">AI46-AI256</f>
        <v>31.552999999999969</v>
      </c>
      <c r="AJ250" s="64">
        <f t="shared" si="2162"/>
        <v>60.477999999999994</v>
      </c>
      <c r="AK250" s="64">
        <f t="shared" si="2162"/>
        <v>31.763999999999996</v>
      </c>
      <c r="AL250" s="64">
        <f t="shared" si="2162"/>
        <v>24.646999999999984</v>
      </c>
      <c r="AM250" s="64">
        <f t="shared" si="2162"/>
        <v>17.576999999999995</v>
      </c>
      <c r="AN250" s="64">
        <f t="shared" si="2162"/>
        <v>24.509999999999998</v>
      </c>
      <c r="AO250" s="64">
        <f t="shared" si="2162"/>
        <v>24.619999999999997</v>
      </c>
      <c r="AP250" s="64">
        <f t="shared" si="2162"/>
        <v>33.361999999999981</v>
      </c>
      <c r="AQ250" s="64">
        <f t="shared" si="2162"/>
        <v>26.062999999999974</v>
      </c>
      <c r="AR250" s="64">
        <f t="shared" si="2162"/>
        <v>24.975999999999985</v>
      </c>
      <c r="AS250" s="64">
        <f t="shared" si="2162"/>
        <v>38.179000000000059</v>
      </c>
      <c r="AT250" s="64">
        <f t="shared" si="2162"/>
        <v>84.188000000000017</v>
      </c>
      <c r="AU250" s="64">
        <f t="shared" si="2162"/>
        <v>25.395000000000024</v>
      </c>
      <c r="AV250" s="64">
        <f t="shared" si="2162"/>
        <v>42.812999999999988</v>
      </c>
      <c r="AW250" s="64">
        <f t="shared" si="2162"/>
        <v>19.611999999999966</v>
      </c>
      <c r="AX250" s="64">
        <f t="shared" si="2162"/>
        <v>75.983000000000033</v>
      </c>
      <c r="AY250" s="64">
        <f t="shared" si="2162"/>
        <v>34.318999999999988</v>
      </c>
      <c r="AZ250" s="64">
        <f t="shared" si="2162"/>
        <v>14.751000000000033</v>
      </c>
      <c r="BA250" s="64">
        <f t="shared" si="2162"/>
        <v>26.479999999999961</v>
      </c>
      <c r="BB250" s="64">
        <f t="shared" si="2162"/>
        <v>87.578999999999979</v>
      </c>
      <c r="BC250" s="64">
        <f t="shared" si="2162"/>
        <v>-9.386999999999972</v>
      </c>
      <c r="BD250" s="64">
        <f t="shared" si="2162"/>
        <v>22.046999999999997</v>
      </c>
      <c r="BE250" s="64">
        <f t="shared" si="2162"/>
        <v>26.623000000000047</v>
      </c>
      <c r="BF250" s="64">
        <f t="shared" si="2162"/>
        <v>78.672999999999973</v>
      </c>
      <c r="BG250" s="64">
        <f t="shared" si="2162"/>
        <v>35.504000000000019</v>
      </c>
      <c r="BH250" s="64">
        <f t="shared" si="2162"/>
        <v>33.149999999999949</v>
      </c>
      <c r="BI250" s="64">
        <f t="shared" si="2162"/>
        <v>24.801000000000016</v>
      </c>
      <c r="BJ250" s="64">
        <f t="shared" si="2162"/>
        <v>48.076000000000022</v>
      </c>
      <c r="BK250" s="64">
        <f t="shared" si="2162"/>
        <v>31.716000000000022</v>
      </c>
      <c r="BL250" s="64">
        <f t="shared" si="2162"/>
        <v>40.034999999999997</v>
      </c>
      <c r="BM250" s="64">
        <f t="shared" si="2162"/>
        <v>37.429999999999993</v>
      </c>
      <c r="BN250" s="64">
        <f t="shared" si="2162"/>
        <v>28.265000000000001</v>
      </c>
      <c r="BO250" s="64">
        <f t="shared" ref="BO250:CT250" si="2163">BO46-BO256</f>
        <v>-2.6549999999999869</v>
      </c>
      <c r="BP250" s="64">
        <f t="shared" si="2163"/>
        <v>58.794999999999987</v>
      </c>
      <c r="BQ250" s="64">
        <f t="shared" si="2163"/>
        <v>55.956000000000017</v>
      </c>
      <c r="BR250" s="64">
        <f t="shared" si="2163"/>
        <v>73.510999999999996</v>
      </c>
      <c r="BS250" s="64">
        <f t="shared" si="2163"/>
        <v>58.867999999999967</v>
      </c>
      <c r="BT250" s="64">
        <f t="shared" si="2163"/>
        <v>66.674000000000035</v>
      </c>
      <c r="BU250" s="64">
        <f t="shared" si="2163"/>
        <v>52.347000000000008</v>
      </c>
      <c r="BV250" s="64">
        <f t="shared" si="2163"/>
        <v>68.548999999999978</v>
      </c>
      <c r="BW250" s="64">
        <f t="shared" si="2163"/>
        <v>64.890000000000029</v>
      </c>
      <c r="BX250" s="64">
        <f t="shared" si="2163"/>
        <v>92.589999999999947</v>
      </c>
      <c r="BY250" s="64">
        <f t="shared" si="2163"/>
        <v>88.54</v>
      </c>
      <c r="BZ250" s="64">
        <f t="shared" si="2163"/>
        <v>92.850000000000023</v>
      </c>
      <c r="CA250" s="64">
        <f t="shared" si="2163"/>
        <v>99.96999999999997</v>
      </c>
      <c r="CB250" s="64">
        <f t="shared" si="2163"/>
        <v>118.74000000000001</v>
      </c>
      <c r="CC250" s="64">
        <f t="shared" si="2163"/>
        <v>120.39000000000004</v>
      </c>
      <c r="CD250" s="64">
        <f t="shared" si="2163"/>
        <v>135.35999999999996</v>
      </c>
      <c r="CE250" s="64">
        <f t="shared" si="2163"/>
        <v>92.380000000000024</v>
      </c>
      <c r="CF250" s="64">
        <f t="shared" si="2163"/>
        <v>112.29999999999995</v>
      </c>
      <c r="CG250" s="64">
        <f t="shared" si="2163"/>
        <v>142.57999999999993</v>
      </c>
      <c r="CH250" s="64">
        <f t="shared" si="2163"/>
        <v>195.33000000000004</v>
      </c>
      <c r="CI250" s="64">
        <f t="shared" si="2163"/>
        <v>130.29999999999995</v>
      </c>
      <c r="CJ250" s="64">
        <f t="shared" si="2163"/>
        <v>125.63999999999999</v>
      </c>
      <c r="CK250" s="64">
        <f t="shared" si="2163"/>
        <v>109.18</v>
      </c>
      <c r="CL250" s="64">
        <f t="shared" ref="CL250" si="2164">CL46-CL256</f>
        <v>158.02000000000007</v>
      </c>
      <c r="CM250" s="30">
        <f t="shared" si="2163"/>
        <v>154.32096771074015</v>
      </c>
      <c r="CN250" s="30">
        <f t="shared" si="2163"/>
        <v>146.00578901531279</v>
      </c>
      <c r="CO250" s="30">
        <f t="shared" si="2163"/>
        <v>147.92287179595004</v>
      </c>
      <c r="CP250" s="30">
        <f t="shared" si="2163"/>
        <v>156.5107673146199</v>
      </c>
      <c r="CQ250" s="30">
        <f t="shared" si="2163"/>
        <v>159.22355797328734</v>
      </c>
      <c r="CR250" s="30">
        <f t="shared" si="2163"/>
        <v>158.62930446907575</v>
      </c>
      <c r="CS250" s="30">
        <f t="shared" si="2163"/>
        <v>164.068561637144</v>
      </c>
      <c r="CT250" s="30">
        <f t="shared" si="2163"/>
        <v>167.92834395397216</v>
      </c>
      <c r="CU250" s="30">
        <f t="shared" ref="CU250:DB250" si="2165">CU46-CU256</f>
        <v>172.06424361033226</v>
      </c>
      <c r="CV250" s="30">
        <f t="shared" si="2165"/>
        <v>174.24707842086826</v>
      </c>
      <c r="CW250" s="30">
        <f t="shared" si="2165"/>
        <v>181.1327881559414</v>
      </c>
      <c r="CX250" s="30">
        <f t="shared" si="2165"/>
        <v>185.39204911055924</v>
      </c>
      <c r="CY250" s="30">
        <f t="shared" si="2165"/>
        <v>188.5936277653459</v>
      </c>
      <c r="CZ250" s="30">
        <f t="shared" si="2165"/>
        <v>191.72407386026879</v>
      </c>
      <c r="DA250" s="30">
        <f t="shared" si="2165"/>
        <v>199.41310707447269</v>
      </c>
      <c r="DB250" s="30">
        <f t="shared" si="2165"/>
        <v>203.97403532662622</v>
      </c>
      <c r="DE250" s="139"/>
      <c r="DF250" s="64">
        <v>520.37000000000023</v>
      </c>
    </row>
    <row r="251" spans="1:110" s="89" customFormat="1" hidden="1" outlineLevel="1" x14ac:dyDescent="0.2">
      <c r="A251" s="86" t="s">
        <v>476</v>
      </c>
      <c r="B251" s="86">
        <f>+B250/B249</f>
        <v>8.5981882121197173E-2</v>
      </c>
      <c r="C251" s="86">
        <f t="shared" ref="C251" si="2166">+C250/C249</f>
        <v>8.0021708047737228E-2</v>
      </c>
      <c r="D251" s="86">
        <f t="shared" ref="D251" si="2167">+D250/D249</f>
        <v>6.7799246852414272E-2</v>
      </c>
      <c r="E251" s="86">
        <f t="shared" ref="E251" si="2168">+E250/E249</f>
        <v>8.3481303156176634E-2</v>
      </c>
      <c r="F251" s="86">
        <f t="shared" ref="F251" si="2169">+F250/F249</f>
        <v>0.12679656785091398</v>
      </c>
      <c r="G251" s="86">
        <f t="shared" ref="G251" si="2170">+G250/G249</f>
        <v>0.12579827765429161</v>
      </c>
      <c r="H251" s="86">
        <f t="shared" ref="H251" si="2171">+H250/H249</f>
        <v>0.13730357932054016</v>
      </c>
      <c r="I251" s="86">
        <f t="shared" ref="I251" si="2172">+I250/I249</f>
        <v>0.14370207676429964</v>
      </c>
      <c r="J251" s="86">
        <f t="shared" ref="J251" si="2173">+J250/J249</f>
        <v>0.15073175817519424</v>
      </c>
      <c r="K251" s="86">
        <f t="shared" ref="K251" si="2174">+K250/K249</f>
        <v>0.1388681387913234</v>
      </c>
      <c r="L251" s="86">
        <f t="shared" ref="L251" si="2175">+L250/L249</f>
        <v>0.14302151821654138</v>
      </c>
      <c r="M251" s="86">
        <f t="shared" ref="M251" si="2176">+M250/M249</f>
        <v>0.125193387906332</v>
      </c>
      <c r="N251" s="86">
        <f t="shared" ref="N251" si="2177">+N250/N249</f>
        <v>0.13146144358458936</v>
      </c>
      <c r="O251" s="86">
        <f t="shared" ref="O251" si="2178">+O250/O249</f>
        <v>0.11303483461550698</v>
      </c>
      <c r="P251" s="86">
        <f t="shared" ref="P251" si="2179">+P250/P249</f>
        <v>0.12543812615994485</v>
      </c>
      <c r="Q251" s="86">
        <f t="shared" ref="Q251" si="2180">+Q250/Q249</f>
        <v>0.12592570894615196</v>
      </c>
      <c r="R251" s="86">
        <f t="shared" ref="R251" si="2181">+R250/R249</f>
        <v>0.13670165285456767</v>
      </c>
      <c r="S251" s="86">
        <f t="shared" ref="S251" si="2182">+S250/S249</f>
        <v>0.10569578172699287</v>
      </c>
      <c r="T251" s="86">
        <f t="shared" ref="T251" si="2183">+T250/T249</f>
        <v>8.6986566374191457E-2</v>
      </c>
      <c r="U251" s="86">
        <f t="shared" ref="U251" si="2184">+U250/U249</f>
        <v>0.10324338432961867</v>
      </c>
      <c r="V251" s="86">
        <f t="shared" ref="V251" si="2185">+V250/V249</f>
        <v>0.10746490270954867</v>
      </c>
      <c r="W251" s="86">
        <f t="shared" ref="W251" si="2186">+W250/W249</f>
        <v>0.19785142206854464</v>
      </c>
      <c r="X251" s="86">
        <f t="shared" ref="X251:Y251" si="2187">+X250/X249</f>
        <v>0.21787563411955443</v>
      </c>
      <c r="Y251" s="86">
        <f t="shared" si="2187"/>
        <v>0.24502689143293666</v>
      </c>
      <c r="Z251" s="86">
        <f t="shared" ref="Z251:AA251" si="2188">+Z250/Z249</f>
        <v>0.24549161188346452</v>
      </c>
      <c r="AA251" s="86">
        <f t="shared" ref="AA251" si="2189">+AA250/AA249</f>
        <v>0.21993195410071648</v>
      </c>
      <c r="AB251" s="87"/>
      <c r="AC251" s="87"/>
      <c r="AD251" s="87"/>
      <c r="AE251" s="87"/>
      <c r="AF251" s="86"/>
      <c r="AG251" s="86"/>
      <c r="AH251" s="86"/>
      <c r="AI251" s="86">
        <f t="shared" ref="AI251" si="2190">+AI250/AI249</f>
        <v>0.13382844442936384</v>
      </c>
      <c r="AJ251" s="86">
        <f t="shared" ref="AJ251" si="2191">+AJ250/AJ249</f>
        <v>0.18344343943557728</v>
      </c>
      <c r="AK251" s="86">
        <f t="shared" ref="AK251" si="2192">+AK250/AK249</f>
        <v>0.15745018340438185</v>
      </c>
      <c r="AL251" s="86">
        <f t="shared" ref="AL251" si="2193">+AL250/AL249</f>
        <v>0.13584778786425686</v>
      </c>
      <c r="AM251" s="86">
        <f t="shared" ref="AM251" si="2194">+AM250/AM249</f>
        <v>0.16688028710587025</v>
      </c>
      <c r="AN251" s="86">
        <f t="shared" ref="AN251" si="2195">+AN250/AN249</f>
        <v>0.20318160340211056</v>
      </c>
      <c r="AO251" s="86">
        <f t="shared" ref="AO251" si="2196">+AO250/AO249</f>
        <v>0.21936116184790838</v>
      </c>
      <c r="AP251" s="86">
        <f t="shared" ref="AP251" si="2197">+AP250/AP249</f>
        <v>0.20462588705769774</v>
      </c>
      <c r="AQ251" s="86">
        <f t="shared" ref="AQ251" si="2198">+AQ250/AQ249</f>
        <v>9.730300835529794E-2</v>
      </c>
      <c r="AR251" s="86">
        <f t="shared" ref="AR251" si="2199">+AR250/AR249</f>
        <v>8.3712917249030461E-2</v>
      </c>
      <c r="AS251" s="86">
        <f t="shared" ref="AS251" si="2200">+AS250/AS249</f>
        <v>0.12519469958059679</v>
      </c>
      <c r="AT251" s="86">
        <f t="shared" ref="AT251" si="2201">+AT250/AT249</f>
        <v>0.18142831590266992</v>
      </c>
      <c r="AU251" s="86">
        <f t="shared" ref="AU251" si="2202">+AU250/AU249</f>
        <v>9.7489721255024281E-2</v>
      </c>
      <c r="AV251" s="86">
        <f t="shared" ref="AV251" si="2203">+AV250/AV249</f>
        <v>0.14023715156081099</v>
      </c>
      <c r="AW251" s="86">
        <f t="shared" ref="AW251" si="2204">+AW250/AW249</f>
        <v>5.6272721273280688E-2</v>
      </c>
      <c r="AX251" s="86">
        <f t="shared" ref="AX251" si="2205">+AX250/AX249</f>
        <v>0.16763445747088912</v>
      </c>
      <c r="AY251" s="86">
        <f t="shared" ref="AY251" si="2206">+AY250/AY249</f>
        <v>0.13037350514367332</v>
      </c>
      <c r="AZ251" s="86">
        <f t="shared" ref="AZ251" si="2207">+AZ250/AZ249</f>
        <v>5.6778946639106806E-2</v>
      </c>
      <c r="BA251" s="86">
        <f t="shared" ref="BA251" si="2208">+BA250/BA249</f>
        <v>8.6826219682139841E-2</v>
      </c>
      <c r="BB251" s="86">
        <f t="shared" ref="BB251" si="2209">+BB250/BB249</f>
        <v>0.19608189949512472</v>
      </c>
      <c r="BC251" s="86">
        <f t="shared" ref="BC251" si="2210">+BC250/BC249</f>
        <v>-3.8683755048215494E-2</v>
      </c>
      <c r="BD251" s="86">
        <f t="shared" ref="BD251" si="2211">+BD250/BD249</f>
        <v>8.832543437588887E-2</v>
      </c>
      <c r="BE251" s="86">
        <f t="shared" ref="BE251" si="2212">+BE250/BE249</f>
        <v>0.10275738557853395</v>
      </c>
      <c r="BF251" s="86">
        <f t="shared" ref="BF251" si="2213">+BF250/BF249</f>
        <v>0.1799704445217136</v>
      </c>
      <c r="BG251" s="86">
        <f t="shared" ref="BG251" si="2214">+BG250/BG249</f>
        <v>0.11698766001614583</v>
      </c>
      <c r="BH251" s="86">
        <f t="shared" ref="BH251" si="2215">+BH250/BH249</f>
        <v>0.1033473312071528</v>
      </c>
      <c r="BI251" s="86">
        <f t="shared" ref="BI251" si="2216">+BI250/BI249</f>
        <v>9.0965775506985425E-2</v>
      </c>
      <c r="BJ251" s="86">
        <f t="shared" ref="BJ251" si="2217">+BJ250/BJ249</f>
        <v>0.14659328261499299</v>
      </c>
      <c r="BK251" s="86">
        <f t="shared" ref="BK251" si="2218">+BK250/BK249</f>
        <v>0.11686847322224769</v>
      </c>
      <c r="BL251" s="86">
        <f t="shared" ref="BL251" si="2219">+BL250/BL249</f>
        <v>0.15041647724497578</v>
      </c>
      <c r="BM251" s="86">
        <f t="shared" ref="BM251" si="2220">+BM250/BM249</f>
        <v>0.13391866846989958</v>
      </c>
      <c r="BN251" s="86">
        <f t="shared" ref="BN251" si="2221">+BN250/BN249</f>
        <v>0.10527237107719352</v>
      </c>
      <c r="BO251" s="86">
        <f t="shared" ref="BO251" si="2222">+BO250/BO249</f>
        <v>-1.969847605763371E-2</v>
      </c>
      <c r="BP251" s="86">
        <f t="shared" ref="BP251" si="2223">+BP250/BP249</f>
        <v>0.22300059927025567</v>
      </c>
      <c r="BQ251" s="86">
        <f t="shared" ref="BQ251" si="2224">+BQ250/BQ249</f>
        <v>0.18895244784526141</v>
      </c>
      <c r="BR251" s="86">
        <f t="shared" ref="BR251" si="2225">+BR250/BR249</f>
        <v>0.20995224658128933</v>
      </c>
      <c r="BS251" s="86">
        <f t="shared" ref="BS251" si="2226">+BS250/BS249</f>
        <v>0.20008905234034297</v>
      </c>
      <c r="BT251" s="86">
        <f t="shared" ref="BT251" si="2227">+BT250/BT249</f>
        <v>0.21232202736742223</v>
      </c>
      <c r="BU251" s="86">
        <f t="shared" ref="BU251" si="2228">+BU250/BU249</f>
        <v>0.1923185727564303</v>
      </c>
      <c r="BV251" s="86">
        <f t="shared" ref="BV251" si="2229">+BV250/BV249</f>
        <v>0.20676872030766905</v>
      </c>
      <c r="BW251" s="86">
        <f t="shared" ref="BW251" si="2230">+BW250/BW249</f>
        <v>0.19800439399487374</v>
      </c>
      <c r="BX251" s="86">
        <f t="shared" ref="BX251" si="2231">+BX250/BX249</f>
        <v>0.2382717002496203</v>
      </c>
      <c r="BY251" s="86">
        <f t="shared" ref="BY251" si="2232">+BY250/BY249</f>
        <v>0.22771462373334708</v>
      </c>
      <c r="BZ251" s="86">
        <f t="shared" ref="BZ251" si="2233">+BZ250/BZ249</f>
        <v>0.21870730673199232</v>
      </c>
      <c r="CA251" s="86">
        <f t="shared" ref="CA251" si="2234">+CA250/CA249</f>
        <v>0.24127528117005353</v>
      </c>
      <c r="CB251" s="86">
        <f t="shared" ref="CB251:CC251" si="2235">+CB250/CB249</f>
        <v>0.24487523200659933</v>
      </c>
      <c r="CC251" s="86">
        <f t="shared" si="2235"/>
        <v>0.2542233296731144</v>
      </c>
      <c r="CD251" s="86">
        <f t="shared" ref="CD251" si="2236">+CD250/CD249</f>
        <v>0.23973645991994608</v>
      </c>
      <c r="CE251" s="86">
        <f t="shared" ref="CE251:CF251" si="2237">+CE250/CE249</f>
        <v>0.2354470384340912</v>
      </c>
      <c r="CF251" s="86">
        <f t="shared" si="2237"/>
        <v>0.22100208603928043</v>
      </c>
      <c r="CG251" s="86">
        <f t="shared" ref="CG251:CH251" si="2238">+CG250/CG249</f>
        <v>0.26958346726162324</v>
      </c>
      <c r="CH251" s="86">
        <f t="shared" si="2238"/>
        <v>0.24490640319971918</v>
      </c>
      <c r="CI251" s="86">
        <f t="shared" ref="CI251:CJ251" si="2239">+CI250/CI249</f>
        <v>0.26560939315490134</v>
      </c>
      <c r="CJ251" s="86">
        <f t="shared" si="2239"/>
        <v>0.21732136370712468</v>
      </c>
      <c r="CK251" s="86">
        <f t="shared" ref="CK251:DB251" si="2240">+CK250/CK249</f>
        <v>0.19788306086200022</v>
      </c>
      <c r="CL251" s="86">
        <f t="shared" si="2240"/>
        <v>0.21193385281849769</v>
      </c>
      <c r="CM251" s="47">
        <f t="shared" si="2240"/>
        <v>0.22011464331978042</v>
      </c>
      <c r="CN251" s="47">
        <f t="shared" si="2240"/>
        <v>0.20883343131443294</v>
      </c>
      <c r="CO251" s="47">
        <f t="shared" si="2240"/>
        <v>0.20667787521905653</v>
      </c>
      <c r="CP251" s="47">
        <f t="shared" si="2240"/>
        <v>0.20891222795115699</v>
      </c>
      <c r="CQ251" s="47">
        <f t="shared" si="2240"/>
        <v>0.20809364459305138</v>
      </c>
      <c r="CR251" s="47">
        <f t="shared" si="2240"/>
        <v>0.20509631696196223</v>
      </c>
      <c r="CS251" s="47">
        <f t="shared" si="2240"/>
        <v>0.20414861069022089</v>
      </c>
      <c r="CT251" s="47">
        <f t="shared" si="2240"/>
        <v>0.20350795356606741</v>
      </c>
      <c r="CU251" s="47">
        <f t="shared" si="2240"/>
        <v>0.20521163145282545</v>
      </c>
      <c r="CV251" s="47">
        <f t="shared" si="2240"/>
        <v>0.20449112816776907</v>
      </c>
      <c r="CW251" s="47">
        <f t="shared" si="2240"/>
        <v>0.20433983096922062</v>
      </c>
      <c r="CX251" s="47">
        <f t="shared" si="2240"/>
        <v>0.20438763603897067</v>
      </c>
      <c r="CY251" s="47">
        <f t="shared" si="2240"/>
        <v>0.20460755665719638</v>
      </c>
      <c r="CZ251" s="47">
        <f t="shared" si="2240"/>
        <v>0.20445653795828922</v>
      </c>
      <c r="DA251" s="47">
        <f t="shared" si="2240"/>
        <v>0.20444789040591929</v>
      </c>
      <c r="DB251" s="47">
        <f t="shared" si="2240"/>
        <v>0.20447490526509385</v>
      </c>
      <c r="DE251" s="130"/>
      <c r="DF251" s="89">
        <v>0.21993195410071648</v>
      </c>
    </row>
    <row r="252" spans="1:110" s="64" customFormat="1" hidden="1" outlineLevel="1" x14ac:dyDescent="0.2">
      <c r="A252" s="64" t="s">
        <v>477</v>
      </c>
      <c r="B252" s="64">
        <f t="shared" ref="B252:Z252" si="2241">B59-B258</f>
        <v>0.34148849999998793</v>
      </c>
      <c r="C252" s="64">
        <f t="shared" si="2241"/>
        <v>-1.4773185000000149</v>
      </c>
      <c r="D252" s="64">
        <f t="shared" si="2241"/>
        <v>1.7377504000000139</v>
      </c>
      <c r="E252" s="64">
        <f t="shared" si="2241"/>
        <v>2.1695915000000032</v>
      </c>
      <c r="F252" s="64">
        <f t="shared" si="2241"/>
        <v>16.092600000000019</v>
      </c>
      <c r="G252" s="64">
        <f t="shared" si="2241"/>
        <v>31.439999999999969</v>
      </c>
      <c r="H252" s="64">
        <f t="shared" si="2241"/>
        <v>57.200699999999962</v>
      </c>
      <c r="I252" s="64">
        <f t="shared" si="2241"/>
        <v>67.204200000000085</v>
      </c>
      <c r="J252" s="64">
        <f t="shared" si="2241"/>
        <v>57.451199999999972</v>
      </c>
      <c r="K252" s="64">
        <f t="shared" si="2241"/>
        <v>66.175300000000021</v>
      </c>
      <c r="L252" s="64">
        <f t="shared" si="2241"/>
        <v>88.669100000000213</v>
      </c>
      <c r="M252" s="64">
        <f t="shared" si="2241"/>
        <v>59.04189999999997</v>
      </c>
      <c r="N252" s="64">
        <f t="shared" si="2241"/>
        <v>56.077799999999939</v>
      </c>
      <c r="O252" s="64">
        <f t="shared" si="2241"/>
        <v>14.26729999999996</v>
      </c>
      <c r="P252" s="64">
        <f t="shared" si="2241"/>
        <v>17.142299999999892</v>
      </c>
      <c r="Q252" s="64">
        <f t="shared" si="2241"/>
        <v>34.395899999999912</v>
      </c>
      <c r="R252" s="64">
        <f t="shared" si="2241"/>
        <v>6.6663000000001205</v>
      </c>
      <c r="S252" s="64">
        <f t="shared" si="2241"/>
        <v>4.7808000000000623</v>
      </c>
      <c r="T252" s="64">
        <f t="shared" si="2241"/>
        <v>66.250300000000081</v>
      </c>
      <c r="U252" s="64">
        <f t="shared" si="2241"/>
        <v>88.124599999999944</v>
      </c>
      <c r="V252" s="64">
        <f t="shared" si="2241"/>
        <v>55.757099999999923</v>
      </c>
      <c r="W252" s="64">
        <f t="shared" si="2241"/>
        <v>139.05019999999999</v>
      </c>
      <c r="X252" s="64">
        <f t="shared" si="2241"/>
        <v>234.26000000000005</v>
      </c>
      <c r="Y252" s="64">
        <f t="shared" si="2241"/>
        <v>349.17000000000013</v>
      </c>
      <c r="Z252" s="64">
        <f t="shared" si="2241"/>
        <v>406.97000000000014</v>
      </c>
      <c r="AA252" s="64">
        <f t="shared" ref="AA252" si="2242">AA59-AA258</f>
        <v>361.8400000000002</v>
      </c>
      <c r="AB252" s="30"/>
      <c r="AC252" s="30"/>
      <c r="AD252" s="30"/>
      <c r="AE252" s="30"/>
      <c r="AI252" s="64">
        <f t="shared" ref="AI252:BN252" si="2243">AI59-AI258</f>
        <v>6.3979999999999677</v>
      </c>
      <c r="AJ252" s="64">
        <f t="shared" si="2243"/>
        <v>22.98299999999999</v>
      </c>
      <c r="AK252" s="64">
        <f t="shared" si="2243"/>
        <v>7.0499999999999936</v>
      </c>
      <c r="AL252" s="64">
        <f t="shared" si="2243"/>
        <v>11.165999999999984</v>
      </c>
      <c r="AM252" s="64">
        <f t="shared" si="2243"/>
        <v>3.2569999999999957</v>
      </c>
      <c r="AN252" s="64">
        <f t="shared" si="2243"/>
        <v>8.8329999999999984</v>
      </c>
      <c r="AO252" s="64">
        <f t="shared" si="2243"/>
        <v>4.4329999999999972</v>
      </c>
      <c r="AP252" s="64">
        <f t="shared" si="2243"/>
        <v>10.904999999999978</v>
      </c>
      <c r="AQ252" s="64">
        <f t="shared" si="2243"/>
        <v>-7.3320000000000265</v>
      </c>
      <c r="AR252" s="64">
        <f t="shared" si="2243"/>
        <v>-7.2940000000000182</v>
      </c>
      <c r="AS252" s="64">
        <f t="shared" si="2243"/>
        <v>-5.8869999999999383</v>
      </c>
      <c r="AT252" s="64">
        <f t="shared" si="2243"/>
        <v>39.542000000000016</v>
      </c>
      <c r="AU252" s="64">
        <f t="shared" si="2243"/>
        <v>-5.0369999999999742</v>
      </c>
      <c r="AV252" s="64">
        <f t="shared" si="2243"/>
        <v>6.8369999999999891</v>
      </c>
      <c r="AW252" s="64">
        <f t="shared" si="2243"/>
        <v>6.5039999999999658</v>
      </c>
      <c r="AX252" s="64">
        <f t="shared" si="2243"/>
        <v>21.648000000000035</v>
      </c>
      <c r="AY252" s="64">
        <f t="shared" si="2243"/>
        <v>-2.3190000000000093</v>
      </c>
      <c r="AZ252" s="64">
        <f t="shared" si="2243"/>
        <v>-7.9579999999999673</v>
      </c>
      <c r="BA252" s="64">
        <f t="shared" si="2243"/>
        <v>-10.244000000000037</v>
      </c>
      <c r="BB252" s="64">
        <f t="shared" si="2243"/>
        <v>27.52999999999998</v>
      </c>
      <c r="BC252" s="64">
        <f t="shared" si="2243"/>
        <v>-36.528999999999975</v>
      </c>
      <c r="BD252" s="64">
        <f t="shared" si="2243"/>
        <v>-7.2950000000000026</v>
      </c>
      <c r="BE252" s="64">
        <f t="shared" si="2243"/>
        <v>-3.3579999999999512</v>
      </c>
      <c r="BF252" s="64">
        <f t="shared" si="2243"/>
        <v>51.962999999999965</v>
      </c>
      <c r="BG252" s="64">
        <f t="shared" si="2243"/>
        <v>6.9150000000000205</v>
      </c>
      <c r="BH252" s="64">
        <f t="shared" si="2243"/>
        <v>48.680999999999948</v>
      </c>
      <c r="BI252" s="64">
        <f t="shared" si="2243"/>
        <v>1.8310000000000137</v>
      </c>
      <c r="BJ252" s="64">
        <f t="shared" si="2243"/>
        <v>8.8210000000000228</v>
      </c>
      <c r="BK252" s="64">
        <f t="shared" si="2243"/>
        <v>0.29000000000002113</v>
      </c>
      <c r="BL252" s="64">
        <f t="shared" si="2243"/>
        <v>9.0269999999999975</v>
      </c>
      <c r="BM252" s="64">
        <f t="shared" si="2243"/>
        <v>8.7959999999999905</v>
      </c>
      <c r="BN252" s="64">
        <f t="shared" si="2243"/>
        <v>70.009</v>
      </c>
      <c r="BO252" s="64">
        <f t="shared" ref="BO252:CT252" si="2244">BO59-BO258</f>
        <v>-21.467999999999989</v>
      </c>
      <c r="BP252" s="64">
        <f t="shared" si="2244"/>
        <v>21.49799999999999</v>
      </c>
      <c r="BQ252" s="64">
        <f t="shared" si="2244"/>
        <v>24.14400000000002</v>
      </c>
      <c r="BR252" s="64">
        <f t="shared" si="2244"/>
        <v>31.580999999999992</v>
      </c>
      <c r="BS252" s="64">
        <f t="shared" si="2244"/>
        <v>26.978999999999971</v>
      </c>
      <c r="BT252" s="64">
        <f t="shared" si="2244"/>
        <v>35.17300000000003</v>
      </c>
      <c r="BU252" s="64">
        <f t="shared" si="2244"/>
        <v>31.224000000000011</v>
      </c>
      <c r="BV252" s="64">
        <f t="shared" si="2244"/>
        <v>45.673999999999978</v>
      </c>
      <c r="BW252" s="64">
        <f t="shared" si="2244"/>
        <v>42.53000000000003</v>
      </c>
      <c r="BX252" s="64">
        <f t="shared" si="2244"/>
        <v>63.489999999999938</v>
      </c>
      <c r="BY252" s="64">
        <f t="shared" si="2244"/>
        <v>61.930000000000007</v>
      </c>
      <c r="BZ252" s="64">
        <f t="shared" si="2244"/>
        <v>66.310000000000031</v>
      </c>
      <c r="CA252" s="64">
        <f t="shared" si="2244"/>
        <v>72.069999999999965</v>
      </c>
      <c r="CB252" s="64">
        <f t="shared" si="2244"/>
        <v>86.78</v>
      </c>
      <c r="CC252" s="64">
        <f t="shared" si="2244"/>
        <v>89.150000000000048</v>
      </c>
      <c r="CD252" s="64">
        <f t="shared" si="2244"/>
        <v>101.17999999999995</v>
      </c>
      <c r="CE252" s="64">
        <f t="shared" si="2244"/>
        <v>70.900000000000006</v>
      </c>
      <c r="CF252" s="64">
        <f t="shared" si="2244"/>
        <v>85.549999999999955</v>
      </c>
      <c r="CG252" s="64">
        <f t="shared" si="2244"/>
        <v>106.51999999999994</v>
      </c>
      <c r="CH252" s="64">
        <f t="shared" si="2244"/>
        <v>144.00000000000006</v>
      </c>
      <c r="CI252" s="64">
        <f t="shared" si="2244"/>
        <v>94.359999999999957</v>
      </c>
      <c r="CJ252" s="64">
        <f t="shared" si="2244"/>
        <v>87.719999999999985</v>
      </c>
      <c r="CK252" s="64">
        <f t="shared" si="2244"/>
        <v>71.990000000000023</v>
      </c>
      <c r="CL252" s="64">
        <f t="shared" ref="CL252" si="2245">CL59-CL258</f>
        <v>107.77000000000005</v>
      </c>
      <c r="CM252" s="30">
        <f t="shared" si="2244"/>
        <v>102.72211234072715</v>
      </c>
      <c r="CN252" s="30">
        <f t="shared" si="2244"/>
        <v>99.504116180140784</v>
      </c>
      <c r="CO252" s="30">
        <f t="shared" si="2244"/>
        <v>102.8235959478029</v>
      </c>
      <c r="CP252" s="30">
        <f t="shared" si="2244"/>
        <v>111.27016252183472</v>
      </c>
      <c r="CQ252" s="30">
        <f t="shared" si="2244"/>
        <v>115.36650460488605</v>
      </c>
      <c r="CR252" s="30">
        <f t="shared" si="2244"/>
        <v>116.96481333089494</v>
      </c>
      <c r="CS252" s="30">
        <f t="shared" si="2244"/>
        <v>123.07718983045213</v>
      </c>
      <c r="CT252" s="30">
        <f t="shared" si="2244"/>
        <v>127.87389040514849</v>
      </c>
      <c r="CU252" s="30">
        <f t="shared" ref="CU252:DB252" si="2246">CU59-CU258</f>
        <v>132.98967974930571</v>
      </c>
      <c r="CV252" s="30">
        <f t="shared" si="2246"/>
        <v>136.65409163849759</v>
      </c>
      <c r="CW252" s="30">
        <f t="shared" si="2246"/>
        <v>143.8820050693792</v>
      </c>
      <c r="CX252" s="30">
        <f t="shared" si="2246"/>
        <v>148.96396777837697</v>
      </c>
      <c r="CY252" s="30">
        <f t="shared" si="2246"/>
        <v>153.37083842179146</v>
      </c>
      <c r="CZ252" s="30">
        <f t="shared" si="2246"/>
        <v>157.7718711210124</v>
      </c>
      <c r="DA252" s="30">
        <f t="shared" si="2246"/>
        <v>165.64490971472776</v>
      </c>
      <c r="DB252" s="30">
        <f t="shared" si="2246"/>
        <v>170.977499830856</v>
      </c>
      <c r="DE252" s="139"/>
      <c r="DF252" s="64">
        <v>361.8400000000002</v>
      </c>
    </row>
    <row r="253" spans="1:110" s="64" customFormat="1" hidden="1" outlineLevel="1" x14ac:dyDescent="0.2">
      <c r="AB253" s="30"/>
      <c r="AC253" s="30"/>
      <c r="AD253" s="30"/>
      <c r="AE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10" s="64" customFormat="1" hidden="1" outlineLevel="1" x14ac:dyDescent="0.2">
      <c r="A254" s="65" t="s">
        <v>352</v>
      </c>
      <c r="AB254" s="30"/>
      <c r="AC254" s="30"/>
      <c r="AD254" s="30"/>
      <c r="AE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0" s="64" customFormat="1" hidden="1" outlineLevel="1" x14ac:dyDescent="0.2">
      <c r="A255" s="64" t="s">
        <v>478</v>
      </c>
      <c r="AB255" s="30"/>
      <c r="AC255" s="30"/>
      <c r="AD255" s="30"/>
      <c r="AE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10" s="64" customFormat="1" hidden="1" outlineLevel="1" x14ac:dyDescent="0.2">
      <c r="A256" s="64" t="s">
        <v>479</v>
      </c>
      <c r="AB256" s="30"/>
      <c r="AC256" s="30"/>
      <c r="AD256" s="30"/>
      <c r="AE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89" customFormat="1" hidden="1" outlineLevel="1" x14ac:dyDescent="0.2">
      <c r="A257" s="86" t="s">
        <v>480</v>
      </c>
      <c r="B257" s="86" t="e">
        <f>+B256/B255</f>
        <v>#DIV/0!</v>
      </c>
      <c r="C257" s="86" t="e">
        <f t="shared" ref="C257:X257" si="2247">+C256/C255</f>
        <v>#DIV/0!</v>
      </c>
      <c r="D257" s="86" t="e">
        <f t="shared" si="2247"/>
        <v>#DIV/0!</v>
      </c>
      <c r="E257" s="86" t="e">
        <f t="shared" si="2247"/>
        <v>#DIV/0!</v>
      </c>
      <c r="F257" s="86" t="e">
        <f t="shared" si="2247"/>
        <v>#DIV/0!</v>
      </c>
      <c r="G257" s="86" t="e">
        <f t="shared" si="2247"/>
        <v>#DIV/0!</v>
      </c>
      <c r="H257" s="86" t="e">
        <f t="shared" si="2247"/>
        <v>#DIV/0!</v>
      </c>
      <c r="I257" s="86" t="e">
        <f t="shared" si="2247"/>
        <v>#DIV/0!</v>
      </c>
      <c r="J257" s="86" t="e">
        <f t="shared" si="2247"/>
        <v>#DIV/0!</v>
      </c>
      <c r="K257" s="86" t="e">
        <f t="shared" si="2247"/>
        <v>#DIV/0!</v>
      </c>
      <c r="L257" s="86" t="e">
        <f t="shared" si="2247"/>
        <v>#DIV/0!</v>
      </c>
      <c r="M257" s="86" t="e">
        <f t="shared" si="2247"/>
        <v>#DIV/0!</v>
      </c>
      <c r="N257" s="86" t="e">
        <f t="shared" si="2247"/>
        <v>#DIV/0!</v>
      </c>
      <c r="O257" s="86" t="e">
        <f t="shared" si="2247"/>
        <v>#DIV/0!</v>
      </c>
      <c r="P257" s="86" t="e">
        <f t="shared" si="2247"/>
        <v>#DIV/0!</v>
      </c>
      <c r="Q257" s="86" t="e">
        <f t="shared" si="2247"/>
        <v>#DIV/0!</v>
      </c>
      <c r="R257" s="86" t="e">
        <f t="shared" si="2247"/>
        <v>#DIV/0!</v>
      </c>
      <c r="S257" s="86" t="e">
        <f t="shared" si="2247"/>
        <v>#DIV/0!</v>
      </c>
      <c r="T257" s="86" t="e">
        <f t="shared" si="2247"/>
        <v>#DIV/0!</v>
      </c>
      <c r="U257" s="86" t="e">
        <f t="shared" si="2247"/>
        <v>#DIV/0!</v>
      </c>
      <c r="V257" s="86" t="e">
        <f t="shared" si="2247"/>
        <v>#DIV/0!</v>
      </c>
      <c r="W257" s="86" t="e">
        <f t="shared" si="2247"/>
        <v>#DIV/0!</v>
      </c>
      <c r="X257" s="86" t="e">
        <f t="shared" si="2247"/>
        <v>#DIV/0!</v>
      </c>
      <c r="Y257" s="86" t="e">
        <f t="shared" ref="Y257:Z257" si="2248">+Y256/Y255</f>
        <v>#DIV/0!</v>
      </c>
      <c r="Z257" s="86" t="e">
        <f t="shared" si="2248"/>
        <v>#DIV/0!</v>
      </c>
      <c r="AA257" s="86" t="e">
        <f t="shared" ref="AA257" si="2249">+AA256/AA255</f>
        <v>#DIV/0!</v>
      </c>
      <c r="AB257" s="87"/>
      <c r="AC257" s="87"/>
      <c r="AD257" s="87"/>
      <c r="AE257" s="87"/>
      <c r="AF257" s="86"/>
      <c r="AG257" s="86"/>
      <c r="AH257" s="86"/>
      <c r="AI257" s="86" t="e">
        <f t="shared" ref="AI257" si="2250">+AI256/AI255</f>
        <v>#DIV/0!</v>
      </c>
      <c r="AJ257" s="86" t="e">
        <f t="shared" ref="AJ257" si="2251">+AJ256/AJ255</f>
        <v>#DIV/0!</v>
      </c>
      <c r="AK257" s="86" t="e">
        <f t="shared" ref="AK257" si="2252">+AK256/AK255</f>
        <v>#DIV/0!</v>
      </c>
      <c r="AL257" s="86" t="e">
        <f t="shared" ref="AL257" si="2253">+AL256/AL255</f>
        <v>#DIV/0!</v>
      </c>
      <c r="AM257" s="86" t="e">
        <f t="shared" ref="AM257" si="2254">+AM256/AM255</f>
        <v>#DIV/0!</v>
      </c>
      <c r="AN257" s="86" t="e">
        <f t="shared" ref="AN257" si="2255">+AN256/AN255</f>
        <v>#DIV/0!</v>
      </c>
      <c r="AO257" s="86" t="e">
        <f t="shared" ref="AO257" si="2256">+AO256/AO255</f>
        <v>#DIV/0!</v>
      </c>
      <c r="AP257" s="86" t="e">
        <f t="shared" ref="AP257" si="2257">+AP256/AP255</f>
        <v>#DIV/0!</v>
      </c>
      <c r="AQ257" s="86" t="e">
        <f t="shared" ref="AQ257" si="2258">+AQ256/AQ255</f>
        <v>#DIV/0!</v>
      </c>
      <c r="AR257" s="86" t="e">
        <f t="shared" ref="AR257" si="2259">+AR256/AR255</f>
        <v>#DIV/0!</v>
      </c>
      <c r="AS257" s="86" t="e">
        <f t="shared" ref="AS257" si="2260">+AS256/AS255</f>
        <v>#DIV/0!</v>
      </c>
      <c r="AT257" s="86" t="e">
        <f t="shared" ref="AT257" si="2261">+AT256/AT255</f>
        <v>#DIV/0!</v>
      </c>
      <c r="AU257" s="86" t="e">
        <f t="shared" ref="AU257" si="2262">+AU256/AU255</f>
        <v>#DIV/0!</v>
      </c>
      <c r="AV257" s="86" t="e">
        <f t="shared" ref="AV257" si="2263">+AV256/AV255</f>
        <v>#DIV/0!</v>
      </c>
      <c r="AW257" s="86" t="e">
        <f t="shared" ref="AW257" si="2264">+AW256/AW255</f>
        <v>#DIV/0!</v>
      </c>
      <c r="AX257" s="86" t="e">
        <f t="shared" ref="AX257" si="2265">+AX256/AX255</f>
        <v>#DIV/0!</v>
      </c>
      <c r="AY257" s="86" t="e">
        <f t="shared" ref="AY257" si="2266">+AY256/AY255</f>
        <v>#DIV/0!</v>
      </c>
      <c r="AZ257" s="86" t="e">
        <f t="shared" ref="AZ257" si="2267">+AZ256/AZ255</f>
        <v>#DIV/0!</v>
      </c>
      <c r="BA257" s="86" t="e">
        <f t="shared" ref="BA257" si="2268">+BA256/BA255</f>
        <v>#DIV/0!</v>
      </c>
      <c r="BB257" s="86" t="e">
        <f t="shared" ref="BB257" si="2269">+BB256/BB255</f>
        <v>#DIV/0!</v>
      </c>
      <c r="BC257" s="86" t="e">
        <f t="shared" ref="BC257" si="2270">+BC256/BC255</f>
        <v>#DIV/0!</v>
      </c>
      <c r="BD257" s="86" t="e">
        <f t="shared" ref="BD257" si="2271">+BD256/BD255</f>
        <v>#DIV/0!</v>
      </c>
      <c r="BE257" s="86" t="e">
        <f t="shared" ref="BE257" si="2272">+BE256/BE255</f>
        <v>#DIV/0!</v>
      </c>
      <c r="BF257" s="86" t="e">
        <f t="shared" ref="BF257" si="2273">+BF256/BF255</f>
        <v>#DIV/0!</v>
      </c>
      <c r="BG257" s="86" t="e">
        <f t="shared" ref="BG257" si="2274">+BG256/BG255</f>
        <v>#DIV/0!</v>
      </c>
      <c r="BH257" s="86" t="e">
        <f t="shared" ref="BH257" si="2275">+BH256/BH255</f>
        <v>#DIV/0!</v>
      </c>
      <c r="BI257" s="86" t="e">
        <f t="shared" ref="BI257" si="2276">+BI256/BI255</f>
        <v>#DIV/0!</v>
      </c>
      <c r="BJ257" s="86" t="e">
        <f t="shared" ref="BJ257" si="2277">+BJ256/BJ255</f>
        <v>#DIV/0!</v>
      </c>
      <c r="BK257" s="86" t="e">
        <f t="shared" ref="BK257" si="2278">+BK256/BK255</f>
        <v>#DIV/0!</v>
      </c>
      <c r="BL257" s="86" t="e">
        <f t="shared" ref="BL257" si="2279">+BL256/BL255</f>
        <v>#DIV/0!</v>
      </c>
      <c r="BM257" s="86" t="e">
        <f t="shared" ref="BM257" si="2280">+BM256/BM255</f>
        <v>#DIV/0!</v>
      </c>
      <c r="BN257" s="86" t="e">
        <f t="shared" ref="BN257" si="2281">+BN256/BN255</f>
        <v>#DIV/0!</v>
      </c>
      <c r="BO257" s="86" t="e">
        <f t="shared" ref="BO257" si="2282">+BO256/BO255</f>
        <v>#DIV/0!</v>
      </c>
      <c r="BP257" s="86" t="e">
        <f t="shared" ref="BP257" si="2283">+BP256/BP255</f>
        <v>#DIV/0!</v>
      </c>
      <c r="BQ257" s="86" t="e">
        <f t="shared" ref="BQ257" si="2284">+BQ256/BQ255</f>
        <v>#DIV/0!</v>
      </c>
      <c r="BR257" s="86" t="e">
        <f t="shared" ref="BR257" si="2285">+BR256/BR255</f>
        <v>#DIV/0!</v>
      </c>
      <c r="BS257" s="86" t="e">
        <f t="shared" ref="BS257" si="2286">+BS256/BS255</f>
        <v>#DIV/0!</v>
      </c>
      <c r="BT257" s="86" t="e">
        <f t="shared" ref="BT257" si="2287">+BT256/BT255</f>
        <v>#DIV/0!</v>
      </c>
      <c r="BU257" s="86" t="e">
        <f t="shared" ref="BU257" si="2288">+BU256/BU255</f>
        <v>#DIV/0!</v>
      </c>
      <c r="BV257" s="86" t="e">
        <f t="shared" ref="BV257" si="2289">+BV256/BV255</f>
        <v>#DIV/0!</v>
      </c>
      <c r="BW257" s="86" t="e">
        <f t="shared" ref="BW257" si="2290">+BW256/BW255</f>
        <v>#DIV/0!</v>
      </c>
      <c r="BX257" s="86" t="e">
        <f t="shared" ref="BX257" si="2291">+BX256/BX255</f>
        <v>#DIV/0!</v>
      </c>
      <c r="BY257" s="86" t="e">
        <f t="shared" ref="BY257" si="2292">+BY256/BY255</f>
        <v>#DIV/0!</v>
      </c>
      <c r="BZ257" s="86" t="e">
        <f t="shared" ref="BZ257" si="2293">+BZ256/BZ255</f>
        <v>#DIV/0!</v>
      </c>
      <c r="CA257" s="86" t="e">
        <f t="shared" ref="CA257" si="2294">+CA256/CA255</f>
        <v>#DIV/0!</v>
      </c>
      <c r="CB257" s="86" t="e">
        <f t="shared" ref="CB257:CC257" si="2295">+CB256/CB255</f>
        <v>#DIV/0!</v>
      </c>
      <c r="CC257" s="86" t="e">
        <f t="shared" si="2295"/>
        <v>#DIV/0!</v>
      </c>
      <c r="CD257" s="86" t="e">
        <f t="shared" ref="CD257" si="2296">+CD256/CD255</f>
        <v>#DIV/0!</v>
      </c>
      <c r="CE257" s="86" t="e">
        <f t="shared" ref="CE257:CF257" si="2297">+CE256/CE255</f>
        <v>#DIV/0!</v>
      </c>
      <c r="CF257" s="86" t="e">
        <f t="shared" si="2297"/>
        <v>#DIV/0!</v>
      </c>
      <c r="CG257" s="86" t="e">
        <f t="shared" ref="CG257:CH257" si="2298">+CG256/CG255</f>
        <v>#DIV/0!</v>
      </c>
      <c r="CH257" s="86" t="e">
        <f t="shared" si="2298"/>
        <v>#DIV/0!</v>
      </c>
      <c r="CI257" s="86" t="e">
        <f t="shared" ref="CI257:CJ257" si="2299">+CI256/CI255</f>
        <v>#DIV/0!</v>
      </c>
      <c r="CJ257" s="86" t="e">
        <f t="shared" si="2299"/>
        <v>#DIV/0!</v>
      </c>
      <c r="CK257" s="86" t="e">
        <f t="shared" ref="CK257:DB257" si="2300">+CK256/CK255</f>
        <v>#DIV/0!</v>
      </c>
      <c r="CL257" s="86" t="e">
        <f t="shared" si="2300"/>
        <v>#DIV/0!</v>
      </c>
      <c r="CM257" s="47" t="e">
        <f t="shared" si="2300"/>
        <v>#DIV/0!</v>
      </c>
      <c r="CN257" s="47" t="e">
        <f t="shared" si="2300"/>
        <v>#DIV/0!</v>
      </c>
      <c r="CO257" s="47" t="e">
        <f t="shared" si="2300"/>
        <v>#DIV/0!</v>
      </c>
      <c r="CP257" s="47" t="e">
        <f t="shared" si="2300"/>
        <v>#DIV/0!</v>
      </c>
      <c r="CQ257" s="47" t="e">
        <f t="shared" si="2300"/>
        <v>#DIV/0!</v>
      </c>
      <c r="CR257" s="47" t="e">
        <f t="shared" si="2300"/>
        <v>#DIV/0!</v>
      </c>
      <c r="CS257" s="47" t="e">
        <f t="shared" si="2300"/>
        <v>#DIV/0!</v>
      </c>
      <c r="CT257" s="47" t="e">
        <f t="shared" si="2300"/>
        <v>#DIV/0!</v>
      </c>
      <c r="CU257" s="47" t="e">
        <f t="shared" si="2300"/>
        <v>#DIV/0!</v>
      </c>
      <c r="CV257" s="47" t="e">
        <f t="shared" si="2300"/>
        <v>#DIV/0!</v>
      </c>
      <c r="CW257" s="47" t="e">
        <f t="shared" si="2300"/>
        <v>#DIV/0!</v>
      </c>
      <c r="CX257" s="47" t="e">
        <f t="shared" si="2300"/>
        <v>#DIV/0!</v>
      </c>
      <c r="CY257" s="47" t="e">
        <f t="shared" si="2300"/>
        <v>#DIV/0!</v>
      </c>
      <c r="CZ257" s="47" t="e">
        <f t="shared" si="2300"/>
        <v>#DIV/0!</v>
      </c>
      <c r="DA257" s="47" t="e">
        <f t="shared" si="2300"/>
        <v>#DIV/0!</v>
      </c>
      <c r="DB257" s="47" t="e">
        <f t="shared" si="2300"/>
        <v>#DIV/0!</v>
      </c>
      <c r="DE257" s="130"/>
    </row>
    <row r="258" spans="1:110" s="64" customFormat="1" hidden="1" outlineLevel="1" x14ac:dyDescent="0.2">
      <c r="A258" s="64" t="s">
        <v>481</v>
      </c>
      <c r="AB258" s="30"/>
      <c r="AC258" s="30"/>
      <c r="AD258" s="30"/>
      <c r="AE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E258" s="139"/>
    </row>
    <row r="259" spans="1:110" s="62" customFormat="1" hidden="1" outlineLevel="1" x14ac:dyDescent="0.2">
      <c r="AB259" s="63"/>
      <c r="AC259" s="63"/>
      <c r="AD259" s="63"/>
      <c r="AE259" s="63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E259" s="139"/>
      <c r="DF259" s="114"/>
    </row>
    <row r="260" spans="1:110" s="11" customFormat="1" collapsed="1" x14ac:dyDescent="0.2">
      <c r="AB260" s="63"/>
      <c r="AC260" s="63"/>
      <c r="AD260" s="63"/>
      <c r="AE260" s="63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E260" s="139"/>
      <c r="DF260" s="194"/>
    </row>
    <row r="261" spans="1:110" s="62" customFormat="1" x14ac:dyDescent="0.2">
      <c r="A261" s="154" t="s">
        <v>497</v>
      </c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  <c r="AA261" s="176"/>
      <c r="AB261" s="63"/>
      <c r="AC261" s="63"/>
      <c r="AD261" s="63"/>
      <c r="AE261" s="63"/>
      <c r="AL261" s="176"/>
      <c r="CF261" s="176"/>
      <c r="CG261" s="176"/>
      <c r="CH261" s="176"/>
      <c r="CI261" s="176"/>
      <c r="CJ261" s="176"/>
      <c r="CK261" s="176"/>
      <c r="CL261" s="176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E261" s="139"/>
      <c r="DF261" s="114"/>
    </row>
    <row r="262" spans="1:110" s="84" customFormat="1" x14ac:dyDescent="0.2">
      <c r="A262" s="84" t="s">
        <v>512</v>
      </c>
      <c r="B262" s="84">
        <f>B26/B183</f>
        <v>1.0820152709485256</v>
      </c>
      <c r="C262" s="84">
        <f>C26/C183</f>
        <v>1.2167535408592822</v>
      </c>
      <c r="D262" s="84">
        <f>D26/D183</f>
        <v>1.4472259744450928</v>
      </c>
      <c r="E262" s="84">
        <f t="shared" ref="E262:Y262" si="2301">E28/(E179+E166+E156)</f>
        <v>0.71475654028861113</v>
      </c>
      <c r="F262" s="84">
        <f t="shared" si="2301"/>
        <v>0.87229627922910669</v>
      </c>
      <c r="G262" s="84">
        <f t="shared" si="2301"/>
        <v>0.86358463468560953</v>
      </c>
      <c r="H262" s="84">
        <f t="shared" si="2301"/>
        <v>1.0095551235653153</v>
      </c>
      <c r="I262" s="84">
        <f t="shared" si="2301"/>
        <v>0.84545435324707863</v>
      </c>
      <c r="J262" s="84">
        <f t="shared" si="2301"/>
        <v>0.73895296345532913</v>
      </c>
      <c r="K262" s="84">
        <f t="shared" si="2301"/>
        <v>0.82712004027701858</v>
      </c>
      <c r="L262" s="84">
        <f t="shared" si="2301"/>
        <v>0.75755938733889172</v>
      </c>
      <c r="M262" s="84">
        <f t="shared" si="2301"/>
        <v>0.84301815103788058</v>
      </c>
      <c r="N262" s="84">
        <f t="shared" si="2301"/>
        <v>0.72067570016878812</v>
      </c>
      <c r="O262" s="84">
        <f t="shared" si="2301"/>
        <v>0.62984413412488605</v>
      </c>
      <c r="P262" s="84">
        <f t="shared" si="2301"/>
        <v>0.67865295133412251</v>
      </c>
      <c r="Q262" s="84">
        <f t="shared" si="2301"/>
        <v>0.59350154533623667</v>
      </c>
      <c r="R262" s="84">
        <f t="shared" si="2301"/>
        <v>0.58955629708932877</v>
      </c>
      <c r="S262" s="84">
        <f t="shared" si="2301"/>
        <v>0.56063880422886325</v>
      </c>
      <c r="T262" s="84">
        <f t="shared" si="2301"/>
        <v>0.58019773568117328</v>
      </c>
      <c r="U262" s="84">
        <f t="shared" si="2301"/>
        <v>0.52409950806246075</v>
      </c>
      <c r="V262" s="84">
        <f t="shared" si="2301"/>
        <v>0.53996217409562985</v>
      </c>
      <c r="W262" s="84">
        <f t="shared" si="2301"/>
        <v>0.72992443378337712</v>
      </c>
      <c r="X262" s="84">
        <f t="shared" si="2301"/>
        <v>0.91473266876760329</v>
      </c>
      <c r="Y262" s="84">
        <f t="shared" si="2301"/>
        <v>0.94973896419029868</v>
      </c>
      <c r="Z262" s="84">
        <f>Z28/(Z179+Z166+Z156)</f>
        <v>0.84092711330629621</v>
      </c>
      <c r="AA262" s="84">
        <f>AA28/(AA179+AA166+AA156)</f>
        <v>0.76688090908796258</v>
      </c>
      <c r="AB262" s="50">
        <f t="shared" ref="AB262:AE262" si="2302">AB28/(AB179+AB166+AB156)</f>
        <v>0.82309340856218371</v>
      </c>
      <c r="AC262" s="50">
        <f t="shared" si="2302"/>
        <v>0.78121347922493067</v>
      </c>
      <c r="AD262" s="50">
        <f t="shared" si="2302"/>
        <v>0.73904372182661227</v>
      </c>
      <c r="AE262" s="50">
        <f t="shared" si="2302"/>
        <v>0.70067510162295299</v>
      </c>
      <c r="AL262" s="84">
        <f>SUM(AI28:AL28)/(AL179+AL166+AL156)</f>
        <v>0.4477535504042231</v>
      </c>
      <c r="AM262" s="84">
        <f t="shared" ref="AM262:CL262" si="2303">SUM(AJ28:AM28)/(AM179+AM166+AM156)</f>
        <v>0.43165152428178333</v>
      </c>
      <c r="AN262" s="84">
        <f t="shared" si="2303"/>
        <v>0.57405049632129468</v>
      </c>
      <c r="AO262" s="84">
        <f t="shared" si="2303"/>
        <v>0.4950292802849357</v>
      </c>
      <c r="AP262" s="84">
        <f t="shared" si="2303"/>
        <v>0.24417491004784783</v>
      </c>
      <c r="AQ262" s="84">
        <f t="shared" si="2303"/>
        <v>0.28082002340091239</v>
      </c>
      <c r="AR262" s="84">
        <f t="shared" si="2303"/>
        <v>0.84893721556430135</v>
      </c>
      <c r="AS262" s="84">
        <f t="shared" si="2303"/>
        <v>1.042375754842791</v>
      </c>
      <c r="AT262" s="84">
        <f t="shared" si="2303"/>
        <v>0.68187113119602316</v>
      </c>
      <c r="AU262" s="84">
        <f t="shared" si="2303"/>
        <v>0.76572591515067534</v>
      </c>
      <c r="AV262" s="84">
        <f t="shared" si="2303"/>
        <v>0.6733433618543927</v>
      </c>
      <c r="AW262" s="84">
        <f t="shared" si="2303"/>
        <v>0.67115582340314472</v>
      </c>
      <c r="AX262" s="84">
        <f t="shared" si="2303"/>
        <v>0.60160830742516458</v>
      </c>
      <c r="AY262" s="84">
        <f t="shared" si="2303"/>
        <v>0.67360784565118714</v>
      </c>
      <c r="AZ262" s="84">
        <f t="shared" si="2303"/>
        <v>0.55856178462713557</v>
      </c>
      <c r="BA262" s="84">
        <f t="shared" si="2303"/>
        <v>0.53090702945584212</v>
      </c>
      <c r="BB262" s="84">
        <f t="shared" si="2303"/>
        <v>0.59043205341712024</v>
      </c>
      <c r="BC262" s="84">
        <f t="shared" si="2303"/>
        <v>0.67124756525837592</v>
      </c>
      <c r="BD262" s="84">
        <f t="shared" si="2303"/>
        <v>0.62283266326283016</v>
      </c>
      <c r="BE262" s="84">
        <f t="shared" si="2303"/>
        <v>0.60396400568867215</v>
      </c>
      <c r="BF262" s="84">
        <f t="shared" si="2303"/>
        <v>0.5614066298715723</v>
      </c>
      <c r="BG262" s="84">
        <f t="shared" si="2303"/>
        <v>0.63934455385524958</v>
      </c>
      <c r="BH262" s="84">
        <f t="shared" si="2303"/>
        <v>0.61274285067293799</v>
      </c>
      <c r="BI262" s="84">
        <f t="shared" si="2303"/>
        <v>0.63767009624316173</v>
      </c>
      <c r="BJ262" s="84">
        <f t="shared" si="2303"/>
        <v>0.58094935895338007</v>
      </c>
      <c r="BK262" s="84">
        <f t="shared" si="2303"/>
        <v>0.58478451308144508</v>
      </c>
      <c r="BL262" s="84">
        <f t="shared" si="2303"/>
        <v>0.53304199136652375</v>
      </c>
      <c r="BM262" s="84">
        <f t="shared" si="2303"/>
        <v>0.52897665017250783</v>
      </c>
      <c r="BN262" s="84">
        <f t="shared" si="2303"/>
        <v>0.52921225724297827</v>
      </c>
      <c r="BO262" s="84">
        <f t="shared" si="2303"/>
        <v>0.5355137439489609</v>
      </c>
      <c r="BP262" s="84">
        <f t="shared" si="2303"/>
        <v>0.51143507765866503</v>
      </c>
      <c r="BQ262" s="84">
        <f t="shared" si="2303"/>
        <v>0.50209849025307696</v>
      </c>
      <c r="BR262" s="84">
        <f t="shared" si="2303"/>
        <v>0.54730633786214911</v>
      </c>
      <c r="BS262" s="84">
        <f t="shared" si="2303"/>
        <v>0.64450493377129292</v>
      </c>
      <c r="BT262" s="84">
        <f t="shared" si="2303"/>
        <v>0.70729126202097226</v>
      </c>
      <c r="BU262" s="84">
        <f t="shared" si="2303"/>
        <v>0.70136004252593054</v>
      </c>
      <c r="BV262" s="84">
        <f t="shared" si="2303"/>
        <v>0.74124004220118944</v>
      </c>
      <c r="BW262" s="84">
        <f t="shared" si="2303"/>
        <v>0.74389760450839582</v>
      </c>
      <c r="BX262" s="84">
        <f t="shared" si="2303"/>
        <v>0.85779956318001294</v>
      </c>
      <c r="BY262" s="84">
        <f t="shared" si="2303"/>
        <v>0.89694000169488608</v>
      </c>
      <c r="BZ262" s="84">
        <f t="shared" si="2303"/>
        <v>0.92873882844375355</v>
      </c>
      <c r="CA262" s="84">
        <f t="shared" si="2303"/>
        <v>0.94228107221412738</v>
      </c>
      <c r="CB262" s="84">
        <f t="shared" si="2303"/>
        <v>0.95425419290132063</v>
      </c>
      <c r="CC262" s="84">
        <f t="shared" si="2303"/>
        <v>0.95615648525610064</v>
      </c>
      <c r="CD262" s="84">
        <f t="shared" si="2303"/>
        <v>0.96157988515160098</v>
      </c>
      <c r="CE262" s="84">
        <f t="shared" si="2303"/>
        <v>0.94316669731631864</v>
      </c>
      <c r="CF262" s="84">
        <f t="shared" si="2303"/>
        <v>0.87146568852208461</v>
      </c>
      <c r="CG262" s="84">
        <f t="shared" si="2303"/>
        <v>0.8518627557155195</v>
      </c>
      <c r="CH262" s="84">
        <f t="shared" si="2303"/>
        <v>0.84092711330629621</v>
      </c>
      <c r="CI262" s="84">
        <f t="shared" si="2303"/>
        <v>0.91094797391815074</v>
      </c>
      <c r="CJ262" s="84">
        <f t="shared" si="2303"/>
        <v>0.85686483547147674</v>
      </c>
      <c r="CK262" s="84">
        <f t="shared" ref="CK262" si="2304">SUM(CH28:CK28)/(CK179+CK166+CK156)</f>
        <v>0.85289234997347418</v>
      </c>
      <c r="CL262" s="84">
        <f t="shared" si="2303"/>
        <v>0.7731229455165699</v>
      </c>
      <c r="CM262" s="50">
        <f t="shared" ref="CM262:DB262" si="2305">SUM(CJ28:CM28)/(CM179+CM166+CM156)</f>
        <v>0.82842327361405543</v>
      </c>
      <c r="CN262" s="50">
        <f t="shared" si="2305"/>
        <v>0.8410507244664156</v>
      </c>
      <c r="CO262" s="50">
        <f t="shared" si="2305"/>
        <v>0.85935226373211704</v>
      </c>
      <c r="CP262" s="50">
        <f t="shared" si="2305"/>
        <v>0.82309340856218371</v>
      </c>
      <c r="CQ262" s="50">
        <f t="shared" si="2305"/>
        <v>0.81022372766036865</v>
      </c>
      <c r="CR262" s="50">
        <f t="shared" si="2305"/>
        <v>0.80261999155278951</v>
      </c>
      <c r="CS262" s="50">
        <f t="shared" si="2305"/>
        <v>0.79245383203165798</v>
      </c>
      <c r="CT262" s="50">
        <f t="shared" si="2305"/>
        <v>0.78121347922493067</v>
      </c>
      <c r="CU262" s="50">
        <f t="shared" si="2305"/>
        <v>0.77100194643292719</v>
      </c>
      <c r="CV262" s="50">
        <f t="shared" si="2305"/>
        <v>0.76200737805927099</v>
      </c>
      <c r="CW262" s="50">
        <f t="shared" si="2305"/>
        <v>0.74924315357044224</v>
      </c>
      <c r="CX262" s="50">
        <f t="shared" si="2305"/>
        <v>0.73904372182661227</v>
      </c>
      <c r="CY262" s="50">
        <f t="shared" si="2305"/>
        <v>0.73024770117310922</v>
      </c>
      <c r="CZ262" s="50">
        <f t="shared" si="2305"/>
        <v>0.72166145817573091</v>
      </c>
      <c r="DA262" s="50">
        <f t="shared" si="2305"/>
        <v>0.70973598185411491</v>
      </c>
      <c r="DB262" s="50">
        <f t="shared" si="2305"/>
        <v>0.70067510162295299</v>
      </c>
      <c r="DE262" s="138"/>
      <c r="DF262" s="84">
        <v>0.7731229455165699</v>
      </c>
    </row>
    <row r="263" spans="1:110" s="84" customFormat="1" x14ac:dyDescent="0.2">
      <c r="A263" s="84" t="s">
        <v>513</v>
      </c>
      <c r="E263" s="177">
        <f>+E60</f>
        <v>1.3066438092077122E-2</v>
      </c>
      <c r="F263" s="177">
        <f t="shared" ref="F263:AE263" si="2306">+F60</f>
        <v>5.5929944899311149E-2</v>
      </c>
      <c r="G263" s="177">
        <f t="shared" si="2306"/>
        <v>6.8869376872331356E-2</v>
      </c>
      <c r="H263" s="177">
        <f t="shared" si="2306"/>
        <v>7.697478272384041E-2</v>
      </c>
      <c r="I263" s="177">
        <f t="shared" si="2306"/>
        <v>7.9274466912528083E-2</v>
      </c>
      <c r="J263" s="177">
        <f t="shared" si="2306"/>
        <v>5.8922349657303669E-2</v>
      </c>
      <c r="K263" s="177">
        <f t="shared" si="2306"/>
        <v>6.2094167078201916E-2</v>
      </c>
      <c r="L263" s="177">
        <f t="shared" si="2306"/>
        <v>6.9134260611441081E-2</v>
      </c>
      <c r="M263" s="177">
        <f t="shared" si="2306"/>
        <v>3.6598860326841343E-2</v>
      </c>
      <c r="N263" s="177">
        <f t="shared" si="2306"/>
        <v>3.6727854651541249E-2</v>
      </c>
      <c r="O263" s="177">
        <f t="shared" si="2306"/>
        <v>1.1034962080732243E-2</v>
      </c>
      <c r="P263" s="177">
        <f t="shared" si="2306"/>
        <v>1.2899708440988849E-2</v>
      </c>
      <c r="Q263" s="177">
        <f t="shared" si="2306"/>
        <v>2.6864253896210635E-2</v>
      </c>
      <c r="R263" s="177">
        <f t="shared" si="2306"/>
        <v>5.5481654550611085E-3</v>
      </c>
      <c r="S263" s="177">
        <f t="shared" si="2306"/>
        <v>4.0507362167320638E-3</v>
      </c>
      <c r="T263" s="177">
        <f t="shared" si="2306"/>
        <v>5.4088752341828333E-2</v>
      </c>
      <c r="U263" s="177">
        <f t="shared" si="2306"/>
        <v>8.0962279996350778E-2</v>
      </c>
      <c r="V263" s="177">
        <f t="shared" si="2306"/>
        <v>5.3384705060972343E-2</v>
      </c>
      <c r="W263" s="177">
        <f t="shared" si="2306"/>
        <v>0.11473301858878507</v>
      </c>
      <c r="X263" s="177">
        <f t="shared" si="2306"/>
        <v>0.15314314104910834</v>
      </c>
      <c r="Y263" s="177">
        <f t="shared" si="2306"/>
        <v>0.18022421570955194</v>
      </c>
      <c r="Z263" s="177">
        <f t="shared" si="2306"/>
        <v>0.18274688364407091</v>
      </c>
      <c r="AA263" s="177">
        <f t="shared" ref="AA263" si="2307">+AA60</f>
        <v>0.15292998879989864</v>
      </c>
      <c r="AB263" s="178">
        <f t="shared" si="2306"/>
        <v>0.14530578889202422</v>
      </c>
      <c r="AC263" s="178">
        <f t="shared" si="2306"/>
        <v>0.1525786117982646</v>
      </c>
      <c r="AD263" s="178">
        <f t="shared" si="2306"/>
        <v>0.16144647882424656</v>
      </c>
      <c r="AE263" s="178">
        <f t="shared" si="2306"/>
        <v>0.16902410890534733</v>
      </c>
      <c r="AL263" s="177">
        <f t="shared" ref="AL263:CW263" si="2308">+AL60</f>
        <v>6.1544058071663528E-2</v>
      </c>
      <c r="AM263" s="177">
        <f t="shared" si="2308"/>
        <v>3.0922745354942188E-2</v>
      </c>
      <c r="AN263" s="177">
        <f t="shared" si="2308"/>
        <v>7.3223300809907882E-2</v>
      </c>
      <c r="AO263" s="177">
        <f t="shared" si="2308"/>
        <v>3.9497482959860983E-2</v>
      </c>
      <c r="AP263" s="177">
        <f t="shared" si="2308"/>
        <v>6.6885837130993067E-2</v>
      </c>
      <c r="AQ263" s="177">
        <f t="shared" si="2308"/>
        <v>-2.7373121177955255E-2</v>
      </c>
      <c r="AR263" s="177">
        <f t="shared" si="2308"/>
        <v>-2.444755038494675E-2</v>
      </c>
      <c r="AS263" s="177">
        <f t="shared" si="2308"/>
        <v>-1.9304360942690075E-2</v>
      </c>
      <c r="AT263" s="177">
        <f t="shared" si="2308"/>
        <v>8.5214501679851937E-2</v>
      </c>
      <c r="AU263" s="177">
        <f t="shared" si="2308"/>
        <v>-1.9336709035698143E-2</v>
      </c>
      <c r="AV263" s="177">
        <f t="shared" si="2308"/>
        <v>2.3899160016359194E-2</v>
      </c>
      <c r="AW263" s="177">
        <f t="shared" si="2308"/>
        <v>1.9635487581399321E-2</v>
      </c>
      <c r="AX263" s="177">
        <f t="shared" si="2308"/>
        <v>5.1537212591002017E-2</v>
      </c>
      <c r="AY263" s="177">
        <f t="shared" si="2308"/>
        <v>-9.3416531382556987E-3</v>
      </c>
      <c r="AZ263" s="177">
        <f t="shared" si="2308"/>
        <v>-3.2661470710154961E-2</v>
      </c>
      <c r="BA263" s="177">
        <f t="shared" si="2308"/>
        <v>-3.5647547230216334E-2</v>
      </c>
      <c r="BB263" s="177">
        <f t="shared" si="2308"/>
        <v>6.5195563007379151E-2</v>
      </c>
      <c r="BC263" s="177">
        <f t="shared" si="2308"/>
        <v>-0.15584775736062687</v>
      </c>
      <c r="BD263" s="177">
        <f t="shared" si="2308"/>
        <v>-2.9225474838849262E-2</v>
      </c>
      <c r="BE263" s="177">
        <f t="shared" si="2308"/>
        <v>-1.2960947330229927E-2</v>
      </c>
      <c r="BF263" s="177">
        <f t="shared" si="2308"/>
        <v>0.11886929707373306</v>
      </c>
      <c r="BG263" s="177">
        <f t="shared" si="2308"/>
        <v>2.2785310641382672E-2</v>
      </c>
      <c r="BH263" s="177">
        <f t="shared" si="2308"/>
        <v>0.15176625733017821</v>
      </c>
      <c r="BI263" s="177">
        <f t="shared" si="2308"/>
        <v>6.7157910952498475E-3</v>
      </c>
      <c r="BJ263" s="177">
        <f t="shared" si="2308"/>
        <v>2.6896982817764703E-2</v>
      </c>
      <c r="BK263" s="177">
        <f t="shared" si="2308"/>
        <v>1.0686044026502167E-3</v>
      </c>
      <c r="BL263" s="177">
        <f t="shared" si="2308"/>
        <v>3.3915562385172876E-2</v>
      </c>
      <c r="BM263" s="177">
        <f t="shared" si="2308"/>
        <v>3.147070819826972E-2</v>
      </c>
      <c r="BN263" s="177">
        <f t="shared" si="2308"/>
        <v>0.26074698131056928</v>
      </c>
      <c r="BO263" s="177">
        <f t="shared" si="2308"/>
        <v>-0.15927942900387282</v>
      </c>
      <c r="BP263" s="177">
        <f t="shared" si="2308"/>
        <v>8.1538683274291271E-2</v>
      </c>
      <c r="BQ263" s="177">
        <f t="shared" si="2308"/>
        <v>8.1529557165915964E-2</v>
      </c>
      <c r="BR263" s="177">
        <f t="shared" si="2308"/>
        <v>9.0197411262038299E-2</v>
      </c>
      <c r="BS263" s="177">
        <f t="shared" si="2308"/>
        <v>9.1700117943366688E-2</v>
      </c>
      <c r="BT263" s="177">
        <f t="shared" si="2308"/>
        <v>0.11200771917980538</v>
      </c>
      <c r="BU263" s="177">
        <f t="shared" si="2308"/>
        <v>0.11471440800326246</v>
      </c>
      <c r="BV263" s="177">
        <f t="shared" si="2308"/>
        <v>0.13776939898951807</v>
      </c>
      <c r="BW263" s="177">
        <f t="shared" si="2308"/>
        <v>0.12977541803979015</v>
      </c>
      <c r="BX263" s="177">
        <f t="shared" si="2308"/>
        <v>0.16338557348362012</v>
      </c>
      <c r="BY263" s="177">
        <f t="shared" si="2308"/>
        <v>0.15927678617355076</v>
      </c>
      <c r="BZ263" s="177">
        <f t="shared" si="2308"/>
        <v>0.15619258491543794</v>
      </c>
      <c r="CA263" s="177">
        <f t="shared" si="2308"/>
        <v>0.17393927692233424</v>
      </c>
      <c r="CB263" s="177">
        <f t="shared" si="2308"/>
        <v>0.1789647349969066</v>
      </c>
      <c r="CC263" s="177">
        <f t="shared" si="2308"/>
        <v>0.18825492017906928</v>
      </c>
      <c r="CD263" s="177">
        <f t="shared" si="2308"/>
        <v>0.179200170025858</v>
      </c>
      <c r="CE263" s="177">
        <f t="shared" si="2308"/>
        <v>0.18070139667652158</v>
      </c>
      <c r="CF263" s="177">
        <f t="shared" si="2308"/>
        <v>0.16835911363010186</v>
      </c>
      <c r="CG263" s="177">
        <f t="shared" si="2308"/>
        <v>0.20140293822912125</v>
      </c>
      <c r="CH263" s="177">
        <f t="shared" si="2308"/>
        <v>0.18054841581303213</v>
      </c>
      <c r="CI263" s="177">
        <f t="shared" si="2308"/>
        <v>0.19234767719183798</v>
      </c>
      <c r="CJ263" s="177">
        <f t="shared" si="2308"/>
        <v>0.15173057962741943</v>
      </c>
      <c r="CK263" s="177">
        <f t="shared" si="2308"/>
        <v>0.1304781237539421</v>
      </c>
      <c r="CL263" s="177">
        <f t="shared" ref="CL263" si="2309">+CL60</f>
        <v>0.1445393704483578</v>
      </c>
      <c r="CM263" s="178">
        <f t="shared" si="2308"/>
        <v>0.14651697338572325</v>
      </c>
      <c r="CN263" s="178">
        <f t="shared" si="2308"/>
        <v>0.14232165828458654</v>
      </c>
      <c r="CO263" s="178">
        <f t="shared" si="2308"/>
        <v>0.14366515519107526</v>
      </c>
      <c r="CP263" s="178">
        <f t="shared" si="2308"/>
        <v>0.14852459006986421</v>
      </c>
      <c r="CQ263" s="178">
        <f t="shared" si="2308"/>
        <v>0.15077565601956591</v>
      </c>
      <c r="CR263" s="178">
        <f t="shared" si="2308"/>
        <v>0.15122711726310673</v>
      </c>
      <c r="CS263" s="178">
        <f t="shared" si="2308"/>
        <v>0.15314352159137246</v>
      </c>
      <c r="CT263" s="178">
        <f t="shared" si="2308"/>
        <v>0.15496701234674326</v>
      </c>
      <c r="CU263" s="178">
        <f t="shared" si="2308"/>
        <v>0.15860953196963354</v>
      </c>
      <c r="CV263" s="178">
        <f t="shared" si="2308"/>
        <v>0.16037313004699055</v>
      </c>
      <c r="CW263" s="178">
        <f t="shared" si="2308"/>
        <v>0.16231641380177753</v>
      </c>
      <c r="CX263" s="178">
        <f t="shared" ref="CX263:DB263" si="2310">+CX60</f>
        <v>0.16422707109219686</v>
      </c>
      <c r="CY263" s="178">
        <f t="shared" si="2310"/>
        <v>0.16639391735437331</v>
      </c>
      <c r="CZ263" s="178">
        <f t="shared" si="2310"/>
        <v>0.16824955733056923</v>
      </c>
      <c r="DA263" s="178">
        <f t="shared" si="2310"/>
        <v>0.16982711339534756</v>
      </c>
      <c r="DB263" s="178">
        <f t="shared" si="2310"/>
        <v>0.17139734488457814</v>
      </c>
      <c r="DE263" s="138"/>
      <c r="DF263" s="195">
        <v>0.15292998879989869</v>
      </c>
    </row>
    <row r="264" spans="1:110" s="84" customFormat="1" x14ac:dyDescent="0.2">
      <c r="A264" s="84" t="s">
        <v>514</v>
      </c>
      <c r="E264" s="84">
        <f>(E179+E166+E156+E158)/E138</f>
        <v>3.65536123121981</v>
      </c>
      <c r="F264" s="84">
        <f t="shared" ref="F264:AE264" si="2311">(F179+F166+F156+F158)/F138</f>
        <v>4.5767039718873956</v>
      </c>
      <c r="G264" s="84">
        <f t="shared" si="2311"/>
        <v>5.2103682115799348</v>
      </c>
      <c r="H264" s="84">
        <f t="shared" si="2311"/>
        <v>3.9600923238871828</v>
      </c>
      <c r="I264" s="84">
        <f t="shared" si="2311"/>
        <v>4.2756564334661729</v>
      </c>
      <c r="J264" s="84">
        <f t="shared" si="2311"/>
        <v>4.8305965867828622</v>
      </c>
      <c r="K264" s="84">
        <f t="shared" si="2311"/>
        <v>3.9684973983951246</v>
      </c>
      <c r="L264" s="84">
        <f t="shared" si="2311"/>
        <v>4.0555047922887422</v>
      </c>
      <c r="M264" s="84">
        <f t="shared" si="2311"/>
        <v>4.1853126568996384</v>
      </c>
      <c r="N264" s="84">
        <f t="shared" si="2311"/>
        <v>3.948236268472769</v>
      </c>
      <c r="O264" s="84">
        <f t="shared" si="2311"/>
        <v>3.8669193038744867</v>
      </c>
      <c r="P264" s="84">
        <f t="shared" si="2311"/>
        <v>3.6675179122879054</v>
      </c>
      <c r="Q264" s="84">
        <f t="shared" si="2311"/>
        <v>3.1284975439577956</v>
      </c>
      <c r="R264" s="84">
        <f t="shared" si="2311"/>
        <v>2.9398989673447762</v>
      </c>
      <c r="S264" s="84">
        <f t="shared" si="2311"/>
        <v>3.0414689875561431</v>
      </c>
      <c r="T264" s="84">
        <f t="shared" si="2311"/>
        <v>2.8188525597593115</v>
      </c>
      <c r="U264" s="84">
        <f t="shared" si="2311"/>
        <v>2.492842490779025</v>
      </c>
      <c r="V264" s="84">
        <f t="shared" si="2311"/>
        <v>2.1623306782291571</v>
      </c>
      <c r="W264" s="84">
        <f t="shared" si="2311"/>
        <v>1.6325915902093791</v>
      </c>
      <c r="X264" s="84">
        <f t="shared" si="2311"/>
        <v>1.3524090969502232</v>
      </c>
      <c r="Y264" s="84">
        <f t="shared" si="2311"/>
        <v>1.3235912046532798</v>
      </c>
      <c r="Z264" s="84">
        <f t="shared" si="2311"/>
        <v>1.365629487314191</v>
      </c>
      <c r="AA264" s="84">
        <f t="shared" ref="AA264" si="2312">(AA179+AA166+AA156+AA158)/AA138</f>
        <v>1.4023809007524339</v>
      </c>
      <c r="AB264" s="50">
        <f t="shared" si="2311"/>
        <v>1.3423957592206552</v>
      </c>
      <c r="AC264" s="50">
        <f t="shared" si="2311"/>
        <v>1.3189410290274415</v>
      </c>
      <c r="AD264" s="50">
        <f t="shared" si="2311"/>
        <v>1.2971498863912505</v>
      </c>
      <c r="AE264" s="50">
        <f t="shared" si="2311"/>
        <v>1.2779057822900444</v>
      </c>
      <c r="AL264" s="84">
        <f t="shared" ref="AL264:CW264" si="2313">(AL179+AL166+AL156+AL158)/AL138</f>
        <v>3.9482401155839346</v>
      </c>
      <c r="AM264" s="84">
        <f t="shared" si="2313"/>
        <v>3.5119992573032057</v>
      </c>
      <c r="AN264" s="84">
        <f t="shared" si="2313"/>
        <v>2.2493097487239568</v>
      </c>
      <c r="AO264" s="84">
        <f t="shared" si="2313"/>
        <v>2.2058826730344858</v>
      </c>
      <c r="AP264" s="84">
        <f t="shared" si="2313"/>
        <v>3.8669163719192463</v>
      </c>
      <c r="AQ264" s="84">
        <f t="shared" si="2313"/>
        <v>4.5079169596438708</v>
      </c>
      <c r="AR264" s="84">
        <f t="shared" si="2313"/>
        <v>2.0747718990988955</v>
      </c>
      <c r="AS264" s="84">
        <f t="shared" si="2313"/>
        <v>2.0925147553126369</v>
      </c>
      <c r="AT264" s="84">
        <f t="shared" si="2313"/>
        <v>3.6675212111253845</v>
      </c>
      <c r="AU264" s="84">
        <f t="shared" si="2313"/>
        <v>3.2373079779615015</v>
      </c>
      <c r="AV264" s="84">
        <f t="shared" si="2313"/>
        <v>3.6366041986383091</v>
      </c>
      <c r="AW264" s="84">
        <f t="shared" si="2313"/>
        <v>3.6722699341958349</v>
      </c>
      <c r="AX264" s="84">
        <f t="shared" si="2313"/>
        <v>3.1285023208000196</v>
      </c>
      <c r="AY264" s="84">
        <f t="shared" si="2313"/>
        <v>2.7833381415613605</v>
      </c>
      <c r="AZ264" s="84">
        <f t="shared" si="2313"/>
        <v>2.9182131793047401</v>
      </c>
      <c r="BA264" s="84">
        <f t="shared" si="2313"/>
        <v>2.9974671867729437</v>
      </c>
      <c r="BB264" s="84">
        <f t="shared" si="2313"/>
        <v>2.9399027963654296</v>
      </c>
      <c r="BC264" s="84">
        <f t="shared" si="2313"/>
        <v>2.7035151786205001</v>
      </c>
      <c r="BD264" s="84">
        <f t="shared" si="2313"/>
        <v>2.9713885496839985</v>
      </c>
      <c r="BE264" s="84">
        <f t="shared" si="2313"/>
        <v>3.001807261022527</v>
      </c>
      <c r="BF264" s="84">
        <f t="shared" si="2313"/>
        <v>3.0414701102596799</v>
      </c>
      <c r="BG264" s="84">
        <f t="shared" si="2313"/>
        <v>2.802705125859914</v>
      </c>
      <c r="BH264" s="84">
        <f t="shared" si="2313"/>
        <v>2.8758781835577736</v>
      </c>
      <c r="BI264" s="84">
        <f t="shared" si="2313"/>
        <v>2.7828607757736274</v>
      </c>
      <c r="BJ264" s="84">
        <f t="shared" si="2313"/>
        <v>2.8188575431214065</v>
      </c>
      <c r="BK264" s="84">
        <f t="shared" si="2313"/>
        <v>2.7277750985433546</v>
      </c>
      <c r="BL264" s="84">
        <f t="shared" si="2313"/>
        <v>2.8377809661688111</v>
      </c>
      <c r="BM264" s="84">
        <f t="shared" si="2313"/>
        <v>2.8416932006156626</v>
      </c>
      <c r="BN264" s="84">
        <f t="shared" si="2313"/>
        <v>2.4928412046912056</v>
      </c>
      <c r="BO264" s="84">
        <f t="shared" si="2313"/>
        <v>2.2195504579852461</v>
      </c>
      <c r="BP264" s="84">
        <f t="shared" si="2313"/>
        <v>2.2524600651658973</v>
      </c>
      <c r="BQ264" s="84">
        <f t="shared" si="2313"/>
        <v>2.2660533343442042</v>
      </c>
      <c r="BR264" s="84">
        <f t="shared" si="2313"/>
        <v>2.1623326893286685</v>
      </c>
      <c r="BS264" s="84">
        <f t="shared" si="2313"/>
        <v>2.0572402576611819</v>
      </c>
      <c r="BT264" s="84">
        <f t="shared" si="2313"/>
        <v>1.89535474986367</v>
      </c>
      <c r="BU264" s="84">
        <f t="shared" si="2313"/>
        <v>1.8171299169063297</v>
      </c>
      <c r="BV264" s="84">
        <f t="shared" si="2313"/>
        <v>1.6325918506091002</v>
      </c>
      <c r="BW264" s="84">
        <f t="shared" si="2313"/>
        <v>1.6052537424805873</v>
      </c>
      <c r="BX264" s="84">
        <f t="shared" si="2313"/>
        <v>1.4302071545120532</v>
      </c>
      <c r="BY264" s="84">
        <f t="shared" si="2313"/>
        <v>1.4077202273274425</v>
      </c>
      <c r="BZ264" s="84">
        <f t="shared" si="2313"/>
        <v>1.3524090969502229</v>
      </c>
      <c r="CA264" s="84">
        <f t="shared" si="2313"/>
        <v>1.3299126432181021</v>
      </c>
      <c r="CB264" s="84">
        <f t="shared" si="2313"/>
        <v>1.3282322421946235</v>
      </c>
      <c r="CC264" s="84">
        <f t="shared" si="2313"/>
        <v>1.304967058716795</v>
      </c>
      <c r="CD264" s="84">
        <f t="shared" si="2313"/>
        <v>1.3235912046532796</v>
      </c>
      <c r="CE264" s="84">
        <f t="shared" si="2313"/>
        <v>1.2752612750031744</v>
      </c>
      <c r="CF264" s="84">
        <f t="shared" si="2313"/>
        <v>1.3374923763544437</v>
      </c>
      <c r="CG264" s="84">
        <f t="shared" si="2313"/>
        <v>1.3226211152836505</v>
      </c>
      <c r="CH264" s="84">
        <f t="shared" si="2313"/>
        <v>1.365629487314191</v>
      </c>
      <c r="CI264" s="84">
        <f t="shared" si="2313"/>
        <v>1.2113916286643138</v>
      </c>
      <c r="CJ264" s="84">
        <f t="shared" si="2313"/>
        <v>1.3352316529194459</v>
      </c>
      <c r="CK264" s="84">
        <f t="shared" si="2313"/>
        <v>1.3109178305914124</v>
      </c>
      <c r="CL264" s="84">
        <f t="shared" ref="CL264" si="2314">(CL179+CL166+CL156+CL158)/CL138</f>
        <v>1.4023809007524342</v>
      </c>
      <c r="CM264" s="50">
        <f t="shared" si="2313"/>
        <v>1.3632616215106577</v>
      </c>
      <c r="CN264" s="50">
        <f t="shared" si="2313"/>
        <v>1.3479288594530676</v>
      </c>
      <c r="CO264" s="50">
        <f t="shared" si="2313"/>
        <v>1.3417654357264992</v>
      </c>
      <c r="CP264" s="50">
        <f t="shared" si="2313"/>
        <v>1.3423957592206552</v>
      </c>
      <c r="CQ264" s="50">
        <f t="shared" si="2313"/>
        <v>1.3351670507764744</v>
      </c>
      <c r="CR264" s="50">
        <f t="shared" si="2313"/>
        <v>1.3252296641334289</v>
      </c>
      <c r="CS264" s="50">
        <f t="shared" si="2313"/>
        <v>1.3238947165968149</v>
      </c>
      <c r="CT264" s="50">
        <f t="shared" si="2313"/>
        <v>1.3189410290274415</v>
      </c>
      <c r="CU264" s="50">
        <f t="shared" si="2313"/>
        <v>1.3109701746720235</v>
      </c>
      <c r="CV264" s="50">
        <f t="shared" si="2313"/>
        <v>1.3034010105359075</v>
      </c>
      <c r="CW264" s="50">
        <f t="shared" si="2313"/>
        <v>1.3026079994074236</v>
      </c>
      <c r="CX264" s="50">
        <f t="shared" ref="CX264:DB264" si="2315">(CX179+CX166+CX156+CX158)/CX138</f>
        <v>1.2971498863912505</v>
      </c>
      <c r="CY264" s="50">
        <f t="shared" si="2315"/>
        <v>1.2899731200831372</v>
      </c>
      <c r="CZ264" s="50">
        <f t="shared" si="2315"/>
        <v>1.283415209795544</v>
      </c>
      <c r="DA264" s="50">
        <f t="shared" si="2315"/>
        <v>1.2828927589258963</v>
      </c>
      <c r="DB264" s="50">
        <f t="shared" si="2315"/>
        <v>1.2779057822900444</v>
      </c>
      <c r="DE264" s="138"/>
      <c r="DF264" s="84">
        <v>1.4023809007524342</v>
      </c>
    </row>
    <row r="265" spans="1:110" s="84" customFormat="1" x14ac:dyDescent="0.2">
      <c r="A265" s="154" t="s">
        <v>498</v>
      </c>
      <c r="AB265" s="50"/>
      <c r="AC265" s="50"/>
      <c r="AD265" s="50"/>
      <c r="AE265" s="50"/>
      <c r="CM265" s="50"/>
      <c r="CN265" s="50"/>
      <c r="CO265" s="50"/>
      <c r="CP265" s="50"/>
      <c r="CQ265" s="50"/>
      <c r="CR265" s="50"/>
      <c r="CS265" s="50"/>
      <c r="CT265" s="50"/>
      <c r="CU265" s="50"/>
      <c r="CV265" s="50"/>
      <c r="CW265" s="50"/>
      <c r="CX265" s="50"/>
      <c r="CY265" s="50"/>
      <c r="CZ265" s="50"/>
      <c r="DA265" s="50"/>
      <c r="DB265" s="50"/>
      <c r="DE265" s="138"/>
    </row>
    <row r="266" spans="1:110" s="88" customFormat="1" x14ac:dyDescent="0.2">
      <c r="A266" s="88" t="s">
        <v>102</v>
      </c>
      <c r="B266" s="88">
        <f t="shared" ref="B266:AE266" si="2316">B179/B138</f>
        <v>1.7178275999647358E-2</v>
      </c>
      <c r="C266" s="88">
        <f t="shared" si="2316"/>
        <v>3.023225098903792E-2</v>
      </c>
      <c r="D266" s="88">
        <f t="shared" si="2316"/>
        <v>2.7198897478952568E-2</v>
      </c>
      <c r="F266" s="88">
        <f t="shared" si="2316"/>
        <v>0.11556888188013947</v>
      </c>
      <c r="G266" s="88">
        <f t="shared" si="2316"/>
        <v>0.24065834305763081</v>
      </c>
      <c r="H266" s="88">
        <f t="shared" si="2316"/>
        <v>6.7901802891587565E-2</v>
      </c>
      <c r="I266" s="88">
        <f t="shared" si="2316"/>
        <v>3.1776795301914192E-2</v>
      </c>
      <c r="J266" s="88">
        <f t="shared" si="2316"/>
        <v>0.22170915032679742</v>
      </c>
      <c r="K266" s="88">
        <f t="shared" si="2316"/>
        <v>0.11901790335914904</v>
      </c>
      <c r="L266" s="88">
        <f t="shared" si="2316"/>
        <v>6.6276776096229617E-2</v>
      </c>
      <c r="M266" s="88">
        <f t="shared" si="2316"/>
        <v>5.7258789050364634E-2</v>
      </c>
      <c r="N266" s="88">
        <f t="shared" si="2316"/>
        <v>7.4024027151037688E-2</v>
      </c>
      <c r="O266" s="88">
        <f t="shared" si="2316"/>
        <v>5.9944329354021671E-2</v>
      </c>
      <c r="P266" s="88">
        <f t="shared" si="2316"/>
        <v>7.6137283008454015E-2</v>
      </c>
      <c r="Q266" s="88">
        <f t="shared" si="2316"/>
        <v>6.3927239527832191E-2</v>
      </c>
      <c r="R266" s="88">
        <f t="shared" si="2316"/>
        <v>0.13037492302948073</v>
      </c>
      <c r="S266" s="88">
        <f t="shared" si="2316"/>
        <v>0.11675311152833114</v>
      </c>
      <c r="T266" s="88">
        <f t="shared" si="2316"/>
        <v>9.8415966161170848E-2</v>
      </c>
      <c r="U266" s="88">
        <f t="shared" si="2316"/>
        <v>0.12582905659113891</v>
      </c>
      <c r="V266" s="88">
        <f t="shared" si="2316"/>
        <v>0.15391325716892812</v>
      </c>
      <c r="W266" s="88">
        <f t="shared" si="2316"/>
        <v>0.10677048569381142</v>
      </c>
      <c r="X266" s="88">
        <f t="shared" si="2316"/>
        <v>0.17936690355012469</v>
      </c>
      <c r="Y266" s="88">
        <f t="shared" si="2316"/>
        <v>0.29088608068427652</v>
      </c>
      <c r="Z266" s="88">
        <f t="shared" si="2316"/>
        <v>0.38674832014969807</v>
      </c>
      <c r="AA266" s="88">
        <f t="shared" ref="AA266" si="2317">AA179/AA138</f>
        <v>0.34997940022117657</v>
      </c>
      <c r="AB266" s="42">
        <f t="shared" si="2316"/>
        <v>0.48809213547030528</v>
      </c>
      <c r="AC266" s="42">
        <f t="shared" si="2316"/>
        <v>0.5698215733319314</v>
      </c>
      <c r="AD266" s="42">
        <f t="shared" si="2316"/>
        <v>0.63213483482760213</v>
      </c>
      <c r="AE266" s="42">
        <f t="shared" si="2316"/>
        <v>0.67958705476217385</v>
      </c>
      <c r="AL266" s="88">
        <f t="shared" ref="AL266:CW266" si="2318">AL179/AL138</f>
        <v>7.4023180008590692E-2</v>
      </c>
      <c r="AM266" s="88">
        <f t="shared" si="2318"/>
        <v>0.61515115772812601</v>
      </c>
      <c r="AN266" s="88">
        <f t="shared" si="2318"/>
        <v>7.8672259681951892E-3</v>
      </c>
      <c r="AO266" s="88">
        <f t="shared" si="2318"/>
        <v>2.460631097371779E-2</v>
      </c>
      <c r="AP266" s="88">
        <f t="shared" si="2318"/>
        <v>5.9944295556800108E-2</v>
      </c>
      <c r="AQ266" s="88">
        <f t="shared" si="2318"/>
        <v>-0.82935718160239846</v>
      </c>
      <c r="AR266" s="88">
        <f t="shared" si="2318"/>
        <v>5.7807083738554612E-3</v>
      </c>
      <c r="AS266" s="88">
        <f t="shared" si="2318"/>
        <v>-4.9441422757542488E-3</v>
      </c>
      <c r="AT266" s="88">
        <f t="shared" si="2318"/>
        <v>7.6137857377587909E-2</v>
      </c>
      <c r="AU266" s="88">
        <f t="shared" si="2318"/>
        <v>0.64195308759390224</v>
      </c>
      <c r="AV266" s="88">
        <f t="shared" si="2318"/>
        <v>8.1755240875208066E-2</v>
      </c>
      <c r="AW266" s="88">
        <f t="shared" si="2318"/>
        <v>-2.298317209412672E-2</v>
      </c>
      <c r="AX266" s="88">
        <f t="shared" si="2318"/>
        <v>6.3927426900833903E-2</v>
      </c>
      <c r="AY266" s="88">
        <f t="shared" si="2318"/>
        <v>0.39586712762245024</v>
      </c>
      <c r="AZ266" s="88">
        <f t="shared" si="2318"/>
        <v>5.1869103084723006E-2</v>
      </c>
      <c r="BA266" s="88">
        <f t="shared" si="2318"/>
        <v>-2.5711456344110501E-2</v>
      </c>
      <c r="BB266" s="88">
        <f t="shared" si="2318"/>
        <v>0.13037543142917518</v>
      </c>
      <c r="BC266" s="88">
        <f t="shared" si="2318"/>
        <v>0.39890568207985544</v>
      </c>
      <c r="BD266" s="88">
        <f t="shared" si="2318"/>
        <v>9.896799532677128E-2</v>
      </c>
      <c r="BE266" s="88">
        <f t="shared" si="2318"/>
        <v>7.118606339126364E-2</v>
      </c>
      <c r="BF266" s="88">
        <f t="shared" si="2318"/>
        <v>0.11675309505806407</v>
      </c>
      <c r="BG266" s="88">
        <f t="shared" si="2318"/>
        <v>0.31683603078207023</v>
      </c>
      <c r="BH266" s="88">
        <f t="shared" si="2318"/>
        <v>0.14306077153884705</v>
      </c>
      <c r="BI266" s="88">
        <f t="shared" si="2318"/>
        <v>0.24255814953570032</v>
      </c>
      <c r="BJ266" s="88">
        <f t="shared" si="2318"/>
        <v>9.8416277810182473E-2</v>
      </c>
      <c r="BK266" s="88">
        <f t="shared" si="2318"/>
        <v>0.21365180183367261</v>
      </c>
      <c r="BL266" s="88">
        <f t="shared" si="2318"/>
        <v>0.11135311804787593</v>
      </c>
      <c r="BM266" s="88">
        <f t="shared" si="2318"/>
        <v>9.1945928912098365E-2</v>
      </c>
      <c r="BN266" s="88">
        <f t="shared" si="2318"/>
        <v>0.12582972954621549</v>
      </c>
      <c r="BO266" s="88">
        <f t="shared" si="2318"/>
        <v>0.3427963230303418</v>
      </c>
      <c r="BP266" s="88">
        <f t="shared" si="2318"/>
        <v>0.13173271008180176</v>
      </c>
      <c r="BQ266" s="88">
        <f t="shared" si="2318"/>
        <v>9.9472907977232919E-2</v>
      </c>
      <c r="BR266" s="88">
        <f t="shared" si="2318"/>
        <v>0.15391385132195012</v>
      </c>
      <c r="BS266" s="88">
        <f t="shared" si="2318"/>
        <v>0.23458539930826572</v>
      </c>
      <c r="BT266" s="88">
        <f t="shared" si="2318"/>
        <v>0.15070487524644288</v>
      </c>
      <c r="BU266" s="88">
        <f t="shared" si="2318"/>
        <v>0.21857983578343537</v>
      </c>
      <c r="BV266" s="88">
        <f t="shared" si="2318"/>
        <v>0.10677008449513348</v>
      </c>
      <c r="BW266" s="88">
        <f t="shared" si="2318"/>
        <v>0.14563012431789568</v>
      </c>
      <c r="BX266" s="88">
        <f t="shared" si="2318"/>
        <v>9.3833953056520689E-2</v>
      </c>
      <c r="BY266" s="88">
        <f t="shared" si="2318"/>
        <v>0.14121278943410784</v>
      </c>
      <c r="BZ266" s="88">
        <f t="shared" si="2318"/>
        <v>0.17936690355012469</v>
      </c>
      <c r="CA266" s="88">
        <f t="shared" si="2318"/>
        <v>0.2312682843487322</v>
      </c>
      <c r="CB266" s="88">
        <f t="shared" si="2318"/>
        <v>0.25218239522735791</v>
      </c>
      <c r="CC266" s="88">
        <f t="shared" si="2318"/>
        <v>0.30345528939271316</v>
      </c>
      <c r="CD266" s="88">
        <f t="shared" si="2318"/>
        <v>0.29088608068427652</v>
      </c>
      <c r="CE266" s="88">
        <f t="shared" si="2318"/>
        <v>0.4104636049543251</v>
      </c>
      <c r="CF266" s="88">
        <f t="shared" si="2318"/>
        <v>0.30305344816776014</v>
      </c>
      <c r="CG266" s="88">
        <f t="shared" si="2318"/>
        <v>0.33224103226529761</v>
      </c>
      <c r="CH266" s="88">
        <f t="shared" si="2318"/>
        <v>0.38674832014969807</v>
      </c>
      <c r="CI266" s="88">
        <f t="shared" si="2318"/>
        <v>0.49179699077185984</v>
      </c>
      <c r="CJ266" s="88">
        <f t="shared" si="2318"/>
        <v>0.36498536154967043</v>
      </c>
      <c r="CK266" s="88">
        <f t="shared" si="2318"/>
        <v>0.40731220155717418</v>
      </c>
      <c r="CL266" s="88">
        <f t="shared" ref="CL266" si="2319">CL179/CL138</f>
        <v>0.34997940022117657</v>
      </c>
      <c r="CM266" s="42">
        <f t="shared" si="2318"/>
        <v>0.40804959006163799</v>
      </c>
      <c r="CN266" s="42">
        <f t="shared" si="2318"/>
        <v>0.44340138281858676</v>
      </c>
      <c r="CO266" s="42">
        <f t="shared" si="2318"/>
        <v>0.4692269397558167</v>
      </c>
      <c r="CP266" s="42">
        <f t="shared" si="2318"/>
        <v>0.48809213547030528</v>
      </c>
      <c r="CQ266" s="42">
        <f t="shared" si="2318"/>
        <v>0.511826567986855</v>
      </c>
      <c r="CR266" s="42">
        <f t="shared" si="2318"/>
        <v>0.53613508515314756</v>
      </c>
      <c r="CS266" s="42">
        <f t="shared" si="2318"/>
        <v>0.55208821732974467</v>
      </c>
      <c r="CT266" s="42">
        <f t="shared" si="2318"/>
        <v>0.5698215733319314</v>
      </c>
      <c r="CU266" s="42">
        <f t="shared" si="2318"/>
        <v>0.5889475301970245</v>
      </c>
      <c r="CV266" s="42">
        <f t="shared" si="2318"/>
        <v>0.6066583682410378</v>
      </c>
      <c r="CW266" s="42">
        <f t="shared" si="2318"/>
        <v>0.61789959561984475</v>
      </c>
      <c r="CX266" s="42">
        <f t="shared" ref="CX266:DB266" si="2320">CX179/CX138</f>
        <v>0.63213483482760213</v>
      </c>
      <c r="CY266" s="42">
        <f t="shared" si="2320"/>
        <v>0.64697438304322996</v>
      </c>
      <c r="CZ266" s="42">
        <f t="shared" si="2320"/>
        <v>0.66055366085440159</v>
      </c>
      <c r="DA266" s="42">
        <f t="shared" si="2320"/>
        <v>0.6685285902325282</v>
      </c>
      <c r="DB266" s="42">
        <f t="shared" si="2320"/>
        <v>0.67958705476217385</v>
      </c>
      <c r="DE266" s="125"/>
      <c r="DF266" s="88">
        <v>0.34997940022117657</v>
      </c>
    </row>
    <row r="267" spans="1:110" s="89" customFormat="1" x14ac:dyDescent="0.2">
      <c r="A267" s="89" t="s">
        <v>103</v>
      </c>
      <c r="C267" s="89">
        <f t="shared" ref="C267:AE267" si="2321">C146/B146-1</f>
        <v>-2.5079629372948387E-2</v>
      </c>
      <c r="D267" s="89">
        <f t="shared" si="2321"/>
        <v>1.6255484936658737E-2</v>
      </c>
      <c r="F267" s="89">
        <f t="shared" si="2321"/>
        <v>0.39632405127968195</v>
      </c>
      <c r="G267" s="89">
        <f t="shared" si="2321"/>
        <v>1.1398612744899204</v>
      </c>
      <c r="H267" s="89">
        <f t="shared" si="2321"/>
        <v>0.3787239854457507</v>
      </c>
      <c r="I267" s="89">
        <f t="shared" si="2321"/>
        <v>0.44278933016521549</v>
      </c>
      <c r="J267" s="89">
        <f t="shared" si="2321"/>
        <v>0.44671039916102417</v>
      </c>
      <c r="K267" s="89">
        <f>K146/J146-1</f>
        <v>-0.11908164747450511</v>
      </c>
      <c r="L267" s="89">
        <f t="shared" si="2321"/>
        <v>0.24326967561192903</v>
      </c>
      <c r="M267" s="89">
        <f t="shared" si="2321"/>
        <v>2.5095013643874342E-2</v>
      </c>
      <c r="N267" s="89">
        <f t="shared" si="2321"/>
        <v>4.8507475035826531E-2</v>
      </c>
      <c r="O267" s="89">
        <f t="shared" si="2321"/>
        <v>-9.1249769899183208E-2</v>
      </c>
      <c r="P267" s="89">
        <f t="shared" si="2321"/>
        <v>-0.12896546312542245</v>
      </c>
      <c r="Q267" s="89">
        <f t="shared" si="2321"/>
        <v>0.13964076475699794</v>
      </c>
      <c r="R267" s="89">
        <f t="shared" si="2321"/>
        <v>-7.2041527312379894E-2</v>
      </c>
      <c r="S267" s="89">
        <f t="shared" si="2321"/>
        <v>1.2074798654801988E-2</v>
      </c>
      <c r="T267" s="89">
        <f t="shared" si="2321"/>
        <v>-7.1676044297280694E-2</v>
      </c>
      <c r="U267" s="89">
        <f t="shared" si="2321"/>
        <v>-0.23372148663975101</v>
      </c>
      <c r="V267" s="89">
        <f t="shared" si="2321"/>
        <v>-0.31866546996378942</v>
      </c>
      <c r="W267" s="89">
        <f t="shared" si="2321"/>
        <v>-0.65052038891672581</v>
      </c>
      <c r="X267" s="89">
        <f t="shared" si="2321"/>
        <v>-1</v>
      </c>
      <c r="Y267" s="89" t="e">
        <f t="shared" si="2321"/>
        <v>#DIV/0!</v>
      </c>
      <c r="Z267" s="89" t="e">
        <f t="shared" si="2321"/>
        <v>#DIV/0!</v>
      </c>
      <c r="AA267" s="89">
        <f t="shared" si="2321"/>
        <v>-1</v>
      </c>
      <c r="AB267" s="47" t="e">
        <f t="shared" si="2321"/>
        <v>#DIV/0!</v>
      </c>
      <c r="AC267" s="47" t="e">
        <f t="shared" si="2321"/>
        <v>#DIV/0!</v>
      </c>
      <c r="AD267" s="47" t="e">
        <f t="shared" si="2321"/>
        <v>#DIV/0!</v>
      </c>
      <c r="AE267" s="47" t="e">
        <f t="shared" si="2321"/>
        <v>#DIV/0!</v>
      </c>
      <c r="AL267" s="89">
        <f t="shared" ref="AL267:CW267" si="2322">AL146/AK146-1</f>
        <v>0.32564652147841944</v>
      </c>
      <c r="AM267" s="89">
        <f t="shared" si="2322"/>
        <v>0</v>
      </c>
      <c r="AN267" s="89">
        <f t="shared" si="2322"/>
        <v>-0.59356017406842432</v>
      </c>
      <c r="AO267" s="89">
        <f t="shared" si="2322"/>
        <v>0</v>
      </c>
      <c r="AP267" s="89">
        <f t="shared" si="2322"/>
        <v>1.2787701075031177</v>
      </c>
      <c r="AQ267" s="89">
        <f t="shared" si="2322"/>
        <v>0</v>
      </c>
      <c r="AR267" s="89">
        <f t="shared" si="2322"/>
        <v>-0.63832300277271203</v>
      </c>
      <c r="AS267" s="89">
        <f t="shared" si="2322"/>
        <v>0</v>
      </c>
      <c r="AT267" s="89">
        <f t="shared" si="2322"/>
        <v>1.4076480700259051</v>
      </c>
      <c r="AU267" s="89">
        <f t="shared" si="2322"/>
        <v>0</v>
      </c>
      <c r="AV267" s="89">
        <f t="shared" si="2322"/>
        <v>0.18038567558859686</v>
      </c>
      <c r="AW267" s="89">
        <f t="shared" si="2322"/>
        <v>0</v>
      </c>
      <c r="AX267" s="89">
        <f t="shared" si="2322"/>
        <v>-3.223730212887832E-2</v>
      </c>
      <c r="AY267" s="89">
        <f t="shared" si="2322"/>
        <v>0</v>
      </c>
      <c r="AZ267" s="89">
        <f t="shared" si="2322"/>
        <v>-8.6154965771311987E-2</v>
      </c>
      <c r="BA267" s="89">
        <f t="shared" si="2322"/>
        <v>0</v>
      </c>
      <c r="BB267" s="89">
        <f t="shared" si="2322"/>
        <v>-4.1437490355066942E-2</v>
      </c>
      <c r="BC267" s="89">
        <f t="shared" si="2322"/>
        <v>0</v>
      </c>
      <c r="BD267" s="89">
        <f t="shared" si="2322"/>
        <v>-1.2807644836297261E-2</v>
      </c>
      <c r="BE267" s="89">
        <f t="shared" si="2322"/>
        <v>0</v>
      </c>
      <c r="BF267" s="89">
        <f t="shared" si="2322"/>
        <v>9.5996923653041355E-2</v>
      </c>
      <c r="BG267" s="89">
        <f t="shared" si="2322"/>
        <v>0</v>
      </c>
      <c r="BH267" s="89">
        <f t="shared" si="2322"/>
        <v>-8.3295675399633451E-2</v>
      </c>
      <c r="BI267" s="89">
        <f t="shared" si="2322"/>
        <v>0</v>
      </c>
      <c r="BJ267" s="89">
        <f t="shared" si="2322"/>
        <v>5.2618079073402546E-2</v>
      </c>
      <c r="BK267" s="89">
        <f t="shared" si="2322"/>
        <v>0</v>
      </c>
      <c r="BL267" s="89">
        <f t="shared" si="2322"/>
        <v>-0.12460402674342452</v>
      </c>
      <c r="BM267" s="89">
        <f t="shared" si="2322"/>
        <v>0</v>
      </c>
      <c r="BN267" s="89">
        <f t="shared" si="2322"/>
        <v>-0.12670196918459897</v>
      </c>
      <c r="BO267" s="89">
        <f t="shared" si="2322"/>
        <v>0</v>
      </c>
      <c r="BP267" s="89">
        <f t="shared" si="2322"/>
        <v>-0.13251886954551229</v>
      </c>
      <c r="BQ267" s="89">
        <f t="shared" si="2322"/>
        <v>0</v>
      </c>
      <c r="BR267" s="89">
        <f t="shared" si="2322"/>
        <v>-0.17845773157995959</v>
      </c>
      <c r="BS267" s="89">
        <f t="shared" si="2322"/>
        <v>0</v>
      </c>
      <c r="BT267" s="89">
        <f t="shared" si="2322"/>
        <v>-0.29208218316503021</v>
      </c>
      <c r="BU267" s="89">
        <f t="shared" si="2322"/>
        <v>0</v>
      </c>
      <c r="BV267" s="89">
        <f t="shared" si="2322"/>
        <v>-0.50632530269152376</v>
      </c>
      <c r="BW267" s="89">
        <f t="shared" si="2322"/>
        <v>0</v>
      </c>
      <c r="BX267" s="89">
        <f t="shared" si="2322"/>
        <v>-1</v>
      </c>
      <c r="BY267" s="89" t="e">
        <f t="shared" si="2322"/>
        <v>#DIV/0!</v>
      </c>
      <c r="BZ267" s="89" t="e">
        <f t="shared" si="2322"/>
        <v>#DIV/0!</v>
      </c>
      <c r="CA267" s="89" t="e">
        <f t="shared" si="2322"/>
        <v>#DIV/0!</v>
      </c>
      <c r="CB267" s="89" t="e">
        <f t="shared" si="2322"/>
        <v>#DIV/0!</v>
      </c>
      <c r="CC267" s="89" t="e">
        <f t="shared" si="2322"/>
        <v>#DIV/0!</v>
      </c>
      <c r="CD267" s="89" t="e">
        <f t="shared" si="2322"/>
        <v>#DIV/0!</v>
      </c>
      <c r="CE267" s="89" t="e">
        <f t="shared" si="2322"/>
        <v>#DIV/0!</v>
      </c>
      <c r="CF267" s="89" t="e">
        <f t="shared" si="2322"/>
        <v>#DIV/0!</v>
      </c>
      <c r="CG267" s="89" t="e">
        <f t="shared" si="2322"/>
        <v>#DIV/0!</v>
      </c>
      <c r="CH267" s="89" t="e">
        <f t="shared" si="2322"/>
        <v>#DIV/0!</v>
      </c>
      <c r="CI267" s="89">
        <f t="shared" si="2322"/>
        <v>0</v>
      </c>
      <c r="CJ267" s="89">
        <f t="shared" si="2322"/>
        <v>-1</v>
      </c>
      <c r="CK267" s="89" t="e">
        <f t="shared" si="2322"/>
        <v>#DIV/0!</v>
      </c>
      <c r="CL267" s="89" t="e">
        <f t="shared" si="2322"/>
        <v>#DIV/0!</v>
      </c>
      <c r="CM267" s="47" t="e">
        <f t="shared" si="2322"/>
        <v>#DIV/0!</v>
      </c>
      <c r="CN267" s="47" t="e">
        <f t="shared" si="2322"/>
        <v>#DIV/0!</v>
      </c>
      <c r="CO267" s="47" t="e">
        <f t="shared" si="2322"/>
        <v>#DIV/0!</v>
      </c>
      <c r="CP267" s="47" t="e">
        <f t="shared" si="2322"/>
        <v>#DIV/0!</v>
      </c>
      <c r="CQ267" s="47" t="e">
        <f t="shared" si="2322"/>
        <v>#DIV/0!</v>
      </c>
      <c r="CR267" s="47" t="e">
        <f t="shared" si="2322"/>
        <v>#DIV/0!</v>
      </c>
      <c r="CS267" s="47" t="e">
        <f t="shared" si="2322"/>
        <v>#DIV/0!</v>
      </c>
      <c r="CT267" s="47" t="e">
        <f t="shared" si="2322"/>
        <v>#DIV/0!</v>
      </c>
      <c r="CU267" s="47" t="e">
        <f t="shared" si="2322"/>
        <v>#DIV/0!</v>
      </c>
      <c r="CV267" s="47" t="e">
        <f t="shared" si="2322"/>
        <v>#DIV/0!</v>
      </c>
      <c r="CW267" s="47" t="e">
        <f t="shared" si="2322"/>
        <v>#DIV/0!</v>
      </c>
      <c r="CX267" s="47" t="e">
        <f t="shared" ref="CX267:DB267" si="2323">CX146/CW146-1</f>
        <v>#DIV/0!</v>
      </c>
      <c r="CY267" s="47" t="e">
        <f t="shared" si="2323"/>
        <v>#DIV/0!</v>
      </c>
      <c r="CZ267" s="47" t="e">
        <f t="shared" si="2323"/>
        <v>#DIV/0!</v>
      </c>
      <c r="DA267" s="47" t="e">
        <f t="shared" si="2323"/>
        <v>#DIV/0!</v>
      </c>
      <c r="DB267" s="47" t="e">
        <f t="shared" si="2323"/>
        <v>#DIV/0!</v>
      </c>
      <c r="DE267" s="130"/>
      <c r="DF267" s="89">
        <v>-1</v>
      </c>
    </row>
    <row r="268" spans="1:110" s="89" customFormat="1" x14ac:dyDescent="0.2">
      <c r="A268" s="89" t="s">
        <v>104</v>
      </c>
      <c r="C268" s="89">
        <f>C46/B46-1</f>
        <v>-6.0663887642087966E-2</v>
      </c>
      <c r="D268" s="89">
        <f>D46/C46-1</f>
        <v>3.0374491809158854E-2</v>
      </c>
      <c r="F268" s="89">
        <f t="shared" ref="F268:AE268" si="2324">F46/E46-1</f>
        <v>1.6104855763447015</v>
      </c>
      <c r="G268" s="89">
        <f t="shared" si="2324"/>
        <v>0.56166567240080822</v>
      </c>
      <c r="H268" s="89">
        <f t="shared" si="2324"/>
        <v>0.80450574568682143</v>
      </c>
      <c r="I268" s="89">
        <f t="shared" si="2324"/>
        <v>0.1848986213897168</v>
      </c>
      <c r="J268" s="89">
        <f t="shared" si="2324"/>
        <v>0.15809540127375366</v>
      </c>
      <c r="K268" s="89">
        <f t="shared" si="2324"/>
        <v>-7.8759971447373012E-3</v>
      </c>
      <c r="L268" s="89">
        <f t="shared" si="2324"/>
        <v>0.24846544446030672</v>
      </c>
      <c r="M268" s="89">
        <f t="shared" si="2324"/>
        <v>9.4977111612027265E-2</v>
      </c>
      <c r="N268" s="89">
        <f t="shared" si="2324"/>
        <v>8.4880280485317705E-3</v>
      </c>
      <c r="O268" s="89">
        <f t="shared" si="2324"/>
        <v>-0.27587344979792883</v>
      </c>
      <c r="P268" s="89">
        <f t="shared" si="2324"/>
        <v>0.12319657946157636</v>
      </c>
      <c r="Q268" s="89">
        <f t="shared" si="2324"/>
        <v>-2.2706644789599828E-2</v>
      </c>
      <c r="R268" s="89">
        <f t="shared" si="2324"/>
        <v>1.3316654803278372E-2</v>
      </c>
      <c r="S268" s="89">
        <f t="shared" si="2324"/>
        <v>-0.2790743052267608</v>
      </c>
      <c r="T268" s="89">
        <f t="shared" si="2324"/>
        <v>-0.1518434637934396</v>
      </c>
      <c r="U268" s="89">
        <f t="shared" si="2324"/>
        <v>5.4735557745552388E-2</v>
      </c>
      <c r="V268" s="89">
        <f t="shared" si="2324"/>
        <v>-1.2119939346914022E-3</v>
      </c>
      <c r="W268" s="89">
        <f t="shared" si="2324"/>
        <v>1.1363499482362012</v>
      </c>
      <c r="X268" s="89">
        <f t="shared" si="2324"/>
        <v>0.38991063668650128</v>
      </c>
      <c r="Y268" s="89">
        <f t="shared" si="2324"/>
        <v>0.42438790206433064</v>
      </c>
      <c r="Z268" s="89">
        <f t="shared" si="2324"/>
        <v>0.15162622177283458</v>
      </c>
      <c r="AA268" s="89">
        <f t="shared" si="2324"/>
        <v>-4.8161697457472008E-2</v>
      </c>
      <c r="AB268" s="47">
        <f t="shared" si="2324"/>
        <v>0.16217382984534545</v>
      </c>
      <c r="AC268" s="47">
        <f t="shared" si="2324"/>
        <v>7.4557415643066616E-2</v>
      </c>
      <c r="AD268" s="47">
        <f t="shared" si="2324"/>
        <v>9.6924542198154606E-2</v>
      </c>
      <c r="AE268" s="47">
        <f t="shared" si="2324"/>
        <v>9.9417915049137884E-2</v>
      </c>
      <c r="AL268" s="89">
        <f t="shared" ref="AL268:CW268" si="2325">AL46/AK46-1</f>
        <v>-0.22405868278554375</v>
      </c>
      <c r="AM268" s="89">
        <f t="shared" si="2325"/>
        <v>-0.2868503266117578</v>
      </c>
      <c r="AN268" s="89">
        <f t="shared" si="2325"/>
        <v>0.39443591056494309</v>
      </c>
      <c r="AO268" s="89">
        <f t="shared" si="2325"/>
        <v>4.4879640962871559E-3</v>
      </c>
      <c r="AP268" s="89">
        <f t="shared" si="2325"/>
        <v>0.35507717303005615</v>
      </c>
      <c r="AQ268" s="89">
        <f t="shared" si="2325"/>
        <v>-0.21878184761105479</v>
      </c>
      <c r="AR268" s="89">
        <f t="shared" si="2325"/>
        <v>-4.1706633925487901E-2</v>
      </c>
      <c r="AS268" s="89">
        <f t="shared" si="2325"/>
        <v>0.52862748238309099</v>
      </c>
      <c r="AT268" s="89">
        <f t="shared" si="2325"/>
        <v>1.2050865659131955</v>
      </c>
      <c r="AU268" s="89">
        <f t="shared" si="2325"/>
        <v>-0.69835368461063307</v>
      </c>
      <c r="AV268" s="89">
        <f t="shared" si="2325"/>
        <v>0.68588304784406162</v>
      </c>
      <c r="AW268" s="89">
        <f t="shared" si="2325"/>
        <v>-0.54191483895078663</v>
      </c>
      <c r="AX268" s="89">
        <f t="shared" si="2325"/>
        <v>2.8743116459310709</v>
      </c>
      <c r="AY268" s="89">
        <f t="shared" si="2325"/>
        <v>-0.54833317979021656</v>
      </c>
      <c r="AZ268" s="89">
        <f t="shared" si="2325"/>
        <v>-0.57017978379323297</v>
      </c>
      <c r="BA268" s="89">
        <f t="shared" si="2325"/>
        <v>0.79513253338756029</v>
      </c>
      <c r="BB268" s="89">
        <f t="shared" si="2325"/>
        <v>2.3073640483383726</v>
      </c>
      <c r="BC268" s="89">
        <f t="shared" si="2325"/>
        <v>-1.1071832288562324</v>
      </c>
      <c r="BD268" s="89">
        <f t="shared" si="2325"/>
        <v>-3.3486736976669929</v>
      </c>
      <c r="BE268" s="89">
        <f t="shared" si="2325"/>
        <v>0.20755658366217866</v>
      </c>
      <c r="BF268" s="89">
        <f t="shared" si="2325"/>
        <v>1.9550764376666727</v>
      </c>
      <c r="BG268" s="89">
        <f t="shared" si="2325"/>
        <v>-0.54871429842512631</v>
      </c>
      <c r="BH268" s="89">
        <f t="shared" si="2325"/>
        <v>-6.6302388463273743E-2</v>
      </c>
      <c r="BI268" s="89">
        <f t="shared" si="2325"/>
        <v>-0.25185520361990787</v>
      </c>
      <c r="BJ268" s="89">
        <f t="shared" si="2325"/>
        <v>0.93847022297487959</v>
      </c>
      <c r="BK268" s="89">
        <f t="shared" si="2325"/>
        <v>-0.34029453365504603</v>
      </c>
      <c r="BL268" s="89">
        <f t="shared" si="2325"/>
        <v>0.26229663261445224</v>
      </c>
      <c r="BM268" s="89">
        <f t="shared" si="2325"/>
        <v>-6.5068065442737688E-2</v>
      </c>
      <c r="BN268" s="89">
        <f t="shared" si="2325"/>
        <v>-0.24485706652417827</v>
      </c>
      <c r="BO268" s="89">
        <f t="shared" si="2325"/>
        <v>-1.093932425260923</v>
      </c>
      <c r="BP268" s="89">
        <f t="shared" si="2325"/>
        <v>-23.145009416195961</v>
      </c>
      <c r="BQ268" s="89">
        <f t="shared" si="2325"/>
        <v>-4.8286418913172424E-2</v>
      </c>
      <c r="BR268" s="89">
        <f t="shared" si="2325"/>
        <v>0.31372864393451949</v>
      </c>
      <c r="BS268" s="89">
        <f t="shared" si="2325"/>
        <v>-0.19919467834745863</v>
      </c>
      <c r="BT268" s="89">
        <f t="shared" si="2325"/>
        <v>0.13260175307467681</v>
      </c>
      <c r="BU268" s="89">
        <f t="shared" si="2325"/>
        <v>-0.21488136305006478</v>
      </c>
      <c r="BV268" s="89">
        <f t="shared" si="2325"/>
        <v>0.30951152883641786</v>
      </c>
      <c r="BW268" s="89">
        <f t="shared" si="2325"/>
        <v>-5.3377875680169717E-2</v>
      </c>
      <c r="BX268" s="89">
        <f t="shared" si="2325"/>
        <v>0.42687625211896907</v>
      </c>
      <c r="BY268" s="89">
        <f t="shared" si="2325"/>
        <v>-4.374122475429254E-2</v>
      </c>
      <c r="BZ268" s="89">
        <f t="shared" si="2325"/>
        <v>4.8678563361192806E-2</v>
      </c>
      <c r="CA268" s="89">
        <f t="shared" si="2325"/>
        <v>7.6682821755519104E-2</v>
      </c>
      <c r="CB268" s="89">
        <f t="shared" si="2325"/>
        <v>0.18775632689806976</v>
      </c>
      <c r="CC268" s="89">
        <f t="shared" si="2325"/>
        <v>1.3895907023749654E-2</v>
      </c>
      <c r="CD268" s="89">
        <f t="shared" si="2325"/>
        <v>0.12434587590331336</v>
      </c>
      <c r="CE268" s="89">
        <f t="shared" si="2325"/>
        <v>-0.31752364066193817</v>
      </c>
      <c r="CF268" s="89">
        <f t="shared" si="2325"/>
        <v>0.21563108898029792</v>
      </c>
      <c r="CG268" s="89">
        <f t="shared" si="2325"/>
        <v>0.26963490650044508</v>
      </c>
      <c r="CH268" s="89">
        <f t="shared" si="2325"/>
        <v>0.36996773741057742</v>
      </c>
      <c r="CI268" s="89">
        <f t="shared" si="2325"/>
        <v>-0.33292377003020568</v>
      </c>
      <c r="CJ268" s="89">
        <f t="shared" si="2325"/>
        <v>-3.5763622409823226E-2</v>
      </c>
      <c r="CK268" s="89">
        <f t="shared" si="2325"/>
        <v>-0.13100923272843024</v>
      </c>
      <c r="CL268" s="89">
        <f t="shared" si="2325"/>
        <v>0.44733467668071136</v>
      </c>
      <c r="CM268" s="47">
        <f t="shared" si="2325"/>
        <v>-2.3408633649284361E-2</v>
      </c>
      <c r="CN268" s="47">
        <f t="shared" si="2325"/>
        <v>-5.3882364909824565E-2</v>
      </c>
      <c r="CO268" s="47">
        <f t="shared" si="2325"/>
        <v>1.3130183354827185E-2</v>
      </c>
      <c r="CP268" s="47">
        <f t="shared" si="2325"/>
        <v>5.8056576473963339E-2</v>
      </c>
      <c r="CQ268" s="47">
        <f t="shared" si="2325"/>
        <v>1.7332933095996816E-2</v>
      </c>
      <c r="CR268" s="47">
        <f t="shared" si="2325"/>
        <v>-3.7321958620676332E-3</v>
      </c>
      <c r="CS268" s="47">
        <f t="shared" si="2325"/>
        <v>3.4289106834787919E-2</v>
      </c>
      <c r="CT268" s="47">
        <f t="shared" si="2325"/>
        <v>2.3525423020191338E-2</v>
      </c>
      <c r="CU268" s="47">
        <f t="shared" si="2325"/>
        <v>2.4628955178011669E-2</v>
      </c>
      <c r="CV268" s="47">
        <f t="shared" si="2325"/>
        <v>1.268616166110248E-2</v>
      </c>
      <c r="CW268" s="47">
        <f t="shared" si="2325"/>
        <v>3.9516930771382741E-2</v>
      </c>
      <c r="CX268" s="47">
        <f t="shared" ref="CX268:DB268" si="2326">CX46/CW46-1</f>
        <v>2.3514577332906406E-2</v>
      </c>
      <c r="CY268" s="47">
        <f t="shared" si="2326"/>
        <v>1.7269233875706114E-2</v>
      </c>
      <c r="CZ268" s="47">
        <f t="shared" si="2326"/>
        <v>1.6598896431526677E-2</v>
      </c>
      <c r="DA268" s="47">
        <f t="shared" si="2326"/>
        <v>4.010468304469561E-2</v>
      </c>
      <c r="DB268" s="47">
        <f t="shared" si="2326"/>
        <v>2.2871757624488565E-2</v>
      </c>
      <c r="DE268" s="130"/>
      <c r="DF268" s="89">
        <v>-3.6361626878868236E-2</v>
      </c>
    </row>
    <row r="269" spans="1:110" s="103" customFormat="1" x14ac:dyDescent="0.2">
      <c r="A269" s="147" t="s">
        <v>105</v>
      </c>
      <c r="C269" s="103" t="str">
        <f>IF(C267&gt;C268,"RF",0)</f>
        <v>RF</v>
      </c>
      <c r="D269" s="103">
        <f t="shared" ref="D269:U269" si="2327">IF(D267&gt;D268,"RF",0)</f>
        <v>0</v>
      </c>
      <c r="F269" s="103">
        <f t="shared" si="2327"/>
        <v>0</v>
      </c>
      <c r="G269" s="103" t="str">
        <f t="shared" si="2327"/>
        <v>RF</v>
      </c>
      <c r="H269" s="103">
        <f t="shared" si="2327"/>
        <v>0</v>
      </c>
      <c r="I269" s="103" t="str">
        <f t="shared" si="2327"/>
        <v>RF</v>
      </c>
      <c r="J269" s="103" t="str">
        <f t="shared" si="2327"/>
        <v>RF</v>
      </c>
      <c r="K269" s="103">
        <f t="shared" si="2327"/>
        <v>0</v>
      </c>
      <c r="L269" s="103">
        <f t="shared" si="2327"/>
        <v>0</v>
      </c>
      <c r="M269" s="103">
        <f t="shared" si="2327"/>
        <v>0</v>
      </c>
      <c r="N269" s="103" t="str">
        <f t="shared" si="2327"/>
        <v>RF</v>
      </c>
      <c r="O269" s="103" t="str">
        <f t="shared" si="2327"/>
        <v>RF</v>
      </c>
      <c r="P269" s="103">
        <f t="shared" si="2327"/>
        <v>0</v>
      </c>
      <c r="Q269" s="103" t="str">
        <f t="shared" si="2327"/>
        <v>RF</v>
      </c>
      <c r="R269" s="103">
        <f t="shared" si="2327"/>
        <v>0</v>
      </c>
      <c r="S269" s="103" t="str">
        <f t="shared" si="2327"/>
        <v>RF</v>
      </c>
      <c r="T269" s="103" t="str">
        <f t="shared" si="2327"/>
        <v>RF</v>
      </c>
      <c r="U269" s="103">
        <f t="shared" si="2327"/>
        <v>0</v>
      </c>
      <c r="V269" s="103">
        <f>IF(V267&gt;V268,"RF",0)</f>
        <v>0</v>
      </c>
      <c r="W269" s="103">
        <f t="shared" ref="W269:AE269" si="2328">IF(W267&gt;W268,"RF",0)</f>
        <v>0</v>
      </c>
      <c r="X269" s="103">
        <f t="shared" si="2328"/>
        <v>0</v>
      </c>
      <c r="Y269" s="103" t="e">
        <f t="shared" si="2328"/>
        <v>#DIV/0!</v>
      </c>
      <c r="Z269" s="103" t="e">
        <f t="shared" si="2328"/>
        <v>#DIV/0!</v>
      </c>
      <c r="AA269" s="103">
        <f t="shared" ref="AA269" si="2329">IF(AA267&gt;AA268,"RF",0)</f>
        <v>0</v>
      </c>
      <c r="AB269" s="73" t="e">
        <f t="shared" si="2328"/>
        <v>#DIV/0!</v>
      </c>
      <c r="AC269" s="73" t="e">
        <f t="shared" si="2328"/>
        <v>#DIV/0!</v>
      </c>
      <c r="AD269" s="73" t="e">
        <f t="shared" si="2328"/>
        <v>#DIV/0!</v>
      </c>
      <c r="AE269" s="73" t="e">
        <f t="shared" si="2328"/>
        <v>#DIV/0!</v>
      </c>
      <c r="AL269" s="103" t="str">
        <f t="shared" ref="AL269:CW269" si="2330">IF(AL267&gt;AL268,"RF",0)</f>
        <v>RF</v>
      </c>
      <c r="AM269" s="103" t="str">
        <f t="shared" si="2330"/>
        <v>RF</v>
      </c>
      <c r="AN269" s="103">
        <f t="shared" si="2330"/>
        <v>0</v>
      </c>
      <c r="AO269" s="103">
        <f t="shared" si="2330"/>
        <v>0</v>
      </c>
      <c r="AP269" s="103" t="str">
        <f t="shared" si="2330"/>
        <v>RF</v>
      </c>
      <c r="AQ269" s="103" t="str">
        <f t="shared" si="2330"/>
        <v>RF</v>
      </c>
      <c r="AR269" s="103">
        <f t="shared" si="2330"/>
        <v>0</v>
      </c>
      <c r="AS269" s="103">
        <f t="shared" si="2330"/>
        <v>0</v>
      </c>
      <c r="AT269" s="103" t="str">
        <f t="shared" si="2330"/>
        <v>RF</v>
      </c>
      <c r="AU269" s="103" t="str">
        <f t="shared" si="2330"/>
        <v>RF</v>
      </c>
      <c r="AV269" s="103">
        <f t="shared" si="2330"/>
        <v>0</v>
      </c>
      <c r="AW269" s="103" t="str">
        <f t="shared" si="2330"/>
        <v>RF</v>
      </c>
      <c r="AX269" s="103">
        <f t="shared" si="2330"/>
        <v>0</v>
      </c>
      <c r="AY269" s="103" t="str">
        <f t="shared" si="2330"/>
        <v>RF</v>
      </c>
      <c r="AZ269" s="103" t="str">
        <f t="shared" si="2330"/>
        <v>RF</v>
      </c>
      <c r="BA269" s="103">
        <f t="shared" si="2330"/>
        <v>0</v>
      </c>
      <c r="BB269" s="103">
        <f t="shared" si="2330"/>
        <v>0</v>
      </c>
      <c r="BC269" s="103" t="str">
        <f t="shared" si="2330"/>
        <v>RF</v>
      </c>
      <c r="BD269" s="103" t="str">
        <f t="shared" si="2330"/>
        <v>RF</v>
      </c>
      <c r="BE269" s="103">
        <f t="shared" si="2330"/>
        <v>0</v>
      </c>
      <c r="BF269" s="103">
        <f t="shared" si="2330"/>
        <v>0</v>
      </c>
      <c r="BG269" s="103" t="str">
        <f t="shared" si="2330"/>
        <v>RF</v>
      </c>
      <c r="BH269" s="103">
        <f t="shared" si="2330"/>
        <v>0</v>
      </c>
      <c r="BI269" s="103" t="str">
        <f t="shared" si="2330"/>
        <v>RF</v>
      </c>
      <c r="BJ269" s="103">
        <f t="shared" si="2330"/>
        <v>0</v>
      </c>
      <c r="BK269" s="103" t="str">
        <f t="shared" si="2330"/>
        <v>RF</v>
      </c>
      <c r="BL269" s="103">
        <f t="shared" si="2330"/>
        <v>0</v>
      </c>
      <c r="BM269" s="103" t="str">
        <f t="shared" si="2330"/>
        <v>RF</v>
      </c>
      <c r="BN269" s="103" t="str">
        <f t="shared" si="2330"/>
        <v>RF</v>
      </c>
      <c r="BO269" s="103" t="str">
        <f t="shared" si="2330"/>
        <v>RF</v>
      </c>
      <c r="BP269" s="103" t="str">
        <f t="shared" si="2330"/>
        <v>RF</v>
      </c>
      <c r="BQ269" s="103" t="str">
        <f t="shared" si="2330"/>
        <v>RF</v>
      </c>
      <c r="BR269" s="103">
        <f t="shared" si="2330"/>
        <v>0</v>
      </c>
      <c r="BS269" s="103" t="str">
        <f t="shared" si="2330"/>
        <v>RF</v>
      </c>
      <c r="BT269" s="103">
        <f t="shared" si="2330"/>
        <v>0</v>
      </c>
      <c r="BU269" s="103" t="str">
        <f t="shared" si="2330"/>
        <v>RF</v>
      </c>
      <c r="BV269" s="103">
        <f t="shared" si="2330"/>
        <v>0</v>
      </c>
      <c r="BW269" s="103" t="str">
        <f t="shared" si="2330"/>
        <v>RF</v>
      </c>
      <c r="BX269" s="103">
        <f t="shared" si="2330"/>
        <v>0</v>
      </c>
      <c r="BY269" s="103" t="e">
        <f t="shared" si="2330"/>
        <v>#DIV/0!</v>
      </c>
      <c r="BZ269" s="103" t="e">
        <f t="shared" si="2330"/>
        <v>#DIV/0!</v>
      </c>
      <c r="CA269" s="103" t="e">
        <f t="shared" si="2330"/>
        <v>#DIV/0!</v>
      </c>
      <c r="CB269" s="103" t="e">
        <f t="shared" si="2330"/>
        <v>#DIV/0!</v>
      </c>
      <c r="CC269" s="103" t="e">
        <f t="shared" si="2330"/>
        <v>#DIV/0!</v>
      </c>
      <c r="CD269" s="103" t="e">
        <f t="shared" si="2330"/>
        <v>#DIV/0!</v>
      </c>
      <c r="CE269" s="103" t="e">
        <f t="shared" si="2330"/>
        <v>#DIV/0!</v>
      </c>
      <c r="CF269" s="103" t="e">
        <f t="shared" si="2330"/>
        <v>#DIV/0!</v>
      </c>
      <c r="CG269" s="103" t="e">
        <f t="shared" si="2330"/>
        <v>#DIV/0!</v>
      </c>
      <c r="CH269" s="103" t="e">
        <f t="shared" si="2330"/>
        <v>#DIV/0!</v>
      </c>
      <c r="CI269" s="103" t="str">
        <f t="shared" si="2330"/>
        <v>RF</v>
      </c>
      <c r="CJ269" s="103">
        <f t="shared" si="2330"/>
        <v>0</v>
      </c>
      <c r="CK269" s="103" t="e">
        <f t="shared" si="2330"/>
        <v>#DIV/0!</v>
      </c>
      <c r="CL269" s="103" t="e">
        <f t="shared" ref="CL269" si="2331">IF(CL267&gt;CL268,"RF",0)</f>
        <v>#DIV/0!</v>
      </c>
      <c r="CM269" s="73" t="e">
        <f t="shared" si="2330"/>
        <v>#DIV/0!</v>
      </c>
      <c r="CN269" s="73" t="e">
        <f t="shared" si="2330"/>
        <v>#DIV/0!</v>
      </c>
      <c r="CO269" s="73" t="e">
        <f t="shared" si="2330"/>
        <v>#DIV/0!</v>
      </c>
      <c r="CP269" s="73" t="e">
        <f t="shared" si="2330"/>
        <v>#DIV/0!</v>
      </c>
      <c r="CQ269" s="73" t="e">
        <f t="shared" si="2330"/>
        <v>#DIV/0!</v>
      </c>
      <c r="CR269" s="73" t="e">
        <f t="shared" si="2330"/>
        <v>#DIV/0!</v>
      </c>
      <c r="CS269" s="73" t="e">
        <f t="shared" si="2330"/>
        <v>#DIV/0!</v>
      </c>
      <c r="CT269" s="73" t="e">
        <f t="shared" si="2330"/>
        <v>#DIV/0!</v>
      </c>
      <c r="CU269" s="73" t="e">
        <f t="shared" si="2330"/>
        <v>#DIV/0!</v>
      </c>
      <c r="CV269" s="73" t="e">
        <f t="shared" si="2330"/>
        <v>#DIV/0!</v>
      </c>
      <c r="CW269" s="73" t="e">
        <f t="shared" si="2330"/>
        <v>#DIV/0!</v>
      </c>
      <c r="CX269" s="73" t="e">
        <f t="shared" ref="CX269:DB269" si="2332">IF(CX267&gt;CX268,"RF",0)</f>
        <v>#DIV/0!</v>
      </c>
      <c r="CY269" s="73" t="e">
        <f t="shared" si="2332"/>
        <v>#DIV/0!</v>
      </c>
      <c r="CZ269" s="73" t="e">
        <f t="shared" si="2332"/>
        <v>#DIV/0!</v>
      </c>
      <c r="DA269" s="73" t="e">
        <f t="shared" si="2332"/>
        <v>#DIV/0!</v>
      </c>
      <c r="DB269" s="73" t="e">
        <f t="shared" si="2332"/>
        <v>#DIV/0!</v>
      </c>
      <c r="DE269" s="142"/>
      <c r="DF269" s="103">
        <v>0</v>
      </c>
    </row>
    <row r="270" spans="1:110" s="86" customFormat="1" x14ac:dyDescent="0.2">
      <c r="A270" s="86" t="s">
        <v>432</v>
      </c>
      <c r="B270" s="86">
        <f>B54/B26</f>
        <v>5.0805045852575191E-2</v>
      </c>
      <c r="C270" s="86">
        <f>C54/C26</f>
        <v>5.436794761520742E-2</v>
      </c>
      <c r="D270" s="86">
        <f>D54/D26</f>
        <v>4.4477334121514306E-2</v>
      </c>
      <c r="F270" s="86">
        <f t="shared" ref="F270:AE270" si="2333">F54/F26</f>
        <v>3.8017393870666341E-2</v>
      </c>
      <c r="G270" s="86">
        <f t="shared" si="2333"/>
        <v>3.5849771560537542E-2</v>
      </c>
      <c r="H270" s="86">
        <f t="shared" si="2333"/>
        <v>2.9267946932615092E-2</v>
      </c>
      <c r="I270" s="86">
        <f t="shared" si="2333"/>
        <v>3.5229960507671035E-2</v>
      </c>
      <c r="J270" s="86">
        <f t="shared" si="2333"/>
        <v>5.4792185023964358E-2</v>
      </c>
      <c r="K270" s="86">
        <f t="shared" si="2333"/>
        <v>5.1552092056744658E-2</v>
      </c>
      <c r="L270" s="86">
        <f t="shared" si="2333"/>
        <v>4.3913146859303753E-2</v>
      </c>
      <c r="M270" s="86">
        <f t="shared" si="2333"/>
        <v>4.2118921576414697E-2</v>
      </c>
      <c r="N270" s="86">
        <f t="shared" si="2333"/>
        <v>5.458512033173285E-2</v>
      </c>
      <c r="O270" s="86">
        <f t="shared" si="2333"/>
        <v>5.7510534576117114E-2</v>
      </c>
      <c r="P270" s="86">
        <f t="shared" si="2333"/>
        <v>6.2067501352920038E-2</v>
      </c>
      <c r="Q270" s="86">
        <f t="shared" si="2333"/>
        <v>6.0689774361648213E-2</v>
      </c>
      <c r="R270" s="86">
        <f t="shared" si="2333"/>
        <v>7.0447667659823965E-2</v>
      </c>
      <c r="S270" s="86">
        <f t="shared" si="2333"/>
        <v>6.3319025669822962E-2</v>
      </c>
      <c r="T270" s="86">
        <f t="shared" si="2333"/>
        <v>6.0214755459122436E-2</v>
      </c>
      <c r="U270" s="86">
        <f t="shared" si="2333"/>
        <v>7.1340839745957826E-2</v>
      </c>
      <c r="V270" s="86">
        <f t="shared" si="2333"/>
        <v>5.7765523252852537E-2</v>
      </c>
      <c r="W270" s="86">
        <f t="shared" si="2333"/>
        <v>3.1434491542443564E-2</v>
      </c>
      <c r="X270" s="86">
        <f t="shared" si="2333"/>
        <v>9.0018827467182681E-3</v>
      </c>
      <c r="Y270" s="86">
        <f t="shared" si="2333"/>
        <v>4.5885765605805659E-3</v>
      </c>
      <c r="Z270" s="86">
        <f t="shared" si="2333"/>
        <v>5.985738405719007E-3</v>
      </c>
      <c r="AA270" s="86">
        <f t="shared" ref="AA270" si="2334">AA54/AA26</f>
        <v>1.0621077322964433E-2</v>
      </c>
      <c r="AB270" s="87">
        <f t="shared" si="2333"/>
        <v>-1.7284474964073208E-2</v>
      </c>
      <c r="AC270" s="87">
        <f t="shared" si="2333"/>
        <v>-2.2973369523713236E-2</v>
      </c>
      <c r="AD270" s="87">
        <f t="shared" si="2333"/>
        <v>-2.8025100230617064E-2</v>
      </c>
      <c r="AE270" s="87">
        <f t="shared" si="2333"/>
        <v>-3.2723140875155009E-2</v>
      </c>
      <c r="AL270" s="86">
        <f t="shared" ref="AL270:BQ270" si="2335">AL54/AL26</f>
        <v>3.2662554910682304E-2</v>
      </c>
      <c r="AM270" s="86">
        <f t="shared" si="2335"/>
        <v>6.1560663457612956E-2</v>
      </c>
      <c r="AN270" s="86">
        <f t="shared" si="2335"/>
        <v>7.2866841856570858E-2</v>
      </c>
      <c r="AO270" s="86">
        <f t="shared" si="2335"/>
        <v>7.6535839978616294E-2</v>
      </c>
      <c r="AP270" s="86">
        <f t="shared" si="2335"/>
        <v>5.7556780892915202E-2</v>
      </c>
      <c r="AQ270" s="86">
        <f t="shared" si="2335"/>
        <v>6.6487713455837885E-2</v>
      </c>
      <c r="AR270" s="86">
        <f t="shared" si="2335"/>
        <v>5.5347189403156666E-2</v>
      </c>
      <c r="AS270" s="86">
        <f t="shared" si="2335"/>
        <v>8.2851024898592238E-2</v>
      </c>
      <c r="AT270" s="86">
        <f t="shared" si="2335"/>
        <v>5.3199261253068238E-2</v>
      </c>
      <c r="AU270" s="86">
        <f t="shared" si="2335"/>
        <v>6.1042884728337847E-2</v>
      </c>
      <c r="AV270" s="86">
        <f t="shared" si="2335"/>
        <v>6.1335123980477579E-2</v>
      </c>
      <c r="AW270" s="86">
        <f t="shared" si="2335"/>
        <v>5.8958386534946644E-2</v>
      </c>
      <c r="AX270" s="86">
        <f t="shared" si="2335"/>
        <v>4.3122581442243624E-2</v>
      </c>
      <c r="AY270" s="86">
        <f t="shared" si="2335"/>
        <v>7.7200686836147031E-2</v>
      </c>
      <c r="AZ270" s="86">
        <f t="shared" si="2335"/>
        <v>6.1228574617874718E-2</v>
      </c>
      <c r="BA270" s="86">
        <f t="shared" si="2335"/>
        <v>8.0110959187086245E-2</v>
      </c>
      <c r="BB270" s="86">
        <f t="shared" si="2335"/>
        <v>4.2344591342117342E-2</v>
      </c>
      <c r="BC270" s="86">
        <f t="shared" si="2335"/>
        <v>6.3253111349212895E-2</v>
      </c>
      <c r="BD270" s="86">
        <f t="shared" si="2335"/>
        <v>7.0101077276241833E-2</v>
      </c>
      <c r="BE270" s="86">
        <f t="shared" si="2335"/>
        <v>6.60051102722648E-2</v>
      </c>
      <c r="BF270" s="86">
        <f t="shared" si="2335"/>
        <v>4.0357410830298479E-2</v>
      </c>
      <c r="BG270" s="86">
        <f t="shared" si="2335"/>
        <v>5.9788786925218704E-2</v>
      </c>
      <c r="BH270" s="86">
        <f t="shared" si="2335"/>
        <v>5.4513768732678027E-2</v>
      </c>
      <c r="BI270" s="86">
        <f t="shared" si="2335"/>
        <v>6.3732160606805283E-2</v>
      </c>
      <c r="BJ270" s="86">
        <f t="shared" si="2335"/>
        <v>6.6466435943955723E-2</v>
      </c>
      <c r="BK270" s="86">
        <f t="shared" si="2335"/>
        <v>7.1898652084515555E-2</v>
      </c>
      <c r="BL270" s="86">
        <f t="shared" si="2335"/>
        <v>7.1002137803810469E-2</v>
      </c>
      <c r="BM270" s="86">
        <f t="shared" si="2335"/>
        <v>7.0966518543960966E-2</v>
      </c>
      <c r="BN270" s="86">
        <f t="shared" si="2335"/>
        <v>6.9982941890694011E-2</v>
      </c>
      <c r="BO270" s="86">
        <f t="shared" si="2335"/>
        <v>0.12230861687762459</v>
      </c>
      <c r="BP270" s="86">
        <f t="shared" si="2335"/>
        <v>5.566765533616027E-2</v>
      </c>
      <c r="BQ270" s="86">
        <f t="shared" si="2335"/>
        <v>4.7960748029634834E-2</v>
      </c>
      <c r="BR270" s="86">
        <f t="shared" ref="BR270:DB270" si="2336">BR54/BR26</f>
        <v>4.1244444952189464E-2</v>
      </c>
      <c r="BS270" s="86">
        <f t="shared" si="2336"/>
        <v>4.5991115159631418E-2</v>
      </c>
      <c r="BT270" s="86">
        <f t="shared" si="2336"/>
        <v>3.7127853692245472E-2</v>
      </c>
      <c r="BU270" s="86">
        <f t="shared" si="2336"/>
        <v>1.7734001006653465E-2</v>
      </c>
      <c r="BV270" s="86">
        <f t="shared" si="2336"/>
        <v>2.2091848276902196E-2</v>
      </c>
      <c r="BW270" s="86">
        <f t="shared" si="2336"/>
        <v>1.2541193701940682E-2</v>
      </c>
      <c r="BX270" s="86">
        <f t="shared" si="2336"/>
        <v>7.1026017138886739E-3</v>
      </c>
      <c r="BY270" s="86">
        <f t="shared" si="2336"/>
        <v>4.7322668587006841E-3</v>
      </c>
      <c r="BZ270" s="86">
        <f t="shared" si="2336"/>
        <v>1.0835256984029772E-2</v>
      </c>
      <c r="CA270" s="86">
        <f t="shared" si="2336"/>
        <v>5.9612878312496993E-3</v>
      </c>
      <c r="CB270" s="86">
        <f t="shared" si="2336"/>
        <v>5.4237987213858526E-3</v>
      </c>
      <c r="CC270" s="86">
        <f t="shared" si="2336"/>
        <v>3.1463806064701409E-3</v>
      </c>
      <c r="CD270" s="86">
        <f t="shared" si="2336"/>
        <v>3.630760511494456E-3</v>
      </c>
      <c r="CE270" s="86">
        <f t="shared" si="2336"/>
        <v>5.8364767050667751E-3</v>
      </c>
      <c r="CF270" s="86">
        <f t="shared" si="2336"/>
        <v>4.3098358720037788E-3</v>
      </c>
      <c r="CG270" s="86">
        <f t="shared" si="2336"/>
        <v>6.5420030630187753E-3</v>
      </c>
      <c r="CH270" s="86">
        <f t="shared" si="2336"/>
        <v>6.3944230600448855E-3</v>
      </c>
      <c r="CI270" s="86">
        <f t="shared" si="2336"/>
        <v>1.2536437205699493E-2</v>
      </c>
      <c r="CJ270" s="86">
        <f t="shared" si="2336"/>
        <v>9.8420770414958583E-3</v>
      </c>
      <c r="CK270" s="86">
        <f t="shared" si="2336"/>
        <v>1.2360894624279552E-2</v>
      </c>
      <c r="CL270" s="86">
        <f t="shared" ref="CL270" si="2337">CL54/CL26</f>
        <v>8.3823983047437659E-3</v>
      </c>
      <c r="CM270" s="87">
        <f t="shared" si="2336"/>
        <v>-1.3812203948776879E-2</v>
      </c>
      <c r="CN270" s="87">
        <f t="shared" si="2336"/>
        <v>-1.6868171142186496E-2</v>
      </c>
      <c r="CO270" s="87">
        <f t="shared" si="2336"/>
        <v>-1.8644978372918806E-2</v>
      </c>
      <c r="CP270" s="87">
        <f t="shared" si="2336"/>
        <v>-1.9622676213650554E-2</v>
      </c>
      <c r="CQ270" s="87">
        <f t="shared" si="2336"/>
        <v>-2.0836942537357617E-2</v>
      </c>
      <c r="CR270" s="87">
        <f t="shared" si="2336"/>
        <v>-2.2532229855209019E-2</v>
      </c>
      <c r="CS270" s="87">
        <f t="shared" si="2336"/>
        <v>-2.3650750320987488E-2</v>
      </c>
      <c r="CT270" s="87">
        <f t="shared" si="2336"/>
        <v>-2.4708162531191045E-2</v>
      </c>
      <c r="CU270" s="87">
        <f t="shared" si="2336"/>
        <v>-2.6139965582166663E-2</v>
      </c>
      <c r="CV270" s="87">
        <f t="shared" si="2336"/>
        <v>-2.7688209033833986E-2</v>
      </c>
      <c r="CW270" s="87">
        <f t="shared" si="2336"/>
        <v>-2.8538584380875986E-2</v>
      </c>
      <c r="CX270" s="87">
        <f t="shared" si="2336"/>
        <v>-2.9582361489330692E-2</v>
      </c>
      <c r="CY270" s="87">
        <f t="shared" si="2336"/>
        <v>-3.1008021212627867E-2</v>
      </c>
      <c r="CZ270" s="87">
        <f t="shared" si="2336"/>
        <v>-3.2464475833168048E-2</v>
      </c>
      <c r="DA270" s="87">
        <f t="shared" si="2336"/>
        <v>-3.3148602633718854E-2</v>
      </c>
      <c r="DB270" s="87">
        <f t="shared" si="2336"/>
        <v>-3.4135055098295002E-2</v>
      </c>
      <c r="DE270" s="141"/>
      <c r="DF270" s="86">
        <v>1.0528095348788064E-2</v>
      </c>
    </row>
    <row r="271" spans="1:110" s="86" customFormat="1" x14ac:dyDescent="0.2">
      <c r="A271" s="86" t="s">
        <v>433</v>
      </c>
      <c r="B271" s="86">
        <f>B50/B26</f>
        <v>5.4713427449693194E-2</v>
      </c>
      <c r="C271" s="86">
        <f>C50/C26</f>
        <v>5.2179615699425565E-2</v>
      </c>
      <c r="D271" s="86">
        <f>D50/D26</f>
        <v>4.6221981381179243E-2</v>
      </c>
      <c r="F271" s="86">
        <f t="shared" ref="F271:AE271" si="2338">F50/F26</f>
        <v>2.5519463167142733E-2</v>
      </c>
      <c r="G271" s="86">
        <f t="shared" si="2338"/>
        <v>1.8572350848666683E-2</v>
      </c>
      <c r="H271" s="86">
        <f t="shared" si="2338"/>
        <v>1.4560533485176799E-2</v>
      </c>
      <c r="I271" s="86">
        <f t="shared" si="2338"/>
        <v>1.4939175836877415E-2</v>
      </c>
      <c r="J271" s="86">
        <f t="shared" si="2338"/>
        <v>2.1106378258288983E-2</v>
      </c>
      <c r="K271" s="86">
        <f t="shared" si="2338"/>
        <v>2.9310485049619851E-2</v>
      </c>
      <c r="L271" s="86">
        <f t="shared" si="2338"/>
        <v>3.0406469153348839E-2</v>
      </c>
      <c r="M271" s="86">
        <f t="shared" si="2338"/>
        <v>2.8391145099772665E-2</v>
      </c>
      <c r="N271" s="86">
        <f t="shared" si="2338"/>
        <v>3.4692172213241106E-2</v>
      </c>
      <c r="O271" s="86">
        <f t="shared" si="2338"/>
        <v>4.4465042539130313E-2</v>
      </c>
      <c r="P271" s="86">
        <f t="shared" si="2338"/>
        <v>5.1028985603333896E-2</v>
      </c>
      <c r="Q271" s="86">
        <f t="shared" si="2338"/>
        <v>4.549279849554904E-2</v>
      </c>
      <c r="R271" s="86">
        <f t="shared" si="2338"/>
        <v>4.1766739465427277E-2</v>
      </c>
      <c r="S271" s="86">
        <f t="shared" si="2338"/>
        <v>4.4529384335186703E-2</v>
      </c>
      <c r="T271" s="86">
        <f t="shared" si="2338"/>
        <v>3.910088817003108E-2</v>
      </c>
      <c r="U271" s="86">
        <f t="shared" si="2338"/>
        <v>4.8929552069157216E-2</v>
      </c>
      <c r="V271" s="86">
        <f t="shared" si="2338"/>
        <v>4.9894986746959809E-2</v>
      </c>
      <c r="W271" s="86">
        <f t="shared" si="2338"/>
        <v>4.0081330369724458E-2</v>
      </c>
      <c r="X271" s="86">
        <f t="shared" si="2338"/>
        <v>3.2058992730505727E-2</v>
      </c>
      <c r="Y271" s="86">
        <f t="shared" si="2338"/>
        <v>2.628237553034448E-2</v>
      </c>
      <c r="Z271" s="86">
        <f t="shared" si="2338"/>
        <v>2.728383087257966E-2</v>
      </c>
      <c r="AA271" s="86">
        <f t="shared" ref="AA271" si="2339">AA50/AA26</f>
        <v>4.4056549946112716E-2</v>
      </c>
      <c r="AB271" s="87">
        <f t="shared" si="2338"/>
        <v>3.7993365528671878E-2</v>
      </c>
      <c r="AC271" s="87">
        <f t="shared" si="2338"/>
        <v>2.8235339290684763E-2</v>
      </c>
      <c r="AD271" s="87">
        <f t="shared" si="2338"/>
        <v>2.1089317109599878E-2</v>
      </c>
      <c r="AE271" s="87">
        <f t="shared" si="2338"/>
        <v>1.5751715660141701E-2</v>
      </c>
      <c r="AL271" s="86">
        <f t="shared" ref="AL271:BQ271" si="2340">AL50/AL26</f>
        <v>6.6736114555946899E-2</v>
      </c>
      <c r="AM271" s="86">
        <f t="shared" si="2340"/>
        <v>0.10802548254483656</v>
      </c>
      <c r="AN271" s="86">
        <f t="shared" si="2340"/>
        <v>9.4096873937876677E-2</v>
      </c>
      <c r="AO271" s="86">
        <f t="shared" si="2340"/>
        <v>0.10232102285383347</v>
      </c>
      <c r="AP271" s="86">
        <f t="shared" si="2340"/>
        <v>6.8756555180048959E-2</v>
      </c>
      <c r="AQ271" s="86">
        <f t="shared" si="2340"/>
        <v>7.2602985208359783E-2</v>
      </c>
      <c r="AR271" s="86">
        <f t="shared" si="2340"/>
        <v>5.0453657244941399E-2</v>
      </c>
      <c r="AS271" s="86">
        <f t="shared" si="2340"/>
        <v>5.5384857537292137E-2</v>
      </c>
      <c r="AT271" s="86">
        <f t="shared" si="2340"/>
        <v>4.350805660853093E-2</v>
      </c>
      <c r="AU271" s="86">
        <f t="shared" si="2340"/>
        <v>6.0221352917013762E-2</v>
      </c>
      <c r="AV271" s="86">
        <f t="shared" si="2340"/>
        <v>5.2111107471584393E-2</v>
      </c>
      <c r="AW271" s="86">
        <f t="shared" si="2340"/>
        <v>4.5948978098629335E-2</v>
      </c>
      <c r="AX271" s="86">
        <f t="shared" si="2340"/>
        <v>3.2018726310819694E-2</v>
      </c>
      <c r="AY271" s="86">
        <f t="shared" si="2340"/>
        <v>5.4388457505812275E-2</v>
      </c>
      <c r="AZ271" s="86">
        <f t="shared" si="2340"/>
        <v>5.5069919975981242E-2</v>
      </c>
      <c r="BA271" s="86">
        <f t="shared" si="2340"/>
        <v>4.6416615023428004E-2</v>
      </c>
      <c r="BB271" s="86">
        <f t="shared" si="2340"/>
        <v>2.3416807531708626E-2</v>
      </c>
      <c r="BC271" s="86">
        <f t="shared" si="2340"/>
        <v>5.0704689689277181E-2</v>
      </c>
      <c r="BD271" s="86">
        <f t="shared" si="2340"/>
        <v>5.1828645372199139E-2</v>
      </c>
      <c r="BE271" s="86">
        <f t="shared" si="2340"/>
        <v>5.0323058752692156E-2</v>
      </c>
      <c r="BF271" s="86">
        <f t="shared" si="2340"/>
        <v>3.3499258825467122E-2</v>
      </c>
      <c r="BG271" s="86">
        <f t="shared" si="2340"/>
        <v>3.9501128556600817E-2</v>
      </c>
      <c r="BH271" s="86">
        <f t="shared" si="2340"/>
        <v>3.7918961975040764E-2</v>
      </c>
      <c r="BI271" s="86">
        <f t="shared" si="2340"/>
        <v>4.3995583936385203E-2</v>
      </c>
      <c r="BJ271" s="86">
        <f t="shared" si="2340"/>
        <v>3.5818938573889715E-2</v>
      </c>
      <c r="BK271" s="86">
        <f t="shared" si="2340"/>
        <v>4.4450258307478022E-2</v>
      </c>
      <c r="BL271" s="86">
        <f t="shared" si="2340"/>
        <v>4.7508838635262111E-2</v>
      </c>
      <c r="BM271" s="86">
        <f t="shared" si="2340"/>
        <v>4.4794596025731846E-2</v>
      </c>
      <c r="BN271" s="86">
        <f t="shared" si="2340"/>
        <v>5.9707107048947078E-2</v>
      </c>
      <c r="BO271" s="86">
        <f t="shared" si="2340"/>
        <v>9.7416568978053453E-2</v>
      </c>
      <c r="BP271" s="86">
        <f t="shared" si="2340"/>
        <v>5.0130094745386003E-2</v>
      </c>
      <c r="BQ271" s="86">
        <f t="shared" si="2340"/>
        <v>4.3226468740924846E-2</v>
      </c>
      <c r="BR271" s="86">
        <f t="shared" ref="BR271:DB271" si="2341">BR50/BR26</f>
        <v>3.7026035895033872E-2</v>
      </c>
      <c r="BS271" s="86">
        <f t="shared" si="2341"/>
        <v>4.1606477028235028E-2</v>
      </c>
      <c r="BT271" s="86">
        <f t="shared" si="2341"/>
        <v>3.9356989774634338E-2</v>
      </c>
      <c r="BU271" s="86">
        <f t="shared" si="2341"/>
        <v>4.4289078544687693E-2</v>
      </c>
      <c r="BV271" s="86">
        <f t="shared" si="2341"/>
        <v>3.5958072543548755E-2</v>
      </c>
      <c r="BW271" s="86">
        <f t="shared" si="2341"/>
        <v>3.4846820456487244E-2</v>
      </c>
      <c r="BX271" s="86">
        <f t="shared" si="2341"/>
        <v>3.0623536375099722E-2</v>
      </c>
      <c r="BY271" s="86">
        <f t="shared" si="2341"/>
        <v>3.1145517205905044E-2</v>
      </c>
      <c r="BZ271" s="86">
        <f t="shared" si="2341"/>
        <v>3.2034672822348891E-2</v>
      </c>
      <c r="CA271" s="86">
        <f t="shared" si="2341"/>
        <v>2.997538253608148E-2</v>
      </c>
      <c r="CB271" s="86">
        <f t="shared" si="2341"/>
        <v>2.7387090121674573E-2</v>
      </c>
      <c r="CC271" s="86">
        <f t="shared" si="2341"/>
        <v>2.669144353408227E-2</v>
      </c>
      <c r="CD271" s="86">
        <f t="shared" si="2341"/>
        <v>2.2280471821756225E-2</v>
      </c>
      <c r="CE271" s="86">
        <f t="shared" si="2341"/>
        <v>3.269956162707717E-2</v>
      </c>
      <c r="CF271" s="86">
        <f t="shared" si="2341"/>
        <v>2.5839335616168774E-2</v>
      </c>
      <c r="CG271" s="86">
        <f t="shared" si="2341"/>
        <v>2.938229121367392E-2</v>
      </c>
      <c r="CH271" s="86">
        <f t="shared" si="2341"/>
        <v>2.4148350614993042E-2</v>
      </c>
      <c r="CI271" s="86">
        <f t="shared" si="2341"/>
        <v>5.0023442118352121E-2</v>
      </c>
      <c r="CJ271" s="86">
        <f t="shared" si="2341"/>
        <v>4.3727189386470175E-2</v>
      </c>
      <c r="CK271" s="86">
        <f t="shared" si="2341"/>
        <v>4.9371080581433281E-2</v>
      </c>
      <c r="CL271" s="86">
        <f t="shared" ref="CL271" si="2342">CL50/CL26</f>
        <v>3.6453373747669694E-2</v>
      </c>
      <c r="CM271" s="87">
        <f t="shared" si="2341"/>
        <v>4.1722278502276021E-2</v>
      </c>
      <c r="CN271" s="87">
        <f t="shared" si="2341"/>
        <v>3.9832358672127317E-2</v>
      </c>
      <c r="CO271" s="87">
        <f t="shared" si="2341"/>
        <v>3.7044760229474477E-2</v>
      </c>
      <c r="CP271" s="87">
        <f t="shared" si="2341"/>
        <v>3.3693786877278774E-2</v>
      </c>
      <c r="CQ271" s="87">
        <f t="shared" si="2341"/>
        <v>3.1408249444544463E-2</v>
      </c>
      <c r="CR271" s="87">
        <f t="shared" si="2341"/>
        <v>2.9582081921584867E-2</v>
      </c>
      <c r="CS271" s="87">
        <f t="shared" si="2341"/>
        <v>2.7104250757993172E-2</v>
      </c>
      <c r="CT271" s="87">
        <f t="shared" si="2341"/>
        <v>2.5132505441904433E-2</v>
      </c>
      <c r="CU271" s="87">
        <f t="shared" si="2341"/>
        <v>2.3547879316527486E-2</v>
      </c>
      <c r="CV271" s="87">
        <f t="shared" si="2341"/>
        <v>2.2060303269946874E-2</v>
      </c>
      <c r="CW271" s="87">
        <f t="shared" si="2341"/>
        <v>2.0189265763650339E-2</v>
      </c>
      <c r="CX271" s="87">
        <f t="shared" si="2341"/>
        <v>1.8784089031834764E-2</v>
      </c>
      <c r="CY271" s="87">
        <f t="shared" si="2341"/>
        <v>1.75988111662061E-2</v>
      </c>
      <c r="CZ271" s="87">
        <f t="shared" si="2341"/>
        <v>1.6469297913348648E-2</v>
      </c>
      <c r="DA271" s="87">
        <f t="shared" si="2341"/>
        <v>1.5074458464825963E-2</v>
      </c>
      <c r="DB271" s="87">
        <f t="shared" si="2341"/>
        <v>1.4032658899051727E-2</v>
      </c>
      <c r="DE271" s="141"/>
      <c r="DF271" s="86">
        <v>4.4056549946112723E-2</v>
      </c>
    </row>
    <row r="272" spans="1:110" s="85" customFormat="1" x14ac:dyDescent="0.2">
      <c r="AB272" s="58"/>
      <c r="AC272" s="58"/>
      <c r="AD272" s="58"/>
      <c r="AE272" s="58"/>
      <c r="CM272" s="72"/>
      <c r="CN272" s="72"/>
      <c r="CO272" s="72"/>
      <c r="CP272" s="72"/>
      <c r="CQ272" s="72"/>
      <c r="CR272" s="72"/>
      <c r="CS272" s="72"/>
      <c r="CT272" s="72"/>
      <c r="CU272" s="72"/>
      <c r="CV272" s="72"/>
      <c r="CW272" s="72"/>
      <c r="CX272" s="72"/>
      <c r="CY272" s="72"/>
      <c r="CZ272" s="72"/>
      <c r="DA272" s="72"/>
      <c r="DB272" s="72"/>
      <c r="DE272" s="143"/>
      <c r="DF272" s="196"/>
    </row>
  </sheetData>
  <sortState xmlns:xlrd2="http://schemas.microsoft.com/office/spreadsheetml/2017/richdata2" ref="A38:DE43">
    <sortCondition ref="A38:A43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BB6" activePane="bottomRight" state="frozen"/>
      <selection activeCell="A2" sqref="A2"/>
      <selection pane="topRight" activeCell="A2" sqref="A2"/>
      <selection pane="bottomLeft" activeCell="A2" sqref="A2"/>
      <selection pane="bottomRight" activeCell="BE6" sqref="BE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105700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0"/>
      <c r="BG2" s="180"/>
      <c r="BH2" s="180"/>
      <c r="BI2" s="180"/>
      <c r="BJ2" s="180"/>
      <c r="BK2" s="180"/>
      <c r="BL2" s="180"/>
      <c r="BM2" s="180"/>
      <c r="BN2" s="180"/>
      <c r="BO2" s="180"/>
      <c r="BP2" s="180"/>
      <c r="BQ2" s="180"/>
      <c r="BR2" s="180"/>
      <c r="BS2" s="180"/>
      <c r="BT2" s="180"/>
      <c r="BU2" s="180"/>
      <c r="BV2" s="180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Elecon Engineering Company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232.14699999999999</v>
      </c>
      <c r="D6">
        <f>_xll.EQNXTDZ($A$1,$B6,D$1,$B$1)</f>
        <v>326.74799999999999</v>
      </c>
      <c r="E6">
        <f>_xll.EQNXTDZ($A$1,$B6,E$1,$B$1)</f>
        <v>199.113</v>
      </c>
      <c r="F6">
        <f>_xll.EQNXTDZ($A$1,$B6,F$1,$B$1)</f>
        <v>180.27199999999999</v>
      </c>
      <c r="G6">
        <f>_xll.EQNXTDZ($A$1,$B6,G$1,$B$1)</f>
        <v>103.959</v>
      </c>
      <c r="H6">
        <f>_xll.EQNXTDZ($A$1,$B6,H$1,$B$1)</f>
        <v>119.375</v>
      </c>
      <c r="I6">
        <f>_xll.EQNXTDZ($A$1,$B6,I$1,$B$1)</f>
        <v>111.098</v>
      </c>
      <c r="J6">
        <f>_xll.EQNXTDZ($A$1,$B6,J$1,$B$1)</f>
        <v>161.89699999999999</v>
      </c>
      <c r="K6">
        <f>_xll.EQNXTDZ($A$1,$B6,K$1,$B$1)</f>
        <v>264.81799999999998</v>
      </c>
      <c r="L6">
        <f>_xll.EQNXTDZ($A$1,$B6,L$1,$B$1)</f>
        <v>294.31400000000002</v>
      </c>
      <c r="M6">
        <f>_xll.EQNXTDZ($A$1,$B6,M$1,$B$1)</f>
        <v>301.86900000000003</v>
      </c>
      <c r="N6">
        <f>_xll.EQNXTDZ($A$1,$B6,N$1,$B$1)</f>
        <v>458.113</v>
      </c>
      <c r="O6">
        <f>_xll.EQNXTDZ($A$1,$B6,O$1,$B$1)</f>
        <v>257.20100000000002</v>
      </c>
      <c r="P6">
        <f>_xll.EQNXTDZ($A$1,$B6,P$1,$B$1)</f>
        <v>302.49900000000002</v>
      </c>
      <c r="Q6">
        <f>_xll.EQNXTDZ($A$1,$B6,Q$1,$B$1)</f>
        <v>345.65499999999997</v>
      </c>
      <c r="R6">
        <f>_xll.EQNXTDZ($A$1,$B6,R$1,$B$1)</f>
        <v>453.26600000000002</v>
      </c>
      <c r="S6">
        <f>_xll.EQNXTDZ($A$1,$B6,S$1,$B$1)</f>
        <v>263.23599999999999</v>
      </c>
      <c r="T6">
        <f>_xll.EQNXTDZ($A$1,$B6,T$1,$B$1)</f>
        <v>259.79700000000003</v>
      </c>
      <c r="U6">
        <f>_xll.EQNXTDZ($A$1,$B6,U$1,$B$1)</f>
        <v>304.97699999999998</v>
      </c>
      <c r="V6">
        <f>_xll.EQNXTDZ($A$1,$B6,V$1,$B$1)</f>
        <v>446.64499999999998</v>
      </c>
      <c r="W6">
        <f>_xll.EQNXTDZ($A$1,$B6,W$1,$B$1)</f>
        <v>242.66</v>
      </c>
      <c r="X6">
        <f>_xll.EQNXTDZ($A$1,$B6,X$1,$B$1)</f>
        <v>249.61099999999999</v>
      </c>
      <c r="Y6">
        <f>_xll.EQNXTDZ($A$1,$B6,Y$1,$B$1)</f>
        <v>259.08600000000001</v>
      </c>
      <c r="Z6">
        <f>_xll.EQNXTDZ($A$1,$B6,Z$1,$B$1)</f>
        <v>437.14400000000001</v>
      </c>
      <c r="AA6">
        <f>_xll.EQNXTDZ($A$1,$B6,AA$1,$B$1)</f>
        <v>303.48500000000001</v>
      </c>
      <c r="AB6">
        <f>_xll.EQNXTDZ($A$1,$B6,AB$1,$B$1)</f>
        <v>320.76299999999998</v>
      </c>
      <c r="AC6">
        <f>_xll.EQNXTDZ($A$1,$B6,AC$1,$B$1)</f>
        <v>272.64100000000002</v>
      </c>
      <c r="AD6">
        <f>_xll.EQNXTDZ($A$1,$B6,AD$1,$B$1)</f>
        <v>327.95499999999998</v>
      </c>
      <c r="AE6">
        <f>_xll.EQNXTDZ($A$1,$B6,AE$1,$B$1)</f>
        <v>271.38200000000001</v>
      </c>
      <c r="AF6">
        <f>_xll.EQNXTDZ($A$1,$B6,AF$1,$B$1)</f>
        <v>266.161</v>
      </c>
      <c r="AG6">
        <f>_xll.EQNXTDZ($A$1,$B6,AG$1,$B$1)</f>
        <v>279.49799999999999</v>
      </c>
      <c r="AH6">
        <f>_xll.EQNXTDZ($A$1,$B6,AH$1,$B$1)</f>
        <v>268.49400000000003</v>
      </c>
      <c r="AI6">
        <f>_xll.EQNXTDZ($A$1,$B6,AI$1,$B$1)</f>
        <v>134.78200000000001</v>
      </c>
      <c r="AJ6">
        <f>_xll.EQNXTDZ($A$1,$B6,AJ$1,$B$1)</f>
        <v>263.654</v>
      </c>
      <c r="AK6">
        <f>_xll.EQNXTDZ($A$1,$B6,AK$1,$B$1)</f>
        <v>296.13799999999998</v>
      </c>
      <c r="AL6">
        <f>_xll.EQNXTDZ($A$1,$B6,AL$1,$B$1)</f>
        <v>350.13200000000001</v>
      </c>
      <c r="AM6">
        <f>_xll.EQNXTDZ($A$1,$B6,AM$1,$B$1)</f>
        <v>294.209</v>
      </c>
      <c r="AN6">
        <f>_xll.EQNXTDZ($A$1,$B6,AN$1,$B$1)</f>
        <v>314.02300000000002</v>
      </c>
      <c r="AO6">
        <f>_xll.EQNXTDZ($A$1,$B6,AO$1,$B$1)</f>
        <v>272.18900000000002</v>
      </c>
      <c r="AP6">
        <f>_xll.EQNXTDZ($A$1,$B6,AP$1,$B$1)</f>
        <v>331.52499999999998</v>
      </c>
      <c r="AQ6">
        <f>_xll.EQNXTDZ($A$1,$B6,AQ$1,$B$1)</f>
        <v>327.72</v>
      </c>
      <c r="AR6">
        <f>_xll.EQNXTDZ($A$1,$B6,AR$1,$B$1)</f>
        <v>388.59</v>
      </c>
      <c r="AS6">
        <f>_xll.EQNXTDZ($A$1,$B6,AS$1,$B$1)</f>
        <v>388.82</v>
      </c>
      <c r="AT6">
        <f>_xll.EQNXTDZ($A$1,$B6,AT$1,$B$1)</f>
        <v>424.54</v>
      </c>
      <c r="AU6">
        <f>_xll.EQNXTDZ($A$1,$B6,AU$1,$B$1)</f>
        <v>414.34</v>
      </c>
      <c r="AV6">
        <f>_xll.EQNXTDZ($A$1,$B6,AV$1,$B$1)</f>
        <v>484.9</v>
      </c>
      <c r="AW6">
        <f>_xll.EQNXTDZ($A$1,$B6,AW$1,$B$1)</f>
        <v>473.56</v>
      </c>
      <c r="AX6">
        <f>_xll.EQNXTDZ($A$1,$B6,AX$1,$B$1)</f>
        <v>564.62</v>
      </c>
      <c r="AY6">
        <f>_xll.EQNXTDZ($A$1,$B6,AY$1,$B$1)</f>
        <v>392.36</v>
      </c>
      <c r="AZ6">
        <f>_xll.EQNXTDZ($A$1,$B6,AZ$1,$B$1)</f>
        <v>508.14</v>
      </c>
      <c r="BA6">
        <f>_xll.EQNXTDZ($A$1,$B6,BA$1,$B$1)</f>
        <v>528.89</v>
      </c>
      <c r="BB6">
        <f>_xll.EQNXTDZ($A$1,$B6,BB$1,$B$1)</f>
        <v>797.57</v>
      </c>
      <c r="BC6">
        <f>_xll.EQNXTDZ($A$1,$B6,BC$1,$B$1)</f>
        <v>490.57</v>
      </c>
      <c r="BD6">
        <f>_xll.EQNXTDZ($A$1,$B6,BD$1,$B$1)</f>
        <v>578.13</v>
      </c>
      <c r="BE6">
        <f>_xll.EQNXTDZ($A$1,$B6,BE$1,$B$1)</f>
        <v>551.74</v>
      </c>
      <c r="BF6">
        <f>_xll.EQNXTDZ($A$1,$B6,BF$1,$B$1)</f>
        <v>745.61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19.213000000000001</v>
      </c>
      <c r="Q7">
        <f>_xll.EQNXTDZ($A$1,$B7,Q$1,$B$1)</f>
        <v>17.28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3.625</v>
      </c>
      <c r="D8">
        <f>_xll.EQNXTDZ($A$1,$B8,D$1,$B$1)</f>
        <v>2.9340000000000002</v>
      </c>
      <c r="E8">
        <f>_xll.EQNXTDZ($A$1,$B8,E$1,$B$1)</f>
        <v>2.6269999999999998</v>
      </c>
      <c r="F8">
        <f>_xll.EQNXTDZ($A$1,$B8,F$1,$B$1)</f>
        <v>1.159</v>
      </c>
      <c r="G8">
        <f>_xll.EQNXTDZ($A$1,$B8,G$1,$B$1)</f>
        <v>1.3680000000000001</v>
      </c>
      <c r="H8">
        <f>_xll.EQNXTDZ($A$1,$B8,H$1,$B$1)</f>
        <v>1.256</v>
      </c>
      <c r="I8">
        <f>_xll.EQNXTDZ($A$1,$B8,I$1,$B$1)</f>
        <v>1.137</v>
      </c>
      <c r="J8">
        <f>_xll.EQNXTDZ($A$1,$B8,J$1,$B$1)</f>
        <v>1.1419999999999999</v>
      </c>
      <c r="K8">
        <f>_xll.EQNXTDZ($A$1,$B8,K$1,$B$1)</f>
        <v>3.036</v>
      </c>
      <c r="L8">
        <f>_xll.EQNXTDZ($A$1,$B8,L$1,$B$1)</f>
        <v>4.0389999999999997</v>
      </c>
      <c r="M8">
        <f>_xll.EQNXTDZ($A$1,$B8,M$1,$B$1)</f>
        <v>3.0880000000000001</v>
      </c>
      <c r="N8">
        <f>_xll.EQNXTDZ($A$1,$B8,N$1,$B$1)</f>
        <v>5.9160000000000004</v>
      </c>
      <c r="O8">
        <f>_xll.EQNXTDZ($A$1,$B8,O$1,$B$1)</f>
        <v>3.2879999999999998</v>
      </c>
      <c r="P8">
        <f>_xll.EQNXTDZ($A$1,$B8,P$1,$B$1)</f>
        <v>2.7909999999999999</v>
      </c>
      <c r="Q8">
        <f>_xll.EQNXTDZ($A$1,$B8,Q$1,$B$1)</f>
        <v>2.8620000000000001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235.77099999999999</v>
      </c>
      <c r="D9">
        <f>_xll.EQNXTDZ($A$1,$B9,D$1,$B$1)</f>
        <v>329.67200000000003</v>
      </c>
      <c r="E9">
        <f>_xll.EQNXTDZ($A$1,$B9,E$1,$B$1)</f>
        <v>201.74</v>
      </c>
      <c r="F9">
        <f>_xll.EQNXTDZ($A$1,$B9,F$1,$B$1)</f>
        <v>181.43100000000001</v>
      </c>
      <c r="G9">
        <f>_xll.EQNXTDZ($A$1,$B9,G$1,$B$1)</f>
        <v>105.327</v>
      </c>
      <c r="H9">
        <f>_xll.EQNXTDZ($A$1,$B9,H$1,$B$1)</f>
        <v>120.631</v>
      </c>
      <c r="I9">
        <f>_xll.EQNXTDZ($A$1,$B9,I$1,$B$1)</f>
        <v>112.235</v>
      </c>
      <c r="J9">
        <f>_xll.EQNXTDZ($A$1,$B9,J$1,$B$1)</f>
        <v>163.03899999999999</v>
      </c>
      <c r="K9">
        <f>_xll.EQNXTDZ($A$1,$B9,K$1,$B$1)</f>
        <v>267.85399999999998</v>
      </c>
      <c r="L9">
        <f>_xll.EQNXTDZ($A$1,$B9,L$1,$B$1)</f>
        <v>298.35300000000001</v>
      </c>
      <c r="M9">
        <f>_xll.EQNXTDZ($A$1,$B9,M$1,$B$1)</f>
        <v>304.95699999999999</v>
      </c>
      <c r="N9">
        <f>_xll.EQNXTDZ($A$1,$B9,N$1,$B$1)</f>
        <v>464.029</v>
      </c>
      <c r="O9">
        <f>_xll.EQNXTDZ($A$1,$B9,O$1,$B$1)</f>
        <v>260.48899999999998</v>
      </c>
      <c r="P9">
        <f>_xll.EQNXTDZ($A$1,$B9,P$1,$B$1)</f>
        <v>286.077</v>
      </c>
      <c r="Q9">
        <f>_xll.EQNXTDZ($A$1,$B9,Q$1,$B$1)</f>
        <v>331.23700000000002</v>
      </c>
      <c r="R9">
        <f>_xll.EQNXTDZ($A$1,$B9,R$1,$B$1)</f>
        <v>453.26600000000002</v>
      </c>
      <c r="S9">
        <f>_xll.EQNXTDZ($A$1,$B9,S$1,$B$1)</f>
        <v>263.23599999999999</v>
      </c>
      <c r="T9">
        <f>_xll.EQNXTDZ($A$1,$B9,T$1,$B$1)</f>
        <v>259.79700000000003</v>
      </c>
      <c r="U9">
        <f>_xll.EQNXTDZ($A$1,$B9,U$1,$B$1)</f>
        <v>304.97699999999998</v>
      </c>
      <c r="V9">
        <f>_xll.EQNXTDZ($A$1,$B9,V$1,$B$1)</f>
        <v>446.64499999999998</v>
      </c>
      <c r="W9">
        <f>_xll.EQNXTDZ($A$1,$B9,W$1,$B$1)</f>
        <v>242.66</v>
      </c>
      <c r="X9">
        <f>_xll.EQNXTDZ($A$1,$B9,X$1,$B$1)</f>
        <v>249.61099999999999</v>
      </c>
      <c r="Y9">
        <f>_xll.EQNXTDZ($A$1,$B9,Y$1,$B$1)</f>
        <v>259.08600000000001</v>
      </c>
      <c r="Z9">
        <f>_xll.EQNXTDZ($A$1,$B9,Z$1,$B$1)</f>
        <v>437.14400000000001</v>
      </c>
      <c r="AA9">
        <f>_xll.EQNXTDZ($A$1,$B9,AA$1,$B$1)</f>
        <v>303.48500000000001</v>
      </c>
      <c r="AB9">
        <f>_xll.EQNXTDZ($A$1,$B9,AB$1,$B$1)</f>
        <v>320.76299999999998</v>
      </c>
      <c r="AC9">
        <f>_xll.EQNXTDZ($A$1,$B9,AC$1,$B$1)</f>
        <v>272.64100000000002</v>
      </c>
      <c r="AD9">
        <f>_xll.EQNXTDZ($A$1,$B9,AD$1,$B$1)</f>
        <v>327.95499999999998</v>
      </c>
      <c r="AE9">
        <f>_xll.EQNXTDZ($A$1,$B9,AE$1,$B$1)</f>
        <v>271.38200000000001</v>
      </c>
      <c r="AF9">
        <f>_xll.EQNXTDZ($A$1,$B9,AF$1,$B$1)</f>
        <v>266.161</v>
      </c>
      <c r="AG9">
        <f>_xll.EQNXTDZ($A$1,$B9,AG$1,$B$1)</f>
        <v>279.49799999999999</v>
      </c>
      <c r="AH9">
        <f>_xll.EQNXTDZ($A$1,$B9,AH$1,$B$1)</f>
        <v>268.49400000000003</v>
      </c>
      <c r="AI9">
        <f>_xll.EQNXTDZ($A$1,$B9,AI$1,$B$1)</f>
        <v>134.78200000000001</v>
      </c>
      <c r="AJ9">
        <f>_xll.EQNXTDZ($A$1,$B9,AJ$1,$B$1)</f>
        <v>263.654</v>
      </c>
      <c r="AK9">
        <f>_xll.EQNXTDZ($A$1,$B9,AK$1,$B$1)</f>
        <v>296.13799999999998</v>
      </c>
      <c r="AL9">
        <f>_xll.EQNXTDZ($A$1,$B9,AL$1,$B$1)</f>
        <v>350.13200000000001</v>
      </c>
      <c r="AM9">
        <f>_xll.EQNXTDZ($A$1,$B9,AM$1,$B$1)</f>
        <v>294.209</v>
      </c>
      <c r="AN9">
        <f>_xll.EQNXTDZ($A$1,$B9,AN$1,$B$1)</f>
        <v>314.02300000000002</v>
      </c>
      <c r="AO9">
        <f>_xll.EQNXTDZ($A$1,$B9,AO$1,$B$1)</f>
        <v>272.18900000000002</v>
      </c>
      <c r="AP9">
        <f>_xll.EQNXTDZ($A$1,$B9,AP$1,$B$1)</f>
        <v>331.52499999999998</v>
      </c>
      <c r="AQ9">
        <f>_xll.EQNXTDZ($A$1,$B9,AQ$1,$B$1)</f>
        <v>327.72</v>
      </c>
      <c r="AR9">
        <f>_xll.EQNXTDZ($A$1,$B9,AR$1,$B$1)</f>
        <v>388.59</v>
      </c>
      <c r="AS9">
        <f>_xll.EQNXTDZ($A$1,$B9,AS$1,$B$1)</f>
        <v>388.82</v>
      </c>
      <c r="AT9">
        <f>_xll.EQNXTDZ($A$1,$B9,AT$1,$B$1)</f>
        <v>424.54</v>
      </c>
      <c r="AU9">
        <f>_xll.EQNXTDZ($A$1,$B9,AU$1,$B$1)</f>
        <v>414.34</v>
      </c>
      <c r="AV9">
        <f>_xll.EQNXTDZ($A$1,$B9,AV$1,$B$1)</f>
        <v>484.9</v>
      </c>
      <c r="AW9">
        <f>_xll.EQNXTDZ($A$1,$B9,AW$1,$B$1)</f>
        <v>473.56</v>
      </c>
      <c r="AX9">
        <f>_xll.EQNXTDZ($A$1,$B9,AX$1,$B$1)</f>
        <v>564.62</v>
      </c>
      <c r="AY9">
        <f>_xll.EQNXTDZ($A$1,$B9,AY$1,$B$1)</f>
        <v>392.36</v>
      </c>
      <c r="AZ9">
        <f>_xll.EQNXTDZ($A$1,$B9,AZ$1,$B$1)</f>
        <v>508.14</v>
      </c>
      <c r="BA9">
        <f>_xll.EQNXTDZ($A$1,$B9,BA$1,$B$1)</f>
        <v>528.89</v>
      </c>
      <c r="BB9">
        <f>_xll.EQNXTDZ($A$1,$B9,BB$1,$B$1)</f>
        <v>797.57</v>
      </c>
      <c r="BC9">
        <f>_xll.EQNXTDZ($A$1,$B9,BC$1,$B$1)</f>
        <v>490.57</v>
      </c>
      <c r="BD9">
        <f>_xll.EQNXTDZ($A$1,$B9,BD$1,$B$1)</f>
        <v>578.13</v>
      </c>
      <c r="BE9">
        <f>_xll.EQNXTDZ($A$1,$B9,BE$1,$B$1)</f>
        <v>551.74</v>
      </c>
      <c r="BF9">
        <f>_xll.EQNXTDZ($A$1,$B9,BF$1,$B$1)</f>
        <v>745.61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-11.478999999999999</v>
      </c>
      <c r="D10">
        <f>_xll.EQNXTDZ($A$1,$B10,D$1,$B$1)</f>
        <v>23.067</v>
      </c>
      <c r="E10">
        <f>_xll.EQNXTDZ($A$1,$B10,E$1,$B$1)</f>
        <v>-27.082999999999998</v>
      </c>
      <c r="F10">
        <f>_xll.EQNXTDZ($A$1,$B10,F$1,$B$1)</f>
        <v>12.010999999999999</v>
      </c>
      <c r="G10">
        <f>_xll.EQNXTDZ($A$1,$B10,G$1,$B$1)</f>
        <v>-5.3410000000000002</v>
      </c>
      <c r="H10">
        <f>_xll.EQNXTDZ($A$1,$B10,H$1,$B$1)</f>
        <v>-1.601</v>
      </c>
      <c r="I10">
        <f>_xll.EQNXTDZ($A$1,$B10,I$1,$B$1)</f>
        <v>2.415</v>
      </c>
      <c r="J10">
        <f>_xll.EQNXTDZ($A$1,$B10,J$1,$B$1)</f>
        <v>31.501000000000001</v>
      </c>
      <c r="K10">
        <f>_xll.EQNXTDZ($A$1,$B10,K$1,$B$1)</f>
        <v>-14.89</v>
      </c>
      <c r="L10">
        <f>_xll.EQNXTDZ($A$1,$B10,L$1,$B$1)</f>
        <v>10.345000000000001</v>
      </c>
      <c r="M10">
        <f>_xll.EQNXTDZ($A$1,$B10,M$1,$B$1)</f>
        <v>8.0530000000000008</v>
      </c>
      <c r="N10">
        <f>_xll.EQNXTDZ($A$1,$B10,N$1,$B$1)</f>
        <v>11.205</v>
      </c>
      <c r="O10">
        <f>_xll.EQNXTDZ($A$1,$B10,O$1,$B$1)</f>
        <v>-27.199000000000002</v>
      </c>
      <c r="P10">
        <f>_xll.EQNXTDZ($A$1,$B10,P$1,$B$1)</f>
        <v>-19.609000000000002</v>
      </c>
      <c r="Q10">
        <f>_xll.EQNXTDZ($A$1,$B10,Q$1,$B$1)</f>
        <v>11.016999999999999</v>
      </c>
      <c r="R10">
        <f>_xll.EQNXTDZ($A$1,$B10,R$1,$B$1)</f>
        <v>4.3479999999999999</v>
      </c>
      <c r="S10">
        <f>_xll.EQNXTDZ($A$1,$B10,S$1,$B$1)</f>
        <v>-7.0579999999999998</v>
      </c>
      <c r="T10">
        <f>_xll.EQNXTDZ($A$1,$B10,T$1,$B$1)</f>
        <v>-4.9720000000000004</v>
      </c>
      <c r="U10">
        <f>_xll.EQNXTDZ($A$1,$B10,U$1,$B$1)</f>
        <v>-9.4809999999999999</v>
      </c>
      <c r="V10">
        <f>_xll.EQNXTDZ($A$1,$B10,V$1,$B$1)</f>
        <v>31.305</v>
      </c>
      <c r="W10">
        <f>_xll.EQNXTDZ($A$1,$B10,W$1,$B$1)</f>
        <v>1.403</v>
      </c>
      <c r="X10">
        <f>_xll.EQNXTDZ($A$1,$B10,X$1,$B$1)</f>
        <v>0.998</v>
      </c>
      <c r="Y10">
        <f>_xll.EQNXTDZ($A$1,$B10,Y$1,$B$1)</f>
        <v>2.6829999999999998</v>
      </c>
      <c r="Z10">
        <f>_xll.EQNXTDZ($A$1,$B10,Z$1,$B$1)</f>
        <v>23.158000000000001</v>
      </c>
      <c r="AA10">
        <f>_xll.EQNXTDZ($A$1,$B10,AA$1,$B$1)</f>
        <v>-15.48</v>
      </c>
      <c r="AB10">
        <f>_xll.EQNXTDZ($A$1,$B10,AB$1,$B$1)</f>
        <v>6.1959999999999997</v>
      </c>
      <c r="AC10">
        <f>_xll.EQNXTDZ($A$1,$B10,AC$1,$B$1)</f>
        <v>-25.561</v>
      </c>
      <c r="AD10">
        <f>_xll.EQNXTDZ($A$1,$B10,AD$1,$B$1)</f>
        <v>21.744</v>
      </c>
      <c r="AE10">
        <f>_xll.EQNXTDZ($A$1,$B10,AE$1,$B$1)</f>
        <v>11.222</v>
      </c>
      <c r="AF10">
        <f>_xll.EQNXTDZ($A$1,$B10,AF$1,$B$1)</f>
        <v>2.5289999999999999</v>
      </c>
      <c r="AG10">
        <f>_xll.EQNXTDZ($A$1,$B10,AG$1,$B$1)</f>
        <v>-47.728000000000002</v>
      </c>
      <c r="AH10">
        <f>_xll.EQNXTDZ($A$1,$B10,AH$1,$B$1)</f>
        <v>40.508000000000003</v>
      </c>
      <c r="AI10">
        <f>_xll.EQNXTDZ($A$1,$B10,AI$1,$B$1)</f>
        <v>9.4350000000000005</v>
      </c>
      <c r="AJ10">
        <f>_xll.EQNXTDZ($A$1,$B10,AJ$1,$B$1)</f>
        <v>8.4670000000000005</v>
      </c>
      <c r="AK10">
        <f>_xll.EQNXTDZ($A$1,$B10,AK$1,$B$1)</f>
        <v>9.0540000000000003</v>
      </c>
      <c r="AL10">
        <f>_xll.EQNXTDZ($A$1,$B10,AL$1,$B$1)</f>
        <v>19.302</v>
      </c>
      <c r="AM10">
        <f>_xll.EQNXTDZ($A$1,$B10,AM$1,$B$1)</f>
        <v>-15.452999999999999</v>
      </c>
      <c r="AN10">
        <f>_xll.EQNXTDZ($A$1,$B10,AN$1,$B$1)</f>
        <v>1.698</v>
      </c>
      <c r="AO10">
        <f>_xll.EQNXTDZ($A$1,$B10,AO$1,$B$1)</f>
        <v>-21.039000000000001</v>
      </c>
      <c r="AP10">
        <f>_xll.EQNXTDZ($A$1,$B10,AP$1,$B$1)</f>
        <v>-0.93600000000000005</v>
      </c>
      <c r="AQ10">
        <f>_xll.EQNXTDZ($A$1,$B10,AQ$1,$B$1)</f>
        <v>-1.25</v>
      </c>
      <c r="AR10">
        <f>_xll.EQNXTDZ($A$1,$B10,AR$1,$B$1)</f>
        <v>-17.399999999999999</v>
      </c>
      <c r="AS10">
        <f>_xll.EQNXTDZ($A$1,$B10,AS$1,$B$1)</f>
        <v>-3.06</v>
      </c>
      <c r="AT10">
        <f>_xll.EQNXTDZ($A$1,$B10,AT$1,$B$1)</f>
        <v>16.7</v>
      </c>
      <c r="AU10">
        <f>_xll.EQNXTDZ($A$1,$B10,AU$1,$B$1)</f>
        <v>-13.46</v>
      </c>
      <c r="AV10">
        <f>_xll.EQNXTDZ($A$1,$B10,AV$1,$B$1)</f>
        <v>19.190000000000001</v>
      </c>
      <c r="AW10">
        <f>_xll.EQNXTDZ($A$1,$B10,AW$1,$B$1)</f>
        <v>-1.38</v>
      </c>
      <c r="AX10">
        <f>_xll.EQNXTDZ($A$1,$B10,AX$1,$B$1)</f>
        <v>17.59</v>
      </c>
      <c r="AY10">
        <f>_xll.EQNXTDZ($A$1,$B10,AY$1,$B$1)</f>
        <v>-6.88</v>
      </c>
      <c r="AZ10">
        <f>_xll.EQNXTDZ($A$1,$B10,AZ$1,$B$1)</f>
        <v>-3.32</v>
      </c>
      <c r="BA10">
        <f>_xll.EQNXTDZ($A$1,$B10,BA$1,$B$1)</f>
        <v>-31.67</v>
      </c>
      <c r="BB10">
        <f>_xll.EQNXTDZ($A$1,$B10,BB$1,$B$1)</f>
        <v>54.72</v>
      </c>
      <c r="BC10">
        <f>_xll.EQNXTDZ($A$1,$B10,BC$1,$B$1)</f>
        <v>-16.12</v>
      </c>
      <c r="BD10">
        <f>_xll.EQNXTDZ($A$1,$B10,BD$1,$B$1)</f>
        <v>5.74</v>
      </c>
      <c r="BE10">
        <f>_xll.EQNXTDZ($A$1,$B10,BE$1,$B$1)</f>
        <v>-19.079999999999998</v>
      </c>
      <c r="BF10">
        <f>_xll.EQNXTDZ($A$1,$B10,BF$1,$B$1)</f>
        <v>-19.190000000000001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167.10300000000001</v>
      </c>
      <c r="D11">
        <f>_xll.EQNXTDZ($A$1,$B11,D$1,$B$1)</f>
        <v>179.35300000000001</v>
      </c>
      <c r="E11">
        <f>_xll.EQNXTDZ($A$1,$B11,E$1,$B$1)</f>
        <v>148.47200000000001</v>
      </c>
      <c r="F11">
        <f>_xll.EQNXTDZ($A$1,$B11,F$1,$B$1)</f>
        <v>114.917</v>
      </c>
      <c r="G11">
        <f>_xll.EQNXTDZ($A$1,$B11,G$1,$B$1)</f>
        <v>63.845999999999997</v>
      </c>
      <c r="H11">
        <f>_xll.EQNXTDZ($A$1,$B11,H$1,$B$1)</f>
        <v>59.220999999999997</v>
      </c>
      <c r="I11">
        <f>_xll.EQNXTDZ($A$1,$B11,I$1,$B$1)</f>
        <v>55.390999999999998</v>
      </c>
      <c r="J11">
        <f>_xll.EQNXTDZ($A$1,$B11,J$1,$B$1)</f>
        <v>64.831000000000003</v>
      </c>
      <c r="K11">
        <f>_xll.EQNXTDZ($A$1,$B11,K$1,$B$1)</f>
        <v>172.36799999999999</v>
      </c>
      <c r="L11">
        <f>_xll.EQNXTDZ($A$1,$B11,L$1,$B$1)</f>
        <v>176.44499999999999</v>
      </c>
      <c r="M11">
        <f>_xll.EQNXTDZ($A$1,$B11,M$1,$B$1)</f>
        <v>184.03700000000001</v>
      </c>
      <c r="N11">
        <f>_xll.EQNXTDZ($A$1,$B11,N$1,$B$1)</f>
        <v>266.80599999999998</v>
      </c>
      <c r="O11">
        <f>_xll.EQNXTDZ($A$1,$B11,O$1,$B$1)</f>
        <v>154.78800000000001</v>
      </c>
      <c r="P11">
        <f>_xll.EQNXTDZ($A$1,$B11,P$1,$B$1)</f>
        <v>145.82</v>
      </c>
      <c r="Q11">
        <f>_xll.EQNXTDZ($A$1,$B11,Q$1,$B$1)</f>
        <v>152.19800000000001</v>
      </c>
      <c r="R11">
        <f>_xll.EQNXTDZ($A$1,$B11,R$1,$B$1)</f>
        <v>196.66900000000001</v>
      </c>
      <c r="S11">
        <f>_xll.EQNXTDZ($A$1,$B11,S$1,$B$1)</f>
        <v>111.503</v>
      </c>
      <c r="T11">
        <f>_xll.EQNXTDZ($A$1,$B11,T$1,$B$1)</f>
        <v>106.428</v>
      </c>
      <c r="U11">
        <f>_xll.EQNXTDZ($A$1,$B11,U$1,$B$1)</f>
        <v>150.673</v>
      </c>
      <c r="V11">
        <f>_xll.EQNXTDZ($A$1,$B11,V$1,$B$1)</f>
        <v>162.97</v>
      </c>
      <c r="W11">
        <f>_xll.EQNXTDZ($A$1,$B11,W$1,$B$1)</f>
        <v>117.11199999999999</v>
      </c>
      <c r="X11">
        <f>_xll.EQNXTDZ($A$1,$B11,X$1,$B$1)</f>
        <v>126.492</v>
      </c>
      <c r="Y11">
        <f>_xll.EQNXTDZ($A$1,$B11,Y$1,$B$1)</f>
        <v>123.729</v>
      </c>
      <c r="Z11">
        <f>_xll.EQNXTDZ($A$1,$B11,Z$1,$B$1)</f>
        <v>155.988</v>
      </c>
      <c r="AA11">
        <f>_xll.EQNXTDZ($A$1,$B11,AA$1,$B$1)</f>
        <v>152.95500000000001</v>
      </c>
      <c r="AB11">
        <f>_xll.EQNXTDZ($A$1,$B11,AB$1,$B$1)</f>
        <v>137.09299999999999</v>
      </c>
      <c r="AC11">
        <f>_xll.EQNXTDZ($A$1,$B11,AC$1,$B$1)</f>
        <v>150.78399999999999</v>
      </c>
      <c r="AD11">
        <f>_xll.EQNXTDZ($A$1,$B11,AD$1,$B$1)</f>
        <v>137.386</v>
      </c>
      <c r="AE11">
        <f>_xll.EQNXTDZ($A$1,$B11,AE$1,$B$1)</f>
        <v>104.071</v>
      </c>
      <c r="AF11">
        <f>_xll.EQNXTDZ($A$1,$B11,AF$1,$B$1)</f>
        <v>120.04900000000001</v>
      </c>
      <c r="AG11">
        <f>_xll.EQNXTDZ($A$1,$B11,AG$1,$B$1)</f>
        <v>161.815</v>
      </c>
      <c r="AH11">
        <f>_xll.EQNXTDZ($A$1,$B11,AH$1,$B$1)</f>
        <v>96.954999999999998</v>
      </c>
      <c r="AI11">
        <f>_xll.EQNXTDZ($A$1,$B11,AI$1,$B$1)</f>
        <v>43.317999999999998</v>
      </c>
      <c r="AJ11">
        <f>_xll.EQNXTDZ($A$1,$B11,AJ$1,$B$1)</f>
        <v>114.387</v>
      </c>
      <c r="AK11">
        <f>_xll.EQNXTDZ($A$1,$B11,AK$1,$B$1)</f>
        <v>135.01499999999999</v>
      </c>
      <c r="AL11">
        <f>_xll.EQNXTDZ($A$1,$B11,AL$1,$B$1)</f>
        <v>146.38399999999999</v>
      </c>
      <c r="AM11">
        <f>_xll.EQNXTDZ($A$1,$B11,AM$1,$B$1)</f>
        <v>152.06800000000001</v>
      </c>
      <c r="AN11">
        <f>_xll.EQNXTDZ($A$1,$B11,AN$1,$B$1)</f>
        <v>147.58500000000001</v>
      </c>
      <c r="AO11">
        <f>_xll.EQNXTDZ($A$1,$B11,AO$1,$B$1)</f>
        <v>146.399</v>
      </c>
      <c r="AP11">
        <f>_xll.EQNXTDZ($A$1,$B11,AP$1,$B$1)</f>
        <v>161.38399999999999</v>
      </c>
      <c r="AQ11">
        <f>_xll.EQNXTDZ($A$1,$B11,AQ$1,$B$1)</f>
        <v>144.69</v>
      </c>
      <c r="AR11">
        <f>_xll.EQNXTDZ($A$1,$B11,AR$1,$B$1)</f>
        <v>198.66</v>
      </c>
      <c r="AS11">
        <f>_xll.EQNXTDZ($A$1,$B11,AS$1,$B$1)</f>
        <v>177.04</v>
      </c>
      <c r="AT11">
        <f>_xll.EQNXTDZ($A$1,$B11,AT$1,$B$1)</f>
        <v>198.96</v>
      </c>
      <c r="AU11">
        <f>_xll.EQNXTDZ($A$1,$B11,AU$1,$B$1)</f>
        <v>194.56</v>
      </c>
      <c r="AV11">
        <f>_xll.EQNXTDZ($A$1,$B11,AV$1,$B$1)</f>
        <v>204.58</v>
      </c>
      <c r="AW11">
        <f>_xll.EQNXTDZ($A$1,$B11,AW$1,$B$1)</f>
        <v>211.47</v>
      </c>
      <c r="AX11">
        <f>_xll.EQNXTDZ($A$1,$B11,AX$1,$B$1)</f>
        <v>229.62</v>
      </c>
      <c r="AY11">
        <f>_xll.EQNXTDZ($A$1,$B11,AY$1,$B$1)</f>
        <v>168.47</v>
      </c>
      <c r="AZ11">
        <f>_xll.EQNXTDZ($A$1,$B11,AZ$1,$B$1)</f>
        <v>243.78</v>
      </c>
      <c r="BA11">
        <f>_xll.EQNXTDZ($A$1,$B11,BA$1,$B$1)</f>
        <v>257.61</v>
      </c>
      <c r="BB11">
        <f>_xll.EQNXTDZ($A$1,$B11,BB$1,$B$1)</f>
        <v>346.01</v>
      </c>
      <c r="BC11">
        <f>_xll.EQNXTDZ($A$1,$B11,BC$1,$B$1)</f>
        <v>206.02</v>
      </c>
      <c r="BD11">
        <f>_xll.EQNXTDZ($A$1,$B11,BD$1,$B$1)</f>
        <v>280.52</v>
      </c>
      <c r="BE11">
        <f>_xll.EQNXTDZ($A$1,$B11,BE$1,$B$1)</f>
        <v>285.85000000000002</v>
      </c>
      <c r="BF11">
        <f>_xll.EQNXTDZ($A$1,$B11,BF$1,$B$1)</f>
        <v>401.38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1.9419999999999999</v>
      </c>
      <c r="L12">
        <f>_xll.EQNXTDZ($A$1,$B12,L$1,$B$1)</f>
        <v>6.2590000000000003</v>
      </c>
      <c r="M12">
        <f>_xll.EQNXTDZ($A$1,$B12,M$1,$B$1)</f>
        <v>-3.97</v>
      </c>
      <c r="N12">
        <f>_xll.EQNXTDZ($A$1,$B12,N$1,$B$1)</f>
        <v>8.4849999999999994</v>
      </c>
      <c r="O12">
        <f>_xll.EQNXTDZ($A$1,$B12,O$1,$B$1)</f>
        <v>1.9970000000000001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33.22</v>
      </c>
      <c r="S13">
        <f>_xll.EQNXTDZ($A$1,$B13,S$1,$B$1)</f>
        <v>14.993</v>
      </c>
      <c r="T13">
        <f>_xll.EQNXTDZ($A$1,$B13,T$1,$B$1)</f>
        <v>16.146000000000001</v>
      </c>
      <c r="U13">
        <f>_xll.EQNXTDZ($A$1,$B13,U$1,$B$1)</f>
        <v>17.608000000000001</v>
      </c>
      <c r="V13">
        <f>_xll.EQNXTDZ($A$1,$B13,V$1,$B$1)</f>
        <v>24.376999999999999</v>
      </c>
      <c r="W13">
        <f>_xll.EQNXTDZ($A$1,$B13,W$1,$B$1)</f>
        <v>8.2710000000000008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30.602</v>
      </c>
      <c r="D14">
        <f>_xll.EQNXTDZ($A$1,$B14,D$1,$B$1)</f>
        <v>44.963000000000001</v>
      </c>
      <c r="E14">
        <f>_xll.EQNXTDZ($A$1,$B14,E$1,$B$1)</f>
        <v>29.225999999999999</v>
      </c>
      <c r="F14">
        <f>_xll.EQNXTDZ($A$1,$B14,F$1,$B$1)</f>
        <v>20.236000000000001</v>
      </c>
      <c r="G14">
        <f>_xll.EQNXTDZ($A$1,$B14,G$1,$B$1)</f>
        <v>16.466000000000001</v>
      </c>
      <c r="H14">
        <f>_xll.EQNXTDZ($A$1,$B14,H$1,$B$1)</f>
        <v>25.614000000000001</v>
      </c>
      <c r="I14">
        <f>_xll.EQNXTDZ($A$1,$B14,I$1,$B$1)</f>
        <v>19.047999999999998</v>
      </c>
      <c r="J14">
        <f>_xll.EQNXTDZ($A$1,$B14,J$1,$B$1)</f>
        <v>26.553000000000001</v>
      </c>
      <c r="K14">
        <f>_xll.EQNXTDZ($A$1,$B14,K$1,$B$1)</f>
        <v>43.475000000000001</v>
      </c>
      <c r="L14">
        <f>_xll.EQNXTDZ($A$1,$B14,L$1,$B$1)</f>
        <v>43.805</v>
      </c>
      <c r="M14">
        <f>_xll.EQNXTDZ($A$1,$B14,M$1,$B$1)</f>
        <v>43.125999999999998</v>
      </c>
      <c r="N14">
        <f>_xll.EQNXTDZ($A$1,$B14,N$1,$B$1)</f>
        <v>61.015000000000001</v>
      </c>
      <c r="O14">
        <f>_xll.EQNXTDZ($A$1,$B14,O$1,$B$1)</f>
        <v>70.718999999999994</v>
      </c>
      <c r="P14">
        <f>_xll.EQNXTDZ($A$1,$B14,P$1,$B$1)</f>
        <v>78.486999999999995</v>
      </c>
      <c r="Q14">
        <f>_xll.EQNXTDZ($A$1,$B14,Q$1,$B$1)</f>
        <v>110.105</v>
      </c>
      <c r="R14">
        <f>_xll.EQNXTDZ($A$1,$B14,R$1,$B$1)</f>
        <v>103.788</v>
      </c>
      <c r="S14">
        <f>_xll.EQNXTDZ($A$1,$B14,S$1,$B$1)</f>
        <v>70.427000000000007</v>
      </c>
      <c r="T14">
        <f>_xll.EQNXTDZ($A$1,$B14,T$1,$B$1)</f>
        <v>89.47</v>
      </c>
      <c r="U14">
        <f>_xll.EQNXTDZ($A$1,$B14,U$1,$B$1)</f>
        <v>80.706999999999994</v>
      </c>
      <c r="V14">
        <f>_xll.EQNXTDZ($A$1,$B14,V$1,$B$1)</f>
        <v>103.652</v>
      </c>
      <c r="W14">
        <f>_xll.EQNXTDZ($A$1,$B14,W$1,$B$1)</f>
        <v>87.727000000000004</v>
      </c>
      <c r="X14">
        <f>_xll.EQNXTDZ($A$1,$B14,X$1,$B$1)</f>
        <v>65.534999999999997</v>
      </c>
      <c r="Y14">
        <f>_xll.EQNXTDZ($A$1,$B14,Y$1,$B$1)</f>
        <v>71.067999999999998</v>
      </c>
      <c r="Z14">
        <f>_xll.EQNXTDZ($A$1,$B14,Z$1,$B$1)</f>
        <v>149.66200000000001</v>
      </c>
      <c r="AA14">
        <f>_xll.EQNXTDZ($A$1,$B14,AA$1,$B$1)</f>
        <v>94.671999999999997</v>
      </c>
      <c r="AB14">
        <f>_xll.EQNXTDZ($A$1,$B14,AB$1,$B$1)</f>
        <v>110.188</v>
      </c>
      <c r="AC14">
        <f>_xll.EQNXTDZ($A$1,$B14,AC$1,$B$1)</f>
        <v>83.844999999999999</v>
      </c>
      <c r="AD14">
        <f>_xll.EQNXTDZ($A$1,$B14,AD$1,$B$1)</f>
        <v>88.727999999999994</v>
      </c>
      <c r="AE14">
        <f>_xll.EQNXTDZ($A$1,$B14,AE$1,$B$1)</f>
        <v>90.311000000000007</v>
      </c>
      <c r="AF14">
        <f>_xll.EQNXTDZ($A$1,$B14,AF$1,$B$1)</f>
        <v>72.203000000000003</v>
      </c>
      <c r="AG14">
        <f>_xll.EQNXTDZ($A$1,$B14,AG$1,$B$1)</f>
        <v>93.659000000000006</v>
      </c>
      <c r="AH14">
        <f>_xll.EQNXTDZ($A$1,$B14,AH$1,$B$1)</f>
        <v>68.578000000000003</v>
      </c>
      <c r="AI14">
        <f>_xll.EQNXTDZ($A$1,$B14,AI$1,$B$1)</f>
        <v>52.27</v>
      </c>
      <c r="AJ14">
        <f>_xll.EQNXTDZ($A$1,$B14,AJ$1,$B$1)</f>
        <v>56.69</v>
      </c>
      <c r="AK14">
        <f>_xll.EQNXTDZ($A$1,$B14,AK$1,$B$1)</f>
        <v>70.733000000000004</v>
      </c>
      <c r="AL14">
        <f>_xll.EQNXTDZ($A$1,$B14,AL$1,$B$1)</f>
        <v>76.105000000000004</v>
      </c>
      <c r="AM14">
        <f>_xll.EQNXTDZ($A$1,$B14,AM$1,$B$1)</f>
        <v>65.712999999999994</v>
      </c>
      <c r="AN14">
        <f>_xll.EQNXTDZ($A$1,$B14,AN$1,$B$1)</f>
        <v>67.804000000000002</v>
      </c>
      <c r="AO14">
        <f>_xll.EQNXTDZ($A$1,$B14,AO$1,$B$1)</f>
        <v>64.051000000000002</v>
      </c>
      <c r="AP14">
        <f>_xll.EQNXTDZ($A$1,$B14,AP$1,$B$1)</f>
        <v>68.046999999999997</v>
      </c>
      <c r="AQ14">
        <f>_xll.EQNXTDZ($A$1,$B14,AQ$1,$B$1)</f>
        <v>78.03</v>
      </c>
      <c r="AR14">
        <f>_xll.EQNXTDZ($A$1,$B14,AR$1,$B$1)</f>
        <v>77.680000000000007</v>
      </c>
      <c r="AS14">
        <f>_xll.EQNXTDZ($A$1,$B14,AS$1,$B$1)</f>
        <v>86.25</v>
      </c>
      <c r="AT14">
        <f>_xll.EQNXTDZ($A$1,$B14,AT$1,$B$1)</f>
        <v>84.77</v>
      </c>
      <c r="AU14">
        <f>_xll.EQNXTDZ($A$1,$B14,AU$1,$B$1)</f>
        <v>87.38</v>
      </c>
      <c r="AV14">
        <f>_xll.EQNXTDZ($A$1,$B14,AV$1,$B$1)</f>
        <v>98.69</v>
      </c>
      <c r="AW14">
        <f>_xll.EQNXTDZ($A$1,$B14,AW$1,$B$1)</f>
        <v>99.67</v>
      </c>
      <c r="AX14">
        <f>_xll.EQNXTDZ($A$1,$B14,AX$1,$B$1)</f>
        <v>126.58</v>
      </c>
      <c r="AY14">
        <f>_xll.EQNXTDZ($A$1,$B14,AY$1,$B$1)</f>
        <v>91.35</v>
      </c>
      <c r="AZ14">
        <f>_xll.EQNXTDZ($A$1,$B14,AZ$1,$B$1)</f>
        <v>109.04</v>
      </c>
      <c r="BA14">
        <f>_xll.EQNXTDZ($A$1,$B14,BA$1,$B$1)</f>
        <v>112.51</v>
      </c>
      <c r="BB14">
        <f>_xll.EQNXTDZ($A$1,$B14,BB$1,$B$1)</f>
        <v>134.19</v>
      </c>
      <c r="BC14">
        <f>_xll.EQNXTDZ($A$1,$B14,BC$1,$B$1)</f>
        <v>111.07</v>
      </c>
      <c r="BD14">
        <f>_xll.EQNXTDZ($A$1,$B14,BD$1,$B$1)</f>
        <v>108.53</v>
      </c>
      <c r="BE14">
        <f>_xll.EQNXTDZ($A$1,$B14,BE$1,$B$1)</f>
        <v>117.12</v>
      </c>
      <c r="BF14">
        <f>_xll.EQNXTDZ($A$1,$B14,BF$1,$B$1)</f>
        <v>139.77000000000001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17.992999999999999</v>
      </c>
      <c r="D16">
        <f>_xll.EQNXTDZ($A$1,$B16,D$1,$B$1)</f>
        <v>21.821000000000002</v>
      </c>
      <c r="E16">
        <f>_xll.EQNXTDZ($A$1,$B16,E$1,$B$1)</f>
        <v>19.361000000000001</v>
      </c>
      <c r="F16">
        <f>_xll.EQNXTDZ($A$1,$B16,F$1,$B$1)</f>
        <v>9.6199999999999992</v>
      </c>
      <c r="G16">
        <f>_xll.EQNXTDZ($A$1,$B16,G$1,$B$1)</f>
        <v>12.779</v>
      </c>
      <c r="H16">
        <f>_xll.EQNXTDZ($A$1,$B16,H$1,$B$1)</f>
        <v>12.887</v>
      </c>
      <c r="I16">
        <f>_xll.EQNXTDZ($A$1,$B16,I$1,$B$1)</f>
        <v>10.760999999999999</v>
      </c>
      <c r="J16">
        <f>_xll.EQNXTDZ($A$1,$B16,J$1,$B$1)</f>
        <v>6.7919999999999998</v>
      </c>
      <c r="K16">
        <f>_xll.EQNXTDZ($A$1,$B16,K$1,$B$1)</f>
        <v>38.896000000000001</v>
      </c>
      <c r="L16">
        <f>_xll.EQNXTDZ($A$1,$B16,L$1,$B$1)</f>
        <v>36.523000000000003</v>
      </c>
      <c r="M16">
        <f>_xll.EQNXTDZ($A$1,$B16,M$1,$B$1)</f>
        <v>35.531999999999996</v>
      </c>
      <c r="N16">
        <f>_xll.EQNXTDZ($A$1,$B16,N$1,$B$1)</f>
        <v>32.33</v>
      </c>
      <c r="O16">
        <f>_xll.EQNXTDZ($A$1,$B16,O$1,$B$1)</f>
        <v>34.789000000000001</v>
      </c>
      <c r="P16">
        <f>_xll.EQNXTDZ($A$1,$B16,P$1,$B$1)</f>
        <v>38.566000000000003</v>
      </c>
      <c r="Q16">
        <f>_xll.EQNXTDZ($A$1,$B16,Q$1,$B$1)</f>
        <v>38.305</v>
      </c>
      <c r="R16">
        <f>_xll.EQNXTDZ($A$1,$B16,R$1,$B$1)</f>
        <v>39.258000000000003</v>
      </c>
      <c r="S16">
        <f>_xll.EQNXTDZ($A$1,$B16,S$1,$B$1)</f>
        <v>39.052</v>
      </c>
      <c r="T16">
        <f>_xll.EQNXTDZ($A$1,$B16,T$1,$B$1)</f>
        <v>37.973999999999997</v>
      </c>
      <c r="U16">
        <f>_xll.EQNXTDZ($A$1,$B16,U$1,$B$1)</f>
        <v>38.99</v>
      </c>
      <c r="V16">
        <f>_xll.EQNXTDZ($A$1,$B16,V$1,$B$1)</f>
        <v>36.762</v>
      </c>
      <c r="W16">
        <f>_xll.EQNXTDZ($A$1,$B16,W$1,$B$1)</f>
        <v>37.533999999999999</v>
      </c>
      <c r="X16">
        <f>_xll.EQNXTDZ($A$1,$B16,X$1,$B$1)</f>
        <v>34.539000000000001</v>
      </c>
      <c r="Y16">
        <f>_xll.EQNXTDZ($A$1,$B16,Y$1,$B$1)</f>
        <v>34.982999999999997</v>
      </c>
      <c r="Z16">
        <f>_xll.EQNXTDZ($A$1,$B16,Z$1,$B$1)</f>
        <v>29.663</v>
      </c>
      <c r="AA16">
        <f>_xll.EQNXTDZ($A$1,$B16,AA$1,$B$1)</f>
        <v>35.834000000000003</v>
      </c>
      <c r="AB16">
        <f>_xll.EQNXTDZ($A$1,$B16,AB$1,$B$1)</f>
        <v>34.136000000000003</v>
      </c>
      <c r="AC16">
        <f>_xll.EQNXTDZ($A$1,$B16,AC$1,$B$1)</f>
        <v>38.771999999999998</v>
      </c>
      <c r="AD16">
        <f>_xll.EQNXTDZ($A$1,$B16,AD$1,$B$1)</f>
        <v>32.021000000000001</v>
      </c>
      <c r="AE16">
        <f>_xll.EQNXTDZ($A$1,$B16,AE$1,$B$1)</f>
        <v>34.061999999999998</v>
      </c>
      <c r="AF16">
        <f>_xll.EQNXTDZ($A$1,$B16,AF$1,$B$1)</f>
        <v>31.344999999999999</v>
      </c>
      <c r="AG16">
        <f>_xll.EQNXTDZ($A$1,$B16,AG$1,$B$1)</f>
        <v>34.322000000000003</v>
      </c>
      <c r="AH16">
        <f>_xll.EQNXTDZ($A$1,$B16,AH$1,$B$1)</f>
        <v>34.188000000000002</v>
      </c>
      <c r="AI16">
        <f>_xll.EQNXTDZ($A$1,$B16,AI$1,$B$1)</f>
        <v>32.414000000000001</v>
      </c>
      <c r="AJ16">
        <f>_xll.EQNXTDZ($A$1,$B16,AJ$1,$B$1)</f>
        <v>25.315000000000001</v>
      </c>
      <c r="AK16">
        <f>_xll.EQNXTDZ($A$1,$B16,AK$1,$B$1)</f>
        <v>25.38</v>
      </c>
      <c r="AL16">
        <f>_xll.EQNXTDZ($A$1,$B16,AL$1,$B$1)</f>
        <v>34.83</v>
      </c>
      <c r="AM16">
        <f>_xll.EQNXTDZ($A$1,$B16,AM$1,$B$1)</f>
        <v>33.012999999999998</v>
      </c>
      <c r="AN16">
        <f>_xll.EQNXTDZ($A$1,$B16,AN$1,$B$1)</f>
        <v>30.262</v>
      </c>
      <c r="AO16">
        <f>_xll.EQNXTDZ($A$1,$B16,AO$1,$B$1)</f>
        <v>30.431000000000001</v>
      </c>
      <c r="AP16">
        <f>_xll.EQNXTDZ($A$1,$B16,AP$1,$B$1)</f>
        <v>34.481000000000002</v>
      </c>
      <c r="AQ16">
        <f>_xll.EQNXTDZ($A$1,$B16,AQ$1,$B$1)</f>
        <v>41.36</v>
      </c>
      <c r="AR16">
        <f>_xll.EQNXTDZ($A$1,$B16,AR$1,$B$1)</f>
        <v>37.06</v>
      </c>
      <c r="AS16">
        <f>_xll.EQNXTDZ($A$1,$B16,AS$1,$B$1)</f>
        <v>40.049999999999997</v>
      </c>
      <c r="AT16">
        <f>_xll.EQNXTDZ($A$1,$B16,AT$1,$B$1)</f>
        <v>31.26</v>
      </c>
      <c r="AU16">
        <f>_xll.EQNXTDZ($A$1,$B16,AU$1,$B$1)</f>
        <v>45.89</v>
      </c>
      <c r="AV16">
        <f>_xll.EQNXTDZ($A$1,$B16,AV$1,$B$1)</f>
        <v>43.7</v>
      </c>
      <c r="AW16">
        <f>_xll.EQNXTDZ($A$1,$B16,AW$1,$B$1)</f>
        <v>43.41</v>
      </c>
      <c r="AX16">
        <f>_xll.EQNXTDZ($A$1,$B16,AX$1,$B$1)</f>
        <v>55.47</v>
      </c>
      <c r="AY16">
        <f>_xll.EQNXTDZ($A$1,$B16,AY$1,$B$1)</f>
        <v>47.04</v>
      </c>
      <c r="AZ16">
        <f>_xll.EQNXTDZ($A$1,$B16,AZ$1,$B$1)</f>
        <v>46.34</v>
      </c>
      <c r="BA16">
        <f>_xll.EQNXTDZ($A$1,$B16,BA$1,$B$1)</f>
        <v>47.86</v>
      </c>
      <c r="BB16">
        <f>_xll.EQNXTDZ($A$1,$B16,BB$1,$B$1)</f>
        <v>67.319999999999993</v>
      </c>
      <c r="BC16">
        <f>_xll.EQNXTDZ($A$1,$B16,BC$1,$B$1)</f>
        <v>59.3</v>
      </c>
      <c r="BD16">
        <f>_xll.EQNXTDZ($A$1,$B16,BD$1,$B$1)</f>
        <v>57.7</v>
      </c>
      <c r="BE16">
        <f>_xll.EQNXTDZ($A$1,$B16,BE$1,$B$1)</f>
        <v>58.67</v>
      </c>
      <c r="BF16">
        <f>_xll.EQNXTDZ($A$1,$B16,BF$1,$B$1)</f>
        <v>65.63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31.552</v>
      </c>
      <c r="D22">
        <f>_xll.EQNXTDZ($A$1,$B22,D$1,$B$1)</f>
        <v>60.468000000000004</v>
      </c>
      <c r="E22">
        <f>_xll.EQNXTDZ($A$1,$B22,E$1,$B$1)</f>
        <v>31.763999999999999</v>
      </c>
      <c r="F22">
        <f>_xll.EQNXTDZ($A$1,$B22,F$1,$B$1)</f>
        <v>24.646999999999998</v>
      </c>
      <c r="G22">
        <f>_xll.EQNXTDZ($A$1,$B22,G$1,$B$1)</f>
        <v>17.577000000000002</v>
      </c>
      <c r="H22">
        <f>_xll.EQNXTDZ($A$1,$B22,H$1,$B$1)</f>
        <v>24.51</v>
      </c>
      <c r="I22">
        <f>_xll.EQNXTDZ($A$1,$B22,I$1,$B$1)</f>
        <v>24.62</v>
      </c>
      <c r="J22">
        <f>_xll.EQNXTDZ($A$1,$B22,J$1,$B$1)</f>
        <v>33.362000000000002</v>
      </c>
      <c r="K22">
        <f>_xll.EQNXTDZ($A$1,$B22,K$1,$B$1)</f>
        <v>26.062999999999999</v>
      </c>
      <c r="L22">
        <f>_xll.EQNXTDZ($A$1,$B22,L$1,$B$1)</f>
        <v>24.977</v>
      </c>
      <c r="M22">
        <f>_xll.EQNXTDZ($A$1,$B22,M$1,$B$1)</f>
        <v>38.179000000000002</v>
      </c>
      <c r="N22">
        <f>_xll.EQNXTDZ($A$1,$B22,N$1,$B$1)</f>
        <v>84.191000000000003</v>
      </c>
      <c r="O22">
        <f>_xll.EQNXTDZ($A$1,$B22,O$1,$B$1)</f>
        <v>25.396000000000001</v>
      </c>
      <c r="P22">
        <f>_xll.EQNXTDZ($A$1,$B22,P$1,$B$1)</f>
        <v>42.813000000000002</v>
      </c>
      <c r="Q22">
        <f>_xll.EQNXTDZ($A$1,$B22,Q$1,$B$1)</f>
        <v>19.611999999999998</v>
      </c>
      <c r="R22">
        <f>_xll.EQNXTDZ($A$1,$B22,R$1,$B$1)</f>
        <v>75.983000000000004</v>
      </c>
      <c r="S22">
        <f>_xll.EQNXTDZ($A$1,$B22,S$1,$B$1)</f>
        <v>34.319000000000003</v>
      </c>
      <c r="T22">
        <f>_xll.EQNXTDZ($A$1,$B22,T$1,$B$1)</f>
        <v>14.753</v>
      </c>
      <c r="U22">
        <f>_xll.EQNXTDZ($A$1,$B22,U$1,$B$1)</f>
        <v>26.481000000000002</v>
      </c>
      <c r="V22">
        <f>_xll.EQNXTDZ($A$1,$B22,V$1,$B$1)</f>
        <v>87.578999999999994</v>
      </c>
      <c r="W22">
        <f>_xll.EQNXTDZ($A$1,$B22,W$1,$B$1)</f>
        <v>-9.3860000000000099</v>
      </c>
      <c r="X22">
        <f>_xll.EQNXTDZ($A$1,$B22,X$1,$B$1)</f>
        <v>22.047000000000001</v>
      </c>
      <c r="Y22">
        <f>_xll.EQNXTDZ($A$1,$B22,Y$1,$B$1)</f>
        <v>26.623000000000001</v>
      </c>
      <c r="Z22">
        <f>_xll.EQNXTDZ($A$1,$B22,Z$1,$B$1)</f>
        <v>78.671999999999997</v>
      </c>
      <c r="AA22">
        <f>_xll.EQNXTDZ($A$1,$B22,AA$1,$B$1)</f>
        <v>35.506</v>
      </c>
      <c r="AB22">
        <f>_xll.EQNXTDZ($A$1,$B22,AB$1,$B$1)</f>
        <v>33.151000000000003</v>
      </c>
      <c r="AC22">
        <f>_xll.EQNXTDZ($A$1,$B22,AC$1,$B$1)</f>
        <v>24.800999999999899</v>
      </c>
      <c r="AD22">
        <f>_xll.EQNXTDZ($A$1,$B22,AD$1,$B$1)</f>
        <v>48.076000000000001</v>
      </c>
      <c r="AE22">
        <f>_xll.EQNXTDZ($A$1,$B22,AE$1,$B$1)</f>
        <v>31.716000000000001</v>
      </c>
      <c r="AF22">
        <f>_xll.EQNXTDZ($A$1,$B22,AF$1,$B$1)</f>
        <v>40.034999999999997</v>
      </c>
      <c r="AG22">
        <f>_xll.EQNXTDZ($A$1,$B22,AG$1,$B$1)</f>
        <v>37.43</v>
      </c>
      <c r="AH22">
        <f>_xll.EQNXTDZ($A$1,$B22,AH$1,$B$1)</f>
        <v>28.265000000000001</v>
      </c>
      <c r="AI22">
        <f>_xll.EQNXTDZ($A$1,$B22,AI$1,$B$1)</f>
        <v>-2.6549999999999998</v>
      </c>
      <c r="AJ22">
        <f>_xll.EQNXTDZ($A$1,$B22,AJ$1,$B$1)</f>
        <v>58.795000000000002</v>
      </c>
      <c r="AK22">
        <f>_xll.EQNXTDZ($A$1,$B22,AK$1,$B$1)</f>
        <v>55.956000000000003</v>
      </c>
      <c r="AL22">
        <f>_xll.EQNXTDZ($A$1,$B22,AL$1,$B$1)</f>
        <v>73.510999999999996</v>
      </c>
      <c r="AM22">
        <f>_xll.EQNXTDZ($A$1,$B22,AM$1,$B$1)</f>
        <v>58.868000000000002</v>
      </c>
      <c r="AN22">
        <f>_xll.EQNXTDZ($A$1,$B22,AN$1,$B$1)</f>
        <v>66.674000000000007</v>
      </c>
      <c r="AO22">
        <f>_xll.EQNXTDZ($A$1,$B22,AO$1,$B$1)</f>
        <v>52.347000000000001</v>
      </c>
      <c r="AP22">
        <f>_xll.EQNXTDZ($A$1,$B22,AP$1,$B$1)</f>
        <v>68.549000000000007</v>
      </c>
      <c r="AQ22">
        <f>_xll.EQNXTDZ($A$1,$B22,AQ$1,$B$1)</f>
        <v>64.89</v>
      </c>
      <c r="AR22">
        <f>_xll.EQNXTDZ($A$1,$B22,AR$1,$B$1)</f>
        <v>92.590000000000103</v>
      </c>
      <c r="AS22">
        <f>_xll.EQNXTDZ($A$1,$B22,AS$1,$B$1)</f>
        <v>88.54</v>
      </c>
      <c r="AT22">
        <f>_xll.EQNXTDZ($A$1,$B22,AT$1,$B$1)</f>
        <v>92.85</v>
      </c>
      <c r="AU22">
        <f>_xll.EQNXTDZ($A$1,$B22,AU$1,$B$1)</f>
        <v>99.969999999999899</v>
      </c>
      <c r="AV22">
        <f>_xll.EQNXTDZ($A$1,$B22,AV$1,$B$1)</f>
        <v>118.74</v>
      </c>
      <c r="AW22">
        <f>_xll.EQNXTDZ($A$1,$B22,AW$1,$B$1)</f>
        <v>120.39</v>
      </c>
      <c r="AX22">
        <f>_xll.EQNXTDZ($A$1,$B22,AX$1,$B$1)</f>
        <v>135.36000000000001</v>
      </c>
      <c r="AY22">
        <f>_xll.EQNXTDZ($A$1,$B22,AY$1,$B$1)</f>
        <v>92.38</v>
      </c>
      <c r="AZ22">
        <f>_xll.EQNXTDZ($A$1,$B22,AZ$1,$B$1)</f>
        <v>112.3</v>
      </c>
      <c r="BA22">
        <f>_xll.EQNXTDZ($A$1,$B22,BA$1,$B$1)</f>
        <v>142.58000000000001</v>
      </c>
      <c r="BB22">
        <f>_xll.EQNXTDZ($A$1,$B22,BB$1,$B$1)</f>
        <v>195.33</v>
      </c>
      <c r="BC22">
        <f>_xll.EQNXTDZ($A$1,$B22,BC$1,$B$1)</f>
        <v>130.30000000000001</v>
      </c>
      <c r="BD22">
        <f>_xll.EQNXTDZ($A$1,$B22,BD$1,$B$1)</f>
        <v>125.64</v>
      </c>
      <c r="BE22">
        <f>_xll.EQNXTDZ($A$1,$B22,BE$1,$B$1)</f>
        <v>109.18</v>
      </c>
      <c r="BF22">
        <f>_xll.EQNXTDZ($A$1,$B22,BF$1,$B$1)</f>
        <v>158.02000000000001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4.2119999999999997</v>
      </c>
      <c r="D23">
        <f>_xll.EQNXTDZ($A$1,$B23,D$1,$B$1)</f>
        <v>1.734</v>
      </c>
      <c r="E23">
        <f>_xll.EQNXTDZ($A$1,$B23,E$1,$B$1)</f>
        <v>0.81599999999999995</v>
      </c>
      <c r="F23">
        <f>_xll.EQNXTDZ($A$1,$B23,F$1,$B$1)</f>
        <v>2.2909999999999999</v>
      </c>
      <c r="G23">
        <f>_xll.EQNXTDZ($A$1,$B23,G$1,$B$1)</f>
        <v>5.2190000000000003</v>
      </c>
      <c r="H23">
        <f>_xll.EQNXTDZ($A$1,$B23,H$1,$B$1)</f>
        <v>7.9429999999999996</v>
      </c>
      <c r="I23">
        <f>_xll.EQNXTDZ($A$1,$B23,I$1,$B$1)</f>
        <v>1.373</v>
      </c>
      <c r="J23">
        <f>_xll.EQNXTDZ($A$1,$B23,J$1,$B$1)</f>
        <v>3.0190000000000001</v>
      </c>
      <c r="K23">
        <f>_xll.EQNXTDZ($A$1,$B23,K$1,$B$1)</f>
        <v>4.6769999999999996</v>
      </c>
      <c r="L23">
        <f>_xll.EQNXTDZ($A$1,$B23,L$1,$B$1)</f>
        <v>1.2889999999999999</v>
      </c>
      <c r="M23">
        <f>_xll.EQNXTDZ($A$1,$B23,M$1,$B$1)</f>
        <v>1.359</v>
      </c>
      <c r="N23">
        <f>_xll.EQNXTDZ($A$1,$B23,N$1,$B$1)</f>
        <v>11.135999999999999</v>
      </c>
      <c r="O23">
        <f>_xll.EQNXTDZ($A$1,$B23,O$1,$B$1)</f>
        <v>2.3809999999999998</v>
      </c>
      <c r="P23">
        <f>_xll.EQNXTDZ($A$1,$B23,P$1,$B$1)</f>
        <v>1.62</v>
      </c>
      <c r="Q23">
        <f>_xll.EQNXTDZ($A$1,$B23,Q$1,$B$1)</f>
        <v>28.448</v>
      </c>
      <c r="R23">
        <f>_xll.EQNXTDZ($A$1,$B23,R$1,$B$1)</f>
        <v>-2.774</v>
      </c>
      <c r="S23">
        <f>_xll.EQNXTDZ($A$1,$B23,S$1,$B$1)</f>
        <v>1.76</v>
      </c>
      <c r="T23">
        <f>_xll.EQNXTDZ($A$1,$B23,T$1,$B$1)</f>
        <v>4.1859999999999999</v>
      </c>
      <c r="U23">
        <f>_xll.EQNXTDZ($A$1,$B23,U$1,$B$1)</f>
        <v>0.52800000000000002</v>
      </c>
      <c r="V23">
        <f>_xll.EQNXTDZ($A$1,$B23,V$1,$B$1)</f>
        <v>2.9820000000000002</v>
      </c>
      <c r="W23">
        <f>_xll.EQNXTDZ($A$1,$B23,W$1,$B$1)</f>
        <v>0.90800000000000003</v>
      </c>
      <c r="X23">
        <f>_xll.EQNXTDZ($A$1,$B23,X$1,$B$1)</f>
        <v>1.2809999999999999</v>
      </c>
      <c r="Y23">
        <f>_xll.EQNXTDZ($A$1,$B23,Y$1,$B$1)</f>
        <v>0.68100000000000005</v>
      </c>
      <c r="Z23">
        <f>_xll.EQNXTDZ($A$1,$B23,Z$1,$B$1)</f>
        <v>2.6030000000000002</v>
      </c>
      <c r="AA23">
        <f>_xll.EQNXTDZ($A$1,$B23,AA$1,$B$1)</f>
        <v>3.6920000000000002</v>
      </c>
      <c r="AB23">
        <f>_xll.EQNXTDZ($A$1,$B23,AB$1,$B$1)</f>
        <v>49.915999999999997</v>
      </c>
      <c r="AC23">
        <f>_xll.EQNXTDZ($A$1,$B23,AC$1,$B$1)</f>
        <v>11.218</v>
      </c>
      <c r="AD23">
        <f>_xll.EQNXTDZ($A$1,$B23,AD$1,$B$1)</f>
        <v>0.73799999999999999</v>
      </c>
      <c r="AE23">
        <f>_xll.EQNXTDZ($A$1,$B23,AE$1,$B$1)</f>
        <v>1.0740000000000001</v>
      </c>
      <c r="AF23">
        <f>_xll.EQNXTDZ($A$1,$B23,AF$1,$B$1)</f>
        <v>3.2189999999999999</v>
      </c>
      <c r="AG23">
        <f>_xll.EQNXTDZ($A$1,$B23,AG$1,$B$1)</f>
        <v>5.92</v>
      </c>
      <c r="AH23">
        <f>_xll.EQNXTDZ($A$1,$B23,AH$1,$B$1)</f>
        <v>0.56499999999999995</v>
      </c>
      <c r="AI23">
        <f>_xll.EQNXTDZ($A$1,$B23,AI$1,$B$1)</f>
        <v>1.1739999999999999</v>
      </c>
      <c r="AJ23">
        <f>_xll.EQNXTDZ($A$1,$B23,AJ$1,$B$1)</f>
        <v>1.778</v>
      </c>
      <c r="AK23">
        <f>_xll.EQNXTDZ($A$1,$B23,AK$1,$B$1)</f>
        <v>1.792</v>
      </c>
      <c r="AL23">
        <f>_xll.EQNXTDZ($A$1,$B23,AL$1,$B$1)</f>
        <v>0.98299999999999998</v>
      </c>
      <c r="AM23">
        <f>_xll.EQNXTDZ($A$1,$B23,AM$1,$B$1)</f>
        <v>1.762</v>
      </c>
      <c r="AN23">
        <f>_xll.EQNXTDZ($A$1,$B23,AN$1,$B$1)</f>
        <v>1.62</v>
      </c>
      <c r="AO23">
        <f>_xll.EQNXTDZ($A$1,$B23,AO$1,$B$1)</f>
        <v>1.3169999999999999</v>
      </c>
      <c r="AP23">
        <f>_xll.EQNXTDZ($A$1,$B23,AP$1,$B$1)</f>
        <v>3.8639999999999999</v>
      </c>
      <c r="AQ23">
        <f>_xll.EQNXTDZ($A$1,$B23,AQ$1,$B$1)</f>
        <v>4.46</v>
      </c>
      <c r="AR23">
        <f>_xll.EQNXTDZ($A$1,$B23,AR$1,$B$1)</f>
        <v>4.29</v>
      </c>
      <c r="AS23">
        <f>_xll.EQNXTDZ($A$1,$B23,AS$1,$B$1)</f>
        <v>3.5</v>
      </c>
      <c r="AT23">
        <f>_xll.EQNXTDZ($A$1,$B23,AT$1,$B$1)</f>
        <v>7.81</v>
      </c>
      <c r="AU23">
        <f>_xll.EQNXTDZ($A$1,$B23,AU$1,$B$1)</f>
        <v>8.5</v>
      </c>
      <c r="AV23">
        <f>_xll.EQNXTDZ($A$1,$B23,AV$1,$B$1)</f>
        <v>12.55</v>
      </c>
      <c r="AW23">
        <f>_xll.EQNXTDZ($A$1,$B23,AW$1,$B$1)</f>
        <v>9.98</v>
      </c>
      <c r="AX23">
        <f>_xll.EQNXTDZ($A$1,$B23,AX$1,$B$1)</f>
        <v>13.04</v>
      </c>
      <c r="AY23">
        <f>_xll.EQNXTDZ($A$1,$B23,AY$1,$B$1)</f>
        <v>14.43</v>
      </c>
      <c r="AZ23">
        <f>_xll.EQNXTDZ($A$1,$B23,AZ$1,$B$1)</f>
        <v>11.39</v>
      </c>
      <c r="BA23">
        <f>_xll.EQNXTDZ($A$1,$B23,BA$1,$B$1)</f>
        <v>15.64</v>
      </c>
      <c r="BB23">
        <f>_xll.EQNXTDZ($A$1,$B23,BB$1,$B$1)</f>
        <v>18.59</v>
      </c>
      <c r="BC23">
        <f>_xll.EQNXTDZ($A$1,$B23,BC$1,$B$1)</f>
        <v>26.43</v>
      </c>
      <c r="BD23">
        <f>_xll.EQNXTDZ($A$1,$B23,BD$1,$B$1)</f>
        <v>18.32</v>
      </c>
      <c r="BE23">
        <f>_xll.EQNXTDZ($A$1,$B23,BE$1,$B$1)</f>
        <v>18.850000000000001</v>
      </c>
      <c r="BF23">
        <f>_xll.EQNXTDZ($A$1,$B23,BF$1,$B$1)</f>
        <v>17.57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35.764000000000003</v>
      </c>
      <c r="D24">
        <f>_xll.EQNXTDZ($A$1,$B24,D$1,$B$1)</f>
        <v>62.201999999999998</v>
      </c>
      <c r="E24">
        <f>_xll.EQNXTDZ($A$1,$B24,E$1,$B$1)</f>
        <v>32.58</v>
      </c>
      <c r="F24">
        <f>_xll.EQNXTDZ($A$1,$B24,F$1,$B$1)</f>
        <v>26.937999999999999</v>
      </c>
      <c r="G24">
        <f>_xll.EQNXTDZ($A$1,$B24,G$1,$B$1)</f>
        <v>22.795999999999999</v>
      </c>
      <c r="H24">
        <f>_xll.EQNXTDZ($A$1,$B24,H$1,$B$1)</f>
        <v>32.453000000000003</v>
      </c>
      <c r="I24">
        <f>_xll.EQNXTDZ($A$1,$B24,I$1,$B$1)</f>
        <v>25.992999999999999</v>
      </c>
      <c r="J24">
        <f>_xll.EQNXTDZ($A$1,$B24,J$1,$B$1)</f>
        <v>36.381</v>
      </c>
      <c r="K24">
        <f>_xll.EQNXTDZ($A$1,$B24,K$1,$B$1)</f>
        <v>30.74</v>
      </c>
      <c r="L24">
        <f>_xll.EQNXTDZ($A$1,$B24,L$1,$B$1)</f>
        <v>26.265999999999998</v>
      </c>
      <c r="M24">
        <f>_xll.EQNXTDZ($A$1,$B24,M$1,$B$1)</f>
        <v>39.537999999999997</v>
      </c>
      <c r="N24">
        <f>_xll.EQNXTDZ($A$1,$B24,N$1,$B$1)</f>
        <v>95.326999999999998</v>
      </c>
      <c r="O24">
        <f>_xll.EQNXTDZ($A$1,$B24,O$1,$B$1)</f>
        <v>27.777000000000001</v>
      </c>
      <c r="P24">
        <f>_xll.EQNXTDZ($A$1,$B24,P$1,$B$1)</f>
        <v>44.433</v>
      </c>
      <c r="Q24">
        <f>_xll.EQNXTDZ($A$1,$B24,Q$1,$B$1)</f>
        <v>48.06</v>
      </c>
      <c r="R24">
        <f>_xll.EQNXTDZ($A$1,$B24,R$1,$B$1)</f>
        <v>73.209000000000003</v>
      </c>
      <c r="S24">
        <f>_xll.EQNXTDZ($A$1,$B24,S$1,$B$1)</f>
        <v>36.08</v>
      </c>
      <c r="T24">
        <f>_xll.EQNXTDZ($A$1,$B24,T$1,$B$1)</f>
        <v>18.939</v>
      </c>
      <c r="U24">
        <f>_xll.EQNXTDZ($A$1,$B24,U$1,$B$1)</f>
        <v>27.009</v>
      </c>
      <c r="V24">
        <f>_xll.EQNXTDZ($A$1,$B24,V$1,$B$1)</f>
        <v>90.561000000000007</v>
      </c>
      <c r="W24">
        <f>_xll.EQNXTDZ($A$1,$B24,W$1,$B$1)</f>
        <v>-8.4779999999999998</v>
      </c>
      <c r="X24">
        <f>_xll.EQNXTDZ($A$1,$B24,X$1,$B$1)</f>
        <v>23.327999999999999</v>
      </c>
      <c r="Y24">
        <f>_xll.EQNXTDZ($A$1,$B24,Y$1,$B$1)</f>
        <v>27.303999999999998</v>
      </c>
      <c r="Z24">
        <f>_xll.EQNXTDZ($A$1,$B24,Z$1,$B$1)</f>
        <v>81.275000000000006</v>
      </c>
      <c r="AA24">
        <f>_xll.EQNXTDZ($A$1,$B24,AA$1,$B$1)</f>
        <v>39.198</v>
      </c>
      <c r="AB24">
        <f>_xll.EQNXTDZ($A$1,$B24,AB$1,$B$1)</f>
        <v>83.066999999999993</v>
      </c>
      <c r="AC24">
        <f>_xll.EQNXTDZ($A$1,$B24,AC$1,$B$1)</f>
        <v>36.018999999999998</v>
      </c>
      <c r="AD24">
        <f>_xll.EQNXTDZ($A$1,$B24,AD$1,$B$1)</f>
        <v>48.814</v>
      </c>
      <c r="AE24">
        <f>_xll.EQNXTDZ($A$1,$B24,AE$1,$B$1)</f>
        <v>32.790999999999997</v>
      </c>
      <c r="AF24">
        <f>_xll.EQNXTDZ($A$1,$B24,AF$1,$B$1)</f>
        <v>43.253999999999998</v>
      </c>
      <c r="AG24">
        <f>_xll.EQNXTDZ($A$1,$B24,AG$1,$B$1)</f>
        <v>43.35</v>
      </c>
      <c r="AH24">
        <f>_xll.EQNXTDZ($A$1,$B24,AH$1,$B$1)</f>
        <v>28.83</v>
      </c>
      <c r="AI24">
        <f>_xll.EQNXTDZ($A$1,$B24,AI$1,$B$1)</f>
        <v>-1.4809999999999901</v>
      </c>
      <c r="AJ24">
        <f>_xll.EQNXTDZ($A$1,$B24,AJ$1,$B$1)</f>
        <v>60.573</v>
      </c>
      <c r="AK24">
        <f>_xll.EQNXTDZ($A$1,$B24,AK$1,$B$1)</f>
        <v>57.747999999999998</v>
      </c>
      <c r="AL24">
        <f>_xll.EQNXTDZ($A$1,$B24,AL$1,$B$1)</f>
        <v>74.495000000000005</v>
      </c>
      <c r="AM24">
        <f>_xll.EQNXTDZ($A$1,$B24,AM$1,$B$1)</f>
        <v>60.628999999999998</v>
      </c>
      <c r="AN24">
        <f>_xll.EQNXTDZ($A$1,$B24,AN$1,$B$1)</f>
        <v>68.293999999999997</v>
      </c>
      <c r="AO24">
        <f>_xll.EQNXTDZ($A$1,$B24,AO$1,$B$1)</f>
        <v>53.664000000000001</v>
      </c>
      <c r="AP24">
        <f>_xll.EQNXTDZ($A$1,$B24,AP$1,$B$1)</f>
        <v>72.412000000000006</v>
      </c>
      <c r="AQ24">
        <f>_xll.EQNXTDZ($A$1,$B24,AQ$1,$B$1)</f>
        <v>69.349999999999994</v>
      </c>
      <c r="AR24">
        <f>_xll.EQNXTDZ($A$1,$B24,AR$1,$B$1)</f>
        <v>96.880000000000095</v>
      </c>
      <c r="AS24">
        <f>_xll.EQNXTDZ($A$1,$B24,AS$1,$B$1)</f>
        <v>92.04</v>
      </c>
      <c r="AT24">
        <f>_xll.EQNXTDZ($A$1,$B24,AT$1,$B$1)</f>
        <v>100.66</v>
      </c>
      <c r="AU24">
        <f>_xll.EQNXTDZ($A$1,$B24,AU$1,$B$1)</f>
        <v>108.47</v>
      </c>
      <c r="AV24">
        <f>_xll.EQNXTDZ($A$1,$B24,AV$1,$B$1)</f>
        <v>131.29</v>
      </c>
      <c r="AW24">
        <f>_xll.EQNXTDZ($A$1,$B24,AW$1,$B$1)</f>
        <v>130.37</v>
      </c>
      <c r="AX24">
        <f>_xll.EQNXTDZ($A$1,$B24,AX$1,$B$1)</f>
        <v>148.4</v>
      </c>
      <c r="AY24">
        <f>_xll.EQNXTDZ($A$1,$B24,AY$1,$B$1)</f>
        <v>106.81</v>
      </c>
      <c r="AZ24">
        <f>_xll.EQNXTDZ($A$1,$B24,AZ$1,$B$1)</f>
        <v>123.69</v>
      </c>
      <c r="BA24">
        <f>_xll.EQNXTDZ($A$1,$B24,BA$1,$B$1)</f>
        <v>158.22</v>
      </c>
      <c r="BB24">
        <f>_xll.EQNXTDZ($A$1,$B24,BB$1,$B$1)</f>
        <v>213.92</v>
      </c>
      <c r="BC24">
        <f>_xll.EQNXTDZ($A$1,$B24,BC$1,$B$1)</f>
        <v>156.72999999999999</v>
      </c>
      <c r="BD24">
        <f>_xll.EQNXTDZ($A$1,$B24,BD$1,$B$1)</f>
        <v>143.96</v>
      </c>
      <c r="BE24">
        <f>_xll.EQNXTDZ($A$1,$B24,BE$1,$B$1)</f>
        <v>128.03</v>
      </c>
      <c r="BF24">
        <f>_xll.EQNXTDZ($A$1,$B24,BF$1,$B$1)</f>
        <v>175.59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14.93</v>
      </c>
      <c r="D25">
        <f>_xll.EQNXTDZ($A$1,$B25,D$1,$B$1)</f>
        <v>16.367999999999999</v>
      </c>
      <c r="E25">
        <f>_xll.EQNXTDZ($A$1,$B25,E$1,$B$1)</f>
        <v>12.435</v>
      </c>
      <c r="F25">
        <f>_xll.EQNXTDZ($A$1,$B25,F$1,$B$1)</f>
        <v>5.9260000000000002</v>
      </c>
      <c r="G25">
        <f>_xll.EQNXTDZ($A$1,$B25,G$1,$B$1)</f>
        <v>6.484</v>
      </c>
      <c r="H25">
        <f>_xll.EQNXTDZ($A$1,$B25,H$1,$B$1)</f>
        <v>8.7899999999999991</v>
      </c>
      <c r="I25">
        <f>_xll.EQNXTDZ($A$1,$B25,I$1,$B$1)</f>
        <v>8.59</v>
      </c>
      <c r="J25">
        <f>_xll.EQNXTDZ($A$1,$B25,J$1,$B$1)</f>
        <v>9.3840000000000003</v>
      </c>
      <c r="K25">
        <f>_xll.EQNXTDZ($A$1,$B25,K$1,$B$1)</f>
        <v>17.809000000000001</v>
      </c>
      <c r="L25">
        <f>_xll.EQNXTDZ($A$1,$B25,L$1,$B$1)</f>
        <v>16.513000000000002</v>
      </c>
      <c r="M25">
        <f>_xll.EQNXTDZ($A$1,$B25,M$1,$B$1)</f>
        <v>25.265999999999998</v>
      </c>
      <c r="N25">
        <f>_xll.EQNXTDZ($A$1,$B25,N$1,$B$1)</f>
        <v>24.686</v>
      </c>
      <c r="O25">
        <f>_xll.EQNXTDZ($A$1,$B25,O$1,$B$1)</f>
        <v>15.901</v>
      </c>
      <c r="P25">
        <f>_xll.EQNXTDZ($A$1,$B25,P$1,$B$1)</f>
        <v>18.725000000000001</v>
      </c>
      <c r="Q25">
        <f>_xll.EQNXTDZ($A$1,$B25,Q$1,$B$1)</f>
        <v>20.547999999999998</v>
      </c>
      <c r="R25">
        <f>_xll.EQNXTDZ($A$1,$B25,R$1,$B$1)</f>
        <v>19.545999999999999</v>
      </c>
      <c r="S25">
        <f>_xll.EQNXTDZ($A$1,$B25,S$1,$B$1)</f>
        <v>20.321999999999999</v>
      </c>
      <c r="T25">
        <f>_xll.EQNXTDZ($A$1,$B25,T$1,$B$1)</f>
        <v>15.907</v>
      </c>
      <c r="U25">
        <f>_xll.EQNXTDZ($A$1,$B25,U$1,$B$1)</f>
        <v>24.431999999999999</v>
      </c>
      <c r="V25">
        <f>_xll.EQNXTDZ($A$1,$B25,V$1,$B$1)</f>
        <v>18.913</v>
      </c>
      <c r="W25">
        <f>_xll.EQNXTDZ($A$1,$B25,W$1,$B$1)</f>
        <v>15.349</v>
      </c>
      <c r="X25">
        <f>_xll.EQNXTDZ($A$1,$B25,X$1,$B$1)</f>
        <v>17.498000000000001</v>
      </c>
      <c r="Y25">
        <f>_xll.EQNXTDZ($A$1,$B25,Y$1,$B$1)</f>
        <v>17.100999999999999</v>
      </c>
      <c r="Z25">
        <f>_xll.EQNXTDZ($A$1,$B25,Z$1,$B$1)</f>
        <v>17.641999999999999</v>
      </c>
      <c r="AA25">
        <f>_xll.EQNXTDZ($A$1,$B25,AA$1,$B$1)</f>
        <v>18.145</v>
      </c>
      <c r="AB25">
        <f>_xll.EQNXTDZ($A$1,$B25,AB$1,$B$1)</f>
        <v>17.486000000000001</v>
      </c>
      <c r="AC25">
        <f>_xll.EQNXTDZ($A$1,$B25,AC$1,$B$1)</f>
        <v>17.376000000000001</v>
      </c>
      <c r="AD25">
        <f>_xll.EQNXTDZ($A$1,$B25,AD$1,$B$1)</f>
        <v>21.797999999999998</v>
      </c>
      <c r="AE25">
        <f>_xll.EQNXTDZ($A$1,$B25,AE$1,$B$1)</f>
        <v>19.512</v>
      </c>
      <c r="AF25">
        <f>_xll.EQNXTDZ($A$1,$B25,AF$1,$B$1)</f>
        <v>18.898</v>
      </c>
      <c r="AG25">
        <f>_xll.EQNXTDZ($A$1,$B25,AG$1,$B$1)</f>
        <v>19.835000000000001</v>
      </c>
      <c r="AH25">
        <f>_xll.EQNXTDZ($A$1,$B25,AH$1,$B$1)</f>
        <v>18.79</v>
      </c>
      <c r="AI25">
        <f>_xll.EQNXTDZ($A$1,$B25,AI$1,$B$1)</f>
        <v>16.484999999999999</v>
      </c>
      <c r="AJ25">
        <f>_xll.EQNXTDZ($A$1,$B25,AJ$1,$B$1)</f>
        <v>14.677</v>
      </c>
      <c r="AK25">
        <f>_xll.EQNXTDZ($A$1,$B25,AK$1,$B$1)</f>
        <v>14.202999999999999</v>
      </c>
      <c r="AL25">
        <f>_xll.EQNXTDZ($A$1,$B25,AL$1,$B$1)</f>
        <v>14.441000000000001</v>
      </c>
      <c r="AM25">
        <f>_xll.EQNXTDZ($A$1,$B25,AM$1,$B$1)</f>
        <v>13.531000000000001</v>
      </c>
      <c r="AN25">
        <f>_xll.EQNXTDZ($A$1,$B25,AN$1,$B$1)</f>
        <v>11.659000000000001</v>
      </c>
      <c r="AO25">
        <f>_xll.EQNXTDZ($A$1,$B25,AO$1,$B$1)</f>
        <v>4.827</v>
      </c>
      <c r="AP25">
        <f>_xll.EQNXTDZ($A$1,$B25,AP$1,$B$1)</f>
        <v>7.3239999999999998</v>
      </c>
      <c r="AQ25">
        <f>_xll.EQNXTDZ($A$1,$B25,AQ$1,$B$1)</f>
        <v>4.1100000000000003</v>
      </c>
      <c r="AR25">
        <f>_xll.EQNXTDZ($A$1,$B25,AR$1,$B$1)</f>
        <v>2.76</v>
      </c>
      <c r="AS25">
        <f>_xll.EQNXTDZ($A$1,$B25,AS$1,$B$1)</f>
        <v>1.84</v>
      </c>
      <c r="AT25">
        <f>_xll.EQNXTDZ($A$1,$B25,AT$1,$B$1)</f>
        <v>4.5999999999999996</v>
      </c>
      <c r="AU25">
        <f>_xll.EQNXTDZ($A$1,$B25,AU$1,$B$1)</f>
        <v>2.4700000000000002</v>
      </c>
      <c r="AV25">
        <f>_xll.EQNXTDZ($A$1,$B25,AV$1,$B$1)</f>
        <v>2.63</v>
      </c>
      <c r="AW25">
        <f>_xll.EQNXTDZ($A$1,$B25,AW$1,$B$1)</f>
        <v>1.49</v>
      </c>
      <c r="AX25">
        <f>_xll.EQNXTDZ($A$1,$B25,AX$1,$B$1)</f>
        <v>2.0499999999999998</v>
      </c>
      <c r="AY25">
        <f>_xll.EQNXTDZ($A$1,$B25,AY$1,$B$1)</f>
        <v>2.29</v>
      </c>
      <c r="AZ25">
        <f>_xll.EQNXTDZ($A$1,$B25,AZ$1,$B$1)</f>
        <v>2.19</v>
      </c>
      <c r="BA25">
        <f>_xll.EQNXTDZ($A$1,$B25,BA$1,$B$1)</f>
        <v>3.46</v>
      </c>
      <c r="BB25">
        <f>_xll.EQNXTDZ($A$1,$B25,BB$1,$B$1)</f>
        <v>5.0999999999999996</v>
      </c>
      <c r="BC25">
        <f>_xll.EQNXTDZ($A$1,$B25,BC$1,$B$1)</f>
        <v>6.15</v>
      </c>
      <c r="BD25">
        <f>_xll.EQNXTDZ($A$1,$B25,BD$1,$B$1)</f>
        <v>5.69</v>
      </c>
      <c r="BE25">
        <f>_xll.EQNXTDZ($A$1,$B25,BE$1,$B$1)</f>
        <v>6.82</v>
      </c>
      <c r="BF25">
        <f>_xll.EQNXTDZ($A$1,$B25,BF$1,$B$1)</f>
        <v>6.25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80.47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-101.77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20.834</v>
      </c>
      <c r="D27">
        <f>_xll.EQNXTDZ($A$1,$B27,D$1,$B$1)</f>
        <v>45.834000000000003</v>
      </c>
      <c r="E27">
        <f>_xll.EQNXTDZ($A$1,$B27,E$1,$B$1)</f>
        <v>20.145</v>
      </c>
      <c r="F27">
        <f>_xll.EQNXTDZ($A$1,$B27,F$1,$B$1)</f>
        <v>21.012</v>
      </c>
      <c r="G27">
        <f>_xll.EQNXTDZ($A$1,$B27,G$1,$B$1)</f>
        <v>16.312000000000001</v>
      </c>
      <c r="H27">
        <f>_xll.EQNXTDZ($A$1,$B27,H$1,$B$1)</f>
        <v>23.663</v>
      </c>
      <c r="I27">
        <f>_xll.EQNXTDZ($A$1,$B27,I$1,$B$1)</f>
        <v>17.402999999999999</v>
      </c>
      <c r="J27">
        <f>_xll.EQNXTDZ($A$1,$B27,J$1,$B$1)</f>
        <v>26.997</v>
      </c>
      <c r="K27">
        <f>_xll.EQNXTDZ($A$1,$B27,K$1,$B$1)</f>
        <v>12.930999999999999</v>
      </c>
      <c r="L27">
        <f>_xll.EQNXTDZ($A$1,$B27,L$1,$B$1)</f>
        <v>9.7530000000000001</v>
      </c>
      <c r="M27">
        <f>_xll.EQNXTDZ($A$1,$B27,M$1,$B$1)</f>
        <v>14.272</v>
      </c>
      <c r="N27">
        <f>_xll.EQNXTDZ($A$1,$B27,N$1,$B$1)</f>
        <v>70.641000000000005</v>
      </c>
      <c r="O27">
        <f>_xll.EQNXTDZ($A$1,$B27,O$1,$B$1)</f>
        <v>11.875999999999999</v>
      </c>
      <c r="P27">
        <f>_xll.EQNXTDZ($A$1,$B27,P$1,$B$1)</f>
        <v>25.707999999999998</v>
      </c>
      <c r="Q27">
        <f>_xll.EQNXTDZ($A$1,$B27,Q$1,$B$1)</f>
        <v>27.512</v>
      </c>
      <c r="R27">
        <f>_xll.EQNXTDZ($A$1,$B27,R$1,$B$1)</f>
        <v>53.662999999999997</v>
      </c>
      <c r="S27">
        <f>_xll.EQNXTDZ($A$1,$B27,S$1,$B$1)</f>
        <v>15.757999999999999</v>
      </c>
      <c r="T27">
        <f>_xll.EQNXTDZ($A$1,$B27,T$1,$B$1)</f>
        <v>3.032</v>
      </c>
      <c r="U27">
        <f>_xll.EQNXTDZ($A$1,$B27,U$1,$B$1)</f>
        <v>2.577</v>
      </c>
      <c r="V27">
        <f>_xll.EQNXTDZ($A$1,$B27,V$1,$B$1)</f>
        <v>71.647999999999996</v>
      </c>
      <c r="W27">
        <f>_xll.EQNXTDZ($A$1,$B27,W$1,$B$1)</f>
        <v>-23.827000000000002</v>
      </c>
      <c r="X27">
        <f>_xll.EQNXTDZ($A$1,$B27,X$1,$B$1)</f>
        <v>5.83</v>
      </c>
      <c r="Y27">
        <f>_xll.EQNXTDZ($A$1,$B27,Y$1,$B$1)</f>
        <v>10.202999999999999</v>
      </c>
      <c r="Z27">
        <f>_xll.EQNXTDZ($A$1,$B27,Z$1,$B$1)</f>
        <v>63.633000000000003</v>
      </c>
      <c r="AA27">
        <f>_xll.EQNXTDZ($A$1,$B27,AA$1,$B$1)</f>
        <v>21.053000000000001</v>
      </c>
      <c r="AB27">
        <f>_xll.EQNXTDZ($A$1,$B27,AB$1,$B$1)</f>
        <v>65.581000000000003</v>
      </c>
      <c r="AC27">
        <f>_xll.EQNXTDZ($A$1,$B27,AC$1,$B$1)</f>
        <v>18.643000000000001</v>
      </c>
      <c r="AD27">
        <f>_xll.EQNXTDZ($A$1,$B27,AD$1,$B$1)</f>
        <v>27.015999999999998</v>
      </c>
      <c r="AE27">
        <f>_xll.EQNXTDZ($A$1,$B27,AE$1,$B$1)</f>
        <v>13.279</v>
      </c>
      <c r="AF27">
        <f>_xll.EQNXTDZ($A$1,$B27,AF$1,$B$1)</f>
        <v>24.356000000000002</v>
      </c>
      <c r="AG27">
        <f>_xll.EQNXTDZ($A$1,$B27,AG$1,$B$1)</f>
        <v>23.515000000000001</v>
      </c>
      <c r="AH27">
        <f>_xll.EQNXTDZ($A$1,$B27,AH$1,$B$1)</f>
        <v>10.039999999999999</v>
      </c>
      <c r="AI27">
        <f>_xll.EQNXTDZ($A$1,$B27,AI$1,$B$1)</f>
        <v>-17.966000000000001</v>
      </c>
      <c r="AJ27">
        <f>_xll.EQNXTDZ($A$1,$B27,AJ$1,$B$1)</f>
        <v>45.896000000000001</v>
      </c>
      <c r="AK27">
        <f>_xll.EQNXTDZ($A$1,$B27,AK$1,$B$1)</f>
        <v>43.545000000000002</v>
      </c>
      <c r="AL27">
        <f>_xll.EQNXTDZ($A$1,$B27,AL$1,$B$1)</f>
        <v>60.054000000000002</v>
      </c>
      <c r="AM27">
        <f>_xll.EQNXTDZ($A$1,$B27,AM$1,$B$1)</f>
        <v>47.097999999999999</v>
      </c>
      <c r="AN27">
        <f>_xll.EQNXTDZ($A$1,$B27,AN$1,$B$1)</f>
        <v>56.634999999999998</v>
      </c>
      <c r="AO27">
        <f>_xll.EQNXTDZ($A$1,$B27,AO$1,$B$1)</f>
        <v>48.837000000000003</v>
      </c>
      <c r="AP27">
        <f>_xll.EQNXTDZ($A$1,$B27,AP$1,$B$1)</f>
        <v>65.087999999999994</v>
      </c>
      <c r="AQ27">
        <f>_xll.EQNXTDZ($A$1,$B27,AQ$1,$B$1)</f>
        <v>65.239999999999995</v>
      </c>
      <c r="AR27">
        <f>_xll.EQNXTDZ($A$1,$B27,AR$1,$B$1)</f>
        <v>94.120000000000104</v>
      </c>
      <c r="AS27">
        <f>_xll.EQNXTDZ($A$1,$B27,AS$1,$B$1)</f>
        <v>90.2</v>
      </c>
      <c r="AT27">
        <f>_xll.EQNXTDZ($A$1,$B27,AT$1,$B$1)</f>
        <v>96.06</v>
      </c>
      <c r="AU27">
        <f>_xll.EQNXTDZ($A$1,$B27,AU$1,$B$1)</f>
        <v>106</v>
      </c>
      <c r="AV27">
        <f>_xll.EQNXTDZ($A$1,$B27,AV$1,$B$1)</f>
        <v>128.66</v>
      </c>
      <c r="AW27">
        <f>_xll.EQNXTDZ($A$1,$B27,AW$1,$B$1)</f>
        <v>128.88</v>
      </c>
      <c r="AX27">
        <f>_xll.EQNXTDZ($A$1,$B27,AX$1,$B$1)</f>
        <v>146.35</v>
      </c>
      <c r="AY27">
        <f>_xll.EQNXTDZ($A$1,$B27,AY$1,$B$1)</f>
        <v>104.52</v>
      </c>
      <c r="AZ27">
        <f>_xll.EQNXTDZ($A$1,$B27,AZ$1,$B$1)</f>
        <v>121.5</v>
      </c>
      <c r="BA27">
        <f>_xll.EQNXTDZ($A$1,$B27,BA$1,$B$1)</f>
        <v>154.76</v>
      </c>
      <c r="BB27">
        <f>_xll.EQNXTDZ($A$1,$B27,BB$1,$B$1)</f>
        <v>208.82</v>
      </c>
      <c r="BC27">
        <f>_xll.EQNXTDZ($A$1,$B27,BC$1,$B$1)</f>
        <v>231.05</v>
      </c>
      <c r="BD27">
        <f>_xll.EQNXTDZ($A$1,$B27,BD$1,$B$1)</f>
        <v>138.27000000000001</v>
      </c>
      <c r="BE27">
        <f>_xll.EQNXTDZ($A$1,$B27,BE$1,$B$1)</f>
        <v>121.21</v>
      </c>
      <c r="BF27">
        <f>_xll.EQNXTDZ($A$1,$B27,BF$1,$B$1)</f>
        <v>67.569999999999993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11.411</v>
      </c>
      <c r="D28">
        <f>_xll.EQNXTDZ($A$1,$B28,D$1,$B$1)</f>
        <v>12.071999999999999</v>
      </c>
      <c r="E28">
        <f>_xll.EQNXTDZ($A$1,$B28,E$1,$B$1)</f>
        <v>12.038</v>
      </c>
      <c r="F28">
        <f>_xll.EQNXTDZ($A$1,$B28,F$1,$B$1)</f>
        <v>12.108000000000001</v>
      </c>
      <c r="G28">
        <f>_xll.EQNXTDZ($A$1,$B28,G$1,$B$1)</f>
        <v>11.378</v>
      </c>
      <c r="H28">
        <f>_xll.EQNXTDZ($A$1,$B28,H$1,$B$1)</f>
        <v>11.351000000000001</v>
      </c>
      <c r="I28">
        <f>_xll.EQNXTDZ($A$1,$B28,I$1,$B$1)</f>
        <v>11.484</v>
      </c>
      <c r="J28">
        <f>_xll.EQNXTDZ($A$1,$B28,J$1,$B$1)</f>
        <v>11.21</v>
      </c>
      <c r="K28">
        <f>_xll.EQNXTDZ($A$1,$B28,K$1,$B$1)</f>
        <v>19.446999999999999</v>
      </c>
      <c r="L28">
        <f>_xll.EQNXTDZ($A$1,$B28,L$1,$B$1)</f>
        <v>15.053000000000001</v>
      </c>
      <c r="M28">
        <f>_xll.EQNXTDZ($A$1,$B28,M$1,$B$1)</f>
        <v>16.89</v>
      </c>
      <c r="N28">
        <f>_xll.EQNXTDZ($A$1,$B28,N$1,$B$1)</f>
        <v>20.189</v>
      </c>
      <c r="O28">
        <f>_xll.EQNXTDZ($A$1,$B28,O$1,$B$1)</f>
        <v>15.686999999999999</v>
      </c>
      <c r="P28">
        <f>_xll.EQNXTDZ($A$1,$B28,P$1,$B$1)</f>
        <v>15.909000000000001</v>
      </c>
      <c r="Q28">
        <f>_xll.EQNXTDZ($A$1,$B28,Q$1,$B$1)</f>
        <v>16.013999999999999</v>
      </c>
      <c r="R28">
        <f>_xll.EQNXTDZ($A$1,$B28,R$1,$B$1)</f>
        <v>14.513</v>
      </c>
      <c r="S28">
        <f>_xll.EQNXTDZ($A$1,$B28,S$1,$B$1)</f>
        <v>14.317</v>
      </c>
      <c r="T28">
        <f>_xll.EQNXTDZ($A$1,$B28,T$1,$B$1)</f>
        <v>14.307</v>
      </c>
      <c r="U28">
        <f>_xll.EQNXTDZ($A$1,$B28,U$1,$B$1)</f>
        <v>14.156000000000001</v>
      </c>
      <c r="V28">
        <f>_xll.EQNXTDZ($A$1,$B28,V$1,$B$1)</f>
        <v>10.459</v>
      </c>
      <c r="W28">
        <f>_xll.EQNXTDZ($A$1,$B28,W$1,$B$1)</f>
        <v>12.304</v>
      </c>
      <c r="X28">
        <f>_xll.EQNXTDZ($A$1,$B28,X$1,$B$1)</f>
        <v>12.936999999999999</v>
      </c>
      <c r="Y28">
        <f>_xll.EQNXTDZ($A$1,$B28,Y$1,$B$1)</f>
        <v>13.038</v>
      </c>
      <c r="Z28">
        <f>_xll.EQNXTDZ($A$1,$B28,Z$1,$B$1)</f>
        <v>14.644</v>
      </c>
      <c r="AA28">
        <f>_xll.EQNXTDZ($A$1,$B28,AA$1,$B$1)</f>
        <v>11.988</v>
      </c>
      <c r="AB28">
        <f>_xll.EQNXTDZ($A$1,$B28,AB$1,$B$1)</f>
        <v>12.163</v>
      </c>
      <c r="AC28">
        <f>_xll.EQNXTDZ($A$1,$B28,AC$1,$B$1)</f>
        <v>11.994999999999999</v>
      </c>
      <c r="AD28">
        <f>_xll.EQNXTDZ($A$1,$B28,AD$1,$B$1)</f>
        <v>11.747</v>
      </c>
      <c r="AE28">
        <f>_xll.EQNXTDZ($A$1,$B28,AE$1,$B$1)</f>
        <v>12.063000000000001</v>
      </c>
      <c r="AF28">
        <f>_xll.EQNXTDZ($A$1,$B28,AF$1,$B$1)</f>
        <v>12.645</v>
      </c>
      <c r="AG28">
        <f>_xll.EQNXTDZ($A$1,$B28,AG$1,$B$1)</f>
        <v>12.52</v>
      </c>
      <c r="AH28">
        <f>_xll.EQNXTDZ($A$1,$B28,AH$1,$B$1)</f>
        <v>16.030999999999999</v>
      </c>
      <c r="AI28">
        <f>_xll.EQNXTDZ($A$1,$B28,AI$1,$B$1)</f>
        <v>13.13</v>
      </c>
      <c r="AJ28">
        <f>_xll.EQNXTDZ($A$1,$B28,AJ$1,$B$1)</f>
        <v>13.217000000000001</v>
      </c>
      <c r="AK28">
        <f>_xll.EQNXTDZ($A$1,$B28,AK$1,$B$1)</f>
        <v>12.801</v>
      </c>
      <c r="AL28">
        <f>_xll.EQNXTDZ($A$1,$B28,AL$1,$B$1)</f>
        <v>12.964</v>
      </c>
      <c r="AM28">
        <f>_xll.EQNXTDZ($A$1,$B28,AM$1,$B$1)</f>
        <v>12.241</v>
      </c>
      <c r="AN28">
        <f>_xll.EQNXTDZ($A$1,$B28,AN$1,$B$1)</f>
        <v>12.359</v>
      </c>
      <c r="AO28">
        <f>_xll.EQNXTDZ($A$1,$B28,AO$1,$B$1)</f>
        <v>12.055</v>
      </c>
      <c r="AP28">
        <f>_xll.EQNXTDZ($A$1,$B28,AP$1,$B$1)</f>
        <v>11.920999999999999</v>
      </c>
      <c r="AQ28">
        <f>_xll.EQNXTDZ($A$1,$B28,AQ$1,$B$1)</f>
        <v>11.42</v>
      </c>
      <c r="AR28">
        <f>_xll.EQNXTDZ($A$1,$B28,AR$1,$B$1)</f>
        <v>11.9</v>
      </c>
      <c r="AS28">
        <f>_xll.EQNXTDZ($A$1,$B28,AS$1,$B$1)</f>
        <v>12.11</v>
      </c>
      <c r="AT28">
        <f>_xll.EQNXTDZ($A$1,$B28,AT$1,$B$1)</f>
        <v>13.6</v>
      </c>
      <c r="AU28">
        <f>_xll.EQNXTDZ($A$1,$B28,AU$1,$B$1)</f>
        <v>12.42</v>
      </c>
      <c r="AV28">
        <f>_xll.EQNXTDZ($A$1,$B28,AV$1,$B$1)</f>
        <v>13.28</v>
      </c>
      <c r="AW28">
        <f>_xll.EQNXTDZ($A$1,$B28,AW$1,$B$1)</f>
        <v>12.64</v>
      </c>
      <c r="AX28">
        <f>_xll.EQNXTDZ($A$1,$B28,AX$1,$B$1)</f>
        <v>12.58</v>
      </c>
      <c r="AY28">
        <f>_xll.EQNXTDZ($A$1,$B28,AY$1,$B$1)</f>
        <v>12.83</v>
      </c>
      <c r="AZ28">
        <f>_xll.EQNXTDZ($A$1,$B28,AZ$1,$B$1)</f>
        <v>13.13</v>
      </c>
      <c r="BA28">
        <f>_xll.EQNXTDZ($A$1,$B28,BA$1,$B$1)</f>
        <v>15.54</v>
      </c>
      <c r="BB28">
        <f>_xll.EQNXTDZ($A$1,$B28,BB$1,$B$1)</f>
        <v>19.260000000000002</v>
      </c>
      <c r="BC28">
        <f>_xll.EQNXTDZ($A$1,$B28,BC$1,$B$1)</f>
        <v>24.54</v>
      </c>
      <c r="BD28">
        <f>_xll.EQNXTDZ($A$1,$B28,BD$1,$B$1)</f>
        <v>25.28</v>
      </c>
      <c r="BE28">
        <f>_xll.EQNXTDZ($A$1,$B28,BE$1,$B$1)</f>
        <v>27.24</v>
      </c>
      <c r="BF28">
        <f>_xll.EQNXTDZ($A$1,$B28,BF$1,$B$1)</f>
        <v>27.18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3.0259999999999998</v>
      </c>
      <c r="D29">
        <f>_xll.EQNXTDZ($A$1,$B29,D$1,$B$1)</f>
        <v>10.789</v>
      </c>
      <c r="E29">
        <f>_xll.EQNXTDZ($A$1,$B29,E$1,$B$1)</f>
        <v>1.0569999999999999</v>
      </c>
      <c r="F29">
        <f>_xll.EQNXTDZ($A$1,$B29,F$1,$B$1)</f>
        <v>-2.262</v>
      </c>
      <c r="G29">
        <f>_xll.EQNXTDZ($A$1,$B29,G$1,$B$1)</f>
        <v>1.677</v>
      </c>
      <c r="H29">
        <f>_xll.EQNXTDZ($A$1,$B29,H$1,$B$1)</f>
        <v>3.4790000000000001</v>
      </c>
      <c r="I29">
        <f>_xll.EQNXTDZ($A$1,$B29,I$1,$B$1)</f>
        <v>1.486</v>
      </c>
      <c r="J29">
        <f>_xll.EQNXTDZ($A$1,$B29,J$1,$B$1)</f>
        <v>4.8819999999999997</v>
      </c>
      <c r="K29">
        <f>_xll.EQNXTDZ($A$1,$B29,K$1,$B$1)</f>
        <v>0.81599999999999995</v>
      </c>
      <c r="L29">
        <f>_xll.EQNXTDZ($A$1,$B29,L$1,$B$1)</f>
        <v>1.9930000000000001</v>
      </c>
      <c r="M29">
        <f>_xll.EQNXTDZ($A$1,$B29,M$1,$B$1)</f>
        <v>3.2690000000000001</v>
      </c>
      <c r="N29">
        <f>_xll.EQNXTDZ($A$1,$B29,N$1,$B$1)</f>
        <v>10.907</v>
      </c>
      <c r="O29">
        <f>_xll.EQNXTDZ($A$1,$B29,O$1,$B$1)</f>
        <v>1.2250000000000001</v>
      </c>
      <c r="P29">
        <f>_xll.EQNXTDZ($A$1,$B29,P$1,$B$1)</f>
        <v>2.9620000000000002</v>
      </c>
      <c r="Q29">
        <f>_xll.EQNXTDZ($A$1,$B29,Q$1,$B$1)</f>
        <v>4.9939999999999998</v>
      </c>
      <c r="R29">
        <f>_xll.EQNXTDZ($A$1,$B29,R$1,$B$1)</f>
        <v>17.501999999999999</v>
      </c>
      <c r="S29">
        <f>_xll.EQNXTDZ($A$1,$B29,S$1,$B$1)</f>
        <v>3.7589999999999999</v>
      </c>
      <c r="T29">
        <f>_xll.EQNXTDZ($A$1,$B29,T$1,$B$1)</f>
        <v>-3.319</v>
      </c>
      <c r="U29">
        <f>_xll.EQNXTDZ($A$1,$B29,U$1,$B$1)</f>
        <v>-1.3360000000000001</v>
      </c>
      <c r="V29">
        <f>_xll.EQNXTDZ($A$1,$B29,V$1,$B$1)</f>
        <v>33.658999999999999</v>
      </c>
      <c r="W29">
        <f>_xll.EQNXTDZ($A$1,$B29,W$1,$B$1)</f>
        <v>0.39700000000000002</v>
      </c>
      <c r="X29">
        <f>_xll.EQNXTDZ($A$1,$B29,X$1,$B$1)</f>
        <v>0.188</v>
      </c>
      <c r="Y29">
        <f>_xll.EQNXTDZ($A$1,$B29,Y$1,$B$1)</f>
        <v>0.52300000000000002</v>
      </c>
      <c r="Z29">
        <f>_xll.EQNXTDZ($A$1,$B29,Z$1,$B$1)</f>
        <v>-2.9729999999999999</v>
      </c>
      <c r="AA29">
        <f>_xll.EQNXTDZ($A$1,$B29,AA$1,$B$1)</f>
        <v>2.1480000000000001</v>
      </c>
      <c r="AB29">
        <f>_xll.EQNXTDZ($A$1,$B29,AB$1,$B$1)</f>
        <v>4.7359999999999998</v>
      </c>
      <c r="AC29">
        <f>_xll.EQNXTDZ($A$1,$B29,AC$1,$B$1)</f>
        <v>4.8170000000000002</v>
      </c>
      <c r="AD29">
        <f>_xll.EQNXTDZ($A$1,$B29,AD$1,$B$1)</f>
        <v>6.4480000000000004</v>
      </c>
      <c r="AE29">
        <f>_xll.EQNXTDZ($A$1,$B29,AE$1,$B$1)</f>
        <v>0.92500000000000004</v>
      </c>
      <c r="AF29">
        <f>_xll.EQNXTDZ($A$1,$B29,AF$1,$B$1)</f>
        <v>2.6840000000000002</v>
      </c>
      <c r="AG29">
        <f>_xll.EQNXTDZ($A$1,$B29,AG$1,$B$1)</f>
        <v>2.1989999999999998</v>
      </c>
      <c r="AH29">
        <f>_xll.EQNXTDZ($A$1,$B29,AH$1,$B$1)</f>
        <v>-76</v>
      </c>
      <c r="AI29">
        <f>_xll.EQNXTDZ($A$1,$B29,AI$1,$B$1)</f>
        <v>-9.6280000000000001</v>
      </c>
      <c r="AJ29">
        <f>_xll.EQNXTDZ($A$1,$B29,AJ$1,$B$1)</f>
        <v>11.180999999999999</v>
      </c>
      <c r="AK29">
        <f>_xll.EQNXTDZ($A$1,$B29,AK$1,$B$1)</f>
        <v>6.6</v>
      </c>
      <c r="AL29">
        <f>_xll.EQNXTDZ($A$1,$B29,AL$1,$B$1)</f>
        <v>15.507999999999999</v>
      </c>
      <c r="AM29">
        <f>_xll.EQNXTDZ($A$1,$B29,AM$1,$B$1)</f>
        <v>7.8789999999999996</v>
      </c>
      <c r="AN29">
        <f>_xll.EQNXTDZ($A$1,$B29,AN$1,$B$1)</f>
        <v>9.1029999999999998</v>
      </c>
      <c r="AO29">
        <f>_xll.EQNXTDZ($A$1,$B29,AO$1,$B$1)</f>
        <v>5.5579999999999998</v>
      </c>
      <c r="AP29">
        <f>_xll.EQNXTDZ($A$1,$B29,AP$1,$B$1)</f>
        <v>7.4939999999999998</v>
      </c>
      <c r="AQ29">
        <f>_xll.EQNXTDZ($A$1,$B29,AQ$1,$B$1)</f>
        <v>11.29</v>
      </c>
      <c r="AR29">
        <f>_xll.EQNXTDZ($A$1,$B29,AR$1,$B$1)</f>
        <v>18.73</v>
      </c>
      <c r="AS29">
        <f>_xll.EQNXTDZ($A$1,$B29,AS$1,$B$1)</f>
        <v>16.16</v>
      </c>
      <c r="AT29">
        <f>_xll.EQNXTDZ($A$1,$B29,AT$1,$B$1)</f>
        <v>16.149999999999999</v>
      </c>
      <c r="AU29">
        <f>_xll.EQNXTDZ($A$1,$B29,AU$1,$B$1)</f>
        <v>21.51</v>
      </c>
      <c r="AV29">
        <f>_xll.EQNXTDZ($A$1,$B29,AV$1,$B$1)</f>
        <v>28.6</v>
      </c>
      <c r="AW29">
        <f>_xll.EQNXTDZ($A$1,$B29,AW$1,$B$1)</f>
        <v>27.09</v>
      </c>
      <c r="AX29">
        <f>_xll.EQNXTDZ($A$1,$B29,AX$1,$B$1)</f>
        <v>32.590000000000003</v>
      </c>
      <c r="AY29">
        <f>_xll.EQNXTDZ($A$1,$B29,AY$1,$B$1)</f>
        <v>20.79</v>
      </c>
      <c r="AZ29">
        <f>_xll.EQNXTDZ($A$1,$B29,AZ$1,$B$1)</f>
        <v>22.82</v>
      </c>
      <c r="BA29">
        <f>_xll.EQNXTDZ($A$1,$B29,BA$1,$B$1)</f>
        <v>32.700000000000003</v>
      </c>
      <c r="BB29">
        <f>_xll.EQNXTDZ($A$1,$B29,BB$1,$B$1)</f>
        <v>45.56</v>
      </c>
      <c r="BC29">
        <f>_xll.EQNXTDZ($A$1,$B29,BC$1,$B$1)</f>
        <v>31.68</v>
      </c>
      <c r="BD29">
        <f>_xll.EQNXTDZ($A$1,$B29,BD$1,$B$1)</f>
        <v>25.27</v>
      </c>
      <c r="BE29">
        <f>_xll.EQNXTDZ($A$1,$B29,BE$1,$B$1)</f>
        <v>21.98</v>
      </c>
      <c r="BF29">
        <f>_xll.EQNXTDZ($A$1,$B29,BF$1,$B$1)</f>
        <v>34.39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6.3970000000000002</v>
      </c>
      <c r="D30">
        <f>_xll.EQNXTDZ($A$1,$B30,D$1,$B$1)</f>
        <v>22.972999999999999</v>
      </c>
      <c r="E30">
        <f>_xll.EQNXTDZ($A$1,$B30,E$1,$B$1)</f>
        <v>7.05</v>
      </c>
      <c r="F30">
        <f>_xll.EQNXTDZ($A$1,$B30,F$1,$B$1)</f>
        <v>11.166</v>
      </c>
      <c r="G30">
        <f>_xll.EQNXTDZ($A$1,$B30,G$1,$B$1)</f>
        <v>3.2570000000000001</v>
      </c>
      <c r="H30">
        <f>_xll.EQNXTDZ($A$1,$B30,H$1,$B$1)</f>
        <v>8.8330000000000002</v>
      </c>
      <c r="I30">
        <f>_xll.EQNXTDZ($A$1,$B30,I$1,$B$1)</f>
        <v>4.4340000000000002</v>
      </c>
      <c r="J30">
        <f>_xll.EQNXTDZ($A$1,$B30,J$1,$B$1)</f>
        <v>10.904999999999999</v>
      </c>
      <c r="K30">
        <f>_xll.EQNXTDZ($A$1,$B30,K$1,$B$1)</f>
        <v>-7.3319999999999999</v>
      </c>
      <c r="L30">
        <f>_xll.EQNXTDZ($A$1,$B30,L$1,$B$1)</f>
        <v>-7.2939999999999996</v>
      </c>
      <c r="M30">
        <f>_xll.EQNXTDZ($A$1,$B30,M$1,$B$1)</f>
        <v>-5.8869999999999996</v>
      </c>
      <c r="N30">
        <f>_xll.EQNXTDZ($A$1,$B30,N$1,$B$1)</f>
        <v>39.545999999999999</v>
      </c>
      <c r="O30">
        <f>_xll.EQNXTDZ($A$1,$B30,O$1,$B$1)</f>
        <v>-5.0369999999999999</v>
      </c>
      <c r="P30">
        <f>_xll.EQNXTDZ($A$1,$B30,P$1,$B$1)</f>
        <v>6.8360000000000003</v>
      </c>
      <c r="Q30">
        <f>_xll.EQNXTDZ($A$1,$B30,Q$1,$B$1)</f>
        <v>6.5039999999999996</v>
      </c>
      <c r="R30">
        <f>_xll.EQNXTDZ($A$1,$B30,R$1,$B$1)</f>
        <v>21.648</v>
      </c>
      <c r="S30">
        <f>_xll.EQNXTDZ($A$1,$B30,S$1,$B$1)</f>
        <v>-2.3180000000000001</v>
      </c>
      <c r="T30">
        <f>_xll.EQNXTDZ($A$1,$B30,T$1,$B$1)</f>
        <v>-7.9560000000000004</v>
      </c>
      <c r="U30">
        <f>_xll.EQNXTDZ($A$1,$B30,U$1,$B$1)</f>
        <v>-10.243</v>
      </c>
      <c r="V30">
        <f>_xll.EQNXTDZ($A$1,$B30,V$1,$B$1)</f>
        <v>27.53</v>
      </c>
      <c r="W30">
        <f>_xll.EQNXTDZ($A$1,$B30,W$1,$B$1)</f>
        <v>-36.527999999999999</v>
      </c>
      <c r="X30">
        <f>_xll.EQNXTDZ($A$1,$B30,X$1,$B$1)</f>
        <v>-7.2960000000000003</v>
      </c>
      <c r="Y30">
        <f>_xll.EQNXTDZ($A$1,$B30,Y$1,$B$1)</f>
        <v>-3.3580000000000001</v>
      </c>
      <c r="Z30">
        <f>_xll.EQNXTDZ($A$1,$B30,Z$1,$B$1)</f>
        <v>51.962000000000003</v>
      </c>
      <c r="AA30">
        <f>_xll.EQNXTDZ($A$1,$B30,AA$1,$B$1)</f>
        <v>6.9169999999999998</v>
      </c>
      <c r="AB30">
        <f>_xll.EQNXTDZ($A$1,$B30,AB$1,$B$1)</f>
        <v>48.682000000000002</v>
      </c>
      <c r="AC30">
        <f>_xll.EQNXTDZ($A$1,$B30,AC$1,$B$1)</f>
        <v>1.83099999999996</v>
      </c>
      <c r="AD30">
        <f>_xll.EQNXTDZ($A$1,$B30,AD$1,$B$1)</f>
        <v>8.8209999999999908</v>
      </c>
      <c r="AE30">
        <f>_xll.EQNXTDZ($A$1,$B30,AE$1,$B$1)</f>
        <v>0.29100000000003101</v>
      </c>
      <c r="AF30">
        <f>_xll.EQNXTDZ($A$1,$B30,AF$1,$B$1)</f>
        <v>9.0270000000000401</v>
      </c>
      <c r="AG30">
        <f>_xll.EQNXTDZ($A$1,$B30,AG$1,$B$1)</f>
        <v>8.7959999999999603</v>
      </c>
      <c r="AH30">
        <f>_xll.EQNXTDZ($A$1,$B30,AH$1,$B$1)</f>
        <v>70.009</v>
      </c>
      <c r="AI30">
        <f>_xll.EQNXTDZ($A$1,$B30,AI$1,$B$1)</f>
        <v>-21.468</v>
      </c>
      <c r="AJ30">
        <f>_xll.EQNXTDZ($A$1,$B30,AJ$1,$B$1)</f>
        <v>21.498000000000001</v>
      </c>
      <c r="AK30">
        <f>_xll.EQNXTDZ($A$1,$B30,AK$1,$B$1)</f>
        <v>24.143999999999998</v>
      </c>
      <c r="AL30">
        <f>_xll.EQNXTDZ($A$1,$B30,AL$1,$B$1)</f>
        <v>31.582000000000001</v>
      </c>
      <c r="AM30">
        <f>_xll.EQNXTDZ($A$1,$B30,AM$1,$B$1)</f>
        <v>26.977999999999899</v>
      </c>
      <c r="AN30">
        <f>_xll.EQNXTDZ($A$1,$B30,AN$1,$B$1)</f>
        <v>35.173000000000002</v>
      </c>
      <c r="AO30">
        <f>_xll.EQNXTDZ($A$1,$B30,AO$1,$B$1)</f>
        <v>31.224</v>
      </c>
      <c r="AP30">
        <f>_xll.EQNXTDZ($A$1,$B30,AP$1,$B$1)</f>
        <v>45.673000000000002</v>
      </c>
      <c r="AQ30">
        <f>_xll.EQNXTDZ($A$1,$B30,AQ$1,$B$1)</f>
        <v>42.53</v>
      </c>
      <c r="AR30">
        <f>_xll.EQNXTDZ($A$1,$B30,AR$1,$B$1)</f>
        <v>63.490000000000101</v>
      </c>
      <c r="AS30">
        <f>_xll.EQNXTDZ($A$1,$B30,AS$1,$B$1)</f>
        <v>61.93</v>
      </c>
      <c r="AT30">
        <f>_xll.EQNXTDZ($A$1,$B30,AT$1,$B$1)</f>
        <v>66.31</v>
      </c>
      <c r="AU30">
        <f>_xll.EQNXTDZ($A$1,$B30,AU$1,$B$1)</f>
        <v>72.069999999999894</v>
      </c>
      <c r="AV30">
        <f>_xll.EQNXTDZ($A$1,$B30,AV$1,$B$1)</f>
        <v>86.78</v>
      </c>
      <c r="AW30">
        <f>_xll.EQNXTDZ($A$1,$B30,AW$1,$B$1)</f>
        <v>89.15</v>
      </c>
      <c r="AX30">
        <f>_xll.EQNXTDZ($A$1,$B30,AX$1,$B$1)</f>
        <v>101.18</v>
      </c>
      <c r="AY30">
        <f>_xll.EQNXTDZ($A$1,$B30,AY$1,$B$1)</f>
        <v>70.900000000000006</v>
      </c>
      <c r="AZ30">
        <f>_xll.EQNXTDZ($A$1,$B30,AZ$1,$B$1)</f>
        <v>85.55</v>
      </c>
      <c r="BA30">
        <f>_xll.EQNXTDZ($A$1,$B30,BA$1,$B$1)</f>
        <v>106.52</v>
      </c>
      <c r="BB30">
        <f>_xll.EQNXTDZ($A$1,$B30,BB$1,$B$1)</f>
        <v>144</v>
      </c>
      <c r="BC30">
        <f>_xll.EQNXTDZ($A$1,$B30,BC$1,$B$1)</f>
        <v>174.83</v>
      </c>
      <c r="BD30">
        <f>_xll.EQNXTDZ($A$1,$B30,BD$1,$B$1)</f>
        <v>87.72</v>
      </c>
      <c r="BE30">
        <f>_xll.EQNXTDZ($A$1,$B30,BE$1,$B$1)</f>
        <v>71.989999999999995</v>
      </c>
      <c r="BF30">
        <f>_xll.EQNXTDZ($A$1,$B30,BF$1,$B$1)</f>
        <v>5.99999999999996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0.58499999999999996</v>
      </c>
      <c r="L34">
        <f>_xll.EQNXTDZ($A$1,$B34,L$1,$B$1)</f>
        <v>4.29</v>
      </c>
      <c r="M34">
        <f>_xll.EQNXTDZ($A$1,$B34,M$1,$B$1)</f>
        <v>2.0249999999999999</v>
      </c>
      <c r="N34">
        <f>_xll.EQNXTDZ($A$1,$B34,N$1,$B$1)</f>
        <v>-7.9020000000000001</v>
      </c>
      <c r="O34">
        <f>_xll.EQNXTDZ($A$1,$B34,O$1,$B$1)</f>
        <v>6.8049999999999997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5.0999999999999997E-2</v>
      </c>
      <c r="L35">
        <f>_xll.EQNXTDZ($A$1,$B35,L$1,$B$1)</f>
        <v>-8.0000000000000002E-3</v>
      </c>
      <c r="M35">
        <f>_xll.EQNXTDZ($A$1,$B35,M$1,$B$1)</f>
        <v>0.11</v>
      </c>
      <c r="N35">
        <f>_xll.EQNXTDZ($A$1,$B35,N$1,$B$1)</f>
        <v>5.0999999999999997E-2</v>
      </c>
      <c r="O35">
        <f>_xll.EQNXTDZ($A$1,$B35,O$1,$B$1)</f>
        <v>0.19500000000000001</v>
      </c>
      <c r="P35">
        <f>_xll.EQNXTDZ($A$1,$B35,P$1,$B$1)</f>
        <v>0.79200000000000004</v>
      </c>
      <c r="Q35">
        <f>_xll.EQNXTDZ($A$1,$B35,Q$1,$B$1)</f>
        <v>0.65900000000000003</v>
      </c>
      <c r="R35">
        <f>_xll.EQNXTDZ($A$1,$B35,R$1,$B$1)</f>
        <v>1.327</v>
      </c>
      <c r="S35">
        <f>_xll.EQNXTDZ($A$1,$B35,S$1,$B$1)</f>
        <v>0.28100000000000003</v>
      </c>
      <c r="T35">
        <f>_xll.EQNXTDZ($A$1,$B35,T$1,$B$1)</f>
        <v>0.52400000000000002</v>
      </c>
      <c r="U35">
        <f>_xll.EQNXTDZ($A$1,$B35,U$1,$B$1)</f>
        <v>0.76100000000000001</v>
      </c>
      <c r="V35">
        <f>_xll.EQNXTDZ($A$1,$B35,V$1,$B$1)</f>
        <v>2.5179999999999998</v>
      </c>
      <c r="W35">
        <f>_xll.EQNXTDZ($A$1,$B35,W$1,$B$1)</f>
        <v>0.33700000000000002</v>
      </c>
      <c r="X35">
        <f>_xll.EQNXTDZ($A$1,$B35,X$1,$B$1)</f>
        <v>-4.2000000000000003E-2</v>
      </c>
      <c r="Y35">
        <f>_xll.EQNXTDZ($A$1,$B35,Y$1,$B$1)</f>
        <v>0.99</v>
      </c>
      <c r="Z35">
        <f>_xll.EQNXTDZ($A$1,$B35,Z$1,$B$1)</f>
        <v>1.4179999999999999</v>
      </c>
      <c r="AA35">
        <f>_xll.EQNXTDZ($A$1,$B35,AA$1,$B$1)</f>
        <v>0.59699999999999998</v>
      </c>
      <c r="AB35">
        <f>_xll.EQNXTDZ($A$1,$B35,AB$1,$B$1)</f>
        <v>0.73699999999999999</v>
      </c>
      <c r="AC35">
        <f>_xll.EQNXTDZ($A$1,$B35,AC$1,$B$1)</f>
        <v>1.2130000000000001</v>
      </c>
      <c r="AD35">
        <f>_xll.EQNXTDZ($A$1,$B35,AD$1,$B$1)</f>
        <v>1.3129999999999999</v>
      </c>
      <c r="AE35">
        <f>_xll.EQNXTDZ($A$1,$B35,AE$1,$B$1)</f>
        <v>0.16200000000000001</v>
      </c>
      <c r="AF35">
        <f>_xll.EQNXTDZ($A$1,$B35,AF$1,$B$1)</f>
        <v>0.74199999999999999</v>
      </c>
      <c r="AG35">
        <f>_xll.EQNXTDZ($A$1,$B35,AG$1,$B$1)</f>
        <v>0.47699999999999998</v>
      </c>
      <c r="AH35">
        <f>_xll.EQNXTDZ($A$1,$B35,AH$1,$B$1)</f>
        <v>0.19600000000000001</v>
      </c>
      <c r="AI35">
        <f>_xll.EQNXTDZ($A$1,$B35,AI$1,$B$1)</f>
        <v>0.84399999999999997</v>
      </c>
      <c r="AJ35">
        <f>_xll.EQNXTDZ($A$1,$B35,AJ$1,$B$1)</f>
        <v>0.46</v>
      </c>
      <c r="AK35">
        <f>_xll.EQNXTDZ($A$1,$B35,AK$1,$B$1)</f>
        <v>0.52800000000000002</v>
      </c>
      <c r="AL35">
        <f>_xll.EQNXTDZ($A$1,$B35,AL$1,$B$1)</f>
        <v>4.2000000000000003E-2</v>
      </c>
      <c r="AM35">
        <f>_xll.EQNXTDZ($A$1,$B35,AM$1,$B$1)</f>
        <v>0.28999999999999998</v>
      </c>
      <c r="AN35">
        <f>_xll.EQNXTDZ($A$1,$B35,AN$1,$B$1)</f>
        <v>0.20799999999999999</v>
      </c>
      <c r="AO35">
        <f>_xll.EQNXTDZ($A$1,$B35,AO$1,$B$1)</f>
        <v>0.315</v>
      </c>
      <c r="AP35">
        <f>_xll.EQNXTDZ($A$1,$B35,AP$1,$B$1)</f>
        <v>0.629</v>
      </c>
      <c r="AQ35">
        <f>_xll.EQNXTDZ($A$1,$B35,AQ$1,$B$1)</f>
        <v>-0.22</v>
      </c>
      <c r="AR35">
        <f>_xll.EQNXTDZ($A$1,$B35,AR$1,$B$1)</f>
        <v>1.01</v>
      </c>
      <c r="AS35">
        <f>_xll.EQNXTDZ($A$1,$B35,AS$1,$B$1)</f>
        <v>0.82</v>
      </c>
      <c r="AT35">
        <f>_xll.EQNXTDZ($A$1,$B35,AT$1,$B$1)</f>
        <v>1.63</v>
      </c>
      <c r="AU35">
        <f>_xll.EQNXTDZ($A$1,$B35,AU$1,$B$1)</f>
        <v>0.89</v>
      </c>
      <c r="AV35">
        <f>_xll.EQNXTDZ($A$1,$B35,AV$1,$B$1)</f>
        <v>1.79</v>
      </c>
      <c r="AW35">
        <f>_xll.EQNXTDZ($A$1,$B35,AW$1,$B$1)</f>
        <v>1.25</v>
      </c>
      <c r="AX35">
        <f>_xll.EQNXTDZ($A$1,$B35,AX$1,$B$1)</f>
        <v>2.4700000000000002</v>
      </c>
      <c r="AY35">
        <f>_xll.EQNXTDZ($A$1,$B35,AY$1,$B$1)</f>
        <v>2.46</v>
      </c>
      <c r="AZ35">
        <f>_xll.EQNXTDZ($A$1,$B35,AZ$1,$B$1)</f>
        <v>2.17</v>
      </c>
      <c r="BA35">
        <f>_xll.EQNXTDZ($A$1,$B35,BA$1,$B$1)</f>
        <v>1.02</v>
      </c>
      <c r="BB35">
        <f>_xll.EQNXTDZ($A$1,$B35,BB$1,$B$1)</f>
        <v>2.48</v>
      </c>
      <c r="BC35">
        <f>_xll.EQNXTDZ($A$1,$B35,BC$1,$B$1)</f>
        <v>0.61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6.3970000000000002</v>
      </c>
      <c r="D38">
        <f>_xll.EQNXTDZ($A$1,$B38,D$1,$B$1)</f>
        <v>22.972999999999999</v>
      </c>
      <c r="E38">
        <f>_xll.EQNXTDZ($A$1,$B38,E$1,$B$1)</f>
        <v>7.05</v>
      </c>
      <c r="F38">
        <f>_xll.EQNXTDZ($A$1,$B38,F$1,$B$1)</f>
        <v>11.166</v>
      </c>
      <c r="G38">
        <f>_xll.EQNXTDZ($A$1,$B38,G$1,$B$1)</f>
        <v>3.2570000000000001</v>
      </c>
      <c r="H38">
        <f>_xll.EQNXTDZ($A$1,$B38,H$1,$B$1)</f>
        <v>8.8330000000000002</v>
      </c>
      <c r="I38">
        <f>_xll.EQNXTDZ($A$1,$B38,I$1,$B$1)</f>
        <v>4.4340000000000002</v>
      </c>
      <c r="J38">
        <f>_xll.EQNXTDZ($A$1,$B38,J$1,$B$1)</f>
        <v>10.904999999999999</v>
      </c>
      <c r="K38">
        <f>_xll.EQNXTDZ($A$1,$B38,K$1,$B$1)</f>
        <v>-6.6959999999999997</v>
      </c>
      <c r="L38">
        <f>_xll.EQNXTDZ($A$1,$B38,L$1,$B$1)</f>
        <v>-3.012</v>
      </c>
      <c r="M38">
        <f>_xll.EQNXTDZ($A$1,$B38,M$1,$B$1)</f>
        <v>-3.7509999999999999</v>
      </c>
      <c r="N38">
        <f>_xll.EQNXTDZ($A$1,$B38,N$1,$B$1)</f>
        <v>31.693999999999999</v>
      </c>
      <c r="O38">
        <f>_xll.EQNXTDZ($A$1,$B38,O$1,$B$1)</f>
        <v>1.964</v>
      </c>
      <c r="P38">
        <f>_xll.EQNXTDZ($A$1,$B38,P$1,$B$1)</f>
        <v>7.6280000000000001</v>
      </c>
      <c r="Q38">
        <f>_xll.EQNXTDZ($A$1,$B38,Q$1,$B$1)</f>
        <v>7.1630000000000003</v>
      </c>
      <c r="R38">
        <f>_xll.EQNXTDZ($A$1,$B38,R$1,$B$1)</f>
        <v>22.975000000000001</v>
      </c>
      <c r="S38">
        <f>_xll.EQNXTDZ($A$1,$B38,S$1,$B$1)</f>
        <v>-2.0369999999999999</v>
      </c>
      <c r="T38">
        <f>_xll.EQNXTDZ($A$1,$B38,T$1,$B$1)</f>
        <v>-7.4320000000000004</v>
      </c>
      <c r="U38">
        <f>_xll.EQNXTDZ($A$1,$B38,U$1,$B$1)</f>
        <v>-9.4819999999999993</v>
      </c>
      <c r="V38">
        <f>_xll.EQNXTDZ($A$1,$B38,V$1,$B$1)</f>
        <v>30.047000000000001</v>
      </c>
      <c r="W38">
        <f>_xll.EQNXTDZ($A$1,$B38,W$1,$B$1)</f>
        <v>-36.191000000000003</v>
      </c>
      <c r="X38">
        <f>_xll.EQNXTDZ($A$1,$B38,X$1,$B$1)</f>
        <v>-7.3369999999999997</v>
      </c>
      <c r="Y38">
        <f>_xll.EQNXTDZ($A$1,$B38,Y$1,$B$1)</f>
        <v>-2.367</v>
      </c>
      <c r="Z38">
        <f>_xll.EQNXTDZ($A$1,$B38,Z$1,$B$1)</f>
        <v>53.38</v>
      </c>
      <c r="AA38">
        <f>_xll.EQNXTDZ($A$1,$B38,AA$1,$B$1)</f>
        <v>7.5140000000000002</v>
      </c>
      <c r="AB38">
        <f>_xll.EQNXTDZ($A$1,$B38,AB$1,$B$1)</f>
        <v>49.418999999999997</v>
      </c>
      <c r="AC38">
        <f>_xll.EQNXTDZ($A$1,$B38,AC$1,$B$1)</f>
        <v>3.0419999999999998</v>
      </c>
      <c r="AD38">
        <f>_xll.EQNXTDZ($A$1,$B38,AD$1,$B$1)</f>
        <v>10.134</v>
      </c>
      <c r="AE38">
        <f>_xll.EQNXTDZ($A$1,$B38,AE$1,$B$1)</f>
        <v>0.45300000000000001</v>
      </c>
      <c r="AF38">
        <f>_xll.EQNXTDZ($A$1,$B38,AF$1,$B$1)</f>
        <v>9.77</v>
      </c>
      <c r="AG38">
        <f>_xll.EQNXTDZ($A$1,$B38,AG$1,$B$1)</f>
        <v>9.2739999999999991</v>
      </c>
      <c r="AH38">
        <f>_xll.EQNXTDZ($A$1,$B38,AH$1,$B$1)</f>
        <v>70.204999999999998</v>
      </c>
      <c r="AI38">
        <f>_xll.EQNXTDZ($A$1,$B38,AI$1,$B$1)</f>
        <v>-20.625</v>
      </c>
      <c r="AJ38">
        <f>_xll.EQNXTDZ($A$1,$B38,AJ$1,$B$1)</f>
        <v>21.957000000000001</v>
      </c>
      <c r="AK38">
        <f>_xll.EQNXTDZ($A$1,$B38,AK$1,$B$1)</f>
        <v>24.672999999999998</v>
      </c>
      <c r="AL38">
        <f>_xll.EQNXTDZ($A$1,$B38,AL$1,$B$1)</f>
        <v>31.625</v>
      </c>
      <c r="AM38">
        <f>_xll.EQNXTDZ($A$1,$B38,AM$1,$B$1)</f>
        <v>27.268999999999998</v>
      </c>
      <c r="AN38">
        <f>_xll.EQNXTDZ($A$1,$B38,AN$1,$B$1)</f>
        <v>35.380000000000003</v>
      </c>
      <c r="AO38">
        <f>_xll.EQNXTDZ($A$1,$B38,AO$1,$B$1)</f>
        <v>31.539000000000001</v>
      </c>
      <c r="AP38">
        <f>_xll.EQNXTDZ($A$1,$B38,AP$1,$B$1)</f>
        <v>46.304000000000002</v>
      </c>
      <c r="AQ38">
        <f>_xll.EQNXTDZ($A$1,$B38,AQ$1,$B$1)</f>
        <v>42.31</v>
      </c>
      <c r="AR38">
        <f>_xll.EQNXTDZ($A$1,$B38,AR$1,$B$1)</f>
        <v>64.5</v>
      </c>
      <c r="AS38">
        <f>_xll.EQNXTDZ($A$1,$B38,AS$1,$B$1)</f>
        <v>62.75</v>
      </c>
      <c r="AT38">
        <f>_xll.EQNXTDZ($A$1,$B38,AT$1,$B$1)</f>
        <v>67.94</v>
      </c>
      <c r="AU38">
        <f>_xll.EQNXTDZ($A$1,$B38,AU$1,$B$1)</f>
        <v>72.959999999999994</v>
      </c>
      <c r="AV38">
        <f>_xll.EQNXTDZ($A$1,$B38,AV$1,$B$1)</f>
        <v>88.57</v>
      </c>
      <c r="AW38">
        <f>_xll.EQNXTDZ($A$1,$B38,AW$1,$B$1)</f>
        <v>90.4</v>
      </c>
      <c r="AX38">
        <f>_xll.EQNXTDZ($A$1,$B38,AX$1,$B$1)</f>
        <v>103.65</v>
      </c>
      <c r="AY38">
        <f>_xll.EQNXTDZ($A$1,$B38,AY$1,$B$1)</f>
        <v>73.36</v>
      </c>
      <c r="AZ38">
        <f>_xll.EQNXTDZ($A$1,$B38,AZ$1,$B$1)</f>
        <v>87.72</v>
      </c>
      <c r="BA38">
        <f>_xll.EQNXTDZ($A$1,$B38,BA$1,$B$1)</f>
        <v>107.54</v>
      </c>
      <c r="BB38">
        <f>_xll.EQNXTDZ($A$1,$B38,BB$1,$B$1)</f>
        <v>146.47999999999999</v>
      </c>
      <c r="BC38">
        <f>_xll.EQNXTDZ($A$1,$B38,BC$1,$B$1)</f>
        <v>175.44</v>
      </c>
      <c r="BD38">
        <f>_xll.EQNXTDZ($A$1,$B38,BD$1,$B$1)</f>
        <v>87.72</v>
      </c>
      <c r="BE38">
        <f>_xll.EQNXTDZ($A$1,$B38,BE$1,$B$1)</f>
        <v>71.989999999999995</v>
      </c>
      <c r="BF38">
        <f>_xll.EQNXTDZ($A$1,$B38,BF$1,$B$1)</f>
        <v>6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-7.2999999999999995E-2</v>
      </c>
      <c r="P40">
        <f>_xll.EQNXTDZ($A$1,$B40,P$1,$B$1)</f>
        <v>-7.3999999999999996E-2</v>
      </c>
      <c r="Q40">
        <f>_xll.EQNXTDZ($A$1,$B40,Q$1,$B$1)</f>
        <v>-1.0209999999999999</v>
      </c>
      <c r="R40">
        <f>_xll.EQNXTDZ($A$1,$B40,R$1,$B$1)</f>
        <v>5.2409999999999997</v>
      </c>
      <c r="S40">
        <f>_xll.EQNXTDZ($A$1,$B40,S$1,$B$1)</f>
        <v>-3.0000000000000001E-3</v>
      </c>
      <c r="T40">
        <f>_xll.EQNXTDZ($A$1,$B40,T$1,$B$1)</f>
        <v>7.4569999999999999</v>
      </c>
      <c r="U40">
        <f>_xll.EQNXTDZ($A$1,$B40,U$1,$B$1)</f>
        <v>2.9369999999999998</v>
      </c>
      <c r="V40">
        <f>_xll.EQNXTDZ($A$1,$B40,V$1,$B$1)</f>
        <v>-1.153</v>
      </c>
      <c r="W40">
        <f>_xll.EQNXTDZ($A$1,$B40,W$1,$B$1)</f>
        <v>0.28999999999999998</v>
      </c>
      <c r="X40">
        <f>_xll.EQNXTDZ($A$1,$B40,X$1,$B$1)</f>
        <v>2.6379999999999999</v>
      </c>
      <c r="Y40">
        <f>_xll.EQNXTDZ($A$1,$B40,Y$1,$B$1)</f>
        <v>-3.3039999999999998</v>
      </c>
      <c r="Z40">
        <f>_xll.EQNXTDZ($A$1,$B40,Z$1,$B$1)</f>
        <v>-5.1150000000000002</v>
      </c>
      <c r="AA40">
        <f>_xll.EQNXTDZ($A$1,$B40,AA$1,$B$1)</f>
        <v>2.1379999999999999</v>
      </c>
      <c r="AB40">
        <f>_xll.EQNXTDZ($A$1,$B40,AB$1,$B$1)</f>
        <v>2.968</v>
      </c>
      <c r="AC40">
        <f>_xll.EQNXTDZ($A$1,$B40,AC$1,$B$1)</f>
        <v>-7.4269999999999996</v>
      </c>
      <c r="AD40">
        <f>_xll.EQNXTDZ($A$1,$B40,AD$1,$B$1)</f>
        <v>-5.891</v>
      </c>
      <c r="AE40">
        <f>_xll.EQNXTDZ($A$1,$B40,AE$1,$B$1)</f>
        <v>-1.216</v>
      </c>
      <c r="AF40">
        <f>_xll.EQNXTDZ($A$1,$B40,AF$1,$B$1)</f>
        <v>-2.1320000000000001</v>
      </c>
      <c r="AG40">
        <f>_xll.EQNXTDZ($A$1,$B40,AG$1,$B$1)</f>
        <v>3.609</v>
      </c>
      <c r="AH40">
        <f>_xll.EQNXTDZ($A$1,$B40,AH$1,$B$1)</f>
        <v>-1.125</v>
      </c>
      <c r="AI40">
        <f>_xll.EQNXTDZ($A$1,$B40,AI$1,$B$1)</f>
        <v>-8.1000000000000003E-2</v>
      </c>
      <c r="AJ40">
        <f>_xll.EQNXTDZ($A$1,$B40,AJ$1,$B$1)</f>
        <v>1.137</v>
      </c>
      <c r="AK40">
        <f>_xll.EQNXTDZ($A$1,$B40,AK$1,$B$1)</f>
        <v>1.8480000000000001</v>
      </c>
      <c r="AL40">
        <f>_xll.EQNXTDZ($A$1,$B40,AL$1,$B$1)</f>
        <v>4.5190000000000001</v>
      </c>
      <c r="AM40">
        <f>_xll.EQNXTDZ($A$1,$B40,AM$1,$B$1)</f>
        <v>3.1859999999999999</v>
      </c>
      <c r="AN40">
        <f>_xll.EQNXTDZ($A$1,$B40,AN$1,$B$1)</f>
        <v>-3.1890000000000001</v>
      </c>
      <c r="AO40">
        <f>_xll.EQNXTDZ($A$1,$B40,AO$1,$B$1)</f>
        <v>-3.6749999999999998</v>
      </c>
      <c r="AP40">
        <f>_xll.EQNXTDZ($A$1,$B40,AP$1,$B$1)</f>
        <v>-1.3380000000000001</v>
      </c>
      <c r="AQ40">
        <f>_xll.EQNXTDZ($A$1,$B40,AQ$1,$B$1)</f>
        <v>-3.84</v>
      </c>
      <c r="AR40">
        <f>_xll.EQNXTDZ($A$1,$B40,AR$1,$B$1)</f>
        <v>-5.54</v>
      </c>
      <c r="AS40">
        <f>_xll.EQNXTDZ($A$1,$B40,AS$1,$B$1)</f>
        <v>13.59</v>
      </c>
      <c r="AT40">
        <f>_xll.EQNXTDZ($A$1,$B40,AT$1,$B$1)</f>
        <v>2.88</v>
      </c>
      <c r="AU40">
        <f>_xll.EQNXTDZ($A$1,$B40,AU$1,$B$1)</f>
        <v>-1.1299999999999999</v>
      </c>
      <c r="AV40">
        <f>_xll.EQNXTDZ($A$1,$B40,AV$1,$B$1)</f>
        <v>-2.3199999999999998</v>
      </c>
      <c r="AW40">
        <f>_xll.EQNXTDZ($A$1,$B40,AW$1,$B$1)</f>
        <v>8.86</v>
      </c>
      <c r="AX40">
        <f>_xll.EQNXTDZ($A$1,$B40,AX$1,$B$1)</f>
        <v>-2.42</v>
      </c>
      <c r="AY40">
        <f>_xll.EQNXTDZ($A$1,$B40,AY$1,$B$1)</f>
        <v>-0.94</v>
      </c>
      <c r="AZ40">
        <f>_xll.EQNXTDZ($A$1,$B40,AZ$1,$B$1)</f>
        <v>12.68</v>
      </c>
      <c r="BA40">
        <f>_xll.EQNXTDZ($A$1,$B40,BA$1,$B$1)</f>
        <v>-8.2899999999999991</v>
      </c>
      <c r="BB40">
        <f>_xll.EQNXTDZ($A$1,$B40,BB$1,$B$1)</f>
        <v>9.76</v>
      </c>
      <c r="BC40">
        <f>_xll.EQNXTDZ($A$1,$B40,BC$1,$B$1)</f>
        <v>75.099999999999994</v>
      </c>
      <c r="BD40">
        <f>_xll.EQNXTDZ($A$1,$B40,BD$1,$B$1)</f>
        <v>-59.19</v>
      </c>
      <c r="BE40">
        <f>_xll.EQNXTDZ($A$1,$B40,BE$1,$B$1)</f>
        <v>-3.44</v>
      </c>
      <c r="BF40">
        <f>_xll.EQNXTDZ($A$1,$B40,BF$1,$B$1)</f>
        <v>-1.58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1.891</v>
      </c>
      <c r="P41">
        <f>_xll.EQNXTDZ($A$1,$B41,P$1,$B$1)</f>
        <v>7.5540000000000003</v>
      </c>
      <c r="Q41">
        <f>_xll.EQNXTDZ($A$1,$B41,Q$1,$B$1)</f>
        <v>6.1420000000000003</v>
      </c>
      <c r="R41">
        <f>_xll.EQNXTDZ($A$1,$B41,R$1,$B$1)</f>
        <v>28.216000000000001</v>
      </c>
      <c r="S41">
        <f>_xll.EQNXTDZ($A$1,$B41,S$1,$B$1)</f>
        <v>-2.04</v>
      </c>
      <c r="T41">
        <f>_xll.EQNXTDZ($A$1,$B41,T$1,$B$1)</f>
        <v>2.4E-2</v>
      </c>
      <c r="U41">
        <f>_xll.EQNXTDZ($A$1,$B41,U$1,$B$1)</f>
        <v>-6.5449999999999999</v>
      </c>
      <c r="V41">
        <f>_xll.EQNXTDZ($A$1,$B41,V$1,$B$1)</f>
        <v>28.895</v>
      </c>
      <c r="W41">
        <f>_xll.EQNXTDZ($A$1,$B41,W$1,$B$1)</f>
        <v>-35.901000000000003</v>
      </c>
      <c r="X41">
        <f>_xll.EQNXTDZ($A$1,$B41,X$1,$B$1)</f>
        <v>-4.6989999999999998</v>
      </c>
      <c r="Y41">
        <f>_xll.EQNXTDZ($A$1,$B41,Y$1,$B$1)</f>
        <v>-5.6710000000000003</v>
      </c>
      <c r="Z41">
        <f>_xll.EQNXTDZ($A$1,$B41,Z$1,$B$1)</f>
        <v>48.265000000000001</v>
      </c>
      <c r="AA41">
        <f>_xll.EQNXTDZ($A$1,$B41,AA$1,$B$1)</f>
        <v>9.6509999999999998</v>
      </c>
      <c r="AB41">
        <f>_xll.EQNXTDZ($A$1,$B41,AB$1,$B$1)</f>
        <v>52.387</v>
      </c>
      <c r="AC41">
        <f>_xll.EQNXTDZ($A$1,$B41,AC$1,$B$1)</f>
        <v>-4.3849999999999998</v>
      </c>
      <c r="AD41">
        <f>_xll.EQNXTDZ($A$1,$B41,AD$1,$B$1)</f>
        <v>4.2439999999999998</v>
      </c>
      <c r="AE41">
        <f>_xll.EQNXTDZ($A$1,$B41,AE$1,$B$1)</f>
        <v>-0.76400000000000001</v>
      </c>
      <c r="AF41">
        <f>_xll.EQNXTDZ($A$1,$B41,AF$1,$B$1)</f>
        <v>7.6379999999999999</v>
      </c>
      <c r="AG41">
        <f>_xll.EQNXTDZ($A$1,$B41,AG$1,$B$1)</f>
        <v>12.882</v>
      </c>
      <c r="AH41">
        <f>_xll.EQNXTDZ($A$1,$B41,AH$1,$B$1)</f>
        <v>69.078999999999994</v>
      </c>
      <c r="AI41">
        <f>_xll.EQNXTDZ($A$1,$B41,AI$1,$B$1)</f>
        <v>-20.704999999999998</v>
      </c>
      <c r="AJ41">
        <f>_xll.EQNXTDZ($A$1,$B41,AJ$1,$B$1)</f>
        <v>23.094000000000001</v>
      </c>
      <c r="AK41">
        <f>_xll.EQNXTDZ($A$1,$B41,AK$1,$B$1)</f>
        <v>26.521999999999998</v>
      </c>
      <c r="AL41">
        <f>_xll.EQNXTDZ($A$1,$B41,AL$1,$B$1)</f>
        <v>36.143999999999998</v>
      </c>
      <c r="AM41">
        <f>_xll.EQNXTDZ($A$1,$B41,AM$1,$B$1)</f>
        <v>30.454999999999998</v>
      </c>
      <c r="AN41">
        <f>_xll.EQNXTDZ($A$1,$B41,AN$1,$B$1)</f>
        <v>32.191000000000003</v>
      </c>
      <c r="AO41">
        <f>_xll.EQNXTDZ($A$1,$B41,AO$1,$B$1)</f>
        <v>27.864000000000001</v>
      </c>
      <c r="AP41">
        <f>_xll.EQNXTDZ($A$1,$B41,AP$1,$B$1)</f>
        <v>44.966999999999999</v>
      </c>
      <c r="AQ41">
        <f>_xll.EQNXTDZ($A$1,$B41,AQ$1,$B$1)</f>
        <v>38.47</v>
      </c>
      <c r="AR41">
        <f>_xll.EQNXTDZ($A$1,$B41,AR$1,$B$1)</f>
        <v>58.96</v>
      </c>
      <c r="AS41">
        <f>_xll.EQNXTDZ($A$1,$B41,AS$1,$B$1)</f>
        <v>76.34</v>
      </c>
      <c r="AT41">
        <f>_xll.EQNXTDZ($A$1,$B41,AT$1,$B$1)</f>
        <v>70.819999999999993</v>
      </c>
      <c r="AU41">
        <f>_xll.EQNXTDZ($A$1,$B41,AU$1,$B$1)</f>
        <v>71.83</v>
      </c>
      <c r="AV41">
        <f>_xll.EQNXTDZ($A$1,$B41,AV$1,$B$1)</f>
        <v>86.25</v>
      </c>
      <c r="AW41">
        <f>_xll.EQNXTDZ($A$1,$B41,AW$1,$B$1)</f>
        <v>99.26</v>
      </c>
      <c r="AX41">
        <f>_xll.EQNXTDZ($A$1,$B41,AX$1,$B$1)</f>
        <v>101.23</v>
      </c>
      <c r="AY41">
        <f>_xll.EQNXTDZ($A$1,$B41,AY$1,$B$1)</f>
        <v>72.42</v>
      </c>
      <c r="AZ41">
        <f>_xll.EQNXTDZ($A$1,$B41,AZ$1,$B$1)</f>
        <v>100.4</v>
      </c>
      <c r="BA41">
        <f>_xll.EQNXTDZ($A$1,$B41,BA$1,$B$1)</f>
        <v>99.25</v>
      </c>
      <c r="BB41">
        <f>_xll.EQNXTDZ($A$1,$B41,BB$1,$B$1)</f>
        <v>156.24</v>
      </c>
      <c r="BC41">
        <f>_xll.EQNXTDZ($A$1,$B41,BC$1,$B$1)</f>
        <v>250.54</v>
      </c>
      <c r="BD41">
        <f>_xll.EQNXTDZ($A$1,$B41,BD$1,$B$1)</f>
        <v>28.53</v>
      </c>
      <c r="BE41">
        <f>_xll.EQNXTDZ($A$1,$B41,BE$1,$B$1)</f>
        <v>68.55</v>
      </c>
      <c r="BF41">
        <f>_xll.EQNXTDZ($A$1,$B41,BF$1,$B$1)</f>
        <v>4.42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6.3970000000000002</v>
      </c>
      <c r="D42">
        <f>_xll.EQNXTDZ($A$1,$B42,D$1,$B$1)</f>
        <v>22.972999999999999</v>
      </c>
      <c r="E42">
        <f>_xll.EQNXTDZ($A$1,$B42,E$1,$B$1)</f>
        <v>7.05</v>
      </c>
      <c r="F42">
        <f>_xll.EQNXTDZ($A$1,$B42,F$1,$B$1)</f>
        <v>11.166</v>
      </c>
      <c r="G42">
        <f>_xll.EQNXTDZ($A$1,$B42,G$1,$B$1)</f>
        <v>3.2570000000000001</v>
      </c>
      <c r="H42">
        <f>_xll.EQNXTDZ($A$1,$B42,H$1,$B$1)</f>
        <v>8.8330000000000002</v>
      </c>
      <c r="I42">
        <f>_xll.EQNXTDZ($A$1,$B42,I$1,$B$1)</f>
        <v>4.4340000000000002</v>
      </c>
      <c r="J42">
        <f>_xll.EQNXTDZ($A$1,$B42,J$1,$B$1)</f>
        <v>10.904999999999999</v>
      </c>
      <c r="K42">
        <f>_xll.EQNXTDZ($A$1,$B42,K$1,$B$1)</f>
        <v>-6.6959999999999997</v>
      </c>
      <c r="L42">
        <f>_xll.EQNXTDZ($A$1,$B42,L$1,$B$1)</f>
        <v>-3.012</v>
      </c>
      <c r="M42">
        <f>_xll.EQNXTDZ($A$1,$B42,M$1,$B$1)</f>
        <v>-3.7509999999999999</v>
      </c>
      <c r="N42">
        <f>_xll.EQNXTDZ($A$1,$B42,N$1,$B$1)</f>
        <v>31.693999999999999</v>
      </c>
      <c r="O42">
        <f>_xll.EQNXTDZ($A$1,$B42,O$1,$B$1)</f>
        <v>1.964</v>
      </c>
      <c r="P42">
        <f>_xll.EQNXTDZ($A$1,$B42,P$1,$B$1)</f>
        <v>7.6280000000000001</v>
      </c>
      <c r="Q42">
        <f>_xll.EQNXTDZ($A$1,$B42,Q$1,$B$1)</f>
        <v>7.1630000000000003</v>
      </c>
      <c r="R42">
        <f>_xll.EQNXTDZ($A$1,$B42,R$1,$B$1)</f>
        <v>22.975000000000001</v>
      </c>
      <c r="S42">
        <f>_xll.EQNXTDZ($A$1,$B42,S$1,$B$1)</f>
        <v>-2.0369999999999999</v>
      </c>
      <c r="T42">
        <f>_xll.EQNXTDZ($A$1,$B42,T$1,$B$1)</f>
        <v>-7.4320000000000004</v>
      </c>
      <c r="U42">
        <f>_xll.EQNXTDZ($A$1,$B42,U$1,$B$1)</f>
        <v>-9.4819999999999993</v>
      </c>
      <c r="V42">
        <f>_xll.EQNXTDZ($A$1,$B42,V$1,$B$1)</f>
        <v>30.047000000000001</v>
      </c>
      <c r="W42">
        <f>_xll.EQNXTDZ($A$1,$B42,W$1,$B$1)</f>
        <v>-36.191000000000003</v>
      </c>
      <c r="X42">
        <f>_xll.EQNXTDZ($A$1,$B42,X$1,$B$1)</f>
        <v>-7.3369999999999997</v>
      </c>
      <c r="Y42">
        <f>_xll.EQNXTDZ($A$1,$B42,Y$1,$B$1)</f>
        <v>-2.367</v>
      </c>
      <c r="Z42">
        <f>_xll.EQNXTDZ($A$1,$B42,Z$1,$B$1)</f>
        <v>53.38</v>
      </c>
      <c r="AA42">
        <f>_xll.EQNXTDZ($A$1,$B42,AA$1,$B$1)</f>
        <v>7.5140000000000002</v>
      </c>
      <c r="AB42">
        <f>_xll.EQNXTDZ($A$1,$B42,AB$1,$B$1)</f>
        <v>49.418999999999997</v>
      </c>
      <c r="AC42">
        <f>_xll.EQNXTDZ($A$1,$B42,AC$1,$B$1)</f>
        <v>3.0419999999999998</v>
      </c>
      <c r="AD42">
        <f>_xll.EQNXTDZ($A$1,$B42,AD$1,$B$1)</f>
        <v>10.134</v>
      </c>
      <c r="AE42">
        <f>_xll.EQNXTDZ($A$1,$B42,AE$1,$B$1)</f>
        <v>0.45300000000000001</v>
      </c>
      <c r="AF42">
        <f>_xll.EQNXTDZ($A$1,$B42,AF$1,$B$1)</f>
        <v>9.77</v>
      </c>
      <c r="AG42">
        <f>_xll.EQNXTDZ($A$1,$B42,AG$1,$B$1)</f>
        <v>9.2739999999999991</v>
      </c>
      <c r="AH42">
        <f>_xll.EQNXTDZ($A$1,$B42,AH$1,$B$1)</f>
        <v>70.204999999999998</v>
      </c>
      <c r="AI42">
        <f>_xll.EQNXTDZ($A$1,$B42,AI$1,$B$1)</f>
        <v>-20.625</v>
      </c>
      <c r="AJ42">
        <f>_xll.EQNXTDZ($A$1,$B42,AJ$1,$B$1)</f>
        <v>21.957000000000001</v>
      </c>
      <c r="AK42">
        <f>_xll.EQNXTDZ($A$1,$B42,AK$1,$B$1)</f>
        <v>24.672999999999998</v>
      </c>
      <c r="AL42">
        <f>_xll.EQNXTDZ($A$1,$B42,AL$1,$B$1)</f>
        <v>31.625</v>
      </c>
      <c r="AM42">
        <f>_xll.EQNXTDZ($A$1,$B42,AM$1,$B$1)</f>
        <v>27.268999999999998</v>
      </c>
      <c r="AN42">
        <f>_xll.EQNXTDZ($A$1,$B42,AN$1,$B$1)</f>
        <v>35.380000000000003</v>
      </c>
      <c r="AO42">
        <f>_xll.EQNXTDZ($A$1,$B42,AO$1,$B$1)</f>
        <v>31.539000000000001</v>
      </c>
      <c r="AP42">
        <f>_xll.EQNXTDZ($A$1,$B42,AP$1,$B$1)</f>
        <v>46.304000000000002</v>
      </c>
      <c r="AQ42">
        <f>_xll.EQNXTDZ($A$1,$B42,AQ$1,$B$1)</f>
        <v>42.31</v>
      </c>
      <c r="AR42">
        <f>_xll.EQNXTDZ($A$1,$B42,AR$1,$B$1)</f>
        <v>64.5</v>
      </c>
      <c r="AS42">
        <f>_xll.EQNXTDZ($A$1,$B42,AS$1,$B$1)</f>
        <v>62.75</v>
      </c>
      <c r="AT42">
        <f>_xll.EQNXTDZ($A$1,$B42,AT$1,$B$1)</f>
        <v>67.94</v>
      </c>
      <c r="AU42">
        <f>_xll.EQNXTDZ($A$1,$B42,AU$1,$B$1)</f>
        <v>72.959999999999994</v>
      </c>
      <c r="AV42">
        <f>_xll.EQNXTDZ($A$1,$B42,AV$1,$B$1)</f>
        <v>88.57</v>
      </c>
      <c r="AW42">
        <f>_xll.EQNXTDZ($A$1,$B42,AW$1,$B$1)</f>
        <v>90.4</v>
      </c>
      <c r="AX42">
        <f>_xll.EQNXTDZ($A$1,$B42,AX$1,$B$1)</f>
        <v>103.65</v>
      </c>
      <c r="AY42">
        <f>_xll.EQNXTDZ($A$1,$B42,AY$1,$B$1)</f>
        <v>73.36</v>
      </c>
      <c r="AZ42">
        <f>_xll.EQNXTDZ($A$1,$B42,AZ$1,$B$1)</f>
        <v>87.72</v>
      </c>
      <c r="BA42">
        <f>_xll.EQNXTDZ($A$1,$B42,BA$1,$B$1)</f>
        <v>107.54</v>
      </c>
      <c r="BB42">
        <f>_xll.EQNXTDZ($A$1,$B42,BB$1,$B$1)</f>
        <v>146.47999999999999</v>
      </c>
      <c r="BC42">
        <f>_xll.EQNXTDZ($A$1,$B42,BC$1,$B$1)</f>
        <v>175.44</v>
      </c>
      <c r="BD42">
        <f>_xll.EQNXTDZ($A$1,$B42,BD$1,$B$1)</f>
        <v>87.72</v>
      </c>
      <c r="BE42">
        <f>_xll.EQNXTDZ($A$1,$B42,BE$1,$B$1)</f>
        <v>71.989999999999995</v>
      </c>
      <c r="BF42">
        <f>_xll.EQNXTDZ($A$1,$B42,BF$1,$B$1)</f>
        <v>6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18.571999999999999</v>
      </c>
      <c r="D45">
        <f>_xll.EQNXTDZ($A$1,$B45,D$1,$B$1)</f>
        <v>18.571999999999999</v>
      </c>
      <c r="E45">
        <f>_xll.EQNXTDZ($A$1,$B45,E$1,$B$1)</f>
        <v>18.571999999999999</v>
      </c>
      <c r="F45">
        <f>_xll.EQNXTDZ($A$1,$B45,F$1,$B$1)</f>
        <v>21.786999999999999</v>
      </c>
      <c r="G45">
        <f>_xll.EQNXTDZ($A$1,$B45,G$1,$B$1)</f>
        <v>21.786999999999999</v>
      </c>
      <c r="H45">
        <f>_xll.EQNXTDZ($A$1,$B45,H$1,$B$1)</f>
        <v>21.786999999999999</v>
      </c>
      <c r="I45">
        <f>_xll.EQNXTDZ($A$1,$B45,I$1,$B$1)</f>
        <v>21.786999999999999</v>
      </c>
      <c r="J45">
        <f>_xll.EQNXTDZ($A$1,$B45,J$1,$B$1)</f>
        <v>21.786999999999999</v>
      </c>
      <c r="K45">
        <f>_xll.EQNXTDZ($A$1,$B45,K$1,$B$1)</f>
        <v>21.786999999999999</v>
      </c>
      <c r="L45">
        <f>_xll.EQNXTDZ($A$1,$B45,L$1,$B$1)</f>
        <v>21.786999999999999</v>
      </c>
      <c r="M45">
        <f>_xll.EQNXTDZ($A$1,$B45,M$1,$B$1)</f>
        <v>21.786999999999999</v>
      </c>
      <c r="N45">
        <f>_xll.EQNXTDZ($A$1,$B45,N$1,$B$1)</f>
        <v>21.786999999999999</v>
      </c>
      <c r="O45">
        <f>_xll.EQNXTDZ($A$1,$B45,O$1,$B$1)</f>
        <v>21.786999999999999</v>
      </c>
      <c r="P45">
        <f>_xll.EQNXTDZ($A$1,$B45,P$1,$B$1)</f>
        <v>21.786999999999999</v>
      </c>
      <c r="Q45">
        <f>_xll.EQNXTDZ($A$1,$B45,Q$1,$B$1)</f>
        <v>21.786999999999999</v>
      </c>
      <c r="R45">
        <f>_xll.EQNXTDZ($A$1,$B45,R$1,$B$1)</f>
        <v>21.786999999999999</v>
      </c>
      <c r="S45">
        <f>_xll.EQNXTDZ($A$1,$B45,S$1,$B$1)</f>
        <v>21.786999999999999</v>
      </c>
      <c r="T45">
        <f>_xll.EQNXTDZ($A$1,$B45,T$1,$B$1)</f>
        <v>21.786999999999999</v>
      </c>
      <c r="U45">
        <f>_xll.EQNXTDZ($A$1,$B45,U$1,$B$1)</f>
        <v>22.44</v>
      </c>
      <c r="V45">
        <f>_xll.EQNXTDZ($A$1,$B45,V$1,$B$1)</f>
        <v>22.44</v>
      </c>
      <c r="W45">
        <f>_xll.EQNXTDZ($A$1,$B45,W$1,$B$1)</f>
        <v>22.44</v>
      </c>
      <c r="X45">
        <f>_xll.EQNXTDZ($A$1,$B45,X$1,$B$1)</f>
        <v>22.44</v>
      </c>
      <c r="Y45">
        <f>_xll.EQNXTDZ($A$1,$B45,Y$1,$B$1)</f>
        <v>22.44</v>
      </c>
      <c r="Z45">
        <f>_xll.EQNXTDZ($A$1,$B45,Z$1,$B$1)</f>
        <v>22.44</v>
      </c>
      <c r="AA45">
        <f>_xll.EQNXTDZ($A$1,$B45,AA$1,$B$1)</f>
        <v>22.44</v>
      </c>
      <c r="AB45">
        <f>_xll.EQNXTDZ($A$1,$B45,AB$1,$B$1)</f>
        <v>22.44</v>
      </c>
      <c r="AC45">
        <f>_xll.EQNXTDZ($A$1,$B45,AC$1,$B$1)</f>
        <v>22.44</v>
      </c>
      <c r="AD45">
        <f>_xll.EQNXTDZ($A$1,$B45,AD$1,$B$1)</f>
        <v>22.44</v>
      </c>
      <c r="AE45">
        <f>_xll.EQNXTDZ($A$1,$B45,AE$1,$B$1)</f>
        <v>22.44</v>
      </c>
      <c r="AF45">
        <f>_xll.EQNXTDZ($A$1,$B45,AF$1,$B$1)</f>
        <v>22.44</v>
      </c>
      <c r="AG45">
        <f>_xll.EQNXTDZ($A$1,$B45,AG$1,$B$1)</f>
        <v>22.44</v>
      </c>
      <c r="AH45">
        <f>_xll.EQNXTDZ($A$1,$B45,AH$1,$B$1)</f>
        <v>22.44</v>
      </c>
      <c r="AI45">
        <f>_xll.EQNXTDZ($A$1,$B45,AI$1,$B$1)</f>
        <v>22.44</v>
      </c>
      <c r="AJ45">
        <f>_xll.EQNXTDZ($A$1,$B45,AJ$1,$B$1)</f>
        <v>22.44</v>
      </c>
      <c r="AK45">
        <f>_xll.EQNXTDZ($A$1,$B45,AK$1,$B$1)</f>
        <v>22.44</v>
      </c>
      <c r="AL45">
        <f>_xll.EQNXTDZ($A$1,$B45,AL$1,$B$1)</f>
        <v>22.44</v>
      </c>
      <c r="AM45">
        <f>_xll.EQNXTDZ($A$1,$B45,AM$1,$B$1)</f>
        <v>22.44</v>
      </c>
      <c r="AN45">
        <f>_xll.EQNXTDZ($A$1,$B45,AN$1,$B$1)</f>
        <v>22.44</v>
      </c>
      <c r="AO45">
        <f>_xll.EQNXTDZ($A$1,$B45,AO$1,$B$1)</f>
        <v>22.44</v>
      </c>
      <c r="AP45">
        <f>_xll.EQNXTDZ($A$1,$B45,AP$1,$B$1)</f>
        <v>22.44</v>
      </c>
      <c r="AQ45">
        <f>_xll.EQNXTDZ($A$1,$B45,AQ$1,$B$1)</f>
        <v>22.44</v>
      </c>
      <c r="AR45">
        <f>_xll.EQNXTDZ($A$1,$B45,AR$1,$B$1)</f>
        <v>22.44</v>
      </c>
      <c r="AS45">
        <f>_xll.EQNXTDZ($A$1,$B45,AS$1,$B$1)</f>
        <v>22.44</v>
      </c>
      <c r="AT45">
        <f>_xll.EQNXTDZ($A$1,$B45,AT$1,$B$1)</f>
        <v>22.44</v>
      </c>
      <c r="AU45">
        <f>_xll.EQNXTDZ($A$1,$B45,AU$1,$B$1)</f>
        <v>22.44</v>
      </c>
      <c r="AV45">
        <f>_xll.EQNXTDZ($A$1,$B45,AV$1,$B$1)</f>
        <v>22.44</v>
      </c>
      <c r="AW45">
        <f>_xll.EQNXTDZ($A$1,$B45,AW$1,$B$1)</f>
        <v>22.44</v>
      </c>
      <c r="AX45">
        <f>_xll.EQNXTDZ($A$1,$B45,AX$1,$B$1)</f>
        <v>22.44</v>
      </c>
      <c r="AY45">
        <f>_xll.EQNXTDZ($A$1,$B45,AY$1,$B$1)</f>
        <v>22.44</v>
      </c>
      <c r="AZ45">
        <f>_xll.EQNXTDZ($A$1,$B45,AZ$1,$B$1)</f>
        <v>22.44</v>
      </c>
      <c r="BA45">
        <f>_xll.EQNXTDZ($A$1,$B45,BA$1,$B$1)</f>
        <v>22.44</v>
      </c>
      <c r="BB45">
        <f>_xll.EQNXTDZ($A$1,$B45,BB$1,$B$1)</f>
        <v>22.44</v>
      </c>
      <c r="BC45">
        <f>_xll.EQNXTDZ($A$1,$B45,BC$1,$B$1)</f>
        <v>22.44</v>
      </c>
      <c r="BD45">
        <f>_xll.EQNXTDZ($A$1,$B45,BD$1,$B$1)</f>
        <v>22.44</v>
      </c>
      <c r="BE45">
        <f>_xll.EQNXTDZ($A$1,$B45,BE$1,$B$1)</f>
        <v>22.44</v>
      </c>
      <c r="BF45">
        <f>_xll.EQNXTDZ($A$1,$B45,BF$1,$B$1)</f>
        <v>22.44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2</v>
      </c>
      <c r="D46">
        <f>_xll.EQNXTDZ($A$1,$B46,D$1,$B$1)</f>
        <v>2</v>
      </c>
      <c r="E46">
        <f>_xll.EQNXTDZ($A$1,$B46,E$1,$B$1)</f>
        <v>2</v>
      </c>
      <c r="F46">
        <f>_xll.EQNXTDZ($A$1,$B46,F$1,$B$1)</f>
        <v>2</v>
      </c>
      <c r="G46">
        <f>_xll.EQNXTDZ($A$1,$B46,G$1,$B$1)</f>
        <v>2</v>
      </c>
      <c r="H46">
        <f>_xll.EQNXTDZ($A$1,$B46,H$1,$B$1)</f>
        <v>2</v>
      </c>
      <c r="I46">
        <f>_xll.EQNXTDZ($A$1,$B46,I$1,$B$1)</f>
        <v>2</v>
      </c>
      <c r="J46">
        <f>_xll.EQNXTDZ($A$1,$B46,J$1,$B$1)</f>
        <v>2</v>
      </c>
      <c r="K46">
        <f>_xll.EQNXTDZ($A$1,$B46,K$1,$B$1)</f>
        <v>2</v>
      </c>
      <c r="L46">
        <f>_xll.EQNXTDZ($A$1,$B46,L$1,$B$1)</f>
        <v>2</v>
      </c>
      <c r="M46">
        <f>_xll.EQNXTDZ($A$1,$B46,M$1,$B$1)</f>
        <v>2</v>
      </c>
      <c r="N46">
        <f>_xll.EQNXTDZ($A$1,$B46,N$1,$B$1)</f>
        <v>2</v>
      </c>
      <c r="O46">
        <f>_xll.EQNXTDZ($A$1,$B46,O$1,$B$1)</f>
        <v>2</v>
      </c>
      <c r="P46">
        <f>_xll.EQNXTDZ($A$1,$B46,P$1,$B$1)</f>
        <v>2</v>
      </c>
      <c r="Q46">
        <f>_xll.EQNXTDZ($A$1,$B46,Q$1,$B$1)</f>
        <v>2</v>
      </c>
      <c r="R46">
        <f>_xll.EQNXTDZ($A$1,$B46,R$1,$B$1)</f>
        <v>2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26.8</v>
      </c>
      <c r="D48" s="55">
        <f>_xll.EQNXTDZ($A$1,$B48,D$5)</f>
        <v>24.725000000000001</v>
      </c>
      <c r="E48" s="55">
        <f>_xll.EQNXTDZ($A$1,$B48,E$5)</f>
        <v>23.425000000000001</v>
      </c>
      <c r="F48" s="55">
        <f>_xll.EQNXTDZ($A$1,$B48,F$5)</f>
        <v>15.45</v>
      </c>
      <c r="G48" s="55">
        <f>_xll.EQNXTDZ($A$1,$B48,G$5)</f>
        <v>14.1</v>
      </c>
      <c r="H48" s="55">
        <f>_xll.EQNXTDZ($A$1,$B48,H$5)</f>
        <v>13.3</v>
      </c>
      <c r="I48" s="55">
        <f>_xll.EQNXTDZ($A$1,$B48,I$5)</f>
        <v>16.175000000000001</v>
      </c>
      <c r="J48" s="55">
        <f>_xll.EQNXTDZ($A$1,$B48,J$5)</f>
        <v>16.899999999999999</v>
      </c>
      <c r="K48" s="55">
        <f>_xll.EQNXTDZ($A$1,$B48,K$5)</f>
        <v>32.325000000000003</v>
      </c>
      <c r="L48" s="55">
        <f>_xll.EQNXTDZ($A$1,$B48,L$5)</f>
        <v>23.4</v>
      </c>
      <c r="M48" s="55">
        <f>_xll.EQNXTDZ($A$1,$B48,M$5)</f>
        <v>26.3</v>
      </c>
      <c r="N48" s="55">
        <f>_xll.EQNXTDZ($A$1,$B48,N$5)</f>
        <v>33.35</v>
      </c>
      <c r="O48" s="55">
        <f>_xll.EQNXTDZ($A$1,$B48,O$5)</f>
        <v>39.725000000000001</v>
      </c>
      <c r="P48" s="55">
        <f>_xll.EQNXTDZ($A$1,$B48,P$5)</f>
        <v>35.825000000000003</v>
      </c>
      <c r="Q48" s="55">
        <f>_xll.EQNXTDZ($A$1,$B48,Q$5)</f>
        <v>42.125</v>
      </c>
      <c r="R48" s="55">
        <f>_xll.EQNXTDZ($A$1,$B48,R$5)</f>
        <v>27.25</v>
      </c>
      <c r="S48" s="55">
        <f>_xll.EQNXTDZ($A$1,$B48,S$5)</f>
        <v>32.375</v>
      </c>
      <c r="T48" s="55">
        <f>_xll.EQNXTDZ($A$1,$B48,T$5)</f>
        <v>28.925000000000001</v>
      </c>
      <c r="U48" s="55">
        <f>_xll.EQNXTDZ($A$1,$B48,U$5)</f>
        <v>28.5</v>
      </c>
      <c r="V48" s="55">
        <f>_xll.EQNXTDZ($A$1,$B48,V$5)</f>
        <v>26.425000000000001</v>
      </c>
      <c r="W48" s="55">
        <f>_xll.EQNXTDZ($A$1,$B48,W$5)</f>
        <v>28.6</v>
      </c>
      <c r="X48" s="55">
        <f>_xll.EQNXTDZ($A$1,$B48,X$5)</f>
        <v>28.774999999999999</v>
      </c>
      <c r="Y48" s="55">
        <f>_xll.EQNXTDZ($A$1,$B48,Y$5)</f>
        <v>51.475000000000001</v>
      </c>
      <c r="Z48" s="55">
        <f>_xll.EQNXTDZ($A$1,$B48,Z$5)</f>
        <v>38.475000000000001</v>
      </c>
      <c r="AA48" s="55">
        <f>_xll.EQNXTDZ($A$1,$B48,AA$5)</f>
        <v>28.85</v>
      </c>
      <c r="AB48" s="55">
        <f>_xll.EQNXTDZ($A$1,$B48,AB$5)</f>
        <v>26.925000000000001</v>
      </c>
      <c r="AC48" s="55">
        <f>_xll.EQNXTDZ($A$1,$B48,AC$5)</f>
        <v>35.174999999999997</v>
      </c>
      <c r="AD48" s="55">
        <f>_xll.EQNXTDZ($A$1,$B48,AD$5)</f>
        <v>31.625</v>
      </c>
      <c r="AE48" s="55">
        <f>_xll.EQNXTDZ($A$1,$B48,AE$5)</f>
        <v>23.1</v>
      </c>
      <c r="AF48" s="55">
        <f>_xll.EQNXTDZ($A$1,$B48,AF$5)</f>
        <v>17.074999999999999</v>
      </c>
      <c r="AG48" s="55">
        <f>_xll.EQNXTDZ($A$1,$B48,AG$5)</f>
        <v>18.350000000000001</v>
      </c>
      <c r="AH48" s="55">
        <f>_xll.EQNXTDZ($A$1,$B48,AH$5)</f>
        <v>9.5250000000000004</v>
      </c>
      <c r="AI48" s="55">
        <f>_xll.EQNXTDZ($A$1,$B48,AI$5)</f>
        <v>13.175000000000001</v>
      </c>
      <c r="AJ48" s="55">
        <f>_xll.EQNXTDZ($A$1,$B48,AJ$5)</f>
        <v>12.7</v>
      </c>
      <c r="AK48" s="55">
        <f>_xll.EQNXTDZ($A$1,$B48,AK$5)</f>
        <v>21.3</v>
      </c>
      <c r="AL48" s="55">
        <f>_xll.EQNXTDZ($A$1,$B48,AL$5)</f>
        <v>31.675000000000001</v>
      </c>
      <c r="AM48" s="55">
        <f>_xll.EQNXTDZ($A$1,$B48,AM$5)</f>
        <v>68.424999999999997</v>
      </c>
      <c r="AN48" s="55">
        <f>_xll.EQNXTDZ($A$1,$B48,AN$5)</f>
        <v>83.9</v>
      </c>
      <c r="AO48" s="55">
        <f>_xll.EQNXTDZ($A$1,$B48,AO$5)</f>
        <v>92.224999999999994</v>
      </c>
      <c r="AP48" s="55">
        <f>_xll.EQNXTDZ($A$1,$B48,AP$5)</f>
        <v>71.924999999999997</v>
      </c>
      <c r="AQ48" s="55">
        <f>_xll.EQNXTDZ($A$1,$B48,AQ$5)</f>
        <v>130.42500000000001</v>
      </c>
      <c r="AR48" s="55">
        <f>_xll.EQNXTDZ($A$1,$B48,AR$5)</f>
        <v>170.77500000000001</v>
      </c>
      <c r="AS48" s="55">
        <f>_xll.EQNXTDZ($A$1,$B48,AS$5)</f>
        <v>182.27500000000001</v>
      </c>
      <c r="AT48" s="55">
        <f>_xll.EQNXTDZ($A$1,$B48,AT$5)</f>
        <v>190.95</v>
      </c>
      <c r="AU48" s="55">
        <f>_xll.EQNXTDZ($A$1,$B48,AU$5)</f>
        <v>292.3</v>
      </c>
      <c r="AV48" s="55">
        <f>_xll.EQNXTDZ($A$1,$B48,AV$5)</f>
        <v>387.25</v>
      </c>
      <c r="AW48" s="55">
        <f>_xll.EQNXTDZ($A$1,$B48,AW$5)</f>
        <v>463.45</v>
      </c>
      <c r="AX48" s="55">
        <f>_xll.EQNXTDZ($A$1,$B48,AX$5)</f>
        <v>474.92500000000001</v>
      </c>
      <c r="AY48" s="55">
        <f>_xll.EQNXTDZ($A$1,$B48,AY$5)</f>
        <v>660.625</v>
      </c>
      <c r="AZ48" s="55">
        <f>_xll.EQNXTDZ($A$1,$B48,AZ$5)</f>
        <v>700</v>
      </c>
      <c r="BA48" s="55">
        <f>_xll.EQNXTDZ($A$1,$B48,BA$5)</f>
        <v>634.75</v>
      </c>
      <c r="BB48" s="55">
        <f>_xll.EQNXTDZ($A$1,$B48,BB$5)</f>
        <v>449.1</v>
      </c>
      <c r="BC48" s="55">
        <f>_xll.EQNXTDZ($A$1,$B48,BC$5)</f>
        <v>655</v>
      </c>
      <c r="BD48" s="55">
        <f>_xll.EQNXTDZ($A$1,$B48,BD$5)</f>
        <v>567.95000000000005</v>
      </c>
      <c r="BE48" s="55">
        <f>_xll.EQNXTDZ($A$1,$B48,BE$5)</f>
        <v>481.35</v>
      </c>
      <c r="BF48" s="55">
        <f>_xll.EQNXTDZ($A$1,$B48,BF$5)</f>
        <v>354.75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45.99</v>
      </c>
      <c r="D49" s="55">
        <f>_xll.EQNXTDZ($A$1,$B49,D$5)</f>
        <v>46.12</v>
      </c>
      <c r="E49" s="55">
        <f>_xll.EQNXTDZ($A$1,$B49,E$5)</f>
        <v>46.12</v>
      </c>
      <c r="F49" s="55">
        <f>_xll.EQNXTDZ($A$1,$B49,F$5)</f>
        <v>46.12</v>
      </c>
      <c r="G49" s="55">
        <f>_xll.EQNXTDZ($A$1,$B49,G$5)</f>
        <v>57.16</v>
      </c>
      <c r="H49" s="55">
        <f>_xll.EQNXTDZ($A$1,$B49,H$5)</f>
        <v>57.16</v>
      </c>
      <c r="I49" s="55">
        <f>_xll.EQNXTDZ($A$1,$B49,I$5)</f>
        <v>57.16</v>
      </c>
      <c r="J49" s="55">
        <f>_xll.EQNXTDZ($A$1,$B49,J$5)</f>
        <v>58.08</v>
      </c>
      <c r="K49" s="55">
        <f>_xll.EQNXTDZ($A$1,$B49,K$5)</f>
        <v>58.08</v>
      </c>
      <c r="L49" s="55">
        <f>_xll.EQNXTDZ($A$1,$B49,L$5)</f>
        <v>58.08</v>
      </c>
      <c r="M49" s="55">
        <f>_xll.EQNXTDZ($A$1,$B49,M$5)</f>
        <v>58.08</v>
      </c>
      <c r="N49" s="55">
        <f>_xll.EQNXTDZ($A$1,$B49,N$5)</f>
        <v>58.08</v>
      </c>
      <c r="O49" s="55">
        <f>_xll.EQNXTDZ($A$1,$B49,O$5)</f>
        <v>58.09</v>
      </c>
      <c r="P49" s="55">
        <f>_xll.EQNXTDZ($A$1,$B49,P$5)</f>
        <v>57.34</v>
      </c>
      <c r="Q49" s="55">
        <f>_xll.EQNXTDZ($A$1,$B49,Q$5)</f>
        <v>57.34</v>
      </c>
      <c r="R49" s="55">
        <f>_xll.EQNXTDZ($A$1,$B49,R$5)</f>
        <v>57.34</v>
      </c>
      <c r="S49" s="55">
        <f>_xll.EQNXTDZ($A$1,$B49,S$5)</f>
        <v>57.34</v>
      </c>
      <c r="T49" s="55">
        <f>_xll.EQNXTDZ($A$1,$B49,T$5)</f>
        <v>57.34</v>
      </c>
      <c r="U49" s="55">
        <f>_xll.EQNXTDZ($A$1,$B49,U$5)</f>
        <v>58.58</v>
      </c>
      <c r="V49" s="55">
        <f>_xll.EQNXTDZ($A$1,$B49,V$5)</f>
        <v>58.58</v>
      </c>
      <c r="W49" s="55">
        <f>_xll.EQNXTDZ($A$1,$B49,W$5)</f>
        <v>58.58</v>
      </c>
      <c r="X49" s="55">
        <f>_xll.EQNXTDZ($A$1,$B49,X$5)</f>
        <v>58.64</v>
      </c>
      <c r="Y49" s="55">
        <f>_xll.EQNXTDZ($A$1,$B49,Y$5)</f>
        <v>58.64</v>
      </c>
      <c r="Z49" s="55">
        <f>_xll.EQNXTDZ($A$1,$B49,Z$5)</f>
        <v>58.64</v>
      </c>
      <c r="AA49" s="55">
        <f>_xll.EQNXTDZ($A$1,$B49,AA$5)</f>
        <v>58.64</v>
      </c>
      <c r="AB49" s="55">
        <f>_xll.EQNXTDZ($A$1,$B49,AB$5)</f>
        <v>58.64</v>
      </c>
      <c r="AC49" s="55">
        <f>_xll.EQNXTDZ($A$1,$B49,AC$5)</f>
        <v>58.64</v>
      </c>
      <c r="AD49" s="55">
        <f>_xll.EQNXTDZ($A$1,$B49,AD$5)</f>
        <v>58.68</v>
      </c>
      <c r="AE49" s="55">
        <f>_xll.EQNXTDZ($A$1,$B49,AE$5)</f>
        <v>58.68</v>
      </c>
      <c r="AF49" s="55">
        <f>_xll.EQNXTDZ($A$1,$B49,AF$5)</f>
        <v>58.93</v>
      </c>
      <c r="AG49" s="55">
        <f>_xll.EQNXTDZ($A$1,$B49,AG$5)</f>
        <v>58.93</v>
      </c>
      <c r="AH49" s="55">
        <f>_xll.EQNXTDZ($A$1,$B49,AH$5)</f>
        <v>59.2</v>
      </c>
      <c r="AI49" s="55">
        <f>_xll.EQNXTDZ($A$1,$B49,AI$5)</f>
        <v>59.2</v>
      </c>
      <c r="AJ49" s="55">
        <f>_xll.EQNXTDZ($A$1,$B49,AJ$5)</f>
        <v>59.2</v>
      </c>
      <c r="AK49" s="55">
        <f>_xll.EQNXTDZ($A$1,$B49,AK$5)</f>
        <v>59.2</v>
      </c>
      <c r="AL49" s="55">
        <f>_xll.EQNXTDZ($A$1,$B49,AL$5)</f>
        <v>59.2</v>
      </c>
      <c r="AM49" s="55">
        <f>_xll.EQNXTDZ($A$1,$B49,AM$5)</f>
        <v>59.2</v>
      </c>
      <c r="AN49" s="55">
        <f>_xll.EQNXTDZ($A$1,$B49,AN$5)</f>
        <v>59.21</v>
      </c>
      <c r="AO49" s="55">
        <f>_xll.EQNXTDZ($A$1,$B49,AO$5)</f>
        <v>59.21</v>
      </c>
      <c r="AP49" s="55">
        <f>_xll.EQNXTDZ($A$1,$B49,AP$5)</f>
        <v>59.26</v>
      </c>
      <c r="AQ49" s="55">
        <f>_xll.EQNXTDZ($A$1,$B49,AQ$5)</f>
        <v>59.26</v>
      </c>
      <c r="AR49" s="55">
        <f>_xll.EQNXTDZ($A$1,$B49,AR$5)</f>
        <v>59.29</v>
      </c>
      <c r="AS49" s="55">
        <f>_xll.EQNXTDZ($A$1,$B49,AS$5)</f>
        <v>59.29</v>
      </c>
      <c r="AT49" s="55">
        <f>_xll.EQNXTDZ($A$1,$B49,AT$5)</f>
        <v>59.29</v>
      </c>
      <c r="AU49" s="55">
        <f>_xll.EQNXTDZ($A$1,$B49,AU$5)</f>
        <v>59.29</v>
      </c>
      <c r="AV49" s="55">
        <f>_xll.EQNXTDZ($A$1,$B49,AV$5)</f>
        <v>59.29</v>
      </c>
      <c r="AW49" s="55">
        <f>_xll.EQNXTDZ($A$1,$B49,AW$5)</f>
        <v>59.29</v>
      </c>
      <c r="AX49" s="55">
        <f>_xll.EQNXTDZ($A$1,$B49,AX$5)</f>
        <v>59.27</v>
      </c>
      <c r="AY49" s="55">
        <f>_xll.EQNXTDZ($A$1,$B49,AY$5)</f>
        <v>59.28</v>
      </c>
      <c r="AZ49" s="55">
        <f>_xll.EQNXTDZ($A$1,$B49,AZ$5)</f>
        <v>59.27</v>
      </c>
      <c r="BA49" s="55">
        <f>_xll.EQNXTDZ($A$1,$B49,BA$5)</f>
        <v>59.27</v>
      </c>
      <c r="BB49" s="55">
        <f>_xll.EQNXTDZ($A$1,$B49,BB$5)</f>
        <v>59.27</v>
      </c>
      <c r="BC49" s="55">
        <f>_xll.EQNXTDZ($A$1,$B49,BC$5)</f>
        <v>59.27</v>
      </c>
      <c r="BD49" s="55">
        <f>_xll.EQNXTDZ($A$1,$B49,BD$5)</f>
        <v>59.27</v>
      </c>
      <c r="BE49" s="55">
        <f>_xll.EQNXTDZ($A$1,$B49,BE$5)</f>
        <v>59.27</v>
      </c>
      <c r="BF49" s="55">
        <f>_xll.EQNXTDZ($A$1,$B49,BF$5)</f>
        <v>59.27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20.78</v>
      </c>
      <c r="D50" s="55">
        <f>_xll.EQNXTDZ($A$1,$B50,D$5)</f>
        <v>20.72</v>
      </c>
      <c r="E50" s="55">
        <f>_xll.EQNXTDZ($A$1,$B50,E$5)</f>
        <v>15.39</v>
      </c>
      <c r="F50" s="55">
        <f>_xll.EQNXTDZ($A$1,$B50,F$5)</f>
        <v>15.39</v>
      </c>
      <c r="G50" s="55">
        <f>_xll.EQNXTDZ($A$1,$B50,G$5)</f>
        <v>12.6</v>
      </c>
      <c r="H50" s="55">
        <f>_xll.EQNXTDZ($A$1,$B50,H$5)</f>
        <v>12.6</v>
      </c>
      <c r="I50" s="55">
        <f>_xll.EQNXTDZ($A$1,$B50,I$5)</f>
        <v>12.6</v>
      </c>
      <c r="J50" s="55">
        <f>_xll.EQNXTDZ($A$1,$B50,J$5)</f>
        <v>12.4</v>
      </c>
      <c r="K50" s="55">
        <f>_xll.EQNXTDZ($A$1,$B50,K$5)</f>
        <v>10.26</v>
      </c>
      <c r="L50" s="55">
        <f>_xll.EQNXTDZ($A$1,$B50,L$5)</f>
        <v>10.01</v>
      </c>
      <c r="M50" s="55">
        <f>_xll.EQNXTDZ($A$1,$B50,M$5)</f>
        <v>10.01</v>
      </c>
      <c r="N50" s="55">
        <f>_xll.EQNXTDZ($A$1,$B50,N$5)</f>
        <v>10.01</v>
      </c>
      <c r="O50" s="55">
        <f>_xll.EQNXTDZ($A$1,$B50,O$5)</f>
        <v>10.01</v>
      </c>
      <c r="P50" s="55">
        <f>_xll.EQNXTDZ($A$1,$B50,P$5)</f>
        <v>10.14</v>
      </c>
      <c r="Q50" s="55">
        <f>_xll.EQNXTDZ($A$1,$B50,Q$5)</f>
        <v>9.14</v>
      </c>
      <c r="R50" s="55">
        <f>_xll.EQNXTDZ($A$1,$B50,R$5)</f>
        <v>26.43</v>
      </c>
      <c r="S50" s="55">
        <f>_xll.EQNXTDZ($A$1,$B50,S$5)</f>
        <v>26.32</v>
      </c>
      <c r="T50" s="55">
        <f>_xll.EQNXTDZ($A$1,$B50,T$5)</f>
        <v>21.15</v>
      </c>
      <c r="U50" s="55">
        <f>_xll.EQNXTDZ($A$1,$B50,U$5)</f>
        <v>20.100000000000001</v>
      </c>
      <c r="V50" s="55">
        <f>_xll.EQNXTDZ($A$1,$B50,V$5)</f>
        <v>13.31</v>
      </c>
      <c r="W50" s="55">
        <f>_xll.EQNXTDZ($A$1,$B50,W$5)</f>
        <v>13.31</v>
      </c>
      <c r="X50" s="55">
        <f>_xll.EQNXTDZ($A$1,$B50,X$5)</f>
        <v>13.3</v>
      </c>
      <c r="Y50" s="55">
        <f>_xll.EQNXTDZ($A$1,$B50,Y$5)</f>
        <v>37.01</v>
      </c>
      <c r="Z50" s="55">
        <f>_xll.EQNXTDZ($A$1,$B50,Z$5)</f>
        <v>60.95</v>
      </c>
      <c r="AA50" s="55">
        <f>_xll.EQNXTDZ($A$1,$B50,AA$5)</f>
        <v>46.24</v>
      </c>
      <c r="AB50" s="55">
        <f>_xll.EQNXTDZ($A$1,$B50,AB$5)</f>
        <v>46.21</v>
      </c>
      <c r="AC50" s="55">
        <f>_xll.EQNXTDZ($A$1,$B50,AC$5)</f>
        <v>46.21</v>
      </c>
      <c r="AD50" s="55">
        <f>_xll.EQNXTDZ($A$1,$B50,AD$5)</f>
        <v>46.17</v>
      </c>
      <c r="AE50" s="55">
        <f>_xll.EQNXTDZ($A$1,$B50,AE$5)</f>
        <v>46.17</v>
      </c>
      <c r="AF50" s="55">
        <f>_xll.EQNXTDZ($A$1,$B50,AF$5)</f>
        <v>45.98</v>
      </c>
      <c r="AG50" s="55">
        <f>_xll.EQNXTDZ($A$1,$B50,AG$5)</f>
        <v>45.98</v>
      </c>
      <c r="AH50" s="55">
        <f>_xll.EQNXTDZ($A$1,$B50,AH$5)</f>
        <v>40.35</v>
      </c>
      <c r="AI50" s="55">
        <f>_xll.EQNXTDZ($A$1,$B50,AI$5)</f>
        <v>40.35</v>
      </c>
      <c r="AJ50" s="55">
        <f>_xll.EQNXTDZ($A$1,$B50,AJ$5)</f>
        <v>32.9</v>
      </c>
      <c r="AK50" s="55">
        <f>_xll.EQNXTDZ($A$1,$B50,AK$5)</f>
        <v>32.9</v>
      </c>
      <c r="AL50" s="55">
        <f>_xll.EQNXTDZ($A$1,$B50,AL$5)</f>
        <v>23.49</v>
      </c>
      <c r="AM50" s="55">
        <f>_xll.EQNXTDZ($A$1,$B50,AM$5)</f>
        <v>11.29</v>
      </c>
      <c r="AN50" s="55">
        <f>_xll.EQNXTDZ($A$1,$B50,AN$5)</f>
        <v>11.29</v>
      </c>
      <c r="AO50" s="55">
        <f>_xll.EQNXTDZ($A$1,$B50,AO$5)</f>
        <v>11.29</v>
      </c>
      <c r="AP50" s="55">
        <f>_xll.EQNXTDZ($A$1,$B50,AP$5)</f>
        <v>11.28</v>
      </c>
      <c r="AQ50" s="55">
        <f>_xll.EQNXTDZ($A$1,$B50,AQ$5)</f>
        <v>3.76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18.571999999999999</v>
      </c>
      <c r="E56" s="55">
        <f>_xll.EQNXTDZ($A$1,$B56,E$5,$B$1)</f>
        <v>0</v>
      </c>
      <c r="F56" s="55">
        <f>_xll.EQNXTDZ($A$1,$B56,F$5,$B$1)</f>
        <v>21.786999999999999</v>
      </c>
      <c r="G56" s="55">
        <f>_xll.EQNXTDZ($A$1,$B56,G$5,$B$1)</f>
        <v>0</v>
      </c>
      <c r="H56" s="55">
        <f>_xll.EQNXTDZ($A$1,$B56,H$5,$B$1)</f>
        <v>21.786999999999999</v>
      </c>
      <c r="I56" s="55">
        <f>_xll.EQNXTDZ($A$1,$B56,I$5,$B$1)</f>
        <v>0</v>
      </c>
      <c r="J56" s="55">
        <f>_xll.EQNXTDZ($A$1,$B56,J$5,$B$1)</f>
        <v>21.786999999999999</v>
      </c>
      <c r="K56" s="55">
        <f>_xll.EQNXTDZ($A$1,$B56,K$5,$B$1)</f>
        <v>0</v>
      </c>
      <c r="L56" s="55">
        <f>_xll.EQNXTDZ($A$1,$B56,L$5,$B$1)</f>
        <v>21.786999999999999</v>
      </c>
      <c r="M56" s="55">
        <f>_xll.EQNXTDZ($A$1,$B56,M$5,$B$1)</f>
        <v>0</v>
      </c>
      <c r="N56" s="55">
        <f>_xll.EQNXTDZ($A$1,$B56,N$5,$B$1)</f>
        <v>21.786999999999999</v>
      </c>
      <c r="O56" s="55">
        <f>_xll.EQNXTDZ($A$1,$B56,O$5,$B$1)</f>
        <v>0</v>
      </c>
      <c r="P56" s="55">
        <f>_xll.EQNXTDZ($A$1,$B56,P$5,$B$1)</f>
        <v>21.786999999999999</v>
      </c>
      <c r="Q56" s="55">
        <f>_xll.EQNXTDZ($A$1,$B56,Q$5,$B$1)</f>
        <v>0</v>
      </c>
      <c r="R56" s="55">
        <f>_xll.EQNXTDZ($A$1,$B56,R$5,$B$1)</f>
        <v>21.786999999999999</v>
      </c>
      <c r="S56" s="55">
        <f>_xll.EQNXTDZ($A$1,$B56,S$5,$B$1)</f>
        <v>0</v>
      </c>
      <c r="T56" s="55">
        <f>_xll.EQNXTDZ($A$1,$B56,T$5,$B$1)</f>
        <v>21.786999999999999</v>
      </c>
      <c r="U56" s="55">
        <f>_xll.EQNXTDZ($A$1,$B56,U$5,$B$1)</f>
        <v>0</v>
      </c>
      <c r="V56" s="55">
        <f>_xll.EQNXTDZ($A$1,$B56,V$5,$B$1)</f>
        <v>22.44</v>
      </c>
      <c r="W56" s="55">
        <f>_xll.EQNXTDZ($A$1,$B56,W$5,$B$1)</f>
        <v>0</v>
      </c>
      <c r="X56" s="55">
        <f>_xll.EQNXTDZ($A$1,$B56,X$5,$B$1)</f>
        <v>22.44</v>
      </c>
      <c r="Y56" s="55">
        <f>_xll.EQNXTDZ($A$1,$B56,Y$5,$B$1)</f>
        <v>0</v>
      </c>
      <c r="Z56" s="55">
        <f>_xll.EQNXTDZ($A$1,$B56,Z$5,$B$1)</f>
        <v>22.44</v>
      </c>
      <c r="AA56" s="55">
        <f>_xll.EQNXTDZ($A$1,$B56,AA$5,$B$1)</f>
        <v>0</v>
      </c>
      <c r="AB56" s="55">
        <f>_xll.EQNXTDZ($A$1,$B56,AB$5,$B$1)</f>
        <v>22.44</v>
      </c>
      <c r="AC56" s="55">
        <f>_xll.EQNXTDZ($A$1,$B56,AC$5,$B$1)</f>
        <v>0</v>
      </c>
      <c r="AD56" s="55">
        <f>_xll.EQNXTDZ($A$1,$B56,AD$5,$B$1)</f>
        <v>22.44</v>
      </c>
      <c r="AE56" s="55">
        <f>_xll.EQNXTDZ($A$1,$B56,AE$5,$B$1)</f>
        <v>0</v>
      </c>
      <c r="AF56" s="55">
        <f>_xll.EQNXTDZ($A$1,$B56,AF$5,$B$1)</f>
        <v>22.44</v>
      </c>
      <c r="AG56" s="55">
        <f>_xll.EQNXTDZ($A$1,$B56,AG$5,$B$1)</f>
        <v>0</v>
      </c>
      <c r="AH56" s="55">
        <f>_xll.EQNXTDZ($A$1,$B56,AH$5,$B$1)</f>
        <v>22.44</v>
      </c>
      <c r="AI56" s="55">
        <f>_xll.EQNXTDZ($A$1,$B56,AI$5,$B$1)</f>
        <v>0</v>
      </c>
      <c r="AJ56" s="55">
        <f>_xll.EQNXTDZ($A$1,$B56,AJ$5,$B$1)</f>
        <v>22.44</v>
      </c>
      <c r="AK56" s="55">
        <f>_xll.EQNXTDZ($A$1,$B56,AK$5,$B$1)</f>
        <v>0</v>
      </c>
      <c r="AL56" s="55">
        <f>_xll.EQNXTDZ($A$1,$B56,AL$5,$B$1)</f>
        <v>22.44</v>
      </c>
      <c r="AM56" s="55">
        <f>_xll.EQNXTDZ($A$1,$B56,AM$5,$B$1)</f>
        <v>0</v>
      </c>
      <c r="AN56" s="55">
        <f>_xll.EQNXTDZ($A$1,$B56,AN$5,$B$1)</f>
        <v>22.44</v>
      </c>
      <c r="AO56" s="55">
        <f>_xll.EQNXTDZ($A$1,$B56,AO$5,$B$1)</f>
        <v>0</v>
      </c>
      <c r="AP56" s="55">
        <f>_xll.EQNXTDZ($A$1,$B56,AP$5,$B$1)</f>
        <v>22.44</v>
      </c>
      <c r="AQ56" s="55">
        <f>_xll.EQNXTDZ($A$1,$B56,AQ$5,$B$1)</f>
        <v>0</v>
      </c>
      <c r="AR56" s="55">
        <f>_xll.EQNXTDZ($A$1,$B56,AR$5,$B$1)</f>
        <v>22.44</v>
      </c>
      <c r="AS56" s="55">
        <f>_xll.EQNXTDZ($A$1,$B56,AS$5,$B$1)</f>
        <v>0</v>
      </c>
      <c r="AT56" s="55">
        <f>_xll.EQNXTDZ($A$1,$B56,AT$5,$B$1)</f>
        <v>22.44</v>
      </c>
      <c r="AU56" s="55">
        <f>_xll.EQNXTDZ($A$1,$B56,AU$5,$B$1)</f>
        <v>0</v>
      </c>
      <c r="AV56" s="55">
        <f>_xll.EQNXTDZ($A$1,$B56,AV$5,$B$1)</f>
        <v>22.44</v>
      </c>
      <c r="AW56" s="55">
        <f>_xll.EQNXTDZ($A$1,$B56,AW$5,$B$1)</f>
        <v>0</v>
      </c>
      <c r="AX56" s="55">
        <f>_xll.EQNXTDZ($A$1,$B56,AX$5,$B$1)</f>
        <v>22.44</v>
      </c>
      <c r="AY56" s="55">
        <f>_xll.EQNXTDZ($A$1,$B56,AY$5,$B$1)</f>
        <v>0</v>
      </c>
      <c r="AZ56" s="55">
        <f>_xll.EQNXTDZ($A$1,$B56,AZ$5,$B$1)</f>
        <v>22.44</v>
      </c>
      <c r="BA56" s="55">
        <f>_xll.EQNXTDZ($A$1,$B56,BA$5,$B$1)</f>
        <v>0</v>
      </c>
      <c r="BB56" s="55">
        <f>_xll.EQNXTDZ($A$1,$B56,BB$5,$B$1)</f>
        <v>22.44</v>
      </c>
      <c r="BC56" s="55">
        <f>_xll.EQNXTDZ($A$1,$B56,BC$5,$B$1)</f>
        <v>0</v>
      </c>
      <c r="BD56" s="55">
        <f>_xll.EQNXTDZ($A$1,$B56,BD$5,$B$1)</f>
        <v>22.44</v>
      </c>
      <c r="BE56" s="55">
        <f>_xll.EQNXTDZ($A$1,$B56,BE$5,$B$1)</f>
        <v>0</v>
      </c>
      <c r="BF56" s="55">
        <f>_xll.EQNXTDZ($A$1,$B56,BF$5,$B$1)</f>
        <v>22.44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455.57100000000003</v>
      </c>
      <c r="E58" s="55">
        <f>_xll.EQNXTDZ($A$1,$B58,E$5,$B$1)</f>
        <v>0</v>
      </c>
      <c r="F58" s="55">
        <f>_xll.EQNXTDZ($A$1,$B58,F$5,$B$1)</f>
        <v>516.00400000000002</v>
      </c>
      <c r="G58" s="55">
        <f>_xll.EQNXTDZ($A$1,$B58,G$5,$B$1)</f>
        <v>0</v>
      </c>
      <c r="H58" s="55">
        <f>_xll.EQNXTDZ($A$1,$B58,H$5,$B$1)</f>
        <v>466.44099999999997</v>
      </c>
      <c r="I58" s="55">
        <f>_xll.EQNXTDZ($A$1,$B58,I$5,$B$1)</f>
        <v>0</v>
      </c>
      <c r="J58" s="55">
        <f>_xll.EQNXTDZ($A$1,$B58,J$5,$B$1)</f>
        <v>510.30700000000002</v>
      </c>
      <c r="K58" s="55">
        <f>_xll.EQNXTDZ($A$1,$B58,K$5,$B$1)</f>
        <v>0</v>
      </c>
      <c r="L58" s="55">
        <f>_xll.EQNXTDZ($A$1,$B58,L$5,$B$1)</f>
        <v>473.827</v>
      </c>
      <c r="M58" s="55">
        <f>_xll.EQNXTDZ($A$1,$B58,M$5,$B$1)</f>
        <v>0</v>
      </c>
      <c r="N58" s="55">
        <f>_xll.EQNXTDZ($A$1,$B58,N$5,$B$1)</f>
        <v>513.78099999999995</v>
      </c>
      <c r="O58" s="55">
        <f>_xll.EQNXTDZ($A$1,$B58,O$5,$B$1)</f>
        <v>0</v>
      </c>
      <c r="P58" s="55">
        <f>_xll.EQNXTDZ($A$1,$B58,P$5,$B$1)</f>
        <v>517.10199999999998</v>
      </c>
      <c r="Q58" s="55">
        <f>_xll.EQNXTDZ($A$1,$B58,Q$5,$B$1)</f>
        <v>0</v>
      </c>
      <c r="R58" s="55">
        <f>_xll.EQNXTDZ($A$1,$B58,R$5,$B$1)</f>
        <v>682.49599999999998</v>
      </c>
      <c r="S58" s="55">
        <f>_xll.EQNXTDZ($A$1,$B58,S$5,$B$1)</f>
        <v>0</v>
      </c>
      <c r="T58" s="55">
        <f>_xll.EQNXTDZ($A$1,$B58,T$5,$B$1)</f>
        <v>757.11599999999999</v>
      </c>
      <c r="U58" s="55">
        <f>_xll.EQNXTDZ($A$1,$B58,U$5,$B$1)</f>
        <v>0</v>
      </c>
      <c r="V58" s="55">
        <f>_xll.EQNXTDZ($A$1,$B58,V$5,$B$1)</f>
        <v>687.41</v>
      </c>
      <c r="W58" s="55">
        <f>_xll.EQNXTDZ($A$1,$B58,W$5,$B$1)</f>
        <v>0</v>
      </c>
      <c r="X58" s="55">
        <f>_xll.EQNXTDZ($A$1,$B58,X$5,$B$1)</f>
        <v>640.05700000000002</v>
      </c>
      <c r="Y58" s="55">
        <f>_xll.EQNXTDZ($A$1,$B58,Y$5,$B$1)</f>
        <v>0</v>
      </c>
      <c r="Z58" s="55">
        <f>_xll.EQNXTDZ($A$1,$B58,Z$5,$B$1)</f>
        <v>686.43200000000002</v>
      </c>
      <c r="AA58" s="55">
        <f>_xll.EQNXTDZ($A$1,$B58,AA$5,$B$1)</f>
        <v>0</v>
      </c>
      <c r="AB58" s="55">
        <f>_xll.EQNXTDZ($A$1,$B58,AB$5,$B$1)</f>
        <v>745.76499999999999</v>
      </c>
      <c r="AC58" s="55">
        <f>_xll.EQNXTDZ($A$1,$B58,AC$5,$B$1)</f>
        <v>0</v>
      </c>
      <c r="AD58" s="55">
        <f>_xll.EQNXTDZ($A$1,$B58,AD$5,$B$1)</f>
        <v>745.62400000000002</v>
      </c>
      <c r="AE58" s="55">
        <f>_xll.EQNXTDZ($A$1,$B58,AE$5,$B$1)</f>
        <v>0</v>
      </c>
      <c r="AF58" s="55">
        <f>_xll.EQNXTDZ($A$1,$B58,AF$5,$B$1)</f>
        <v>749.80600000000004</v>
      </c>
      <c r="AG58" s="55">
        <f>_xll.EQNXTDZ($A$1,$B58,AG$5,$B$1)</f>
        <v>0</v>
      </c>
      <c r="AH58" s="55">
        <f>_xll.EQNXTDZ($A$1,$B58,AH$5,$B$1)</f>
        <v>831.75400000000002</v>
      </c>
      <c r="AI58" s="55">
        <f>_xll.EQNXTDZ($A$1,$B58,AI$5,$B$1)</f>
        <v>0</v>
      </c>
      <c r="AJ58" s="55">
        <f>_xll.EQNXTDZ($A$1,$B58,AJ$5,$B$1)</f>
        <v>834.14300000000003</v>
      </c>
      <c r="AK58" s="55">
        <f>_xll.EQNXTDZ($A$1,$B58,AK$5,$B$1)</f>
        <v>0</v>
      </c>
      <c r="AL58" s="55">
        <f>_xll.EQNXTDZ($A$1,$B58,AL$5,$B$1)</f>
        <v>896.80799999999999</v>
      </c>
      <c r="AM58" s="55">
        <f>_xll.EQNXTDZ($A$1,$B58,AM$5,$B$1)</f>
        <v>0</v>
      </c>
      <c r="AN58" s="55">
        <f>_xll.EQNXTDZ($A$1,$B58,AN$5,$B$1)</f>
        <v>954.96699999999998</v>
      </c>
      <c r="AO58" s="55">
        <f>_xll.EQNXTDZ($A$1,$B58,AO$5,$B$1)</f>
        <v>0</v>
      </c>
      <c r="AP58" s="55">
        <f>_xll.EQNXTDZ($A$1,$B58,AP$5,$B$1)</f>
        <v>1027.798</v>
      </c>
      <c r="AQ58" s="55">
        <f>_xll.EQNXTDZ($A$1,$B58,AQ$5,$B$1)</f>
        <v>0</v>
      </c>
      <c r="AR58" s="55">
        <f>_xll.EQNXTDZ($A$1,$B58,AR$5,$B$1)</f>
        <v>1109.5170000000001</v>
      </c>
      <c r="AS58" s="55">
        <f>_xll.EQNXTDZ($A$1,$B58,AS$5,$B$1)</f>
        <v>0</v>
      </c>
      <c r="AT58" s="55">
        <f>_xll.EQNXTDZ($A$1,$B58,AT$5,$B$1)</f>
        <v>1256.67</v>
      </c>
      <c r="AU58" s="55">
        <f>_xll.EQNXTDZ($A$1,$B58,AU$5,$B$1)</f>
        <v>0</v>
      </c>
      <c r="AV58" s="55">
        <f>_xll.EQNXTDZ($A$1,$B58,AV$5,$B$1)</f>
        <v>1392.29</v>
      </c>
      <c r="AW58" s="55">
        <f>_xll.EQNXTDZ($A$1,$B58,AW$5,$B$1)</f>
        <v>0</v>
      </c>
      <c r="AX58" s="55">
        <f>_xll.EQNXTDZ($A$1,$B58,AX$5,$B$1)</f>
        <v>1581.59</v>
      </c>
      <c r="AY58" s="55">
        <f>_xll.EQNXTDZ($A$1,$B58,AY$5,$B$1)</f>
        <v>0</v>
      </c>
      <c r="AZ58" s="55">
        <f>_xll.EQNXTDZ($A$1,$B58,AZ$5,$B$1)</f>
        <v>1731.97</v>
      </c>
      <c r="BA58" s="55">
        <f>_xll.EQNXTDZ($A$1,$B58,BA$5,$B$1)</f>
        <v>0</v>
      </c>
      <c r="BB58" s="55">
        <f>_xll.EQNXTDZ($A$1,$B58,BB$5,$B$1)</f>
        <v>1976.25</v>
      </c>
      <c r="BC58" s="55">
        <f>_xll.EQNXTDZ($A$1,$B58,BC$5,$B$1)</f>
        <v>0</v>
      </c>
      <c r="BD58" s="55">
        <f>_xll.EQNXTDZ($A$1,$B58,BD$5,$B$1)</f>
        <v>2221.65</v>
      </c>
      <c r="BE58" s="55">
        <f>_xll.EQNXTDZ($A$1,$B58,BE$5,$B$1)</f>
        <v>0</v>
      </c>
      <c r="BF58" s="55">
        <f>_xll.EQNXTDZ($A$1,$B58,BF$5,$B$1)</f>
        <v>2283.41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474.14299999999997</v>
      </c>
      <c r="E59" s="55">
        <f>_xll.EQNXTDZ($A$1,$B59,E$5,$B$1)</f>
        <v>0</v>
      </c>
      <c r="F59" s="55">
        <f>_xll.EQNXTDZ($A$1,$B59,F$5,$B$1)</f>
        <v>537.79100000000005</v>
      </c>
      <c r="G59" s="55">
        <f>_xll.EQNXTDZ($A$1,$B59,G$5,$B$1)</f>
        <v>0</v>
      </c>
      <c r="H59" s="55">
        <f>_xll.EQNXTDZ($A$1,$B59,H$5,$B$1)</f>
        <v>488.22800000000001</v>
      </c>
      <c r="I59" s="55">
        <f>_xll.EQNXTDZ($A$1,$B59,I$5,$B$1)</f>
        <v>0</v>
      </c>
      <c r="J59" s="55">
        <f>_xll.EQNXTDZ($A$1,$B59,J$5,$B$1)</f>
        <v>532.09400000000005</v>
      </c>
      <c r="K59" s="55">
        <f>_xll.EQNXTDZ($A$1,$B59,K$5,$B$1)</f>
        <v>0</v>
      </c>
      <c r="L59" s="55">
        <f>_xll.EQNXTDZ($A$1,$B59,L$5,$B$1)</f>
        <v>495.61399999999998</v>
      </c>
      <c r="M59" s="55">
        <f>_xll.EQNXTDZ($A$1,$B59,M$5,$B$1)</f>
        <v>0</v>
      </c>
      <c r="N59" s="55">
        <f>_xll.EQNXTDZ($A$1,$B59,N$5,$B$1)</f>
        <v>535.56799999999998</v>
      </c>
      <c r="O59" s="55">
        <f>_xll.EQNXTDZ($A$1,$B59,O$5,$B$1)</f>
        <v>0</v>
      </c>
      <c r="P59" s="55">
        <f>_xll.EQNXTDZ($A$1,$B59,P$5,$B$1)</f>
        <v>538.88900000000001</v>
      </c>
      <c r="Q59" s="55">
        <f>_xll.EQNXTDZ($A$1,$B59,Q$5,$B$1)</f>
        <v>0</v>
      </c>
      <c r="R59" s="55">
        <f>_xll.EQNXTDZ($A$1,$B59,R$5,$B$1)</f>
        <v>704.28300000000002</v>
      </c>
      <c r="S59" s="55">
        <f>_xll.EQNXTDZ($A$1,$B59,S$5,$B$1)</f>
        <v>0</v>
      </c>
      <c r="T59" s="55">
        <f>_xll.EQNXTDZ($A$1,$B59,T$5,$B$1)</f>
        <v>778.90300000000002</v>
      </c>
      <c r="U59" s="55">
        <f>_xll.EQNXTDZ($A$1,$B59,U$5,$B$1)</f>
        <v>0</v>
      </c>
      <c r="V59" s="55">
        <f>_xll.EQNXTDZ($A$1,$B59,V$5,$B$1)</f>
        <v>709.85</v>
      </c>
      <c r="W59" s="55">
        <f>_xll.EQNXTDZ($A$1,$B59,W$5,$B$1)</f>
        <v>0</v>
      </c>
      <c r="X59" s="55">
        <f>_xll.EQNXTDZ($A$1,$B59,X$5,$B$1)</f>
        <v>662.49699999999996</v>
      </c>
      <c r="Y59" s="55">
        <f>_xll.EQNXTDZ($A$1,$B59,Y$5,$B$1)</f>
        <v>0</v>
      </c>
      <c r="Z59" s="55">
        <f>_xll.EQNXTDZ($A$1,$B59,Z$5,$B$1)</f>
        <v>708.87199999999996</v>
      </c>
      <c r="AA59" s="55">
        <f>_xll.EQNXTDZ($A$1,$B59,AA$5,$B$1)</f>
        <v>0</v>
      </c>
      <c r="AB59" s="55">
        <f>_xll.EQNXTDZ($A$1,$B59,AB$5,$B$1)</f>
        <v>768.20500000000004</v>
      </c>
      <c r="AC59" s="55">
        <f>_xll.EQNXTDZ($A$1,$B59,AC$5,$B$1)</f>
        <v>0</v>
      </c>
      <c r="AD59" s="55">
        <f>_xll.EQNXTDZ($A$1,$B59,AD$5,$B$1)</f>
        <v>768.06399999999996</v>
      </c>
      <c r="AE59" s="55">
        <f>_xll.EQNXTDZ($A$1,$B59,AE$5,$B$1)</f>
        <v>0</v>
      </c>
      <c r="AF59" s="55">
        <f>_xll.EQNXTDZ($A$1,$B59,AF$5,$B$1)</f>
        <v>772.24599999999998</v>
      </c>
      <c r="AG59" s="55">
        <f>_xll.EQNXTDZ($A$1,$B59,AG$5,$B$1)</f>
        <v>0</v>
      </c>
      <c r="AH59" s="55">
        <f>_xll.EQNXTDZ($A$1,$B59,AH$5,$B$1)</f>
        <v>854.19399999999996</v>
      </c>
      <c r="AI59" s="55">
        <f>_xll.EQNXTDZ($A$1,$B59,AI$5,$B$1)</f>
        <v>0</v>
      </c>
      <c r="AJ59" s="55">
        <f>_xll.EQNXTDZ($A$1,$B59,AJ$5,$B$1)</f>
        <v>856.58299999999997</v>
      </c>
      <c r="AK59" s="55">
        <f>_xll.EQNXTDZ($A$1,$B59,AK$5,$B$1)</f>
        <v>0</v>
      </c>
      <c r="AL59" s="55">
        <f>_xll.EQNXTDZ($A$1,$B59,AL$5,$B$1)</f>
        <v>919.24800000000005</v>
      </c>
      <c r="AM59" s="55">
        <f>_xll.EQNXTDZ($A$1,$B59,AM$5,$B$1)</f>
        <v>0</v>
      </c>
      <c r="AN59" s="55">
        <f>_xll.EQNXTDZ($A$1,$B59,AN$5,$B$1)</f>
        <v>977.40700000000004</v>
      </c>
      <c r="AO59" s="55">
        <f>_xll.EQNXTDZ($A$1,$B59,AO$5,$B$1)</f>
        <v>0</v>
      </c>
      <c r="AP59" s="55">
        <f>_xll.EQNXTDZ($A$1,$B59,AP$5,$B$1)</f>
        <v>1050.2380000000001</v>
      </c>
      <c r="AQ59" s="55">
        <f>_xll.EQNXTDZ($A$1,$B59,AQ$5,$B$1)</f>
        <v>0</v>
      </c>
      <c r="AR59" s="55">
        <f>_xll.EQNXTDZ($A$1,$B59,AR$5,$B$1)</f>
        <v>1131.9570000000001</v>
      </c>
      <c r="AS59" s="55">
        <f>_xll.EQNXTDZ($A$1,$B59,AS$5,$B$1)</f>
        <v>0</v>
      </c>
      <c r="AT59" s="55">
        <f>_xll.EQNXTDZ($A$1,$B59,AT$5,$B$1)</f>
        <v>1279.1099999999999</v>
      </c>
      <c r="AU59" s="55">
        <f>_xll.EQNXTDZ($A$1,$B59,AU$5,$B$1)</f>
        <v>0</v>
      </c>
      <c r="AV59" s="55">
        <f>_xll.EQNXTDZ($A$1,$B59,AV$5,$B$1)</f>
        <v>1414.73</v>
      </c>
      <c r="AW59" s="55">
        <f>_xll.EQNXTDZ($A$1,$B59,AW$5,$B$1)</f>
        <v>0</v>
      </c>
      <c r="AX59" s="55">
        <f>_xll.EQNXTDZ($A$1,$B59,AX$5,$B$1)</f>
        <v>1604.03</v>
      </c>
      <c r="AY59" s="55">
        <f>_xll.EQNXTDZ($A$1,$B59,AY$5,$B$1)</f>
        <v>0</v>
      </c>
      <c r="AZ59" s="55">
        <f>_xll.EQNXTDZ($A$1,$B59,AZ$5,$B$1)</f>
        <v>1754.41</v>
      </c>
      <c r="BA59" s="55">
        <f>_xll.EQNXTDZ($A$1,$B59,BA$5,$B$1)</f>
        <v>0</v>
      </c>
      <c r="BB59" s="55">
        <f>_xll.EQNXTDZ($A$1,$B59,BB$5,$B$1)</f>
        <v>1998.69</v>
      </c>
      <c r="BC59" s="55">
        <f>_xll.EQNXTDZ($A$1,$B59,BC$5,$B$1)</f>
        <v>0</v>
      </c>
      <c r="BD59" s="55">
        <f>_xll.EQNXTDZ($A$1,$B59,BD$5,$B$1)</f>
        <v>2244.09</v>
      </c>
      <c r="BE59" s="55">
        <f>_xll.EQNXTDZ($A$1,$B59,BE$5,$B$1)</f>
        <v>0</v>
      </c>
      <c r="BF59" s="55">
        <f>_xll.EQNXTDZ($A$1,$B59,BF$5,$B$1)</f>
        <v>2305.85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34.344999999999999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35.033000000000001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36.034999999999997</v>
      </c>
      <c r="O60" s="55">
        <f>_xll.EQNXTDZ($A$1,$B60,O$5,$B$1)</f>
        <v>0</v>
      </c>
      <c r="P60" s="55">
        <f>_xll.EQNXTDZ($A$1,$B60,P$5,$B$1)</f>
        <v>27.795000000000002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84.587000000000003</v>
      </c>
      <c r="E61" s="55">
        <f>_xll.EQNXTDZ($A$1,$B61,E$5,$B$1)</f>
        <v>0</v>
      </c>
      <c r="F61" s="55">
        <f>_xll.EQNXTDZ($A$1,$B61,F$5,$B$1)</f>
        <v>184.035</v>
      </c>
      <c r="G61" s="55">
        <f>_xll.EQNXTDZ($A$1,$B61,G$5,$B$1)</f>
        <v>0</v>
      </c>
      <c r="H61" s="55">
        <f>_xll.EQNXTDZ($A$1,$B61,H$5,$B$1)</f>
        <v>79.254999999999995</v>
      </c>
      <c r="I61" s="55">
        <f>_xll.EQNXTDZ($A$1,$B61,I$5,$B$1)</f>
        <v>0</v>
      </c>
      <c r="J61" s="55">
        <f>_xll.EQNXTDZ($A$1,$B61,J$5,$B$1)</f>
        <v>137.798</v>
      </c>
      <c r="K61" s="55">
        <f>_xll.EQNXTDZ($A$1,$B61,K$5,$B$1)</f>
        <v>0</v>
      </c>
      <c r="L61" s="55">
        <f>_xll.EQNXTDZ($A$1,$B61,L$5,$B$1)</f>
        <v>23.198</v>
      </c>
      <c r="M61" s="55">
        <f>_xll.EQNXTDZ($A$1,$B61,M$5,$B$1)</f>
        <v>0</v>
      </c>
      <c r="N61" s="55">
        <f>_xll.EQNXTDZ($A$1,$B61,N$5,$B$1)</f>
        <v>163.166</v>
      </c>
      <c r="O61" s="55">
        <f>_xll.EQNXTDZ($A$1,$B61,O$5,$B$1)</f>
        <v>0</v>
      </c>
      <c r="P61" s="55">
        <f>_xll.EQNXTDZ($A$1,$B61,P$5,$B$1)</f>
        <v>215.97300000000001</v>
      </c>
      <c r="Q61" s="55">
        <f>_xll.EQNXTDZ($A$1,$B61,Q$5,$B$1)</f>
        <v>0</v>
      </c>
      <c r="R61" s="55">
        <f>_xll.EQNXTDZ($A$1,$B61,R$5,$B$1)</f>
        <v>178.892</v>
      </c>
      <c r="S61" s="55">
        <f>_xll.EQNXTDZ($A$1,$B61,S$5,$B$1)</f>
        <v>0</v>
      </c>
      <c r="T61" s="55">
        <f>_xll.EQNXTDZ($A$1,$B61,T$5,$B$1)</f>
        <v>141.64500000000001</v>
      </c>
      <c r="U61" s="55">
        <f>_xll.EQNXTDZ($A$1,$B61,U$5,$B$1)</f>
        <v>0</v>
      </c>
      <c r="V61" s="55">
        <f>_xll.EQNXTDZ($A$1,$B61,V$5,$B$1)</f>
        <v>139.44800000000001</v>
      </c>
      <c r="W61" s="55">
        <f>_xll.EQNXTDZ($A$1,$B61,W$5,$B$1)</f>
        <v>0</v>
      </c>
      <c r="X61" s="55">
        <f>_xll.EQNXTDZ($A$1,$B61,X$5,$B$1)</f>
        <v>133.57300000000001</v>
      </c>
      <c r="Y61" s="55">
        <f>_xll.EQNXTDZ($A$1,$B61,Y$5,$B$1)</f>
        <v>0</v>
      </c>
      <c r="Z61" s="55">
        <f>_xll.EQNXTDZ($A$1,$B61,Z$5,$B$1)</f>
        <v>186.971</v>
      </c>
      <c r="AA61" s="55">
        <f>_xll.EQNXTDZ($A$1,$B61,AA$5,$B$1)</f>
        <v>0</v>
      </c>
      <c r="AB61" s="55">
        <f>_xll.EQNXTDZ($A$1,$B61,AB$5,$B$1)</f>
        <v>174.35400000000001</v>
      </c>
      <c r="AC61" s="55">
        <f>_xll.EQNXTDZ($A$1,$B61,AC$5,$B$1)</f>
        <v>0</v>
      </c>
      <c r="AD61" s="55">
        <f>_xll.EQNXTDZ($A$1,$B61,AD$5,$B$1)</f>
        <v>243.85599999999999</v>
      </c>
      <c r="AE61" s="55">
        <f>_xll.EQNXTDZ($A$1,$B61,AE$5,$B$1)</f>
        <v>0</v>
      </c>
      <c r="AF61" s="55">
        <f>_xll.EQNXTDZ($A$1,$B61,AF$5,$B$1)</f>
        <v>165.369</v>
      </c>
      <c r="AG61" s="55">
        <f>_xll.EQNXTDZ($A$1,$B61,AG$5,$B$1)</f>
        <v>0</v>
      </c>
      <c r="AH61" s="55">
        <f>_xll.EQNXTDZ($A$1,$B61,AH$5,$B$1)</f>
        <v>146.43199999999999</v>
      </c>
      <c r="AI61" s="55">
        <f>_xll.EQNXTDZ($A$1,$B61,AI$5,$B$1)</f>
        <v>0</v>
      </c>
      <c r="AJ61" s="55">
        <f>_xll.EQNXTDZ($A$1,$B61,AJ$5,$B$1)</f>
        <v>131.999</v>
      </c>
      <c r="AK61" s="55">
        <f>_xll.EQNXTDZ($A$1,$B61,AK$5,$B$1)</f>
        <v>0</v>
      </c>
      <c r="AL61" s="55">
        <f>_xll.EQNXTDZ($A$1,$B61,AL$5,$B$1)</f>
        <v>117.416</v>
      </c>
      <c r="AM61" s="55">
        <f>_xll.EQNXTDZ($A$1,$B61,AM$5,$B$1)</f>
        <v>0</v>
      </c>
      <c r="AN61" s="55">
        <f>_xll.EQNXTDZ($A$1,$B61,AN$5,$B$1)</f>
        <v>22.693000000000001</v>
      </c>
      <c r="AO61" s="55">
        <f>_xll.EQNXTDZ($A$1,$B61,AO$5,$B$1)</f>
        <v>0</v>
      </c>
      <c r="AP61" s="55">
        <f>_xll.EQNXTDZ($A$1,$B61,AP$5,$B$1)</f>
        <v>19.663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84.587000000000003</v>
      </c>
      <c r="E63" s="55">
        <f>_xll.EQNXTDZ($A$1,$B63,E$5,$B$1)</f>
        <v>0</v>
      </c>
      <c r="F63" s="55">
        <f>_xll.EQNXTDZ($A$1,$B63,F$5,$B$1)</f>
        <v>184.035</v>
      </c>
      <c r="G63" s="55">
        <f>_xll.EQNXTDZ($A$1,$B63,G$5,$B$1)</f>
        <v>0</v>
      </c>
      <c r="H63" s="55">
        <f>_xll.EQNXTDZ($A$1,$B63,H$5,$B$1)</f>
        <v>79.254999999999995</v>
      </c>
      <c r="I63" s="55">
        <f>_xll.EQNXTDZ($A$1,$B63,I$5,$B$1)</f>
        <v>0</v>
      </c>
      <c r="J63" s="55">
        <f>_xll.EQNXTDZ($A$1,$B63,J$5,$B$1)</f>
        <v>137.798</v>
      </c>
      <c r="K63" s="55">
        <f>_xll.EQNXTDZ($A$1,$B63,K$5,$B$1)</f>
        <v>0</v>
      </c>
      <c r="L63" s="55">
        <f>_xll.EQNXTDZ($A$1,$B63,L$5,$B$1)</f>
        <v>23.198</v>
      </c>
      <c r="M63" s="55">
        <f>_xll.EQNXTDZ($A$1,$B63,M$5,$B$1)</f>
        <v>0</v>
      </c>
      <c r="N63" s="55">
        <f>_xll.EQNXTDZ($A$1,$B63,N$5,$B$1)</f>
        <v>163.166</v>
      </c>
      <c r="O63" s="55">
        <f>_xll.EQNXTDZ($A$1,$B63,O$5,$B$1)</f>
        <v>0</v>
      </c>
      <c r="P63" s="55">
        <f>_xll.EQNXTDZ($A$1,$B63,P$5,$B$1)</f>
        <v>215.97300000000001</v>
      </c>
      <c r="Q63" s="55">
        <f>_xll.EQNXTDZ($A$1,$B63,Q$5,$B$1)</f>
        <v>0</v>
      </c>
      <c r="R63" s="55">
        <f>_xll.EQNXTDZ($A$1,$B63,R$5,$B$1)</f>
        <v>178.892</v>
      </c>
      <c r="S63" s="55">
        <f>_xll.EQNXTDZ($A$1,$B63,S$5,$B$1)</f>
        <v>0</v>
      </c>
      <c r="T63" s="55">
        <f>_xll.EQNXTDZ($A$1,$B63,T$5,$B$1)</f>
        <v>141.64500000000001</v>
      </c>
      <c r="U63" s="55">
        <f>_xll.EQNXTDZ($A$1,$B63,U$5,$B$1)</f>
        <v>0</v>
      </c>
      <c r="V63" s="55">
        <f>_xll.EQNXTDZ($A$1,$B63,V$5,$B$1)</f>
        <v>139.44800000000001</v>
      </c>
      <c r="W63" s="55">
        <f>_xll.EQNXTDZ($A$1,$B63,W$5,$B$1)</f>
        <v>0</v>
      </c>
      <c r="X63" s="55">
        <f>_xll.EQNXTDZ($A$1,$B63,X$5,$B$1)</f>
        <v>133.57300000000001</v>
      </c>
      <c r="Y63" s="55">
        <f>_xll.EQNXTDZ($A$1,$B63,Y$5,$B$1)</f>
        <v>0</v>
      </c>
      <c r="Z63" s="55">
        <f>_xll.EQNXTDZ($A$1,$B63,Z$5,$B$1)</f>
        <v>186.971</v>
      </c>
      <c r="AA63" s="55">
        <f>_xll.EQNXTDZ($A$1,$B63,AA$5,$B$1)</f>
        <v>0</v>
      </c>
      <c r="AB63" s="55">
        <f>_xll.EQNXTDZ($A$1,$B63,AB$5,$B$1)</f>
        <v>174.35400000000001</v>
      </c>
      <c r="AC63" s="55">
        <f>_xll.EQNXTDZ($A$1,$B63,AC$5,$B$1)</f>
        <v>0</v>
      </c>
      <c r="AD63" s="55">
        <f>_xll.EQNXTDZ($A$1,$B63,AD$5,$B$1)</f>
        <v>243.85599999999999</v>
      </c>
      <c r="AE63" s="55">
        <f>_xll.EQNXTDZ($A$1,$B63,AE$5,$B$1)</f>
        <v>0</v>
      </c>
      <c r="AF63" s="55">
        <f>_xll.EQNXTDZ($A$1,$B63,AF$5,$B$1)</f>
        <v>165.369</v>
      </c>
      <c r="AG63" s="55">
        <f>_xll.EQNXTDZ($A$1,$B63,AG$5,$B$1)</f>
        <v>0</v>
      </c>
      <c r="AH63" s="55">
        <f>_xll.EQNXTDZ($A$1,$B63,AH$5,$B$1)</f>
        <v>146.43199999999999</v>
      </c>
      <c r="AI63" s="55">
        <f>_xll.EQNXTDZ($A$1,$B63,AI$5,$B$1)</f>
        <v>0</v>
      </c>
      <c r="AJ63" s="55">
        <f>_xll.EQNXTDZ($A$1,$B63,AJ$5,$B$1)</f>
        <v>131.999</v>
      </c>
      <c r="AK63" s="55">
        <f>_xll.EQNXTDZ($A$1,$B63,AK$5,$B$1)</f>
        <v>0</v>
      </c>
      <c r="AL63" s="55">
        <f>_xll.EQNXTDZ($A$1,$B63,AL$5,$B$1)</f>
        <v>117.416</v>
      </c>
      <c r="AM63" s="55">
        <f>_xll.EQNXTDZ($A$1,$B63,AM$5,$B$1)</f>
        <v>0</v>
      </c>
      <c r="AN63" s="55">
        <f>_xll.EQNXTDZ($A$1,$B63,AN$5,$B$1)</f>
        <v>22.693000000000001</v>
      </c>
      <c r="AO63" s="55">
        <f>_xll.EQNXTDZ($A$1,$B63,AO$5,$B$1)</f>
        <v>0</v>
      </c>
      <c r="AP63" s="55">
        <f>_xll.EQNXTDZ($A$1,$B63,AP$5,$B$1)</f>
        <v>19.663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81.281999999999996</v>
      </c>
      <c r="E64" s="55">
        <f>_xll.EQNXTDZ($A$1,$B64,E$5,$B$1)</f>
        <v>0</v>
      </c>
      <c r="F64" s="55">
        <f>_xll.EQNXTDZ($A$1,$B64,F$5,$B$1)</f>
        <v>128.22900000000001</v>
      </c>
      <c r="G64" s="55">
        <f>_xll.EQNXTDZ($A$1,$B64,G$5,$B$1)</f>
        <v>0</v>
      </c>
      <c r="H64" s="55">
        <f>_xll.EQNXTDZ($A$1,$B64,H$5,$B$1)</f>
        <v>1.0449999999999999</v>
      </c>
      <c r="I64" s="55">
        <f>_xll.EQNXTDZ($A$1,$B64,I$5,$B$1)</f>
        <v>0</v>
      </c>
      <c r="J64" s="55">
        <f>_xll.EQNXTDZ($A$1,$B64,J$5,$B$1)</f>
        <v>138.994</v>
      </c>
      <c r="K64" s="55">
        <f>_xll.EQNXTDZ($A$1,$B64,K$5,$B$1)</f>
        <v>0</v>
      </c>
      <c r="L64" s="55">
        <f>_xll.EQNXTDZ($A$1,$B64,L$5,$B$1)</f>
        <v>1.093</v>
      </c>
      <c r="M64" s="55">
        <f>_xll.EQNXTDZ($A$1,$B64,M$5,$B$1)</f>
        <v>0</v>
      </c>
      <c r="N64" s="55">
        <f>_xll.EQNXTDZ($A$1,$B64,N$5,$B$1)</f>
        <v>113.051</v>
      </c>
      <c r="O64" s="55">
        <f>_xll.EQNXTDZ($A$1,$B64,O$5,$B$1)</f>
        <v>0</v>
      </c>
      <c r="P64" s="55">
        <f>_xll.EQNXTDZ($A$1,$B64,P$5,$B$1)</f>
        <v>116.187</v>
      </c>
      <c r="Q64" s="55">
        <f>_xll.EQNXTDZ($A$1,$B64,Q$5,$B$1)</f>
        <v>0</v>
      </c>
      <c r="R64" s="55">
        <f>_xll.EQNXTDZ($A$1,$B64,R$5,$B$1)</f>
        <v>47.076000000000001</v>
      </c>
      <c r="S64" s="55">
        <f>_xll.EQNXTDZ($A$1,$B64,S$5,$B$1)</f>
        <v>0</v>
      </c>
      <c r="T64" s="55">
        <f>_xll.EQNXTDZ($A$1,$B64,T$5,$B$1)</f>
        <v>104.96299999999999</v>
      </c>
      <c r="U64" s="55">
        <f>_xll.EQNXTDZ($A$1,$B64,U$5,$B$1)</f>
        <v>0</v>
      </c>
      <c r="V64" s="55">
        <f>_xll.EQNXTDZ($A$1,$B64,V$5,$B$1)</f>
        <v>0.57799999999999996</v>
      </c>
      <c r="W64" s="55">
        <f>_xll.EQNXTDZ($A$1,$B64,W$5,$B$1)</f>
        <v>0</v>
      </c>
      <c r="X64" s="55">
        <f>_xll.EQNXTDZ($A$1,$B64,X$5,$B$1)</f>
        <v>0.623</v>
      </c>
      <c r="Y64" s="55">
        <f>_xll.EQNXTDZ($A$1,$B64,Y$5,$B$1)</f>
        <v>0</v>
      </c>
      <c r="Z64" s="55">
        <f>_xll.EQNXTDZ($A$1,$B64,Z$5,$B$1)</f>
        <v>0.56299999999999994</v>
      </c>
      <c r="AA64" s="55">
        <f>_xll.EQNXTDZ($A$1,$B64,AA$5,$B$1)</f>
        <v>0</v>
      </c>
      <c r="AB64" s="55">
        <f>_xll.EQNXTDZ($A$1,$B64,AB$5,$B$1)</f>
        <v>0.873</v>
      </c>
      <c r="AC64" s="55">
        <f>_xll.EQNXTDZ($A$1,$B64,AC$5,$B$1)</f>
        <v>0</v>
      </c>
      <c r="AD64" s="55">
        <f>_xll.EQNXTDZ($A$1,$B64,AD$5,$B$1)</f>
        <v>0.26200000000000001</v>
      </c>
      <c r="AE64" s="55">
        <f>_xll.EQNXTDZ($A$1,$B64,AE$5,$B$1)</f>
        <v>0</v>
      </c>
      <c r="AF64" s="55">
        <f>_xll.EQNXTDZ($A$1,$B64,AF$5,$B$1)</f>
        <v>38.414000000000001</v>
      </c>
      <c r="AG64" s="55">
        <f>_xll.EQNXTDZ($A$1,$B64,AG$5,$B$1)</f>
        <v>0</v>
      </c>
      <c r="AH64" s="55">
        <f>_xll.EQNXTDZ($A$1,$B64,AH$5,$B$1)</f>
        <v>48.601999999999997</v>
      </c>
      <c r="AI64" s="55">
        <f>_xll.EQNXTDZ($A$1,$B64,AI$5,$B$1)</f>
        <v>0</v>
      </c>
      <c r="AJ64" s="55">
        <f>_xll.EQNXTDZ($A$1,$B64,AJ$5,$B$1)</f>
        <v>39.64</v>
      </c>
      <c r="AK64" s="55">
        <f>_xll.EQNXTDZ($A$1,$B64,AK$5,$B$1)</f>
        <v>0</v>
      </c>
      <c r="AL64" s="55">
        <f>_xll.EQNXTDZ($A$1,$B64,AL$5,$B$1)</f>
        <v>32.290999999999997</v>
      </c>
      <c r="AM64" s="55">
        <f>_xll.EQNXTDZ($A$1,$B64,AM$5,$B$1)</f>
        <v>0</v>
      </c>
      <c r="AN64" s="55">
        <f>_xll.EQNXTDZ($A$1,$B64,AN$5,$B$1)</f>
        <v>24.757000000000001</v>
      </c>
      <c r="AO64" s="55">
        <f>_xll.EQNXTDZ($A$1,$B64,AO$5,$B$1)</f>
        <v>0</v>
      </c>
      <c r="AP64" s="55">
        <f>_xll.EQNXTDZ($A$1,$B64,AP$5,$B$1)</f>
        <v>32.417999999999999</v>
      </c>
      <c r="AQ64" s="55">
        <f>_xll.EQNXTDZ($A$1,$B64,AQ$5,$B$1)</f>
        <v>0</v>
      </c>
      <c r="AR64" s="55">
        <f>_xll.EQNXTDZ($A$1,$B64,AR$5,$B$1)</f>
        <v>40.207000000000001</v>
      </c>
      <c r="AS64" s="55">
        <f>_xll.EQNXTDZ($A$1,$B64,AS$5,$B$1)</f>
        <v>0</v>
      </c>
      <c r="AT64" s="55">
        <f>_xll.EQNXTDZ($A$1,$B64,AT$5,$B$1)</f>
        <v>51.15</v>
      </c>
      <c r="AU64" s="55">
        <f>_xll.EQNXTDZ($A$1,$B64,AU$5,$B$1)</f>
        <v>0</v>
      </c>
      <c r="AV64" s="55">
        <f>_xll.EQNXTDZ($A$1,$B64,AV$5,$B$1)</f>
        <v>39.26</v>
      </c>
      <c r="AW64" s="55">
        <f>_xll.EQNXTDZ($A$1,$B64,AW$5,$B$1)</f>
        <v>0</v>
      </c>
      <c r="AX64" s="55">
        <f>_xll.EQNXTDZ($A$1,$B64,AX$5,$B$1)</f>
        <v>77.86</v>
      </c>
      <c r="AY64" s="55">
        <f>_xll.EQNXTDZ($A$1,$B64,AY$5,$B$1)</f>
        <v>0</v>
      </c>
      <c r="AZ64" s="55">
        <f>_xll.EQNXTDZ($A$1,$B64,AZ$5,$B$1)</f>
        <v>117.02</v>
      </c>
      <c r="BA64" s="55">
        <f>_xll.EQNXTDZ($A$1,$B64,BA$5,$B$1)</f>
        <v>0</v>
      </c>
      <c r="BB64" s="55">
        <f>_xll.EQNXTDZ($A$1,$B64,BB$5,$B$1)</f>
        <v>167.98</v>
      </c>
      <c r="BC64" s="55">
        <f>_xll.EQNXTDZ($A$1,$B64,BC$5,$B$1)</f>
        <v>0</v>
      </c>
      <c r="BD64" s="55">
        <f>_xll.EQNXTDZ($A$1,$B64,BD$5,$B$1)</f>
        <v>214.21</v>
      </c>
      <c r="BE64" s="55">
        <f>_xll.EQNXTDZ($A$1,$B64,BE$5,$B$1)</f>
        <v>0</v>
      </c>
      <c r="BF64" s="55">
        <f>_xll.EQNXTDZ($A$1,$B64,BF$5,$B$1)</f>
        <v>218.21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8.8520000000000003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4.3890000000000002</v>
      </c>
      <c r="E66" s="55">
        <f>_xll.EQNXTDZ($A$1,$B66,E$5,$B$1)</f>
        <v>0</v>
      </c>
      <c r="F66" s="55">
        <f>_xll.EQNXTDZ($A$1,$B66,F$5,$B$1)</f>
        <v>5.2110000000000003</v>
      </c>
      <c r="G66" s="55">
        <f>_xll.EQNXTDZ($A$1,$B66,G$5,$B$1)</f>
        <v>0</v>
      </c>
      <c r="H66" s="55">
        <f>_xll.EQNXTDZ($A$1,$B66,H$5,$B$1)</f>
        <v>3.6040000000000001</v>
      </c>
      <c r="I66" s="55">
        <f>_xll.EQNXTDZ($A$1,$B66,I$5,$B$1)</f>
        <v>0</v>
      </c>
      <c r="J66" s="55">
        <f>_xll.EQNXTDZ($A$1,$B66,J$5,$B$1)</f>
        <v>3.2570000000000001</v>
      </c>
      <c r="K66" s="55">
        <f>_xll.EQNXTDZ($A$1,$B66,K$5,$B$1)</f>
        <v>0</v>
      </c>
      <c r="L66" s="55">
        <f>_xll.EQNXTDZ($A$1,$B66,L$5,$B$1)</f>
        <v>3.4710000000000001</v>
      </c>
      <c r="M66" s="55">
        <f>_xll.EQNXTDZ($A$1,$B66,M$5,$B$1)</f>
        <v>0</v>
      </c>
      <c r="N66" s="55">
        <f>_xll.EQNXTDZ($A$1,$B66,N$5,$B$1)</f>
        <v>3.1749999999999998</v>
      </c>
      <c r="O66" s="55">
        <f>_xll.EQNXTDZ($A$1,$B66,O$5,$B$1)</f>
        <v>0</v>
      </c>
      <c r="P66" s="55">
        <f>_xll.EQNXTDZ($A$1,$B66,P$5,$B$1)</f>
        <v>3.6459999999999999</v>
      </c>
      <c r="Q66" s="55">
        <f>_xll.EQNXTDZ($A$1,$B66,Q$5,$B$1)</f>
        <v>0</v>
      </c>
      <c r="R66" s="55">
        <f>_xll.EQNXTDZ($A$1,$B66,R$5,$B$1)</f>
        <v>6.67</v>
      </c>
      <c r="S66" s="55">
        <f>_xll.EQNXTDZ($A$1,$B66,S$5,$B$1)</f>
        <v>0</v>
      </c>
      <c r="T66" s="55">
        <f>_xll.EQNXTDZ($A$1,$B66,T$5,$B$1)</f>
        <v>4.5359999999999996</v>
      </c>
      <c r="U66" s="55">
        <f>_xll.EQNXTDZ($A$1,$B66,U$5,$B$1)</f>
        <v>0</v>
      </c>
      <c r="V66" s="55">
        <f>_xll.EQNXTDZ($A$1,$B66,V$5,$B$1)</f>
        <v>48.212000000000003</v>
      </c>
      <c r="W66" s="55">
        <f>_xll.EQNXTDZ($A$1,$B66,W$5,$B$1)</f>
        <v>0</v>
      </c>
      <c r="X66" s="55">
        <f>_xll.EQNXTDZ($A$1,$B66,X$5,$B$1)</f>
        <v>53.395000000000003</v>
      </c>
      <c r="Y66" s="55">
        <f>_xll.EQNXTDZ($A$1,$B66,Y$5,$B$1)</f>
        <v>0</v>
      </c>
      <c r="Z66" s="55">
        <f>_xll.EQNXTDZ($A$1,$B66,Z$5,$B$1)</f>
        <v>54.606000000000002</v>
      </c>
      <c r="AA66" s="55">
        <f>_xll.EQNXTDZ($A$1,$B66,AA$5,$B$1)</f>
        <v>0</v>
      </c>
      <c r="AB66" s="55">
        <f>_xll.EQNXTDZ($A$1,$B66,AB$5,$B$1)</f>
        <v>56.521999999999998</v>
      </c>
      <c r="AC66" s="55">
        <f>_xll.EQNXTDZ($A$1,$B66,AC$5,$B$1)</f>
        <v>0</v>
      </c>
      <c r="AD66" s="55">
        <f>_xll.EQNXTDZ($A$1,$B66,AD$5,$B$1)</f>
        <v>56.405000000000001</v>
      </c>
      <c r="AE66" s="55">
        <f>_xll.EQNXTDZ($A$1,$B66,AE$5,$B$1)</f>
        <v>0</v>
      </c>
      <c r="AF66" s="55">
        <f>_xll.EQNXTDZ($A$1,$B66,AF$5,$B$1)</f>
        <v>68.361000000000004</v>
      </c>
      <c r="AG66" s="55">
        <f>_xll.EQNXTDZ($A$1,$B66,AG$5,$B$1)</f>
        <v>0</v>
      </c>
      <c r="AH66" s="55">
        <f>_xll.EQNXTDZ($A$1,$B66,AH$5,$B$1)</f>
        <v>62.668999999999997</v>
      </c>
      <c r="AI66" s="55">
        <f>_xll.EQNXTDZ($A$1,$B66,AI$5,$B$1)</f>
        <v>0</v>
      </c>
      <c r="AJ66" s="55">
        <f>_xll.EQNXTDZ($A$1,$B66,AJ$5,$B$1)</f>
        <v>59.991999999999997</v>
      </c>
      <c r="AK66" s="55">
        <f>_xll.EQNXTDZ($A$1,$B66,AK$5,$B$1)</f>
        <v>0</v>
      </c>
      <c r="AL66" s="55">
        <f>_xll.EQNXTDZ($A$1,$B66,AL$5,$B$1)</f>
        <v>54.67</v>
      </c>
      <c r="AM66" s="55">
        <f>_xll.EQNXTDZ($A$1,$B66,AM$5,$B$1)</f>
        <v>0</v>
      </c>
      <c r="AN66" s="55">
        <f>_xll.EQNXTDZ($A$1,$B66,AN$5,$B$1)</f>
        <v>56.317</v>
      </c>
      <c r="AO66" s="55">
        <f>_xll.EQNXTDZ($A$1,$B66,AO$5,$B$1)</f>
        <v>0</v>
      </c>
      <c r="AP66" s="55">
        <f>_xll.EQNXTDZ($A$1,$B66,AP$5,$B$1)</f>
        <v>48.896999999999998</v>
      </c>
      <c r="AQ66" s="55">
        <f>_xll.EQNXTDZ($A$1,$B66,AQ$5,$B$1)</f>
        <v>0</v>
      </c>
      <c r="AR66" s="55">
        <f>_xll.EQNXTDZ($A$1,$B66,AR$5,$B$1)</f>
        <v>42.822000000000003</v>
      </c>
      <c r="AS66" s="55">
        <f>_xll.EQNXTDZ($A$1,$B66,AS$5,$B$1)</f>
        <v>0</v>
      </c>
      <c r="AT66" s="55">
        <f>_xll.EQNXTDZ($A$1,$B66,AT$5,$B$1)</f>
        <v>32.86</v>
      </c>
      <c r="AU66" s="55">
        <f>_xll.EQNXTDZ($A$1,$B66,AU$5,$B$1)</f>
        <v>0</v>
      </c>
      <c r="AV66" s="55">
        <f>_xll.EQNXTDZ($A$1,$B66,AV$5,$B$1)</f>
        <v>26.87</v>
      </c>
      <c r="AW66" s="55">
        <f>_xll.EQNXTDZ($A$1,$B66,AW$5,$B$1)</f>
        <v>0</v>
      </c>
      <c r="AX66" s="55">
        <f>_xll.EQNXTDZ($A$1,$B66,AX$5,$B$1)</f>
        <v>17.25</v>
      </c>
      <c r="AY66" s="55">
        <f>_xll.EQNXTDZ($A$1,$B66,AY$5,$B$1)</f>
        <v>0</v>
      </c>
      <c r="AZ66" s="55">
        <f>_xll.EQNXTDZ($A$1,$B66,AZ$5,$B$1)</f>
        <v>12.68</v>
      </c>
      <c r="BA66" s="55">
        <f>_xll.EQNXTDZ($A$1,$B66,BA$5,$B$1)</f>
        <v>0</v>
      </c>
      <c r="BB66" s="55">
        <f>_xll.EQNXTDZ($A$1,$B66,BB$5,$B$1)</f>
        <v>2.74</v>
      </c>
      <c r="BC66" s="55">
        <f>_xll.EQNXTDZ($A$1,$B66,BC$5,$B$1)</f>
        <v>0</v>
      </c>
      <c r="BD66" s="55">
        <f>_xll.EQNXTDZ($A$1,$B66,BD$5,$B$1)</f>
        <v>2.14</v>
      </c>
      <c r="BE66" s="55">
        <f>_xll.EQNXTDZ($A$1,$B66,BE$5,$B$1)</f>
        <v>0</v>
      </c>
      <c r="BF66" s="55">
        <f>_xll.EQNXTDZ($A$1,$B66,BF$5,$B$1)</f>
        <v>1.78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644.40099999999995</v>
      </c>
      <c r="E67" s="55">
        <f>_xll.EQNXTDZ($A$1,$B67,E$5,$B$1)</f>
        <v>0</v>
      </c>
      <c r="F67" s="55">
        <f>_xll.EQNXTDZ($A$1,$B67,F$5,$B$1)</f>
        <v>889.61099999999999</v>
      </c>
      <c r="G67" s="55">
        <f>_xll.EQNXTDZ($A$1,$B67,G$5,$B$1)</f>
        <v>0</v>
      </c>
      <c r="H67" s="55">
        <f>_xll.EQNXTDZ($A$1,$B67,H$5,$B$1)</f>
        <v>572.13199999999995</v>
      </c>
      <c r="I67" s="55">
        <f>_xll.EQNXTDZ($A$1,$B67,I$5,$B$1)</f>
        <v>0</v>
      </c>
      <c r="J67" s="55">
        <f>_xll.EQNXTDZ($A$1,$B67,J$5,$B$1)</f>
        <v>847.17600000000004</v>
      </c>
      <c r="K67" s="55">
        <f>_xll.EQNXTDZ($A$1,$B67,K$5,$B$1)</f>
        <v>0</v>
      </c>
      <c r="L67" s="55">
        <f>_xll.EQNXTDZ($A$1,$B67,L$5,$B$1)</f>
        <v>523.37599999999998</v>
      </c>
      <c r="M67" s="55">
        <f>_xll.EQNXTDZ($A$1,$B67,M$5,$B$1)</f>
        <v>0</v>
      </c>
      <c r="N67" s="55">
        <f>_xll.EQNXTDZ($A$1,$B67,N$5,$B$1)</f>
        <v>850.995</v>
      </c>
      <c r="O67" s="55">
        <f>_xll.EQNXTDZ($A$1,$B67,O$5,$B$1)</f>
        <v>0</v>
      </c>
      <c r="P67" s="55">
        <f>_xll.EQNXTDZ($A$1,$B67,P$5,$B$1)</f>
        <v>902.49</v>
      </c>
      <c r="Q67" s="55">
        <f>_xll.EQNXTDZ($A$1,$B67,Q$5,$B$1)</f>
        <v>0</v>
      </c>
      <c r="R67" s="55">
        <f>_xll.EQNXTDZ($A$1,$B67,R$5,$B$1)</f>
        <v>936.92100000000005</v>
      </c>
      <c r="S67" s="55">
        <f>_xll.EQNXTDZ($A$1,$B67,S$5,$B$1)</f>
        <v>0</v>
      </c>
      <c r="T67" s="55">
        <f>_xll.EQNXTDZ($A$1,$B67,T$5,$B$1)</f>
        <v>1038.8989999999999</v>
      </c>
      <c r="U67" s="55">
        <f>_xll.EQNXTDZ($A$1,$B67,U$5,$B$1)</f>
        <v>0</v>
      </c>
      <c r="V67" s="55">
        <f>_xll.EQNXTDZ($A$1,$B67,V$5,$B$1)</f>
        <v>898.08799999999997</v>
      </c>
      <c r="W67" s="55">
        <f>_xll.EQNXTDZ($A$1,$B67,W$5,$B$1)</f>
        <v>0</v>
      </c>
      <c r="X67" s="55">
        <f>_xll.EQNXTDZ($A$1,$B67,X$5,$B$1)</f>
        <v>850.08799999999997</v>
      </c>
      <c r="Y67" s="55">
        <f>_xll.EQNXTDZ($A$1,$B67,Y$5,$B$1)</f>
        <v>0</v>
      </c>
      <c r="Z67" s="55">
        <f>_xll.EQNXTDZ($A$1,$B67,Z$5,$B$1)</f>
        <v>951.01199999999994</v>
      </c>
      <c r="AA67" s="55">
        <f>_xll.EQNXTDZ($A$1,$B67,AA$5,$B$1)</f>
        <v>0</v>
      </c>
      <c r="AB67" s="55">
        <f>_xll.EQNXTDZ($A$1,$B67,AB$5,$B$1)</f>
        <v>999.95399999999995</v>
      </c>
      <c r="AC67" s="55">
        <f>_xll.EQNXTDZ($A$1,$B67,AC$5,$B$1)</f>
        <v>0</v>
      </c>
      <c r="AD67" s="55">
        <f>_xll.EQNXTDZ($A$1,$B67,AD$5,$B$1)</f>
        <v>1068.587</v>
      </c>
      <c r="AE67" s="55">
        <f>_xll.EQNXTDZ($A$1,$B67,AE$5,$B$1)</f>
        <v>0</v>
      </c>
      <c r="AF67" s="55">
        <f>_xll.EQNXTDZ($A$1,$B67,AF$5,$B$1)</f>
        <v>1044.3900000000001</v>
      </c>
      <c r="AG67" s="55">
        <f>_xll.EQNXTDZ($A$1,$B67,AG$5,$B$1)</f>
        <v>0</v>
      </c>
      <c r="AH67" s="55">
        <f>_xll.EQNXTDZ($A$1,$B67,AH$5,$B$1)</f>
        <v>1111.8969999999999</v>
      </c>
      <c r="AI67" s="55">
        <f>_xll.EQNXTDZ($A$1,$B67,AI$5,$B$1)</f>
        <v>0</v>
      </c>
      <c r="AJ67" s="55">
        <f>_xll.EQNXTDZ($A$1,$B67,AJ$5,$B$1)</f>
        <v>1088.2139999999999</v>
      </c>
      <c r="AK67" s="55">
        <f>_xll.EQNXTDZ($A$1,$B67,AK$5,$B$1)</f>
        <v>0</v>
      </c>
      <c r="AL67" s="55">
        <f>_xll.EQNXTDZ($A$1,$B67,AL$5,$B$1)</f>
        <v>1123.625</v>
      </c>
      <c r="AM67" s="55">
        <f>_xll.EQNXTDZ($A$1,$B67,AM$5,$B$1)</f>
        <v>0</v>
      </c>
      <c r="AN67" s="55">
        <f>_xll.EQNXTDZ($A$1,$B67,AN$5,$B$1)</f>
        <v>1081.174</v>
      </c>
      <c r="AO67" s="55">
        <f>_xll.EQNXTDZ($A$1,$B67,AO$5,$B$1)</f>
        <v>0</v>
      </c>
      <c r="AP67" s="55">
        <f>_xll.EQNXTDZ($A$1,$B67,AP$5,$B$1)</f>
        <v>1151.2159999999999</v>
      </c>
      <c r="AQ67" s="55">
        <f>_xll.EQNXTDZ($A$1,$B67,AQ$5,$B$1)</f>
        <v>0</v>
      </c>
      <c r="AR67" s="55">
        <f>_xll.EQNXTDZ($A$1,$B67,AR$5,$B$1)</f>
        <v>1214.9860000000001</v>
      </c>
      <c r="AS67" s="55">
        <f>_xll.EQNXTDZ($A$1,$B67,AS$5,$B$1)</f>
        <v>0</v>
      </c>
      <c r="AT67" s="55">
        <f>_xll.EQNXTDZ($A$1,$B67,AT$5,$B$1)</f>
        <v>1363.12</v>
      </c>
      <c r="AU67" s="55">
        <f>_xll.EQNXTDZ($A$1,$B67,AU$5,$B$1)</f>
        <v>0</v>
      </c>
      <c r="AV67" s="55">
        <f>_xll.EQNXTDZ($A$1,$B67,AV$5,$B$1)</f>
        <v>1480.86</v>
      </c>
      <c r="AW67" s="55">
        <f>_xll.EQNXTDZ($A$1,$B67,AW$5,$B$1)</f>
        <v>0</v>
      </c>
      <c r="AX67" s="55">
        <f>_xll.EQNXTDZ($A$1,$B67,AX$5,$B$1)</f>
        <v>1699.14</v>
      </c>
      <c r="AY67" s="55">
        <f>_xll.EQNXTDZ($A$1,$B67,AY$5,$B$1)</f>
        <v>0</v>
      </c>
      <c r="AZ67" s="55">
        <f>_xll.EQNXTDZ($A$1,$B67,AZ$5,$B$1)</f>
        <v>1884.11</v>
      </c>
      <c r="BA67" s="55">
        <f>_xll.EQNXTDZ($A$1,$B67,BA$5,$B$1)</f>
        <v>0</v>
      </c>
      <c r="BB67" s="55">
        <f>_xll.EQNXTDZ($A$1,$B67,BB$5,$B$1)</f>
        <v>2169.41</v>
      </c>
      <c r="BC67" s="55">
        <f>_xll.EQNXTDZ($A$1,$B67,BC$5,$B$1)</f>
        <v>0</v>
      </c>
      <c r="BD67" s="55">
        <f>_xll.EQNXTDZ($A$1,$B67,BD$5,$B$1)</f>
        <v>2460.44</v>
      </c>
      <c r="BE67" s="55">
        <f>_xll.EQNXTDZ($A$1,$B67,BE$5,$B$1)</f>
        <v>0</v>
      </c>
      <c r="BF67" s="55">
        <f>_xll.EQNXTDZ($A$1,$B67,BF$5,$B$1)</f>
        <v>2525.84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496.37700000000001</v>
      </c>
      <c r="E68" s="55">
        <f>_xll.EQNXTDZ($A$1,$B68,E$5,$B$1)</f>
        <v>0</v>
      </c>
      <c r="F68" s="55">
        <f>_xll.EQNXTDZ($A$1,$B68,F$5,$B$1)</f>
        <v>582.66200000000003</v>
      </c>
      <c r="G68" s="55">
        <f>_xll.EQNXTDZ($A$1,$B68,G$5,$B$1)</f>
        <v>0</v>
      </c>
      <c r="H68" s="55">
        <f>_xll.EQNXTDZ($A$1,$B68,H$5,$B$1)</f>
        <v>400.54</v>
      </c>
      <c r="I68" s="55">
        <f>_xll.EQNXTDZ($A$1,$B68,I$5,$B$1)</f>
        <v>0</v>
      </c>
      <c r="J68" s="55">
        <f>_xll.EQNXTDZ($A$1,$B68,J$5,$B$1)</f>
        <v>549.96400000000006</v>
      </c>
      <c r="K68" s="55">
        <f>_xll.EQNXTDZ($A$1,$B68,K$5,$B$1)</f>
        <v>0</v>
      </c>
      <c r="L68" s="55">
        <f>_xll.EQNXTDZ($A$1,$B68,L$5,$B$1)</f>
        <v>362.86599999999999</v>
      </c>
      <c r="M68" s="55">
        <f>_xll.EQNXTDZ($A$1,$B68,M$5,$B$1)</f>
        <v>0</v>
      </c>
      <c r="N68" s="55">
        <f>_xll.EQNXTDZ($A$1,$B68,N$5,$B$1)</f>
        <v>474.27499999999998</v>
      </c>
      <c r="O68" s="55">
        <f>_xll.EQNXTDZ($A$1,$B68,O$5,$B$1)</f>
        <v>0</v>
      </c>
      <c r="P68" s="55">
        <f>_xll.EQNXTDZ($A$1,$B68,P$5,$B$1)</f>
        <v>448.38499999999999</v>
      </c>
      <c r="Q68" s="55">
        <f>_xll.EQNXTDZ($A$1,$B68,Q$5,$B$1)</f>
        <v>0</v>
      </c>
      <c r="R68" s="55">
        <f>_xll.EQNXTDZ($A$1,$B68,R$5,$B$1)</f>
        <v>819.07899999999995</v>
      </c>
      <c r="S68" s="55">
        <f>_xll.EQNXTDZ($A$1,$B68,S$5,$B$1)</f>
        <v>0</v>
      </c>
      <c r="T68" s="55">
        <f>_xll.EQNXTDZ($A$1,$B68,T$5,$B$1)</f>
        <v>799.98599999999999</v>
      </c>
      <c r="U68" s="55">
        <f>_xll.EQNXTDZ($A$1,$B68,U$5,$B$1)</f>
        <v>0</v>
      </c>
      <c r="V68" s="55">
        <f>_xll.EQNXTDZ($A$1,$B68,V$5,$B$1)</f>
        <v>775.03099999999995</v>
      </c>
      <c r="W68" s="55">
        <f>_xll.EQNXTDZ($A$1,$B68,W$5,$B$1)</f>
        <v>0</v>
      </c>
      <c r="X68" s="55">
        <f>_xll.EQNXTDZ($A$1,$B68,X$5,$B$1)</f>
        <v>757.14400000000001</v>
      </c>
      <c r="Y68" s="55">
        <f>_xll.EQNXTDZ($A$1,$B68,Y$5,$B$1)</f>
        <v>0</v>
      </c>
      <c r="Z68" s="55">
        <f>_xll.EQNXTDZ($A$1,$B68,Z$5,$B$1)</f>
        <v>733.05100000000004</v>
      </c>
      <c r="AA68" s="55">
        <f>_xll.EQNXTDZ($A$1,$B68,AA$5,$B$1)</f>
        <v>0</v>
      </c>
      <c r="AB68" s="55">
        <f>_xll.EQNXTDZ($A$1,$B68,AB$5,$B$1)</f>
        <v>720.38499999999999</v>
      </c>
      <c r="AC68" s="55">
        <f>_xll.EQNXTDZ($A$1,$B68,AC$5,$B$1)</f>
        <v>0</v>
      </c>
      <c r="AD68" s="55">
        <f>_xll.EQNXTDZ($A$1,$B68,AD$5,$B$1)</f>
        <v>700.16499999999996</v>
      </c>
      <c r="AE68" s="55">
        <f>_xll.EQNXTDZ($A$1,$B68,AE$5,$B$1)</f>
        <v>0</v>
      </c>
      <c r="AF68" s="55">
        <f>_xll.EQNXTDZ($A$1,$B68,AF$5,$B$1)</f>
        <v>689.13099999999997</v>
      </c>
      <c r="AG68" s="55">
        <f>_xll.EQNXTDZ($A$1,$B68,AG$5,$B$1)</f>
        <v>0</v>
      </c>
      <c r="AH68" s="55">
        <f>_xll.EQNXTDZ($A$1,$B68,AH$5,$B$1)</f>
        <v>609.05200000000002</v>
      </c>
      <c r="AI68" s="55">
        <f>_xll.EQNXTDZ($A$1,$B68,AI$5,$B$1)</f>
        <v>0</v>
      </c>
      <c r="AJ68" s="55">
        <f>_xll.EQNXTDZ($A$1,$B68,AJ$5,$B$1)</f>
        <v>587.99699999999996</v>
      </c>
      <c r="AK68" s="55">
        <f>_xll.EQNXTDZ($A$1,$B68,AK$5,$B$1)</f>
        <v>0</v>
      </c>
      <c r="AL68" s="55">
        <f>_xll.EQNXTDZ($A$1,$B68,AL$5,$B$1)</f>
        <v>566.32100000000003</v>
      </c>
      <c r="AM68" s="55">
        <f>_xll.EQNXTDZ($A$1,$B68,AM$5,$B$1)</f>
        <v>0</v>
      </c>
      <c r="AN68" s="55">
        <f>_xll.EQNXTDZ($A$1,$B68,AN$5,$B$1)</f>
        <v>555.45600000000002</v>
      </c>
      <c r="AO68" s="55">
        <f>_xll.EQNXTDZ($A$1,$B68,AO$5,$B$1)</f>
        <v>0</v>
      </c>
      <c r="AP68" s="55">
        <f>_xll.EQNXTDZ($A$1,$B68,AP$5,$B$1)</f>
        <v>537.94000000000005</v>
      </c>
      <c r="AQ68" s="55">
        <f>_xll.EQNXTDZ($A$1,$B68,AQ$5,$B$1)</f>
        <v>0</v>
      </c>
      <c r="AR68" s="55">
        <f>_xll.EQNXTDZ($A$1,$B68,AR$5,$B$1)</f>
        <v>524.33299999999997</v>
      </c>
      <c r="AS68" s="55">
        <f>_xll.EQNXTDZ($A$1,$B68,AS$5,$B$1)</f>
        <v>0</v>
      </c>
      <c r="AT68" s="55">
        <f>_xll.EQNXTDZ($A$1,$B68,AT$5,$B$1)</f>
        <v>544.21</v>
      </c>
      <c r="AU68" s="55">
        <f>_xll.EQNXTDZ($A$1,$B68,AU$5,$B$1)</f>
        <v>0</v>
      </c>
      <c r="AV68" s="55">
        <f>_xll.EQNXTDZ($A$1,$B68,AV$5,$B$1)</f>
        <v>548.51</v>
      </c>
      <c r="AW68" s="55">
        <f>_xll.EQNXTDZ($A$1,$B68,AW$5,$B$1)</f>
        <v>0</v>
      </c>
      <c r="AX68" s="55">
        <f>_xll.EQNXTDZ($A$1,$B68,AX$5,$B$1)</f>
        <v>535.96</v>
      </c>
      <c r="AY68" s="55">
        <f>_xll.EQNXTDZ($A$1,$B68,AY$5,$B$1)</f>
        <v>0</v>
      </c>
      <c r="AZ68" s="55">
        <f>_xll.EQNXTDZ($A$1,$B68,AZ$5,$B$1)</f>
        <v>529.02</v>
      </c>
      <c r="BA68" s="55">
        <f>_xll.EQNXTDZ($A$1,$B68,BA$5,$B$1)</f>
        <v>0</v>
      </c>
      <c r="BB68" s="55">
        <f>_xll.EQNXTDZ($A$1,$B68,BB$5,$B$1)</f>
        <v>578.39</v>
      </c>
      <c r="BC68" s="55">
        <f>_xll.EQNXTDZ($A$1,$B68,BC$5,$B$1)</f>
        <v>0</v>
      </c>
      <c r="BD68" s="55">
        <f>_xll.EQNXTDZ($A$1,$B68,BD$5,$B$1)</f>
        <v>594.14</v>
      </c>
      <c r="BE68" s="55">
        <f>_xll.EQNXTDZ($A$1,$B68,BE$5,$B$1)</f>
        <v>0</v>
      </c>
      <c r="BF68" s="55">
        <f>_xll.EQNXTDZ($A$1,$B68,BF$5,$B$1)</f>
        <v>610.1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496.37700000000001</v>
      </c>
      <c r="E71" s="55">
        <f>_xll.EQNXTDZ($A$1,$B71,E$5,$B$1)</f>
        <v>0</v>
      </c>
      <c r="F71" s="55">
        <f>_xll.EQNXTDZ($A$1,$B71,F$5,$B$1)</f>
        <v>582.66200000000003</v>
      </c>
      <c r="G71" s="55">
        <f>_xll.EQNXTDZ($A$1,$B71,G$5,$B$1)</f>
        <v>0</v>
      </c>
      <c r="H71" s="55">
        <f>_xll.EQNXTDZ($A$1,$B71,H$5,$B$1)</f>
        <v>400.54</v>
      </c>
      <c r="I71" s="55">
        <f>_xll.EQNXTDZ($A$1,$B71,I$5,$B$1)</f>
        <v>0</v>
      </c>
      <c r="J71" s="55">
        <f>_xll.EQNXTDZ($A$1,$B71,J$5,$B$1)</f>
        <v>549.96400000000006</v>
      </c>
      <c r="K71" s="55">
        <f>_xll.EQNXTDZ($A$1,$B71,K$5,$B$1)</f>
        <v>0</v>
      </c>
      <c r="L71" s="55">
        <f>_xll.EQNXTDZ($A$1,$B71,L$5,$B$1)</f>
        <v>362.86599999999999</v>
      </c>
      <c r="M71" s="55">
        <f>_xll.EQNXTDZ($A$1,$B71,M$5,$B$1)</f>
        <v>0</v>
      </c>
      <c r="N71" s="55">
        <f>_xll.EQNXTDZ($A$1,$B71,N$5,$B$1)</f>
        <v>474.27499999999998</v>
      </c>
      <c r="O71" s="55">
        <f>_xll.EQNXTDZ($A$1,$B71,O$5,$B$1)</f>
        <v>0</v>
      </c>
      <c r="P71" s="55">
        <f>_xll.EQNXTDZ($A$1,$B71,P$5,$B$1)</f>
        <v>448.38499999999999</v>
      </c>
      <c r="Q71" s="55">
        <f>_xll.EQNXTDZ($A$1,$B71,Q$5,$B$1)</f>
        <v>0</v>
      </c>
      <c r="R71" s="55">
        <f>_xll.EQNXTDZ($A$1,$B71,R$5,$B$1)</f>
        <v>819.07899999999995</v>
      </c>
      <c r="S71" s="55">
        <f>_xll.EQNXTDZ($A$1,$B71,S$5,$B$1)</f>
        <v>0</v>
      </c>
      <c r="T71" s="55">
        <f>_xll.EQNXTDZ($A$1,$B71,T$5,$B$1)</f>
        <v>799.98599999999999</v>
      </c>
      <c r="U71" s="55">
        <f>_xll.EQNXTDZ($A$1,$B71,U$5,$B$1)</f>
        <v>0</v>
      </c>
      <c r="V71" s="55">
        <f>_xll.EQNXTDZ($A$1,$B71,V$5,$B$1)</f>
        <v>775.03099999999995</v>
      </c>
      <c r="W71" s="55">
        <f>_xll.EQNXTDZ($A$1,$B71,W$5,$B$1)</f>
        <v>0</v>
      </c>
      <c r="X71" s="55">
        <f>_xll.EQNXTDZ($A$1,$B71,X$5,$B$1)</f>
        <v>757.14400000000001</v>
      </c>
      <c r="Y71" s="55">
        <f>_xll.EQNXTDZ($A$1,$B71,Y$5,$B$1)</f>
        <v>0</v>
      </c>
      <c r="Z71" s="55">
        <f>_xll.EQNXTDZ($A$1,$B71,Z$5,$B$1)</f>
        <v>733.05100000000004</v>
      </c>
      <c r="AA71" s="55">
        <f>_xll.EQNXTDZ($A$1,$B71,AA$5,$B$1)</f>
        <v>0</v>
      </c>
      <c r="AB71" s="55">
        <f>_xll.EQNXTDZ($A$1,$B71,AB$5,$B$1)</f>
        <v>720.38499999999999</v>
      </c>
      <c r="AC71" s="55">
        <f>_xll.EQNXTDZ($A$1,$B71,AC$5,$B$1)</f>
        <v>0</v>
      </c>
      <c r="AD71" s="55">
        <f>_xll.EQNXTDZ($A$1,$B71,AD$5,$B$1)</f>
        <v>700.16499999999996</v>
      </c>
      <c r="AE71" s="55">
        <f>_xll.EQNXTDZ($A$1,$B71,AE$5,$B$1)</f>
        <v>0</v>
      </c>
      <c r="AF71" s="55">
        <f>_xll.EQNXTDZ($A$1,$B71,AF$5,$B$1)</f>
        <v>689.13099999999997</v>
      </c>
      <c r="AG71" s="55">
        <f>_xll.EQNXTDZ($A$1,$B71,AG$5,$B$1)</f>
        <v>0</v>
      </c>
      <c r="AH71" s="55">
        <f>_xll.EQNXTDZ($A$1,$B71,AH$5,$B$1)</f>
        <v>609.05200000000002</v>
      </c>
      <c r="AI71" s="55">
        <f>_xll.EQNXTDZ($A$1,$B71,AI$5,$B$1)</f>
        <v>0</v>
      </c>
      <c r="AJ71" s="55">
        <f>_xll.EQNXTDZ($A$1,$B71,AJ$5,$B$1)</f>
        <v>587.99699999999996</v>
      </c>
      <c r="AK71" s="55">
        <f>_xll.EQNXTDZ($A$1,$B71,AK$5,$B$1)</f>
        <v>0</v>
      </c>
      <c r="AL71" s="55">
        <f>_xll.EQNXTDZ($A$1,$B71,AL$5,$B$1)</f>
        <v>566.32100000000003</v>
      </c>
      <c r="AM71" s="55">
        <f>_xll.EQNXTDZ($A$1,$B71,AM$5,$B$1)</f>
        <v>0</v>
      </c>
      <c r="AN71" s="55">
        <f>_xll.EQNXTDZ($A$1,$B71,AN$5,$B$1)</f>
        <v>555.45600000000002</v>
      </c>
      <c r="AO71" s="55">
        <f>_xll.EQNXTDZ($A$1,$B71,AO$5,$B$1)</f>
        <v>0</v>
      </c>
      <c r="AP71" s="55">
        <f>_xll.EQNXTDZ($A$1,$B71,AP$5,$B$1)</f>
        <v>537.94000000000005</v>
      </c>
      <c r="AQ71" s="55">
        <f>_xll.EQNXTDZ($A$1,$B71,AQ$5,$B$1)</f>
        <v>0</v>
      </c>
      <c r="AR71" s="55">
        <f>_xll.EQNXTDZ($A$1,$B71,AR$5,$B$1)</f>
        <v>524.33299999999997</v>
      </c>
      <c r="AS71" s="55">
        <f>_xll.EQNXTDZ($A$1,$B71,AS$5,$B$1)</f>
        <v>0</v>
      </c>
      <c r="AT71" s="55">
        <f>_xll.EQNXTDZ($A$1,$B71,AT$5,$B$1)</f>
        <v>544.21</v>
      </c>
      <c r="AU71" s="55">
        <f>_xll.EQNXTDZ($A$1,$B71,AU$5,$B$1)</f>
        <v>0</v>
      </c>
      <c r="AV71" s="55">
        <f>_xll.EQNXTDZ($A$1,$B71,AV$5,$B$1)</f>
        <v>548.51</v>
      </c>
      <c r="AW71" s="55">
        <f>_xll.EQNXTDZ($A$1,$B71,AW$5,$B$1)</f>
        <v>0</v>
      </c>
      <c r="AX71" s="55">
        <f>_xll.EQNXTDZ($A$1,$B71,AX$5,$B$1)</f>
        <v>535.96</v>
      </c>
      <c r="AY71" s="55">
        <f>_xll.EQNXTDZ($A$1,$B71,AY$5,$B$1)</f>
        <v>0</v>
      </c>
      <c r="AZ71" s="55">
        <f>_xll.EQNXTDZ($A$1,$B71,AZ$5,$B$1)</f>
        <v>529.02</v>
      </c>
      <c r="BA71" s="55">
        <f>_xll.EQNXTDZ($A$1,$B71,BA$5,$B$1)</f>
        <v>0</v>
      </c>
      <c r="BB71" s="55">
        <f>_xll.EQNXTDZ($A$1,$B71,BB$5,$B$1)</f>
        <v>578.39</v>
      </c>
      <c r="BC71" s="55">
        <f>_xll.EQNXTDZ($A$1,$B71,BC$5,$B$1)</f>
        <v>0</v>
      </c>
      <c r="BD71" s="55">
        <f>_xll.EQNXTDZ($A$1,$B71,BD$5,$B$1)</f>
        <v>594.14</v>
      </c>
      <c r="BE71" s="55">
        <f>_xll.EQNXTDZ($A$1,$B71,BE$5,$B$1)</f>
        <v>0</v>
      </c>
      <c r="BF71" s="55">
        <f>_xll.EQNXTDZ($A$1,$B71,BF$5,$B$1)</f>
        <v>610.1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52.618000000000002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52.618000000000002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52.618000000000002</v>
      </c>
      <c r="O72" s="55">
        <f>_xll.EQNXTDZ($A$1,$B72,O$5,$B$1)</f>
        <v>0</v>
      </c>
      <c r="P72" s="55">
        <f>_xll.EQNXTDZ($A$1,$B72,P$5,$B$1)</f>
        <v>52.618000000000002</v>
      </c>
      <c r="Q72" s="55">
        <f>_xll.EQNXTDZ($A$1,$B72,Q$5,$B$1)</f>
        <v>0</v>
      </c>
      <c r="R72" s="55">
        <f>_xll.EQNXTDZ($A$1,$B72,R$5,$B$1)</f>
        <v>83.513000000000005</v>
      </c>
      <c r="S72" s="55">
        <f>_xll.EQNXTDZ($A$1,$B72,S$5,$B$1)</f>
        <v>0</v>
      </c>
      <c r="T72" s="55">
        <f>_xll.EQNXTDZ($A$1,$B72,T$5,$B$1)</f>
        <v>83.513000000000005</v>
      </c>
      <c r="U72" s="55">
        <f>_xll.EQNXTDZ($A$1,$B72,U$5,$B$1)</f>
        <v>0</v>
      </c>
      <c r="V72" s="55">
        <f>_xll.EQNXTDZ($A$1,$B72,V$5,$B$1)</f>
        <v>83.513000000000005</v>
      </c>
      <c r="W72" s="55">
        <f>_xll.EQNXTDZ($A$1,$B72,W$5,$B$1)</f>
        <v>0</v>
      </c>
      <c r="X72" s="55">
        <f>_xll.EQNXTDZ($A$1,$B72,X$5,$B$1)</f>
        <v>93.295000000000002</v>
      </c>
      <c r="Y72" s="55">
        <f>_xll.EQNXTDZ($A$1,$B72,Y$5,$B$1)</f>
        <v>0</v>
      </c>
      <c r="Z72" s="55">
        <f>_xll.EQNXTDZ($A$1,$B72,Z$5,$B$1)</f>
        <v>98.073999999999998</v>
      </c>
      <c r="AA72" s="55">
        <f>_xll.EQNXTDZ($A$1,$B72,AA$5,$B$1)</f>
        <v>0</v>
      </c>
      <c r="AB72" s="55">
        <f>_xll.EQNXTDZ($A$1,$B72,AB$5,$B$1)</f>
        <v>100.813</v>
      </c>
      <c r="AC72" s="55">
        <f>_xll.EQNXTDZ($A$1,$B72,AC$5,$B$1)</f>
        <v>0</v>
      </c>
      <c r="AD72" s="55">
        <f>_xll.EQNXTDZ($A$1,$B72,AD$5,$B$1)</f>
        <v>96.186000000000007</v>
      </c>
      <c r="AE72" s="55">
        <f>_xll.EQNXTDZ($A$1,$B72,AE$5,$B$1)</f>
        <v>0</v>
      </c>
      <c r="AF72" s="55">
        <f>_xll.EQNXTDZ($A$1,$B72,AF$5,$B$1)</f>
        <v>92.478999999999999</v>
      </c>
      <c r="AG72" s="55">
        <f>_xll.EQNXTDZ($A$1,$B72,AG$5,$B$1)</f>
        <v>0</v>
      </c>
      <c r="AH72" s="55">
        <f>_xll.EQNXTDZ($A$1,$B72,AH$5,$B$1)</f>
        <v>98.9</v>
      </c>
      <c r="AI72" s="55">
        <f>_xll.EQNXTDZ($A$1,$B72,AI$5,$B$1)</f>
        <v>0</v>
      </c>
      <c r="AJ72" s="55">
        <f>_xll.EQNXTDZ($A$1,$B72,AJ$5,$B$1)</f>
        <v>100.63200000000001</v>
      </c>
      <c r="AK72" s="55">
        <f>_xll.EQNXTDZ($A$1,$B72,AK$5,$B$1)</f>
        <v>0</v>
      </c>
      <c r="AL72" s="55">
        <f>_xll.EQNXTDZ($A$1,$B72,AL$5,$B$1)</f>
        <v>107.121</v>
      </c>
      <c r="AM72" s="55">
        <f>_xll.EQNXTDZ($A$1,$B72,AM$5,$B$1)</f>
        <v>0</v>
      </c>
      <c r="AN72" s="55">
        <f>_xll.EQNXTDZ($A$1,$B72,AN$5,$B$1)</f>
        <v>105.988</v>
      </c>
      <c r="AO72" s="55">
        <f>_xll.EQNXTDZ($A$1,$B72,AO$5,$B$1)</f>
        <v>0</v>
      </c>
      <c r="AP72" s="55">
        <f>_xll.EQNXTDZ($A$1,$B72,AP$5,$B$1)</f>
        <v>105.66200000000001</v>
      </c>
      <c r="AQ72" s="55">
        <f>_xll.EQNXTDZ($A$1,$B72,AQ$5,$B$1)</f>
        <v>0</v>
      </c>
      <c r="AR72" s="55">
        <f>_xll.EQNXTDZ($A$1,$B72,AR$5,$B$1)</f>
        <v>96.492999999999995</v>
      </c>
      <c r="AS72" s="55">
        <f>_xll.EQNXTDZ($A$1,$B72,AS$5,$B$1)</f>
        <v>0</v>
      </c>
      <c r="AT72" s="55">
        <f>_xll.EQNXTDZ($A$1,$B72,AT$5,$B$1)</f>
        <v>102.82</v>
      </c>
      <c r="AU72" s="55">
        <f>_xll.EQNXTDZ($A$1,$B72,AU$5,$B$1)</f>
        <v>0</v>
      </c>
      <c r="AV72" s="55">
        <f>_xll.EQNXTDZ($A$1,$B72,AV$5,$B$1)</f>
        <v>101.77</v>
      </c>
      <c r="AW72" s="55">
        <f>_xll.EQNXTDZ($A$1,$B72,AW$5,$B$1)</f>
        <v>0</v>
      </c>
      <c r="AX72" s="55">
        <f>_xll.EQNXTDZ($A$1,$B72,AX$5,$B$1)</f>
        <v>101.77</v>
      </c>
      <c r="AY72" s="55">
        <f>_xll.EQNXTDZ($A$1,$B72,AY$5,$B$1)</f>
        <v>0</v>
      </c>
      <c r="AZ72" s="55">
        <f>_xll.EQNXTDZ($A$1,$B72,AZ$5,$B$1)</f>
        <v>101.88</v>
      </c>
      <c r="BA72" s="55">
        <f>_xll.EQNXTDZ($A$1,$B72,BA$5,$B$1)</f>
        <v>0</v>
      </c>
      <c r="BB72" s="55">
        <f>_xll.EQNXTDZ($A$1,$B72,BB$5,$B$1)</f>
        <v>101.77</v>
      </c>
      <c r="BC72" s="55">
        <f>_xll.EQNXTDZ($A$1,$B72,BC$5,$B$1)</f>
        <v>0</v>
      </c>
      <c r="BD72" s="55">
        <f>_xll.EQNXTDZ($A$1,$B72,BD$5,$B$1)</f>
        <v>101.77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6.2869999999999999</v>
      </c>
      <c r="S74" s="55">
        <f>_xll.EQNXTDZ($A$1,$B74,S$5,$B$1)</f>
        <v>0</v>
      </c>
      <c r="T74" s="55">
        <f>_xll.EQNXTDZ($A$1,$B74,T$5,$B$1)</f>
        <v>2.9289999999999998</v>
      </c>
      <c r="U74" s="55">
        <f>_xll.EQNXTDZ($A$1,$B74,U$5,$B$1)</f>
        <v>0</v>
      </c>
      <c r="V74" s="55">
        <f>_xll.EQNXTDZ($A$1,$B74,V$5,$B$1)</f>
        <v>0.99</v>
      </c>
      <c r="W74" s="55">
        <f>_xll.EQNXTDZ($A$1,$B74,W$5,$B$1)</f>
        <v>0</v>
      </c>
      <c r="X74" s="55">
        <f>_xll.EQNXTDZ($A$1,$B74,X$5,$B$1)</f>
        <v>4.7290000000000001</v>
      </c>
      <c r="Y74" s="55">
        <f>_xll.EQNXTDZ($A$1,$B74,Y$5,$B$1)</f>
        <v>0</v>
      </c>
      <c r="Z74" s="55">
        <f>_xll.EQNXTDZ($A$1,$B74,Z$5,$B$1)</f>
        <v>1.165</v>
      </c>
      <c r="AA74" s="55">
        <f>_xll.EQNXTDZ($A$1,$B74,AA$5,$B$1)</f>
        <v>0</v>
      </c>
      <c r="AB74" s="55">
        <f>_xll.EQNXTDZ($A$1,$B74,AB$5,$B$1)</f>
        <v>2.9710000000000001</v>
      </c>
      <c r="AC74" s="55">
        <f>_xll.EQNXTDZ($A$1,$B74,AC$5,$B$1)</f>
        <v>0</v>
      </c>
      <c r="AD74" s="55">
        <f>_xll.EQNXTDZ($A$1,$B74,AD$5,$B$1)</f>
        <v>5.234</v>
      </c>
      <c r="AE74" s="55">
        <f>_xll.EQNXTDZ($A$1,$B74,AE$5,$B$1)</f>
        <v>0</v>
      </c>
      <c r="AF74" s="55">
        <f>_xll.EQNXTDZ($A$1,$B74,AF$5,$B$1)</f>
        <v>3.8460000000000001</v>
      </c>
      <c r="AG74" s="55">
        <f>_xll.EQNXTDZ($A$1,$B74,AG$5,$B$1)</f>
        <v>0</v>
      </c>
      <c r="AH74" s="55">
        <f>_xll.EQNXTDZ($A$1,$B74,AH$5,$B$1)</f>
        <v>0.40500000000000003</v>
      </c>
      <c r="AI74" s="55">
        <f>_xll.EQNXTDZ($A$1,$B74,AI$5,$B$1)</f>
        <v>0</v>
      </c>
      <c r="AJ74" s="55">
        <f>_xll.EQNXTDZ($A$1,$B74,AJ$5,$B$1)</f>
        <v>0.215</v>
      </c>
      <c r="AK74" s="55">
        <f>_xll.EQNXTDZ($A$1,$B74,AK$5,$B$1)</f>
        <v>0</v>
      </c>
      <c r="AL74" s="55">
        <f>_xll.EQNXTDZ($A$1,$B74,AL$5,$B$1)</f>
        <v>0.31</v>
      </c>
      <c r="AM74" s="55">
        <f>_xll.EQNXTDZ($A$1,$B74,AM$5,$B$1)</f>
        <v>0</v>
      </c>
      <c r="AN74" s="55">
        <f>_xll.EQNXTDZ($A$1,$B74,AN$5,$B$1)</f>
        <v>9.4E-2</v>
      </c>
      <c r="AO74" s="55">
        <f>_xll.EQNXTDZ($A$1,$B74,AO$5,$B$1)</f>
        <v>0</v>
      </c>
      <c r="AP74" s="55">
        <f>_xll.EQNXTDZ($A$1,$B74,AP$5,$B$1)</f>
        <v>0.51200000000000001</v>
      </c>
      <c r="AQ74" s="55">
        <f>_xll.EQNXTDZ($A$1,$B74,AQ$5,$B$1)</f>
        <v>0</v>
      </c>
      <c r="AR74" s="55">
        <f>_xll.EQNXTDZ($A$1,$B74,AR$5,$B$1)</f>
        <v>7.9320000000000004</v>
      </c>
      <c r="AS74" s="55">
        <f>_xll.EQNXTDZ($A$1,$B74,AS$5,$B$1)</f>
        <v>0</v>
      </c>
      <c r="AT74" s="55">
        <f>_xll.EQNXTDZ($A$1,$B74,AT$5,$B$1)</f>
        <v>0.12</v>
      </c>
      <c r="AU74" s="55">
        <f>_xll.EQNXTDZ($A$1,$B74,AU$5,$B$1)</f>
        <v>0</v>
      </c>
      <c r="AV74" s="55">
        <f>_xll.EQNXTDZ($A$1,$B74,AV$5,$B$1)</f>
        <v>0.42</v>
      </c>
      <c r="AW74" s="55">
        <f>_xll.EQNXTDZ($A$1,$B74,AW$5,$B$1)</f>
        <v>0</v>
      </c>
      <c r="AX74" s="55">
        <f>_xll.EQNXTDZ($A$1,$B74,AX$5,$B$1)</f>
        <v>0.91</v>
      </c>
      <c r="AY74" s="55">
        <f>_xll.EQNXTDZ($A$1,$B74,AY$5,$B$1)</f>
        <v>0</v>
      </c>
      <c r="AZ74" s="55">
        <f>_xll.EQNXTDZ($A$1,$B74,AZ$5,$B$1)</f>
        <v>16.64</v>
      </c>
      <c r="BA74" s="55">
        <f>_xll.EQNXTDZ($A$1,$B74,BA$5,$B$1)</f>
        <v>0</v>
      </c>
      <c r="BB74" s="55">
        <f>_xll.EQNXTDZ($A$1,$B74,BB$5,$B$1)</f>
        <v>6.7</v>
      </c>
      <c r="BC74" s="55">
        <f>_xll.EQNXTDZ($A$1,$B74,BC$5,$B$1)</f>
        <v>0</v>
      </c>
      <c r="BD74" s="55">
        <f>_xll.EQNXTDZ($A$1,$B74,BD$5,$B$1)</f>
        <v>25.95</v>
      </c>
      <c r="BE74" s="55">
        <f>_xll.EQNXTDZ($A$1,$B74,BE$5,$B$1)</f>
        <v>0</v>
      </c>
      <c r="BF74" s="55">
        <f>_xll.EQNXTDZ($A$1,$B74,BF$5,$B$1)</f>
        <v>23.11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35.484999999999999</v>
      </c>
      <c r="E77" s="55">
        <f>_xll.EQNXTDZ($A$1,$B77,E$5,$B$1)</f>
        <v>0</v>
      </c>
      <c r="F77" s="55">
        <f>_xll.EQNXTDZ($A$1,$B77,F$5,$B$1)</f>
        <v>4.6959999999999997</v>
      </c>
      <c r="G77" s="55">
        <f>_xll.EQNXTDZ($A$1,$B77,G$5,$B$1)</f>
        <v>0</v>
      </c>
      <c r="H77" s="55">
        <f>_xll.EQNXTDZ($A$1,$B77,H$5,$B$1)</f>
        <v>37.069000000000003</v>
      </c>
      <c r="I77" s="55">
        <f>_xll.EQNXTDZ($A$1,$B77,I$5,$B$1)</f>
        <v>0</v>
      </c>
      <c r="J77" s="55">
        <f>_xll.EQNXTDZ($A$1,$B77,J$5,$B$1)</f>
        <v>4.8049999999999997</v>
      </c>
      <c r="K77" s="55">
        <f>_xll.EQNXTDZ($A$1,$B77,K$5,$B$1)</f>
        <v>0</v>
      </c>
      <c r="L77" s="55">
        <f>_xll.EQNXTDZ($A$1,$B77,L$5,$B$1)</f>
        <v>37.069000000000003</v>
      </c>
      <c r="M77" s="55">
        <f>_xll.EQNXTDZ($A$1,$B77,M$5,$B$1)</f>
        <v>0</v>
      </c>
      <c r="N77" s="55">
        <f>_xll.EQNXTDZ($A$1,$B77,N$5,$B$1)</f>
        <v>6.0759999999999996</v>
      </c>
      <c r="O77" s="55">
        <f>_xll.EQNXTDZ($A$1,$B77,O$5,$B$1)</f>
        <v>0</v>
      </c>
      <c r="P77" s="55">
        <f>_xll.EQNXTDZ($A$1,$B77,P$5,$B$1)</f>
        <v>5.9649999999999999</v>
      </c>
      <c r="Q77" s="55">
        <f>_xll.EQNXTDZ($A$1,$B77,Q$5,$B$1)</f>
        <v>0</v>
      </c>
      <c r="R77" s="55">
        <f>_xll.EQNXTDZ($A$1,$B77,R$5,$B$1)</f>
        <v>46.052</v>
      </c>
      <c r="S77" s="55">
        <f>_xll.EQNXTDZ($A$1,$B77,S$5,$B$1)</f>
        <v>0</v>
      </c>
      <c r="T77" s="55">
        <f>_xll.EQNXTDZ($A$1,$B77,T$5,$B$1)</f>
        <v>47.33</v>
      </c>
      <c r="U77" s="55">
        <f>_xll.EQNXTDZ($A$1,$B77,U$5,$B$1)</f>
        <v>0</v>
      </c>
      <c r="V77" s="55">
        <f>_xll.EQNXTDZ($A$1,$B77,V$5,$B$1)</f>
        <v>51.887</v>
      </c>
      <c r="W77" s="55">
        <f>_xll.EQNXTDZ($A$1,$B77,W$5,$B$1)</f>
        <v>0</v>
      </c>
      <c r="X77" s="55">
        <f>_xll.EQNXTDZ($A$1,$B77,X$5,$B$1)</f>
        <v>52.070999999999998</v>
      </c>
      <c r="Y77" s="55">
        <f>_xll.EQNXTDZ($A$1,$B77,Y$5,$B$1)</f>
        <v>0</v>
      </c>
      <c r="Z77" s="55">
        <f>_xll.EQNXTDZ($A$1,$B77,Z$5,$B$1)</f>
        <v>53.74</v>
      </c>
      <c r="AA77" s="55">
        <f>_xll.EQNXTDZ($A$1,$B77,AA$5,$B$1)</f>
        <v>0</v>
      </c>
      <c r="AB77" s="55">
        <f>_xll.EQNXTDZ($A$1,$B77,AB$5,$B$1)</f>
        <v>54.235999999999997</v>
      </c>
      <c r="AC77" s="55">
        <f>_xll.EQNXTDZ($A$1,$B77,AC$5,$B$1)</f>
        <v>0</v>
      </c>
      <c r="AD77" s="55">
        <f>_xll.EQNXTDZ($A$1,$B77,AD$5,$B$1)</f>
        <v>56.713999999999999</v>
      </c>
      <c r="AE77" s="55">
        <f>_xll.EQNXTDZ($A$1,$B77,AE$5,$B$1)</f>
        <v>0</v>
      </c>
      <c r="AF77" s="55">
        <f>_xll.EQNXTDZ($A$1,$B77,AF$5,$B$1)</f>
        <v>56.287999999999997</v>
      </c>
      <c r="AG77" s="55">
        <f>_xll.EQNXTDZ($A$1,$B77,AG$5,$B$1)</f>
        <v>0</v>
      </c>
      <c r="AH77" s="55">
        <f>_xll.EQNXTDZ($A$1,$B77,AH$5,$B$1)</f>
        <v>78.141999999999996</v>
      </c>
      <c r="AI77" s="55">
        <f>_xll.EQNXTDZ($A$1,$B77,AI$5,$B$1)</f>
        <v>0</v>
      </c>
      <c r="AJ77" s="55">
        <f>_xll.EQNXTDZ($A$1,$B77,AJ$5,$B$1)</f>
        <v>78.885000000000005</v>
      </c>
      <c r="AK77" s="55">
        <f>_xll.EQNXTDZ($A$1,$B77,AK$5,$B$1)</f>
        <v>0</v>
      </c>
      <c r="AL77" s="55">
        <f>_xll.EQNXTDZ($A$1,$B77,AL$5,$B$1)</f>
        <v>78.906000000000006</v>
      </c>
      <c r="AM77" s="55">
        <f>_xll.EQNXTDZ($A$1,$B77,AM$5,$B$1)</f>
        <v>0</v>
      </c>
      <c r="AN77" s="55">
        <f>_xll.EQNXTDZ($A$1,$B77,AN$5,$B$1)</f>
        <v>78.861999999999995</v>
      </c>
      <c r="AO77" s="55">
        <f>_xll.EQNXTDZ($A$1,$B77,AO$5,$B$1)</f>
        <v>0</v>
      </c>
      <c r="AP77" s="55">
        <f>_xll.EQNXTDZ($A$1,$B77,AP$5,$B$1)</f>
        <v>79.584999999999994</v>
      </c>
      <c r="AQ77" s="55">
        <f>_xll.EQNXTDZ($A$1,$B77,AQ$5,$B$1)</f>
        <v>0</v>
      </c>
      <c r="AR77" s="55">
        <f>_xll.EQNXTDZ($A$1,$B77,AR$5,$B$1)</f>
        <v>80.084000000000003</v>
      </c>
      <c r="AS77" s="55">
        <f>_xll.EQNXTDZ($A$1,$B77,AS$5,$B$1)</f>
        <v>0</v>
      </c>
      <c r="AT77" s="55">
        <f>_xll.EQNXTDZ($A$1,$B77,AT$5,$B$1)</f>
        <v>82.84</v>
      </c>
      <c r="AU77" s="55">
        <f>_xll.EQNXTDZ($A$1,$B77,AU$5,$B$1)</f>
        <v>0</v>
      </c>
      <c r="AV77" s="55">
        <f>_xll.EQNXTDZ($A$1,$B77,AV$5,$B$1)</f>
        <v>84.39</v>
      </c>
      <c r="AW77" s="55">
        <f>_xll.EQNXTDZ($A$1,$B77,AW$5,$B$1)</f>
        <v>0</v>
      </c>
      <c r="AX77" s="55">
        <f>_xll.EQNXTDZ($A$1,$B77,AX$5,$B$1)</f>
        <v>108.25</v>
      </c>
      <c r="AY77" s="55">
        <f>_xll.EQNXTDZ($A$1,$B77,AY$5,$B$1)</f>
        <v>0</v>
      </c>
      <c r="AZ77" s="55">
        <f>_xll.EQNXTDZ($A$1,$B77,AZ$5,$B$1)</f>
        <v>121.89</v>
      </c>
      <c r="BA77" s="55">
        <f>_xll.EQNXTDZ($A$1,$B77,BA$5,$B$1)</f>
        <v>0</v>
      </c>
      <c r="BB77" s="55">
        <f>_xll.EQNXTDZ($A$1,$B77,BB$5,$B$1)</f>
        <v>106.26</v>
      </c>
      <c r="BC77" s="55">
        <f>_xll.EQNXTDZ($A$1,$B77,BC$5,$B$1)</f>
        <v>0</v>
      </c>
      <c r="BD77" s="55">
        <f>_xll.EQNXTDZ($A$1,$B77,BD$5,$B$1)</f>
        <v>201.12</v>
      </c>
      <c r="BE77" s="55">
        <f>_xll.EQNXTDZ($A$1,$B77,BE$5,$B$1)</f>
        <v>0</v>
      </c>
      <c r="BF77" s="55">
        <f>_xll.EQNXTDZ($A$1,$B77,BF$5,$B$1)</f>
        <v>173.3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19.087</v>
      </c>
      <c r="E78" s="55">
        <f>_xll.EQNXTDZ($A$1,$B78,E$5,$B$1)</f>
        <v>0</v>
      </c>
      <c r="F78" s="55">
        <f>_xll.EQNXTDZ($A$1,$B78,F$5,$B$1)</f>
        <v>10.89</v>
      </c>
      <c r="G78" s="55">
        <f>_xll.EQNXTDZ($A$1,$B78,G$5,$B$1)</f>
        <v>0</v>
      </c>
      <c r="H78" s="55">
        <f>_xll.EQNXTDZ($A$1,$B78,H$5,$B$1)</f>
        <v>32.628999999999998</v>
      </c>
      <c r="I78" s="55">
        <f>_xll.EQNXTDZ($A$1,$B78,I$5,$B$1)</f>
        <v>0</v>
      </c>
      <c r="J78" s="55">
        <f>_xll.EQNXTDZ($A$1,$B78,J$5,$B$1)</f>
        <v>18.521999999999998</v>
      </c>
      <c r="K78" s="55">
        <f>_xll.EQNXTDZ($A$1,$B78,K$5,$B$1)</f>
        <v>0</v>
      </c>
      <c r="L78" s="55">
        <f>_xll.EQNXTDZ($A$1,$B78,L$5,$B$1)</f>
        <v>49.201000000000001</v>
      </c>
      <c r="M78" s="55">
        <f>_xll.EQNXTDZ($A$1,$B78,M$5,$B$1)</f>
        <v>0</v>
      </c>
      <c r="N78" s="55">
        <f>_xll.EQNXTDZ($A$1,$B78,N$5,$B$1)</f>
        <v>17.099</v>
      </c>
      <c r="O78" s="55">
        <f>_xll.EQNXTDZ($A$1,$B78,O$5,$B$1)</f>
        <v>0</v>
      </c>
      <c r="P78" s="55">
        <f>_xll.EQNXTDZ($A$1,$B78,P$5,$B$1)</f>
        <v>24.861000000000001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1.2909999999999999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1.17</v>
      </c>
      <c r="AA78" s="55">
        <f>_xll.EQNXTDZ($A$1,$B78,AA$5,$B$1)</f>
        <v>0</v>
      </c>
      <c r="AB78" s="55">
        <f>_xll.EQNXTDZ($A$1,$B78,AB$5,$B$1)</f>
        <v>1.17</v>
      </c>
      <c r="AC78" s="55">
        <f>_xll.EQNXTDZ($A$1,$B78,AC$5,$B$1)</f>
        <v>0</v>
      </c>
      <c r="AD78" s="55">
        <f>_xll.EQNXTDZ($A$1,$B78,AD$5,$B$1)</f>
        <v>0.52400000000000002</v>
      </c>
      <c r="AE78" s="55">
        <f>_xll.EQNXTDZ($A$1,$B78,AE$5,$B$1)</f>
        <v>0</v>
      </c>
      <c r="AF78" s="55">
        <f>_xll.EQNXTDZ($A$1,$B78,AF$5,$B$1)</f>
        <v>0.59499999999999997</v>
      </c>
      <c r="AG78" s="55">
        <f>_xll.EQNXTDZ($A$1,$B78,AG$5,$B$1)</f>
        <v>0</v>
      </c>
      <c r="AH78" s="55">
        <f>_xll.EQNXTDZ($A$1,$B78,AH$5,$B$1)</f>
        <v>6.5000000000000002E-2</v>
      </c>
      <c r="AI78" s="55">
        <f>_xll.EQNXTDZ($A$1,$B78,AI$5,$B$1)</f>
        <v>0</v>
      </c>
      <c r="AJ78" s="55">
        <f>_xll.EQNXTDZ($A$1,$B78,AJ$5,$B$1)</f>
        <v>6.5000000000000002E-2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61.503999999999998</v>
      </c>
      <c r="E79" s="55">
        <f>_xll.EQNXTDZ($A$1,$B79,E$5,$B$1)</f>
        <v>0</v>
      </c>
      <c r="F79" s="55">
        <f>_xll.EQNXTDZ($A$1,$B79,F$5,$B$1)</f>
        <v>38.935000000000002</v>
      </c>
      <c r="G79" s="55">
        <f>_xll.EQNXTDZ($A$1,$B79,G$5,$B$1)</f>
        <v>0</v>
      </c>
      <c r="H79" s="55">
        <f>_xll.EQNXTDZ($A$1,$B79,H$5,$B$1)</f>
        <v>0.79600000000000004</v>
      </c>
      <c r="I79" s="55">
        <f>_xll.EQNXTDZ($A$1,$B79,I$5,$B$1)</f>
        <v>0</v>
      </c>
      <c r="J79" s="55">
        <f>_xll.EQNXTDZ($A$1,$B79,J$5,$B$1)</f>
        <v>65.257999999999996</v>
      </c>
      <c r="K79" s="55">
        <f>_xll.EQNXTDZ($A$1,$B79,K$5,$B$1)</f>
        <v>0</v>
      </c>
      <c r="L79" s="55">
        <f>_xll.EQNXTDZ($A$1,$B79,L$5,$B$1)</f>
        <v>0.79300000000000004</v>
      </c>
      <c r="M79" s="55">
        <f>_xll.EQNXTDZ($A$1,$B79,M$5,$B$1)</f>
        <v>0</v>
      </c>
      <c r="N79" s="55">
        <f>_xll.EQNXTDZ($A$1,$B79,N$5,$B$1)</f>
        <v>53.75</v>
      </c>
      <c r="O79" s="55">
        <f>_xll.EQNXTDZ($A$1,$B79,O$5,$B$1)</f>
        <v>0</v>
      </c>
      <c r="P79" s="55">
        <f>_xll.EQNXTDZ($A$1,$B79,P$5,$B$1)</f>
        <v>56.716000000000001</v>
      </c>
      <c r="Q79" s="55">
        <f>_xll.EQNXTDZ($A$1,$B79,Q$5,$B$1)</f>
        <v>0</v>
      </c>
      <c r="R79" s="55">
        <f>_xll.EQNXTDZ($A$1,$B79,R$5,$B$1)</f>
        <v>35.098999999999997</v>
      </c>
      <c r="S79" s="55">
        <f>_xll.EQNXTDZ($A$1,$B79,S$5,$B$1)</f>
        <v>0</v>
      </c>
      <c r="T79" s="55">
        <f>_xll.EQNXTDZ($A$1,$B79,T$5,$B$1)</f>
        <v>237.74199999999999</v>
      </c>
      <c r="U79" s="55">
        <f>_xll.EQNXTDZ($A$1,$B79,U$5,$B$1)</f>
        <v>0</v>
      </c>
      <c r="V79" s="55">
        <f>_xll.EQNXTDZ($A$1,$B79,V$5,$B$1)</f>
        <v>49.597000000000001</v>
      </c>
      <c r="W79" s="55">
        <f>_xll.EQNXTDZ($A$1,$B79,W$5,$B$1)</f>
        <v>0</v>
      </c>
      <c r="X79" s="55">
        <f>_xll.EQNXTDZ($A$1,$B79,X$5,$B$1)</f>
        <v>54.585999999999999</v>
      </c>
      <c r="Y79" s="55">
        <f>_xll.EQNXTDZ($A$1,$B79,Y$5,$B$1)</f>
        <v>0</v>
      </c>
      <c r="Z79" s="55">
        <f>_xll.EQNXTDZ($A$1,$B79,Z$5,$B$1)</f>
        <v>41.36</v>
      </c>
      <c r="AA79" s="55">
        <f>_xll.EQNXTDZ($A$1,$B79,AA$5,$B$1)</f>
        <v>0</v>
      </c>
      <c r="AB79" s="55">
        <f>_xll.EQNXTDZ($A$1,$B79,AB$5,$B$1)</f>
        <v>42.484000000000002</v>
      </c>
      <c r="AC79" s="55">
        <f>_xll.EQNXTDZ($A$1,$B79,AC$5,$B$1)</f>
        <v>0</v>
      </c>
      <c r="AD79" s="55">
        <f>_xll.EQNXTDZ($A$1,$B79,AD$5,$B$1)</f>
        <v>43.914999999999999</v>
      </c>
      <c r="AE79" s="55">
        <f>_xll.EQNXTDZ($A$1,$B79,AE$5,$B$1)</f>
        <v>0</v>
      </c>
      <c r="AF79" s="55">
        <f>_xll.EQNXTDZ($A$1,$B79,AF$5,$B$1)</f>
        <v>71.828999999999994</v>
      </c>
      <c r="AG79" s="55">
        <f>_xll.EQNXTDZ($A$1,$B79,AG$5,$B$1)</f>
        <v>0</v>
      </c>
      <c r="AH79" s="55">
        <f>_xll.EQNXTDZ($A$1,$B79,AH$5,$B$1)</f>
        <v>107.02800000000001</v>
      </c>
      <c r="AI79" s="55">
        <f>_xll.EQNXTDZ($A$1,$B79,AI$5,$B$1)</f>
        <v>0</v>
      </c>
      <c r="AJ79" s="55">
        <f>_xll.EQNXTDZ($A$1,$B79,AJ$5,$B$1)</f>
        <v>106.751</v>
      </c>
      <c r="AK79" s="55">
        <f>_xll.EQNXTDZ($A$1,$B79,AK$5,$B$1)</f>
        <v>0</v>
      </c>
      <c r="AL79" s="55">
        <f>_xll.EQNXTDZ($A$1,$B79,AL$5,$B$1)</f>
        <v>101.432</v>
      </c>
      <c r="AM79" s="55">
        <f>_xll.EQNXTDZ($A$1,$B79,AM$5,$B$1)</f>
        <v>0</v>
      </c>
      <c r="AN79" s="55">
        <f>_xll.EQNXTDZ($A$1,$B79,AN$5,$B$1)</f>
        <v>99.566999999999993</v>
      </c>
      <c r="AO79" s="55">
        <f>_xll.EQNXTDZ($A$1,$B79,AO$5,$B$1)</f>
        <v>0</v>
      </c>
      <c r="AP79" s="55">
        <f>_xll.EQNXTDZ($A$1,$B79,AP$5,$B$1)</f>
        <v>104.383</v>
      </c>
      <c r="AQ79" s="55">
        <f>_xll.EQNXTDZ($A$1,$B79,AQ$5,$B$1)</f>
        <v>0</v>
      </c>
      <c r="AR79" s="55">
        <f>_xll.EQNXTDZ($A$1,$B79,AR$5,$B$1)</f>
        <v>111.236</v>
      </c>
      <c r="AS79" s="55">
        <f>_xll.EQNXTDZ($A$1,$B79,AS$5,$B$1)</f>
        <v>0</v>
      </c>
      <c r="AT79" s="55">
        <f>_xll.EQNXTDZ($A$1,$B79,AT$5,$B$1)</f>
        <v>112.26</v>
      </c>
      <c r="AU79" s="55">
        <f>_xll.EQNXTDZ($A$1,$B79,AU$5,$B$1)</f>
        <v>0</v>
      </c>
      <c r="AV79" s="55">
        <f>_xll.EQNXTDZ($A$1,$B79,AV$5,$B$1)</f>
        <v>114.15</v>
      </c>
      <c r="AW79" s="55">
        <f>_xll.EQNXTDZ($A$1,$B79,AW$5,$B$1)</f>
        <v>0</v>
      </c>
      <c r="AX79" s="55">
        <f>_xll.EQNXTDZ($A$1,$B79,AX$5,$B$1)</f>
        <v>157.26</v>
      </c>
      <c r="AY79" s="55">
        <f>_xll.EQNXTDZ($A$1,$B79,AY$5,$B$1)</f>
        <v>0</v>
      </c>
      <c r="AZ79" s="55">
        <f>_xll.EQNXTDZ($A$1,$B79,AZ$5,$B$1)</f>
        <v>249.98</v>
      </c>
      <c r="BA79" s="55">
        <f>_xll.EQNXTDZ($A$1,$B79,BA$5,$B$1)</f>
        <v>0</v>
      </c>
      <c r="BB79" s="55">
        <f>_xll.EQNXTDZ($A$1,$B79,BB$5,$B$1)</f>
        <v>240.08</v>
      </c>
      <c r="BC79" s="55">
        <f>_xll.EQNXTDZ($A$1,$B79,BC$5,$B$1)</f>
        <v>0</v>
      </c>
      <c r="BD79" s="55">
        <f>_xll.EQNXTDZ($A$1,$B79,BD$5,$B$1)</f>
        <v>330.31</v>
      </c>
      <c r="BE79" s="55">
        <f>_xll.EQNXTDZ($A$1,$B79,BE$5,$B$1)</f>
        <v>0</v>
      </c>
      <c r="BF79" s="55">
        <f>_xll.EQNXTDZ($A$1,$B79,BF$5,$B$1)</f>
        <v>472.48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8.1300000000000008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9.6080000000000005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9.2720000000000002</v>
      </c>
      <c r="O80" s="55">
        <f>_xll.EQNXTDZ($A$1,$B80,O$5,$B$1)</f>
        <v>0</v>
      </c>
      <c r="P80" s="55">
        <f>_xll.EQNXTDZ($A$1,$B80,P$5,$B$1)</f>
        <v>13.891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1.585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19.059999999999999</v>
      </c>
      <c r="AU80" s="55">
        <f>_xll.EQNXTDZ($A$1,$B80,AU$5,$B$1)</f>
        <v>0</v>
      </c>
      <c r="AV80" s="55">
        <f>_xll.EQNXTDZ($A$1,$B80,AV$5,$B$1)</f>
        <v>48.04</v>
      </c>
      <c r="AW80" s="55">
        <f>_xll.EQNXTDZ($A$1,$B80,AW$5,$B$1)</f>
        <v>0</v>
      </c>
      <c r="AX80" s="55">
        <f>_xll.EQNXTDZ($A$1,$B80,AX$5,$B$1)</f>
        <v>203.28</v>
      </c>
      <c r="AY80" s="55">
        <f>_xll.EQNXTDZ($A$1,$B80,AY$5,$B$1)</f>
        <v>0</v>
      </c>
      <c r="AZ80" s="55">
        <f>_xll.EQNXTDZ($A$1,$B80,AZ$5,$B$1)</f>
        <v>296.54000000000002</v>
      </c>
      <c r="BA80" s="55">
        <f>_xll.EQNXTDZ($A$1,$B80,BA$5,$B$1)</f>
        <v>0</v>
      </c>
      <c r="BB80" s="55">
        <f>_xll.EQNXTDZ($A$1,$B80,BB$5,$B$1)</f>
        <v>414.55</v>
      </c>
      <c r="BC80" s="55">
        <f>_xll.EQNXTDZ($A$1,$B80,BC$5,$B$1)</f>
        <v>0</v>
      </c>
      <c r="BD80" s="55">
        <f>_xll.EQNXTDZ($A$1,$B80,BD$5,$B$1)</f>
        <v>507.8</v>
      </c>
      <c r="BE80" s="55">
        <f>_xll.EQNXTDZ($A$1,$B80,BE$5,$B$1)</f>
        <v>0</v>
      </c>
      <c r="BF80" s="55">
        <f>_xll.EQNXTDZ($A$1,$B80,BF$5,$B$1)</f>
        <v>594.36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291.41199999999998</v>
      </c>
      <c r="E81" s="55">
        <f>_xll.EQNXTDZ($A$1,$B81,E$5,$B$1)</f>
        <v>0</v>
      </c>
      <c r="F81" s="55">
        <f>_xll.EQNXTDZ($A$1,$B81,F$5,$B$1)</f>
        <v>392.85899999999998</v>
      </c>
      <c r="G81" s="55">
        <f>_xll.EQNXTDZ($A$1,$B81,G$5,$B$1)</f>
        <v>0</v>
      </c>
      <c r="H81" s="55">
        <f>_xll.EQNXTDZ($A$1,$B81,H$5,$B$1)</f>
        <v>154.94900000000001</v>
      </c>
      <c r="I81" s="55">
        <f>_xll.EQNXTDZ($A$1,$B81,I$5,$B$1)</f>
        <v>0</v>
      </c>
      <c r="J81" s="55">
        <f>_xll.EQNXTDZ($A$1,$B81,J$5,$B$1)</f>
        <v>357.91699999999997</v>
      </c>
      <c r="K81" s="55">
        <f>_xll.EQNXTDZ($A$1,$B81,K$5,$B$1)</f>
        <v>0</v>
      </c>
      <c r="L81" s="55">
        <f>_xll.EQNXTDZ($A$1,$B81,L$5,$B$1)</f>
        <v>134.42500000000001</v>
      </c>
      <c r="M81" s="55">
        <f>_xll.EQNXTDZ($A$1,$B81,M$5,$B$1)</f>
        <v>0</v>
      </c>
      <c r="N81" s="55">
        <f>_xll.EQNXTDZ($A$1,$B81,N$5,$B$1)</f>
        <v>346.29300000000001</v>
      </c>
      <c r="O81" s="55">
        <f>_xll.EQNXTDZ($A$1,$B81,O$5,$B$1)</f>
        <v>0</v>
      </c>
      <c r="P81" s="55">
        <f>_xll.EQNXTDZ($A$1,$B81,P$5,$B$1)</f>
        <v>434.125</v>
      </c>
      <c r="Q81" s="55">
        <f>_xll.EQNXTDZ($A$1,$B81,Q$5,$B$1)</f>
        <v>0</v>
      </c>
      <c r="R81" s="55">
        <f>_xll.EQNXTDZ($A$1,$B81,R$5,$B$1)</f>
        <v>359.36900000000003</v>
      </c>
      <c r="S81" s="55">
        <f>_xll.EQNXTDZ($A$1,$B81,S$5,$B$1)</f>
        <v>0</v>
      </c>
      <c r="T81" s="55">
        <f>_xll.EQNXTDZ($A$1,$B81,T$5,$B$1)</f>
        <v>364.74700000000001</v>
      </c>
      <c r="U81" s="55">
        <f>_xll.EQNXTDZ($A$1,$B81,U$5,$B$1)</f>
        <v>0</v>
      </c>
      <c r="V81" s="55">
        <f>_xll.EQNXTDZ($A$1,$B81,V$5,$B$1)</f>
        <v>301.572</v>
      </c>
      <c r="W81" s="55">
        <f>_xll.EQNXTDZ($A$1,$B81,W$5,$B$1)</f>
        <v>0</v>
      </c>
      <c r="X81" s="55">
        <f>_xll.EQNXTDZ($A$1,$B81,X$5,$B$1)</f>
        <v>268.89</v>
      </c>
      <c r="Y81" s="55">
        <f>_xll.EQNXTDZ($A$1,$B81,Y$5,$B$1)</f>
        <v>0</v>
      </c>
      <c r="Z81" s="55">
        <f>_xll.EQNXTDZ($A$1,$B81,Z$5,$B$1)</f>
        <v>285.12099999999998</v>
      </c>
      <c r="AA81" s="55">
        <f>_xll.EQNXTDZ($A$1,$B81,AA$5,$B$1)</f>
        <v>0</v>
      </c>
      <c r="AB81" s="55">
        <f>_xll.EQNXTDZ($A$1,$B81,AB$5,$B$1)</f>
        <v>301.33699999999999</v>
      </c>
      <c r="AC81" s="55">
        <f>_xll.EQNXTDZ($A$1,$B81,AC$5,$B$1)</f>
        <v>0</v>
      </c>
      <c r="AD81" s="55">
        <f>_xll.EQNXTDZ($A$1,$B81,AD$5,$B$1)</f>
        <v>319.226</v>
      </c>
      <c r="AE81" s="55">
        <f>_xll.EQNXTDZ($A$1,$B81,AE$5,$B$1)</f>
        <v>0</v>
      </c>
      <c r="AF81" s="55">
        <f>_xll.EQNXTDZ($A$1,$B81,AF$5,$B$1)</f>
        <v>306.19600000000003</v>
      </c>
      <c r="AG81" s="55">
        <f>_xll.EQNXTDZ($A$1,$B81,AG$5,$B$1)</f>
        <v>0</v>
      </c>
      <c r="AH81" s="55">
        <f>_xll.EQNXTDZ($A$1,$B81,AH$5,$B$1)</f>
        <v>306.55099999999999</v>
      </c>
      <c r="AI81" s="55">
        <f>_xll.EQNXTDZ($A$1,$B81,AI$5,$B$1)</f>
        <v>0</v>
      </c>
      <c r="AJ81" s="55">
        <f>_xll.EQNXTDZ($A$1,$B81,AJ$5,$B$1)</f>
        <v>288.584</v>
      </c>
      <c r="AK81" s="55">
        <f>_xll.EQNXTDZ($A$1,$B81,AK$5,$B$1)</f>
        <v>0</v>
      </c>
      <c r="AL81" s="55">
        <f>_xll.EQNXTDZ($A$1,$B81,AL$5,$B$1)</f>
        <v>250.22399999999999</v>
      </c>
      <c r="AM81" s="55">
        <f>_xll.EQNXTDZ($A$1,$B81,AM$5,$B$1)</f>
        <v>0</v>
      </c>
      <c r="AN81" s="55">
        <f>_xll.EQNXTDZ($A$1,$B81,AN$5,$B$1)</f>
        <v>253.44900000000001</v>
      </c>
      <c r="AO81" s="55">
        <f>_xll.EQNXTDZ($A$1,$B81,AO$5,$B$1)</f>
        <v>0</v>
      </c>
      <c r="AP81" s="55">
        <f>_xll.EQNXTDZ($A$1,$B81,AP$5,$B$1)</f>
        <v>261.66699999999997</v>
      </c>
      <c r="AQ81" s="55">
        <f>_xll.EQNXTDZ($A$1,$B81,AQ$5,$B$1)</f>
        <v>0</v>
      </c>
      <c r="AR81" s="55">
        <f>_xll.EQNXTDZ($A$1,$B81,AR$5,$B$1)</f>
        <v>281.28800000000001</v>
      </c>
      <c r="AS81" s="55">
        <f>_xll.EQNXTDZ($A$1,$B81,AS$5,$B$1)</f>
        <v>0</v>
      </c>
      <c r="AT81" s="55">
        <f>_xll.EQNXTDZ($A$1,$B81,AT$5,$B$1)</f>
        <v>278.8</v>
      </c>
      <c r="AU81" s="55">
        <f>_xll.EQNXTDZ($A$1,$B81,AU$5,$B$1)</f>
        <v>0</v>
      </c>
      <c r="AV81" s="55">
        <f>_xll.EQNXTDZ($A$1,$B81,AV$5,$B$1)</f>
        <v>261.77999999999997</v>
      </c>
      <c r="AW81" s="55">
        <f>_xll.EQNXTDZ($A$1,$B81,AW$5,$B$1)</f>
        <v>0</v>
      </c>
      <c r="AX81" s="55">
        <f>_xll.EQNXTDZ($A$1,$B81,AX$5,$B$1)</f>
        <v>229.74</v>
      </c>
      <c r="AY81" s="55">
        <f>_xll.EQNXTDZ($A$1,$B81,AY$5,$B$1)</f>
        <v>0</v>
      </c>
      <c r="AZ81" s="55">
        <f>_xll.EQNXTDZ($A$1,$B81,AZ$5,$B$1)</f>
        <v>266.58</v>
      </c>
      <c r="BA81" s="55">
        <f>_xll.EQNXTDZ($A$1,$B81,BA$5,$B$1)</f>
        <v>0</v>
      </c>
      <c r="BB81" s="55">
        <f>_xll.EQNXTDZ($A$1,$B81,BB$5,$B$1)</f>
        <v>242.96</v>
      </c>
      <c r="BC81" s="55">
        <f>_xll.EQNXTDZ($A$1,$B81,BC$5,$B$1)</f>
        <v>0</v>
      </c>
      <c r="BD81" s="55">
        <f>_xll.EQNXTDZ($A$1,$B81,BD$5,$B$1)</f>
        <v>272.19</v>
      </c>
      <c r="BE81" s="55">
        <f>_xll.EQNXTDZ($A$1,$B81,BE$5,$B$1)</f>
        <v>0</v>
      </c>
      <c r="BF81" s="55">
        <f>_xll.EQNXTDZ($A$1,$B81,BF$5,$B$1)</f>
        <v>301.14999999999998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723.32799999999997</v>
      </c>
      <c r="E82" s="55">
        <f>_xll.EQNXTDZ($A$1,$B82,E$5,$B$1)</f>
        <v>0</v>
      </c>
      <c r="F82" s="55">
        <f>_xll.EQNXTDZ($A$1,$B82,F$5,$B$1)</f>
        <v>837.72</v>
      </c>
      <c r="G82" s="55">
        <f>_xll.EQNXTDZ($A$1,$B82,G$5,$B$1)</f>
        <v>0</v>
      </c>
      <c r="H82" s="55">
        <f>_xll.EQNXTDZ($A$1,$B82,H$5,$B$1)</f>
        <v>128.16900000000001</v>
      </c>
      <c r="I82" s="55">
        <f>_xll.EQNXTDZ($A$1,$B82,I$5,$B$1)</f>
        <v>0</v>
      </c>
      <c r="J82" s="55">
        <f>_xll.EQNXTDZ($A$1,$B82,J$5,$B$1)</f>
        <v>853.07500000000005</v>
      </c>
      <c r="K82" s="55">
        <f>_xll.EQNXTDZ($A$1,$B82,K$5,$B$1)</f>
        <v>0</v>
      </c>
      <c r="L82" s="55">
        <f>_xll.EQNXTDZ($A$1,$B82,L$5,$B$1)</f>
        <v>147.453</v>
      </c>
      <c r="M82" s="55">
        <f>_xll.EQNXTDZ($A$1,$B82,M$5,$B$1)</f>
        <v>0</v>
      </c>
      <c r="N82" s="55">
        <f>_xll.EQNXTDZ($A$1,$B82,N$5,$B$1)</f>
        <v>858.22699999999998</v>
      </c>
      <c r="O82" s="55">
        <f>_xll.EQNXTDZ($A$1,$B82,O$5,$B$1)</f>
        <v>0</v>
      </c>
      <c r="P82" s="55">
        <f>_xll.EQNXTDZ($A$1,$B82,P$5,$B$1)</f>
        <v>767.54300000000001</v>
      </c>
      <c r="Q82" s="55">
        <f>_xll.EQNXTDZ($A$1,$B82,Q$5,$B$1)</f>
        <v>0</v>
      </c>
      <c r="R82" s="55">
        <f>_xll.EQNXTDZ($A$1,$B82,R$5,$B$1)</f>
        <v>705.66099999999994</v>
      </c>
      <c r="S82" s="55">
        <f>_xll.EQNXTDZ($A$1,$B82,S$5,$B$1)</f>
        <v>0</v>
      </c>
      <c r="T82" s="55">
        <f>_xll.EQNXTDZ($A$1,$B82,T$5,$B$1)</f>
        <v>516.16300000000001</v>
      </c>
      <c r="U82" s="55">
        <f>_xll.EQNXTDZ($A$1,$B82,U$5,$B$1)</f>
        <v>0</v>
      </c>
      <c r="V82" s="55">
        <f>_xll.EQNXTDZ($A$1,$B82,V$5,$B$1)</f>
        <v>628.14800000000002</v>
      </c>
      <c r="W82" s="55">
        <f>_xll.EQNXTDZ($A$1,$B82,W$5,$B$1)</f>
        <v>0</v>
      </c>
      <c r="X82" s="55">
        <f>_xll.EQNXTDZ($A$1,$B82,X$5,$B$1)</f>
        <v>564.06100000000004</v>
      </c>
      <c r="Y82" s="55">
        <f>_xll.EQNXTDZ($A$1,$B82,Y$5,$B$1)</f>
        <v>0</v>
      </c>
      <c r="Z82" s="55">
        <f>_xll.EQNXTDZ($A$1,$B82,Z$5,$B$1)</f>
        <v>671.24300000000005</v>
      </c>
      <c r="AA82" s="55">
        <f>_xll.EQNXTDZ($A$1,$B82,AA$5,$B$1)</f>
        <v>0</v>
      </c>
      <c r="AB82" s="55">
        <f>_xll.EQNXTDZ($A$1,$B82,AB$5,$B$1)</f>
        <v>632.904</v>
      </c>
      <c r="AC82" s="55">
        <f>_xll.EQNXTDZ($A$1,$B82,AC$5,$B$1)</f>
        <v>0</v>
      </c>
      <c r="AD82" s="55">
        <f>_xll.EQNXTDZ($A$1,$B82,AD$5,$B$1)</f>
        <v>592.81399999999996</v>
      </c>
      <c r="AE82" s="55">
        <f>_xll.EQNXTDZ($A$1,$B82,AE$5,$B$1)</f>
        <v>0</v>
      </c>
      <c r="AF82" s="55">
        <f>_xll.EQNXTDZ($A$1,$B82,AF$5,$B$1)</f>
        <v>562.04999999999995</v>
      </c>
      <c r="AG82" s="55">
        <f>_xll.EQNXTDZ($A$1,$B82,AG$5,$B$1)</f>
        <v>0</v>
      </c>
      <c r="AH82" s="55">
        <f>_xll.EQNXTDZ($A$1,$B82,AH$5,$B$1)</f>
        <v>612.072</v>
      </c>
      <c r="AI82" s="55">
        <f>_xll.EQNXTDZ($A$1,$B82,AI$5,$B$1)</f>
        <v>0</v>
      </c>
      <c r="AJ82" s="55">
        <f>_xll.EQNXTDZ($A$1,$B82,AJ$5,$B$1)</f>
        <v>464.05900000000003</v>
      </c>
      <c r="AK82" s="55">
        <f>_xll.EQNXTDZ($A$1,$B82,AK$5,$B$1)</f>
        <v>0</v>
      </c>
      <c r="AL82" s="55">
        <f>_xll.EQNXTDZ($A$1,$B82,AL$5,$B$1)</f>
        <v>507.73599999999999</v>
      </c>
      <c r="AM82" s="55">
        <f>_xll.EQNXTDZ($A$1,$B82,AM$5,$B$1)</f>
        <v>0</v>
      </c>
      <c r="AN82" s="55">
        <f>_xll.EQNXTDZ($A$1,$B82,AN$5,$B$1)</f>
        <v>440.01</v>
      </c>
      <c r="AO82" s="55">
        <f>_xll.EQNXTDZ($A$1,$B82,AO$5,$B$1)</f>
        <v>0</v>
      </c>
      <c r="AP82" s="55">
        <f>_xll.EQNXTDZ($A$1,$B82,AP$5,$B$1)</f>
        <v>415.07400000000001</v>
      </c>
      <c r="AQ82" s="55">
        <f>_xll.EQNXTDZ($A$1,$B82,AQ$5,$B$1)</f>
        <v>0</v>
      </c>
      <c r="AR82" s="55">
        <f>_xll.EQNXTDZ($A$1,$B82,AR$5,$B$1)</f>
        <v>374.75599999999997</v>
      </c>
      <c r="AS82" s="55">
        <f>_xll.EQNXTDZ($A$1,$B82,AS$5,$B$1)</f>
        <v>0</v>
      </c>
      <c r="AT82" s="55">
        <f>_xll.EQNXTDZ($A$1,$B82,AT$5,$B$1)</f>
        <v>345.77</v>
      </c>
      <c r="AU82" s="55">
        <f>_xll.EQNXTDZ($A$1,$B82,AU$5,$B$1)</f>
        <v>0</v>
      </c>
      <c r="AV82" s="55">
        <f>_xll.EQNXTDZ($A$1,$B82,AV$5,$B$1)</f>
        <v>375.97</v>
      </c>
      <c r="AW82" s="55">
        <f>_xll.EQNXTDZ($A$1,$B82,AW$5,$B$1)</f>
        <v>0</v>
      </c>
      <c r="AX82" s="55">
        <f>_xll.EQNXTDZ($A$1,$B82,AX$5,$B$1)</f>
        <v>445.1</v>
      </c>
      <c r="AY82" s="55">
        <f>_xll.EQNXTDZ($A$1,$B82,AY$5,$B$1)</f>
        <v>0</v>
      </c>
      <c r="AZ82" s="55">
        <f>_xll.EQNXTDZ($A$1,$B82,AZ$5,$B$1)</f>
        <v>448.69</v>
      </c>
      <c r="BA82" s="55">
        <f>_xll.EQNXTDZ($A$1,$B82,BA$5,$B$1)</f>
        <v>0</v>
      </c>
      <c r="BB82" s="55">
        <f>_xll.EQNXTDZ($A$1,$B82,BB$5,$B$1)</f>
        <v>613.87</v>
      </c>
      <c r="BC82" s="55">
        <f>_xll.EQNXTDZ($A$1,$B82,BC$5,$B$1)</f>
        <v>0</v>
      </c>
      <c r="BD82" s="55">
        <f>_xll.EQNXTDZ($A$1,$B82,BD$5,$B$1)</f>
        <v>511.07</v>
      </c>
      <c r="BE82" s="55">
        <f>_xll.EQNXTDZ($A$1,$B82,BE$5,$B$1)</f>
        <v>0</v>
      </c>
      <c r="BF82" s="55">
        <f>_xll.EQNXTDZ($A$1,$B82,BF$5,$B$1)</f>
        <v>720.51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7.4039999999999999</v>
      </c>
      <c r="E83" s="55">
        <f>_xll.EQNXTDZ($A$1,$B83,E$5,$B$1)</f>
        <v>0</v>
      </c>
      <c r="F83" s="55">
        <f>_xll.EQNXTDZ($A$1,$B83,F$5,$B$1)</f>
        <v>31.678999999999998</v>
      </c>
      <c r="G83" s="55">
        <f>_xll.EQNXTDZ($A$1,$B83,G$5,$B$1)</f>
        <v>0</v>
      </c>
      <c r="H83" s="55">
        <f>_xll.EQNXTDZ($A$1,$B83,H$5,$B$1)</f>
        <v>3.8410000000000002</v>
      </c>
      <c r="I83" s="55">
        <f>_xll.EQNXTDZ($A$1,$B83,I$5,$B$1)</f>
        <v>0</v>
      </c>
      <c r="J83" s="55">
        <f>_xll.EQNXTDZ($A$1,$B83,J$5,$B$1)</f>
        <v>22.288</v>
      </c>
      <c r="K83" s="55">
        <f>_xll.EQNXTDZ($A$1,$B83,K$5,$B$1)</f>
        <v>0</v>
      </c>
      <c r="L83" s="55">
        <f>_xll.EQNXTDZ($A$1,$B83,L$5,$B$1)</f>
        <v>2.8650000000000002</v>
      </c>
      <c r="M83" s="55">
        <f>_xll.EQNXTDZ($A$1,$B83,M$5,$B$1)</f>
        <v>0</v>
      </c>
      <c r="N83" s="55">
        <f>_xll.EQNXTDZ($A$1,$B83,N$5,$B$1)</f>
        <v>31.504999999999999</v>
      </c>
      <c r="O83" s="55">
        <f>_xll.EQNXTDZ($A$1,$B83,O$5,$B$1)</f>
        <v>0</v>
      </c>
      <c r="P83" s="55">
        <f>_xll.EQNXTDZ($A$1,$B83,P$5,$B$1)</f>
        <v>30.166</v>
      </c>
      <c r="Q83" s="55">
        <f>_xll.EQNXTDZ($A$1,$B83,Q$5,$B$1)</f>
        <v>0</v>
      </c>
      <c r="R83" s="55">
        <f>_xll.EQNXTDZ($A$1,$B83,R$5,$B$1)</f>
        <v>45.023000000000003</v>
      </c>
      <c r="S83" s="55">
        <f>_xll.EQNXTDZ($A$1,$B83,S$5,$B$1)</f>
        <v>0</v>
      </c>
      <c r="T83" s="55">
        <f>_xll.EQNXTDZ($A$1,$B83,T$5,$B$1)</f>
        <v>38.816000000000003</v>
      </c>
      <c r="U83" s="55">
        <f>_xll.EQNXTDZ($A$1,$B83,U$5,$B$1)</f>
        <v>0</v>
      </c>
      <c r="V83" s="55">
        <f>_xll.EQNXTDZ($A$1,$B83,V$5,$B$1)</f>
        <v>92.546999999999997</v>
      </c>
      <c r="W83" s="55">
        <f>_xll.EQNXTDZ($A$1,$B83,W$5,$B$1)</f>
        <v>0</v>
      </c>
      <c r="X83" s="55">
        <f>_xll.EQNXTDZ($A$1,$B83,X$5,$B$1)</f>
        <v>65.566000000000003</v>
      </c>
      <c r="Y83" s="55">
        <f>_xll.EQNXTDZ($A$1,$B83,Y$5,$B$1)</f>
        <v>0</v>
      </c>
      <c r="Z83" s="55">
        <f>_xll.EQNXTDZ($A$1,$B83,Z$5,$B$1)</f>
        <v>82.763000000000005</v>
      </c>
      <c r="AA83" s="55">
        <f>_xll.EQNXTDZ($A$1,$B83,AA$5,$B$1)</f>
        <v>0</v>
      </c>
      <c r="AB83" s="55">
        <f>_xll.EQNXTDZ($A$1,$B83,AB$5,$B$1)</f>
        <v>109.9</v>
      </c>
      <c r="AC83" s="55">
        <f>_xll.EQNXTDZ($A$1,$B83,AC$5,$B$1)</f>
        <v>0</v>
      </c>
      <c r="AD83" s="55">
        <f>_xll.EQNXTDZ($A$1,$B83,AD$5,$B$1)</f>
        <v>75.59</v>
      </c>
      <c r="AE83" s="55">
        <f>_xll.EQNXTDZ($A$1,$B83,AE$5,$B$1)</f>
        <v>0</v>
      </c>
      <c r="AF83" s="55">
        <f>_xll.EQNXTDZ($A$1,$B83,AF$5,$B$1)</f>
        <v>85.992000000000004</v>
      </c>
      <c r="AG83" s="55">
        <f>_xll.EQNXTDZ($A$1,$B83,AG$5,$B$1)</f>
        <v>0</v>
      </c>
      <c r="AH83" s="55">
        <f>_xll.EQNXTDZ($A$1,$B83,AH$5,$B$1)</f>
        <v>107.483</v>
      </c>
      <c r="AI83" s="55">
        <f>_xll.EQNXTDZ($A$1,$B83,AI$5,$B$1)</f>
        <v>0</v>
      </c>
      <c r="AJ83" s="55">
        <f>_xll.EQNXTDZ($A$1,$B83,AJ$5,$B$1)</f>
        <v>112.84</v>
      </c>
      <c r="AK83" s="55">
        <f>_xll.EQNXTDZ($A$1,$B83,AK$5,$B$1)</f>
        <v>0</v>
      </c>
      <c r="AL83" s="55">
        <f>_xll.EQNXTDZ($A$1,$B83,AL$5,$B$1)</f>
        <v>141.48500000000001</v>
      </c>
      <c r="AM83" s="55">
        <f>_xll.EQNXTDZ($A$1,$B83,AM$5,$B$1)</f>
        <v>0</v>
      </c>
      <c r="AN83" s="55">
        <f>_xll.EQNXTDZ($A$1,$B83,AN$5,$B$1)</f>
        <v>147.30000000000001</v>
      </c>
      <c r="AO83" s="55">
        <f>_xll.EQNXTDZ($A$1,$B83,AO$5,$B$1)</f>
        <v>0</v>
      </c>
      <c r="AP83" s="55">
        <f>_xll.EQNXTDZ($A$1,$B83,AP$5,$B$1)</f>
        <v>112.134</v>
      </c>
      <c r="AQ83" s="55">
        <f>_xll.EQNXTDZ($A$1,$B83,AQ$5,$B$1)</f>
        <v>0</v>
      </c>
      <c r="AR83" s="55">
        <f>_xll.EQNXTDZ($A$1,$B83,AR$5,$B$1)</f>
        <v>106.21599999999999</v>
      </c>
      <c r="AS83" s="55">
        <f>_xll.EQNXTDZ($A$1,$B83,AS$5,$B$1)</f>
        <v>0</v>
      </c>
      <c r="AT83" s="55">
        <f>_xll.EQNXTDZ($A$1,$B83,AT$5,$B$1)</f>
        <v>210.37</v>
      </c>
      <c r="AU83" s="55">
        <f>_xll.EQNXTDZ($A$1,$B83,AU$5,$B$1)</f>
        <v>0</v>
      </c>
      <c r="AV83" s="55">
        <f>_xll.EQNXTDZ($A$1,$B83,AV$5,$B$1)</f>
        <v>308.73</v>
      </c>
      <c r="AW83" s="55">
        <f>_xll.EQNXTDZ($A$1,$B83,AW$5,$B$1)</f>
        <v>0</v>
      </c>
      <c r="AX83" s="55">
        <f>_xll.EQNXTDZ($A$1,$B83,AX$5,$B$1)</f>
        <v>263.31</v>
      </c>
      <c r="AY83" s="55">
        <f>_xll.EQNXTDZ($A$1,$B83,AY$5,$B$1)</f>
        <v>0</v>
      </c>
      <c r="AZ83" s="55">
        <f>_xll.EQNXTDZ($A$1,$B83,AZ$5,$B$1)</f>
        <v>235.14</v>
      </c>
      <c r="BA83" s="55">
        <f>_xll.EQNXTDZ($A$1,$B83,BA$5,$B$1)</f>
        <v>0</v>
      </c>
      <c r="BB83" s="55">
        <f>_xll.EQNXTDZ($A$1,$B83,BB$5,$B$1)</f>
        <v>358.44</v>
      </c>
      <c r="BC83" s="55">
        <f>_xll.EQNXTDZ($A$1,$B83,BC$5,$B$1)</f>
        <v>0</v>
      </c>
      <c r="BD83" s="55">
        <f>_xll.EQNXTDZ($A$1,$B83,BD$5,$B$1)</f>
        <v>311.26</v>
      </c>
      <c r="BE83" s="55">
        <f>_xll.EQNXTDZ($A$1,$B83,BE$5,$B$1)</f>
        <v>0</v>
      </c>
      <c r="BF83" s="55">
        <f>_xll.EQNXTDZ($A$1,$B83,BF$5,$B$1)</f>
        <v>212.64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11.082000000000001</v>
      </c>
      <c r="E84" s="55">
        <f>_xll.EQNXTDZ($A$1,$B84,E$5,$B$1)</f>
        <v>0</v>
      </c>
      <c r="F84" s="55">
        <f>_xll.EQNXTDZ($A$1,$B84,F$5,$B$1)</f>
        <v>8.3000000000000007</v>
      </c>
      <c r="G84" s="55">
        <f>_xll.EQNXTDZ($A$1,$B84,G$5,$B$1)</f>
        <v>0</v>
      </c>
      <c r="H84" s="55">
        <f>_xll.EQNXTDZ($A$1,$B84,H$5,$B$1)</f>
        <v>134.67699999999999</v>
      </c>
      <c r="I84" s="55">
        <f>_xll.EQNXTDZ($A$1,$B84,I$5,$B$1)</f>
        <v>0</v>
      </c>
      <c r="J84" s="55">
        <f>_xll.EQNXTDZ($A$1,$B84,J$5,$B$1)</f>
        <v>8.77</v>
      </c>
      <c r="K84" s="55">
        <f>_xll.EQNXTDZ($A$1,$B84,K$5,$B$1)</f>
        <v>0</v>
      </c>
      <c r="L84" s="55">
        <f>_xll.EQNXTDZ($A$1,$B84,L$5,$B$1)</f>
        <v>275.25599999999997</v>
      </c>
      <c r="M84" s="55">
        <f>_xll.EQNXTDZ($A$1,$B84,M$5,$B$1)</f>
        <v>0</v>
      </c>
      <c r="N84" s="55">
        <f>_xll.EQNXTDZ($A$1,$B84,N$5,$B$1)</f>
        <v>6.2910000000000004</v>
      </c>
      <c r="O84" s="55">
        <f>_xll.EQNXTDZ($A$1,$B84,O$5,$B$1)</f>
        <v>0</v>
      </c>
      <c r="P84" s="55">
        <f>_xll.EQNXTDZ($A$1,$B84,P$5,$B$1)</f>
        <v>2.0089999999999999</v>
      </c>
      <c r="Q84" s="55">
        <f>_xll.EQNXTDZ($A$1,$B84,Q$5,$B$1)</f>
        <v>0</v>
      </c>
      <c r="R84" s="55">
        <f>_xll.EQNXTDZ($A$1,$B84,R$5,$B$1)</f>
        <v>103.268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97.045000000000002</v>
      </c>
      <c r="W84" s="55">
        <f>_xll.EQNXTDZ($A$1,$B84,W$5,$B$1)</f>
        <v>0</v>
      </c>
      <c r="X84" s="55">
        <f>_xll.EQNXTDZ($A$1,$B84,X$5,$B$1)</f>
        <v>108.194</v>
      </c>
      <c r="Y84" s="55">
        <f>_xll.EQNXTDZ($A$1,$B84,Y$5,$B$1)</f>
        <v>0</v>
      </c>
      <c r="Z84" s="55">
        <f>_xll.EQNXTDZ($A$1,$B84,Z$5,$B$1)</f>
        <v>182.51</v>
      </c>
      <c r="AA84" s="55">
        <f>_xll.EQNXTDZ($A$1,$B84,AA$5,$B$1)</f>
        <v>0</v>
      </c>
      <c r="AB84" s="55">
        <f>_xll.EQNXTDZ($A$1,$B84,AB$5,$B$1)</f>
        <v>239.44499999999999</v>
      </c>
      <c r="AC84" s="55">
        <f>_xll.EQNXTDZ($A$1,$B84,AC$5,$B$1)</f>
        <v>0</v>
      </c>
      <c r="AD84" s="55">
        <f>_xll.EQNXTDZ($A$1,$B84,AD$5,$B$1)</f>
        <v>269.85399999999998</v>
      </c>
      <c r="AE84" s="55">
        <f>_xll.EQNXTDZ($A$1,$B84,AE$5,$B$1)</f>
        <v>0</v>
      </c>
      <c r="AF84" s="55">
        <f>_xll.EQNXTDZ($A$1,$B84,AF$5,$B$1)</f>
        <v>318.09100000000001</v>
      </c>
      <c r="AG84" s="55">
        <f>_xll.EQNXTDZ($A$1,$B84,AG$5,$B$1)</f>
        <v>0</v>
      </c>
      <c r="AH84" s="55">
        <f>_xll.EQNXTDZ($A$1,$B84,AH$5,$B$1)</f>
        <v>203.88200000000001</v>
      </c>
      <c r="AI84" s="55">
        <f>_xll.EQNXTDZ($A$1,$B84,AI$5,$B$1)</f>
        <v>0</v>
      </c>
      <c r="AJ84" s="55">
        <f>_xll.EQNXTDZ($A$1,$B84,AJ$5,$B$1)</f>
        <v>183.93299999999999</v>
      </c>
      <c r="AK84" s="55">
        <f>_xll.EQNXTDZ($A$1,$B84,AK$5,$B$1)</f>
        <v>0</v>
      </c>
      <c r="AL84" s="55">
        <f>_xll.EQNXTDZ($A$1,$B84,AL$5,$B$1)</f>
        <v>234.185</v>
      </c>
      <c r="AM84" s="55">
        <f>_xll.EQNXTDZ($A$1,$B84,AM$5,$B$1)</f>
        <v>0</v>
      </c>
      <c r="AN84" s="55">
        <f>_xll.EQNXTDZ($A$1,$B84,AN$5,$B$1)</f>
        <v>171.80699999999999</v>
      </c>
      <c r="AO84" s="55">
        <f>_xll.EQNXTDZ($A$1,$B84,AO$5,$B$1)</f>
        <v>0</v>
      </c>
      <c r="AP84" s="55">
        <f>_xll.EQNXTDZ($A$1,$B84,AP$5,$B$1)</f>
        <v>97.653000000000006</v>
      </c>
      <c r="AQ84" s="55">
        <f>_xll.EQNXTDZ($A$1,$B84,AQ$5,$B$1)</f>
        <v>0</v>
      </c>
      <c r="AR84" s="55">
        <f>_xll.EQNXTDZ($A$1,$B84,AR$5,$B$1)</f>
        <v>36.594999999999999</v>
      </c>
      <c r="AS84" s="55">
        <f>_xll.EQNXTDZ($A$1,$B84,AS$5,$B$1)</f>
        <v>0</v>
      </c>
      <c r="AT84" s="55">
        <f>_xll.EQNXTDZ($A$1,$B84,AT$5,$B$1)</f>
        <v>33.630000000000003</v>
      </c>
      <c r="AU84" s="55">
        <f>_xll.EQNXTDZ($A$1,$B84,AU$5,$B$1)</f>
        <v>0</v>
      </c>
      <c r="AV84" s="55">
        <f>_xll.EQNXTDZ($A$1,$B84,AV$5,$B$1)</f>
        <v>35.33</v>
      </c>
      <c r="AW84" s="55">
        <f>_xll.EQNXTDZ($A$1,$B84,AW$5,$B$1)</f>
        <v>0</v>
      </c>
      <c r="AX84" s="55">
        <f>_xll.EQNXTDZ($A$1,$B84,AX$5,$B$1)</f>
        <v>77.5</v>
      </c>
      <c r="AY84" s="55">
        <f>_xll.EQNXTDZ($A$1,$B84,AY$5,$B$1)</f>
        <v>0</v>
      </c>
      <c r="AZ84" s="55">
        <f>_xll.EQNXTDZ($A$1,$B84,AZ$5,$B$1)</f>
        <v>80.150000000000006</v>
      </c>
      <c r="BA84" s="55">
        <f>_xll.EQNXTDZ($A$1,$B84,BA$5,$B$1)</f>
        <v>0</v>
      </c>
      <c r="BB84" s="55">
        <f>_xll.EQNXTDZ($A$1,$B84,BB$5,$B$1)</f>
        <v>66.45</v>
      </c>
      <c r="BC84" s="55">
        <f>_xll.EQNXTDZ($A$1,$B84,BC$5,$B$1)</f>
        <v>0</v>
      </c>
      <c r="BD84" s="55">
        <f>_xll.EQNXTDZ($A$1,$B84,BD$5,$B$1)</f>
        <v>140.77000000000001</v>
      </c>
      <c r="BE84" s="55">
        <f>_xll.EQNXTDZ($A$1,$B84,BE$5,$B$1)</f>
        <v>0</v>
      </c>
      <c r="BF84" s="55">
        <f>_xll.EQNXTDZ($A$1,$B84,BF$5,$B$1)</f>
        <v>126.03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71.938999999999993</v>
      </c>
      <c r="E85" s="55">
        <f>_xll.EQNXTDZ($A$1,$B85,E$5,$B$1)</f>
        <v>0</v>
      </c>
      <c r="F85" s="55">
        <f>_xll.EQNXTDZ($A$1,$B85,F$5,$B$1)</f>
        <v>154.839</v>
      </c>
      <c r="G85" s="55">
        <f>_xll.EQNXTDZ($A$1,$B85,G$5,$B$1)</f>
        <v>0</v>
      </c>
      <c r="H85" s="55">
        <f>_xll.EQNXTDZ($A$1,$B85,H$5,$B$1)</f>
        <v>205.506</v>
      </c>
      <c r="I85" s="55">
        <f>_xll.EQNXTDZ($A$1,$B85,I$5,$B$1)</f>
        <v>0</v>
      </c>
      <c r="J85" s="55">
        <f>_xll.EQNXTDZ($A$1,$B85,J$5,$B$1)</f>
        <v>114.738</v>
      </c>
      <c r="K85" s="55">
        <f>_xll.EQNXTDZ($A$1,$B85,K$5,$B$1)</f>
        <v>0</v>
      </c>
      <c r="L85" s="55">
        <f>_xll.EQNXTDZ($A$1,$B85,L$5,$B$1)</f>
        <v>18.358000000000001</v>
      </c>
      <c r="M85" s="55">
        <f>_xll.EQNXTDZ($A$1,$B85,M$5,$B$1)</f>
        <v>0</v>
      </c>
      <c r="N85" s="55">
        <f>_xll.EQNXTDZ($A$1,$B85,N$5,$B$1)</f>
        <v>108.801</v>
      </c>
      <c r="O85" s="55">
        <f>_xll.EQNXTDZ($A$1,$B85,O$5,$B$1)</f>
        <v>0</v>
      </c>
      <c r="P85" s="55">
        <f>_xll.EQNXTDZ($A$1,$B85,P$5,$B$1)</f>
        <v>123.447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180.19399999999999</v>
      </c>
      <c r="U85" s="55">
        <f>_xll.EQNXTDZ($A$1,$B85,U$5,$B$1)</f>
        <v>0</v>
      </c>
      <c r="V85" s="55">
        <f>_xll.EQNXTDZ($A$1,$B85,V$5,$B$1)</f>
        <v>5.2690000000000001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5.8159999999999998</v>
      </c>
      <c r="AA85" s="55">
        <f>_xll.EQNXTDZ($A$1,$B85,AA$5,$B$1)</f>
        <v>0</v>
      </c>
      <c r="AB85" s="55">
        <f>_xll.EQNXTDZ($A$1,$B85,AB$5,$B$1)</f>
        <v>3.6190000000000002</v>
      </c>
      <c r="AC85" s="55">
        <f>_xll.EQNXTDZ($A$1,$B85,AC$5,$B$1)</f>
        <v>0</v>
      </c>
      <c r="AD85" s="55">
        <f>_xll.EQNXTDZ($A$1,$B85,AD$5,$B$1)</f>
        <v>4.8410000000000002</v>
      </c>
      <c r="AE85" s="55">
        <f>_xll.EQNXTDZ($A$1,$B85,AE$5,$B$1)</f>
        <v>0</v>
      </c>
      <c r="AF85" s="55">
        <f>_xll.EQNXTDZ($A$1,$B85,AF$5,$B$1)</f>
        <v>4.968</v>
      </c>
      <c r="AG85" s="55">
        <f>_xll.EQNXTDZ($A$1,$B85,AG$5,$B$1)</f>
        <v>0</v>
      </c>
      <c r="AH85" s="55">
        <f>_xll.EQNXTDZ($A$1,$B85,AH$5,$B$1)</f>
        <v>5.79</v>
      </c>
      <c r="AI85" s="55">
        <f>_xll.EQNXTDZ($A$1,$B85,AI$5,$B$1)</f>
        <v>0</v>
      </c>
      <c r="AJ85" s="55">
        <f>_xll.EQNXTDZ($A$1,$B85,AJ$5,$B$1)</f>
        <v>5.4580000000000002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1105.165</v>
      </c>
      <c r="E86" s="55">
        <f>_xll.EQNXTDZ($A$1,$B86,E$5,$B$1)</f>
        <v>0</v>
      </c>
      <c r="F86" s="55">
        <f>_xll.EQNXTDZ($A$1,$B86,F$5,$B$1)</f>
        <v>1433.527</v>
      </c>
      <c r="G86" s="55">
        <f>_xll.EQNXTDZ($A$1,$B86,G$5,$B$1)</f>
        <v>0</v>
      </c>
      <c r="H86" s="55">
        <f>_xll.EQNXTDZ($A$1,$B86,H$5,$B$1)</f>
        <v>627.14200000000005</v>
      </c>
      <c r="I86" s="55">
        <f>_xll.EQNXTDZ($A$1,$B86,I$5,$B$1)</f>
        <v>0</v>
      </c>
      <c r="J86" s="55">
        <f>_xll.EQNXTDZ($A$1,$B86,J$5,$B$1)</f>
        <v>1366.396</v>
      </c>
      <c r="K86" s="55">
        <f>_xll.EQNXTDZ($A$1,$B86,K$5,$B$1)</f>
        <v>0</v>
      </c>
      <c r="L86" s="55">
        <f>_xll.EQNXTDZ($A$1,$B86,L$5,$B$1)</f>
        <v>578.35699999999997</v>
      </c>
      <c r="M86" s="55">
        <f>_xll.EQNXTDZ($A$1,$B86,M$5,$B$1)</f>
        <v>0</v>
      </c>
      <c r="N86" s="55">
        <f>_xll.EQNXTDZ($A$1,$B86,N$5,$B$1)</f>
        <v>1360.3889999999999</v>
      </c>
      <c r="O86" s="55">
        <f>_xll.EQNXTDZ($A$1,$B86,O$5,$B$1)</f>
        <v>0</v>
      </c>
      <c r="P86" s="55">
        <f>_xll.EQNXTDZ($A$1,$B86,P$5,$B$1)</f>
        <v>1371.181</v>
      </c>
      <c r="Q86" s="55">
        <f>_xll.EQNXTDZ($A$1,$B86,Q$5,$B$1)</f>
        <v>0</v>
      </c>
      <c r="R86" s="55">
        <f>_xll.EQNXTDZ($A$1,$B86,R$5,$B$1)</f>
        <v>1213.3209999999999</v>
      </c>
      <c r="S86" s="55">
        <f>_xll.EQNXTDZ($A$1,$B86,S$5,$B$1)</f>
        <v>0</v>
      </c>
      <c r="T86" s="55">
        <f>_xll.EQNXTDZ($A$1,$B86,T$5,$B$1)</f>
        <v>1101.5050000000001</v>
      </c>
      <c r="U86" s="55">
        <f>_xll.EQNXTDZ($A$1,$B86,U$5,$B$1)</f>
        <v>0</v>
      </c>
      <c r="V86" s="55">
        <f>_xll.EQNXTDZ($A$1,$B86,V$5,$B$1)</f>
        <v>1124.5809999999999</v>
      </c>
      <c r="W86" s="55">
        <f>_xll.EQNXTDZ($A$1,$B86,W$5,$B$1)</f>
        <v>0</v>
      </c>
      <c r="X86" s="55">
        <f>_xll.EQNXTDZ($A$1,$B86,X$5,$B$1)</f>
        <v>1006.711</v>
      </c>
      <c r="Y86" s="55">
        <f>_xll.EQNXTDZ($A$1,$B86,Y$5,$B$1)</f>
        <v>0</v>
      </c>
      <c r="Z86" s="55">
        <f>_xll.EQNXTDZ($A$1,$B86,Z$5,$B$1)</f>
        <v>1227.453</v>
      </c>
      <c r="AA86" s="55">
        <f>_xll.EQNXTDZ($A$1,$B86,AA$5,$B$1)</f>
        <v>0</v>
      </c>
      <c r="AB86" s="55">
        <f>_xll.EQNXTDZ($A$1,$B86,AB$5,$B$1)</f>
        <v>1287.2049999999999</v>
      </c>
      <c r="AC86" s="55">
        <f>_xll.EQNXTDZ($A$1,$B86,AC$5,$B$1)</f>
        <v>0</v>
      </c>
      <c r="AD86" s="55">
        <f>_xll.EQNXTDZ($A$1,$B86,AD$5,$B$1)</f>
        <v>1262.325</v>
      </c>
      <c r="AE86" s="55">
        <f>_xll.EQNXTDZ($A$1,$B86,AE$5,$B$1)</f>
        <v>0</v>
      </c>
      <c r="AF86" s="55">
        <f>_xll.EQNXTDZ($A$1,$B86,AF$5,$B$1)</f>
        <v>1277.297</v>
      </c>
      <c r="AG86" s="55">
        <f>_xll.EQNXTDZ($A$1,$B86,AG$5,$B$1)</f>
        <v>0</v>
      </c>
      <c r="AH86" s="55">
        <f>_xll.EQNXTDZ($A$1,$B86,AH$5,$B$1)</f>
        <v>1235.778</v>
      </c>
      <c r="AI86" s="55">
        <f>_xll.EQNXTDZ($A$1,$B86,AI$5,$B$1)</f>
        <v>0</v>
      </c>
      <c r="AJ86" s="55">
        <f>_xll.EQNXTDZ($A$1,$B86,AJ$5,$B$1)</f>
        <v>1054.874</v>
      </c>
      <c r="AK86" s="55">
        <f>_xll.EQNXTDZ($A$1,$B86,AK$5,$B$1)</f>
        <v>0</v>
      </c>
      <c r="AL86" s="55">
        <f>_xll.EQNXTDZ($A$1,$B86,AL$5,$B$1)</f>
        <v>1133.6300000000001</v>
      </c>
      <c r="AM86" s="55">
        <f>_xll.EQNXTDZ($A$1,$B86,AM$5,$B$1)</f>
        <v>0</v>
      </c>
      <c r="AN86" s="55">
        <f>_xll.EQNXTDZ($A$1,$B86,AN$5,$B$1)</f>
        <v>1012.566</v>
      </c>
      <c r="AO86" s="55">
        <f>_xll.EQNXTDZ($A$1,$B86,AO$5,$B$1)</f>
        <v>0</v>
      </c>
      <c r="AP86" s="55">
        <f>_xll.EQNXTDZ($A$1,$B86,AP$5,$B$1)</f>
        <v>886.52800000000002</v>
      </c>
      <c r="AQ86" s="55">
        <f>_xll.EQNXTDZ($A$1,$B86,AQ$5,$B$1)</f>
        <v>0</v>
      </c>
      <c r="AR86" s="55">
        <f>_xll.EQNXTDZ($A$1,$B86,AR$5,$B$1)</f>
        <v>798.85500000000002</v>
      </c>
      <c r="AS86" s="55">
        <f>_xll.EQNXTDZ($A$1,$B86,AS$5,$B$1)</f>
        <v>0</v>
      </c>
      <c r="AT86" s="55">
        <f>_xll.EQNXTDZ($A$1,$B86,AT$5,$B$1)</f>
        <v>887.63</v>
      </c>
      <c r="AU86" s="55">
        <f>_xll.EQNXTDZ($A$1,$B86,AU$5,$B$1)</f>
        <v>0</v>
      </c>
      <c r="AV86" s="55">
        <f>_xll.EQNXTDZ($A$1,$B86,AV$5,$B$1)</f>
        <v>1029.8499999999999</v>
      </c>
      <c r="AW86" s="55">
        <f>_xll.EQNXTDZ($A$1,$B86,AW$5,$B$1)</f>
        <v>0</v>
      </c>
      <c r="AX86" s="55">
        <f>_xll.EQNXTDZ($A$1,$B86,AX$5,$B$1)</f>
        <v>1218.93</v>
      </c>
      <c r="AY86" s="55">
        <f>_xll.EQNXTDZ($A$1,$B86,AY$5,$B$1)</f>
        <v>0</v>
      </c>
      <c r="AZ86" s="55">
        <f>_xll.EQNXTDZ($A$1,$B86,AZ$5,$B$1)</f>
        <v>1327.1</v>
      </c>
      <c r="BA86" s="55">
        <f>_xll.EQNXTDZ($A$1,$B86,BA$5,$B$1)</f>
        <v>0</v>
      </c>
      <c r="BB86" s="55">
        <f>_xll.EQNXTDZ($A$1,$B86,BB$5,$B$1)</f>
        <v>1696.27</v>
      </c>
      <c r="BC86" s="55">
        <f>_xll.EQNXTDZ($A$1,$B86,BC$5,$B$1)</f>
        <v>0</v>
      </c>
      <c r="BD86" s="55">
        <f>_xll.EQNXTDZ($A$1,$B86,BD$5,$B$1)</f>
        <v>1743.09</v>
      </c>
      <c r="BE86" s="55">
        <f>_xll.EQNXTDZ($A$1,$B86,BE$5,$B$1)</f>
        <v>0</v>
      </c>
      <c r="BF86" s="55">
        <f>_xll.EQNXTDZ($A$1,$B86,BF$5,$B$1)</f>
        <v>1954.69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636.84699999999998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385.69900000000001</v>
      </c>
      <c r="E88" s="55">
        <f>_xll.EQNXTDZ($A$1,$B88,E$5,$B$1)</f>
        <v>0</v>
      </c>
      <c r="F88" s="55">
        <f>_xll.EQNXTDZ($A$1,$B88,F$5,$B$1)</f>
        <v>439.39800000000002</v>
      </c>
      <c r="G88" s="55">
        <f>_xll.EQNXTDZ($A$1,$B88,G$5,$B$1)</f>
        <v>0</v>
      </c>
      <c r="H88" s="55">
        <f>_xll.EQNXTDZ($A$1,$B88,H$5,$B$1)</f>
        <v>174.13300000000001</v>
      </c>
      <c r="I88" s="55">
        <f>_xll.EQNXTDZ($A$1,$B88,I$5,$B$1)</f>
        <v>0</v>
      </c>
      <c r="J88" s="55">
        <f>_xll.EQNXTDZ($A$1,$B88,J$5,$B$1)</f>
        <v>439.61500000000001</v>
      </c>
      <c r="K88" s="55">
        <f>_xll.EQNXTDZ($A$1,$B88,K$5,$B$1)</f>
        <v>0</v>
      </c>
      <c r="L88" s="55">
        <f>_xll.EQNXTDZ($A$1,$B88,L$5,$B$1)</f>
        <v>185.63900000000001</v>
      </c>
      <c r="M88" s="55">
        <f>_xll.EQNXTDZ($A$1,$B88,M$5,$B$1)</f>
        <v>0</v>
      </c>
      <c r="N88" s="55">
        <f>_xll.EQNXTDZ($A$1,$B88,N$5,$B$1)</f>
        <v>339.64</v>
      </c>
      <c r="O88" s="55">
        <f>_xll.EQNXTDZ($A$1,$B88,O$5,$B$1)</f>
        <v>0</v>
      </c>
      <c r="P88" s="55">
        <f>_xll.EQNXTDZ($A$1,$B88,P$5,$B$1)</f>
        <v>377.53199999999998</v>
      </c>
      <c r="Q88" s="55">
        <f>_xll.EQNXTDZ($A$1,$B88,Q$5,$B$1)</f>
        <v>0</v>
      </c>
      <c r="R88" s="55">
        <f>_xll.EQNXTDZ($A$1,$B88,R$5,$B$1)</f>
        <v>395.48</v>
      </c>
      <c r="S88" s="55">
        <f>_xll.EQNXTDZ($A$1,$B88,S$5,$B$1)</f>
        <v>0</v>
      </c>
      <c r="T88" s="55">
        <f>_xll.EQNXTDZ($A$1,$B88,T$5,$B$1)</f>
        <v>383.24200000000002</v>
      </c>
      <c r="U88" s="55">
        <f>_xll.EQNXTDZ($A$1,$B88,U$5,$B$1)</f>
        <v>0</v>
      </c>
      <c r="V88" s="55">
        <f>_xll.EQNXTDZ($A$1,$B88,V$5,$B$1)</f>
        <v>363.68900000000002</v>
      </c>
      <c r="W88" s="55">
        <f>_xll.EQNXTDZ($A$1,$B88,W$5,$B$1)</f>
        <v>0</v>
      </c>
      <c r="X88" s="55">
        <f>_xll.EQNXTDZ($A$1,$B88,X$5,$B$1)</f>
        <v>363.12</v>
      </c>
      <c r="Y88" s="55">
        <f>_xll.EQNXTDZ($A$1,$B88,Y$5,$B$1)</f>
        <v>0</v>
      </c>
      <c r="Z88" s="55">
        <f>_xll.EQNXTDZ($A$1,$B88,Z$5,$B$1)</f>
        <v>357.40300000000002</v>
      </c>
      <c r="AA88" s="55">
        <f>_xll.EQNXTDZ($A$1,$B88,AA$5,$B$1)</f>
        <v>0</v>
      </c>
      <c r="AB88" s="55">
        <f>_xll.EQNXTDZ($A$1,$B88,AB$5,$B$1)</f>
        <v>324.67599999999999</v>
      </c>
      <c r="AC88" s="55">
        <f>_xll.EQNXTDZ($A$1,$B88,AC$5,$B$1)</f>
        <v>0</v>
      </c>
      <c r="AD88" s="55">
        <f>_xll.EQNXTDZ($A$1,$B88,AD$5,$B$1)</f>
        <v>281.43200000000002</v>
      </c>
      <c r="AE88" s="55">
        <f>_xll.EQNXTDZ($A$1,$B88,AE$5,$B$1)</f>
        <v>0</v>
      </c>
      <c r="AF88" s="55">
        <f>_xll.EQNXTDZ($A$1,$B88,AF$5,$B$1)</f>
        <v>294.46600000000001</v>
      </c>
      <c r="AG88" s="55">
        <f>_xll.EQNXTDZ($A$1,$B88,AG$5,$B$1)</f>
        <v>0</v>
      </c>
      <c r="AH88" s="55">
        <f>_xll.EQNXTDZ($A$1,$B88,AH$5,$B$1)</f>
        <v>255.14099999999999</v>
      </c>
      <c r="AI88" s="55">
        <f>_xll.EQNXTDZ($A$1,$B88,AI$5,$B$1)</f>
        <v>0</v>
      </c>
      <c r="AJ88" s="55">
        <f>_xll.EQNXTDZ($A$1,$B88,AJ$5,$B$1)</f>
        <v>216.358</v>
      </c>
      <c r="AK88" s="55">
        <f>_xll.EQNXTDZ($A$1,$B88,AK$5,$B$1)</f>
        <v>0</v>
      </c>
      <c r="AL88" s="55">
        <f>_xll.EQNXTDZ($A$1,$B88,AL$5,$B$1)</f>
        <v>168.774</v>
      </c>
      <c r="AM88" s="55">
        <f>_xll.EQNXTDZ($A$1,$B88,AM$5,$B$1)</f>
        <v>0</v>
      </c>
      <c r="AN88" s="55">
        <f>_xll.EQNXTDZ($A$1,$B88,AN$5,$B$1)</f>
        <v>179.90600000000001</v>
      </c>
      <c r="AO88" s="55">
        <f>_xll.EQNXTDZ($A$1,$B88,AO$5,$B$1)</f>
        <v>0</v>
      </c>
      <c r="AP88" s="55">
        <f>_xll.EQNXTDZ($A$1,$B88,AP$5,$B$1)</f>
        <v>80.355000000000004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3.31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539.79399999999998</v>
      </c>
      <c r="G89" s="55">
        <f>_xll.EQNXTDZ($A$1,$B89,G$5,$B$1)</f>
        <v>0</v>
      </c>
      <c r="H89" s="55">
        <f>_xll.EQNXTDZ($A$1,$B89,H$5,$B$1)</f>
        <v>227.82300000000001</v>
      </c>
      <c r="I89" s="55">
        <f>_xll.EQNXTDZ($A$1,$B89,I$5,$B$1)</f>
        <v>0</v>
      </c>
      <c r="J89" s="55">
        <f>_xll.EQNXTDZ($A$1,$B89,J$5,$B$1)</f>
        <v>493.99900000000002</v>
      </c>
      <c r="K89" s="55">
        <f>_xll.EQNXTDZ($A$1,$B89,K$5,$B$1)</f>
        <v>0</v>
      </c>
      <c r="L89" s="55">
        <f>_xll.EQNXTDZ($A$1,$B89,L$5,$B$1)</f>
        <v>212.08600000000001</v>
      </c>
      <c r="M89" s="55">
        <f>_xll.EQNXTDZ($A$1,$B89,M$5,$B$1)</f>
        <v>0</v>
      </c>
      <c r="N89" s="55">
        <f>_xll.EQNXTDZ($A$1,$B89,N$5,$B$1)</f>
        <v>515.27099999999996</v>
      </c>
      <c r="O89" s="55">
        <f>_xll.EQNXTDZ($A$1,$B89,O$5,$B$1)</f>
        <v>0</v>
      </c>
      <c r="P89" s="55">
        <f>_xll.EQNXTDZ($A$1,$B89,P$5,$B$1)</f>
        <v>451.35599999999999</v>
      </c>
      <c r="Q89" s="55">
        <f>_xll.EQNXTDZ($A$1,$B89,Q$5,$B$1)</f>
        <v>0</v>
      </c>
      <c r="R89" s="55">
        <f>_xll.EQNXTDZ($A$1,$B89,R$5,$B$1)</f>
        <v>545.46699999999998</v>
      </c>
      <c r="S89" s="55">
        <f>_xll.EQNXTDZ($A$1,$B89,S$5,$B$1)</f>
        <v>0</v>
      </c>
      <c r="T89" s="55">
        <f>_xll.EQNXTDZ($A$1,$B89,T$5,$B$1)</f>
        <v>403.18099999999998</v>
      </c>
      <c r="U89" s="55">
        <f>_xll.EQNXTDZ($A$1,$B89,U$5,$B$1)</f>
        <v>0</v>
      </c>
      <c r="V89" s="55">
        <f>_xll.EQNXTDZ($A$1,$B89,V$5,$B$1)</f>
        <v>482.83300000000003</v>
      </c>
      <c r="W89" s="55">
        <f>_xll.EQNXTDZ($A$1,$B89,W$5,$B$1)</f>
        <v>0</v>
      </c>
      <c r="X89" s="55">
        <f>_xll.EQNXTDZ($A$1,$B89,X$5,$B$1)</f>
        <v>406.017</v>
      </c>
      <c r="Y89" s="55">
        <f>_xll.EQNXTDZ($A$1,$B89,Y$5,$B$1)</f>
        <v>0</v>
      </c>
      <c r="Z89" s="55">
        <f>_xll.EQNXTDZ($A$1,$B89,Z$5,$B$1)</f>
        <v>509.27</v>
      </c>
      <c r="AA89" s="55">
        <f>_xll.EQNXTDZ($A$1,$B89,AA$5,$B$1)</f>
        <v>0</v>
      </c>
      <c r="AB89" s="55">
        <f>_xll.EQNXTDZ($A$1,$B89,AB$5,$B$1)</f>
        <v>440.12700000000001</v>
      </c>
      <c r="AC89" s="55">
        <f>_xll.EQNXTDZ($A$1,$B89,AC$5,$B$1)</f>
        <v>0</v>
      </c>
      <c r="AD89" s="55">
        <f>_xll.EQNXTDZ($A$1,$B89,AD$5,$B$1)</f>
        <v>401.01600000000002</v>
      </c>
      <c r="AE89" s="55">
        <f>_xll.EQNXTDZ($A$1,$B89,AE$5,$B$1)</f>
        <v>0</v>
      </c>
      <c r="AF89" s="55">
        <f>_xll.EQNXTDZ($A$1,$B89,AF$5,$B$1)</f>
        <v>401.11200000000002</v>
      </c>
      <c r="AG89" s="55">
        <f>_xll.EQNXTDZ($A$1,$B89,AG$5,$B$1)</f>
        <v>0</v>
      </c>
      <c r="AH89" s="55">
        <f>_xll.EQNXTDZ($A$1,$B89,AH$5,$B$1)</f>
        <v>519.26</v>
      </c>
      <c r="AI89" s="55">
        <f>_xll.EQNXTDZ($A$1,$B89,AI$5,$B$1)</f>
        <v>0</v>
      </c>
      <c r="AJ89" s="55">
        <f>_xll.EQNXTDZ($A$1,$B89,AJ$5,$B$1)</f>
        <v>348.03100000000001</v>
      </c>
      <c r="AK89" s="55">
        <f>_xll.EQNXTDZ($A$1,$B89,AK$5,$B$1)</f>
        <v>0</v>
      </c>
      <c r="AL89" s="55">
        <f>_xll.EQNXTDZ($A$1,$B89,AL$5,$B$1)</f>
        <v>424.34399999999999</v>
      </c>
      <c r="AM89" s="55">
        <f>_xll.EQNXTDZ($A$1,$B89,AM$5,$B$1)</f>
        <v>0</v>
      </c>
      <c r="AN89" s="55">
        <f>_xll.EQNXTDZ($A$1,$B89,AN$5,$B$1)</f>
        <v>380.47</v>
      </c>
      <c r="AO89" s="55">
        <f>_xll.EQNXTDZ($A$1,$B89,AO$5,$B$1)</f>
        <v>0</v>
      </c>
      <c r="AP89" s="55">
        <f>_xll.EQNXTDZ($A$1,$B89,AP$5,$B$1)</f>
        <v>270.38099999999997</v>
      </c>
      <c r="AQ89" s="55">
        <f>_xll.EQNXTDZ($A$1,$B89,AQ$5,$B$1)</f>
        <v>0</v>
      </c>
      <c r="AR89" s="55">
        <f>_xll.EQNXTDZ($A$1,$B89,AR$5,$B$1)</f>
        <v>219.99199999999999</v>
      </c>
      <c r="AS89" s="55">
        <f>_xll.EQNXTDZ($A$1,$B89,AS$5,$B$1)</f>
        <v>0</v>
      </c>
      <c r="AT89" s="55">
        <f>_xll.EQNXTDZ($A$1,$B89,AT$5,$B$1)</f>
        <v>195.83</v>
      </c>
      <c r="AU89" s="55">
        <f>_xll.EQNXTDZ($A$1,$B89,AU$5,$B$1)</f>
        <v>0</v>
      </c>
      <c r="AV89" s="55">
        <f>_xll.EQNXTDZ($A$1,$B89,AV$5,$B$1)</f>
        <v>228.55</v>
      </c>
      <c r="AW89" s="55">
        <f>_xll.EQNXTDZ($A$1,$B89,AW$5,$B$1)</f>
        <v>0</v>
      </c>
      <c r="AX89" s="55">
        <f>_xll.EQNXTDZ($A$1,$B89,AX$5,$B$1)</f>
        <v>187.91</v>
      </c>
      <c r="AY89" s="55">
        <f>_xll.EQNXTDZ($A$1,$B89,AY$5,$B$1)</f>
        <v>0</v>
      </c>
      <c r="AZ89" s="55">
        <f>_xll.EQNXTDZ($A$1,$B89,AZ$5,$B$1)</f>
        <v>210.71</v>
      </c>
      <c r="BA89" s="55">
        <f>_xll.EQNXTDZ($A$1,$B89,BA$5,$B$1)</f>
        <v>0</v>
      </c>
      <c r="BB89" s="55">
        <f>_xll.EQNXTDZ($A$1,$B89,BB$5,$B$1)</f>
        <v>280.14</v>
      </c>
      <c r="BC89" s="55">
        <f>_xll.EQNXTDZ($A$1,$B89,BC$5,$B$1)</f>
        <v>0</v>
      </c>
      <c r="BD89" s="55">
        <f>_xll.EQNXTDZ($A$1,$B89,BD$5,$B$1)</f>
        <v>210.45</v>
      </c>
      <c r="BE89" s="55">
        <f>_xll.EQNXTDZ($A$1,$B89,BE$5,$B$1)</f>
        <v>0</v>
      </c>
      <c r="BF89" s="55">
        <f>_xll.EQNXTDZ($A$1,$B89,BF$5,$B$1)</f>
        <v>288.37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182.78100000000001</v>
      </c>
      <c r="G91" s="55">
        <f>_xll.EQNXTDZ($A$1,$B91,G$5,$B$1)</f>
        <v>0</v>
      </c>
      <c r="H91" s="55">
        <f>_xll.EQNXTDZ($A$1,$B91,H$5,$B$1)</f>
        <v>78.2</v>
      </c>
      <c r="I91" s="55">
        <f>_xll.EQNXTDZ($A$1,$B91,I$5,$B$1)</f>
        <v>0</v>
      </c>
      <c r="J91" s="55">
        <f>_xll.EQNXTDZ($A$1,$B91,J$5,$B$1)</f>
        <v>215.10599999999999</v>
      </c>
      <c r="K91" s="55">
        <f>_xll.EQNXTDZ($A$1,$B91,K$5,$B$1)</f>
        <v>0</v>
      </c>
      <c r="L91" s="55">
        <f>_xll.EQNXTDZ($A$1,$B91,L$5,$B$1)</f>
        <v>66.174999999999997</v>
      </c>
      <c r="M91" s="55">
        <f>_xll.EQNXTDZ($A$1,$B91,M$5,$B$1)</f>
        <v>0</v>
      </c>
      <c r="N91" s="55">
        <f>_xll.EQNXTDZ($A$1,$B91,N$5,$B$1)</f>
        <v>204.29900000000001</v>
      </c>
      <c r="O91" s="55">
        <f>_xll.EQNXTDZ($A$1,$B91,O$5,$B$1)</f>
        <v>0</v>
      </c>
      <c r="P91" s="55">
        <f>_xll.EQNXTDZ($A$1,$B91,P$5,$B$1)</f>
        <v>190.44300000000001</v>
      </c>
      <c r="Q91" s="55">
        <f>_xll.EQNXTDZ($A$1,$B91,Q$5,$B$1)</f>
        <v>0</v>
      </c>
      <c r="R91" s="55">
        <f>_xll.EQNXTDZ($A$1,$B91,R$5,$B$1)</f>
        <v>234.43299999999999</v>
      </c>
      <c r="S91" s="55">
        <f>_xll.EQNXTDZ($A$1,$B91,S$5,$B$1)</f>
        <v>0</v>
      </c>
      <c r="T91" s="55">
        <f>_xll.EQNXTDZ($A$1,$B91,T$5,$B$1)</f>
        <v>269.02499999999998</v>
      </c>
      <c r="U91" s="55">
        <f>_xll.EQNXTDZ($A$1,$B91,U$5,$B$1)</f>
        <v>0</v>
      </c>
      <c r="V91" s="55">
        <f>_xll.EQNXTDZ($A$1,$B91,V$5,$B$1)</f>
        <v>253.08699999999999</v>
      </c>
      <c r="W91" s="55">
        <f>_xll.EQNXTDZ($A$1,$B91,W$5,$B$1)</f>
        <v>0</v>
      </c>
      <c r="X91" s="55">
        <f>_xll.EQNXTDZ($A$1,$B91,X$5,$B$1)</f>
        <v>275.791</v>
      </c>
      <c r="Y91" s="55">
        <f>_xll.EQNXTDZ($A$1,$B91,Y$5,$B$1)</f>
        <v>0</v>
      </c>
      <c r="Z91" s="55">
        <f>_xll.EQNXTDZ($A$1,$B91,Z$5,$B$1)</f>
        <v>260.13600000000002</v>
      </c>
      <c r="AA91" s="55">
        <f>_xll.EQNXTDZ($A$1,$B91,AA$5,$B$1)</f>
        <v>0</v>
      </c>
      <c r="AB91" s="55">
        <f>_xll.EQNXTDZ($A$1,$B91,AB$5,$B$1)</f>
        <v>362.41300000000001</v>
      </c>
      <c r="AC91" s="55">
        <f>_xll.EQNXTDZ($A$1,$B91,AC$5,$B$1)</f>
        <v>0</v>
      </c>
      <c r="AD91" s="55">
        <f>_xll.EQNXTDZ($A$1,$B91,AD$5,$B$1)</f>
        <v>320.97699999999998</v>
      </c>
      <c r="AE91" s="55">
        <f>_xll.EQNXTDZ($A$1,$B91,AE$5,$B$1)</f>
        <v>0</v>
      </c>
      <c r="AF91" s="55">
        <f>_xll.EQNXTDZ($A$1,$B91,AF$5,$B$1)</f>
        <v>352.87200000000001</v>
      </c>
      <c r="AG91" s="55">
        <f>_xll.EQNXTDZ($A$1,$B91,AG$5,$B$1)</f>
        <v>0</v>
      </c>
      <c r="AH91" s="55">
        <f>_xll.EQNXTDZ($A$1,$B91,AH$5,$B$1)</f>
        <v>218.178</v>
      </c>
      <c r="AI91" s="55">
        <f>_xll.EQNXTDZ($A$1,$B91,AI$5,$B$1)</f>
        <v>0</v>
      </c>
      <c r="AJ91" s="55">
        <f>_xll.EQNXTDZ($A$1,$B91,AJ$5,$B$1)</f>
        <v>249.446</v>
      </c>
      <c r="AK91" s="55">
        <f>_xll.EQNXTDZ($A$1,$B91,AK$5,$B$1)</f>
        <v>0</v>
      </c>
      <c r="AL91" s="55">
        <f>_xll.EQNXTDZ($A$1,$B91,AL$5,$B$1)</f>
        <v>219.791</v>
      </c>
      <c r="AM91" s="55">
        <f>_xll.EQNXTDZ($A$1,$B91,AM$5,$B$1)</f>
        <v>0</v>
      </c>
      <c r="AN91" s="55">
        <f>_xll.EQNXTDZ($A$1,$B91,AN$5,$B$1)</f>
        <v>160.376</v>
      </c>
      <c r="AO91" s="55">
        <f>_xll.EQNXTDZ($A$1,$B91,AO$5,$B$1)</f>
        <v>0</v>
      </c>
      <c r="AP91" s="55">
        <f>_xll.EQNXTDZ($A$1,$B91,AP$5,$B$1)</f>
        <v>165.48699999999999</v>
      </c>
      <c r="AQ91" s="55">
        <f>_xll.EQNXTDZ($A$1,$B91,AQ$5,$B$1)</f>
        <v>0</v>
      </c>
      <c r="AR91" s="55">
        <f>_xll.EQNXTDZ($A$1,$B91,AR$5,$B$1)</f>
        <v>143.62200000000001</v>
      </c>
      <c r="AS91" s="55">
        <f>_xll.EQNXTDZ($A$1,$B91,AS$5,$B$1)</f>
        <v>0</v>
      </c>
      <c r="AT91" s="55">
        <f>_xll.EQNXTDZ($A$1,$B91,AT$5,$B$1)</f>
        <v>133.28</v>
      </c>
      <c r="AU91" s="55">
        <f>_xll.EQNXTDZ($A$1,$B91,AU$5,$B$1)</f>
        <v>0</v>
      </c>
      <c r="AV91" s="55">
        <f>_xll.EQNXTDZ($A$1,$B91,AV$5,$B$1)</f>
        <v>130.31</v>
      </c>
      <c r="AW91" s="55">
        <f>_xll.EQNXTDZ($A$1,$B91,AW$5,$B$1)</f>
        <v>0</v>
      </c>
      <c r="AX91" s="55">
        <f>_xll.EQNXTDZ($A$1,$B91,AX$5,$B$1)</f>
        <v>194.04</v>
      </c>
      <c r="AY91" s="55">
        <f>_xll.EQNXTDZ($A$1,$B91,AY$5,$B$1)</f>
        <v>0</v>
      </c>
      <c r="AZ91" s="55">
        <f>_xll.EQNXTDZ($A$1,$B91,AZ$5,$B$1)</f>
        <v>207.6</v>
      </c>
      <c r="BA91" s="55">
        <f>_xll.EQNXTDZ($A$1,$B91,BA$5,$B$1)</f>
        <v>0</v>
      </c>
      <c r="BB91" s="55">
        <f>_xll.EQNXTDZ($A$1,$B91,BB$5,$B$1)</f>
        <v>230.2</v>
      </c>
      <c r="BC91" s="55">
        <f>_xll.EQNXTDZ($A$1,$B91,BC$5,$B$1)</f>
        <v>0</v>
      </c>
      <c r="BD91" s="55">
        <f>_xll.EQNXTDZ($A$1,$B91,BD$5,$B$1)</f>
        <v>254.76</v>
      </c>
      <c r="BE91" s="55">
        <f>_xll.EQNXTDZ($A$1,$B91,BE$5,$B$1)</f>
        <v>0</v>
      </c>
      <c r="BF91" s="55">
        <f>_xll.EQNXTDZ($A$1,$B91,BF$5,$B$1)</f>
        <v>353.1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3.968</v>
      </c>
      <c r="E92" s="55">
        <f>_xll.EQNXTDZ($A$1,$B92,E$5,$B$1)</f>
        <v>0</v>
      </c>
      <c r="F92" s="55">
        <f>_xll.EQNXTDZ($A$1,$B92,F$5,$B$1)</f>
        <v>30.388000000000002</v>
      </c>
      <c r="G92" s="55">
        <f>_xll.EQNXTDZ($A$1,$B92,G$5,$B$1)</f>
        <v>0</v>
      </c>
      <c r="H92" s="55">
        <f>_xll.EQNXTDZ($A$1,$B92,H$5,$B$1)</f>
        <v>4.4279999999999999</v>
      </c>
      <c r="I92" s="55">
        <f>_xll.EQNXTDZ($A$1,$B92,I$5,$B$1)</f>
        <v>0</v>
      </c>
      <c r="J92" s="55">
        <f>_xll.EQNXTDZ($A$1,$B92,J$5,$B$1)</f>
        <v>21.657</v>
      </c>
      <c r="K92" s="55">
        <f>_xll.EQNXTDZ($A$1,$B92,K$5,$B$1)</f>
        <v>0</v>
      </c>
      <c r="L92" s="55">
        <f>_xll.EQNXTDZ($A$1,$B92,L$5,$B$1)</f>
        <v>1.905</v>
      </c>
      <c r="M92" s="55">
        <f>_xll.EQNXTDZ($A$1,$B92,M$5,$B$1)</f>
        <v>0</v>
      </c>
      <c r="N92" s="55">
        <f>_xll.EQNXTDZ($A$1,$B92,N$5,$B$1)</f>
        <v>21.256</v>
      </c>
      <c r="O92" s="55">
        <f>_xll.EQNXTDZ($A$1,$B92,O$5,$B$1)</f>
        <v>0</v>
      </c>
      <c r="P92" s="55">
        <f>_xll.EQNXTDZ($A$1,$B92,P$5,$B$1)</f>
        <v>6.9729999999999999</v>
      </c>
      <c r="Q92" s="55">
        <f>_xll.EQNXTDZ($A$1,$B92,Q$5,$B$1)</f>
        <v>0</v>
      </c>
      <c r="R92" s="55">
        <f>_xll.EQNXTDZ($A$1,$B92,R$5,$B$1)</f>
        <v>32.137999999999998</v>
      </c>
      <c r="S92" s="55">
        <f>_xll.EQNXTDZ($A$1,$B92,S$5,$B$1)</f>
        <v>0</v>
      </c>
      <c r="T92" s="55">
        <f>_xll.EQNXTDZ($A$1,$B92,T$5,$B$1)</f>
        <v>74.784999999999997</v>
      </c>
      <c r="U92" s="55">
        <f>_xll.EQNXTDZ($A$1,$B92,U$5,$B$1)</f>
        <v>0</v>
      </c>
      <c r="V92" s="55">
        <f>_xll.EQNXTDZ($A$1,$B92,V$5,$B$1)</f>
        <v>19.885999999999999</v>
      </c>
      <c r="W92" s="55">
        <f>_xll.EQNXTDZ($A$1,$B92,W$5,$B$1)</f>
        <v>0</v>
      </c>
      <c r="X92" s="55">
        <f>_xll.EQNXTDZ($A$1,$B92,X$5,$B$1)</f>
        <v>13.965999999999999</v>
      </c>
      <c r="Y92" s="55">
        <f>_xll.EQNXTDZ($A$1,$B92,Y$5,$B$1)</f>
        <v>0</v>
      </c>
      <c r="Z92" s="55">
        <f>_xll.EQNXTDZ($A$1,$B92,Z$5,$B$1)</f>
        <v>13.574999999999999</v>
      </c>
      <c r="AA92" s="55">
        <f>_xll.EQNXTDZ($A$1,$B92,AA$5,$B$1)</f>
        <v>0</v>
      </c>
      <c r="AB92" s="55">
        <f>_xll.EQNXTDZ($A$1,$B92,AB$5,$B$1)</f>
        <v>12.019</v>
      </c>
      <c r="AC92" s="55">
        <f>_xll.EQNXTDZ($A$1,$B92,AC$5,$B$1)</f>
        <v>0</v>
      </c>
      <c r="AD92" s="55">
        <f>_xll.EQNXTDZ($A$1,$B92,AD$5,$B$1)</f>
        <v>16.739999999999998</v>
      </c>
      <c r="AE92" s="55">
        <f>_xll.EQNXTDZ($A$1,$B92,AE$5,$B$1)</f>
        <v>0</v>
      </c>
      <c r="AF92" s="55">
        <f>_xll.EQNXTDZ($A$1,$B92,AF$5,$B$1)</f>
        <v>19.463000000000001</v>
      </c>
      <c r="AG92" s="55">
        <f>_xll.EQNXTDZ($A$1,$B92,AG$5,$B$1)</f>
        <v>0</v>
      </c>
      <c r="AH92" s="55">
        <f>_xll.EQNXTDZ($A$1,$B92,AH$5,$B$1)</f>
        <v>22.574999999999999</v>
      </c>
      <c r="AI92" s="55">
        <f>_xll.EQNXTDZ($A$1,$B92,AI$5,$B$1)</f>
        <v>0</v>
      </c>
      <c r="AJ92" s="55">
        <f>_xll.EQNXTDZ($A$1,$B92,AJ$5,$B$1)</f>
        <v>23.949000000000002</v>
      </c>
      <c r="AK92" s="55">
        <f>_xll.EQNXTDZ($A$1,$B92,AK$5,$B$1)</f>
        <v>0</v>
      </c>
      <c r="AL92" s="55">
        <f>_xll.EQNXTDZ($A$1,$B92,AL$5,$B$1)</f>
        <v>25.959</v>
      </c>
      <c r="AM92" s="55">
        <f>_xll.EQNXTDZ($A$1,$B92,AM$5,$B$1)</f>
        <v>0</v>
      </c>
      <c r="AN92" s="55">
        <f>_xll.EQNXTDZ($A$1,$B92,AN$5,$B$1)</f>
        <v>23.469000000000001</v>
      </c>
      <c r="AO92" s="55">
        <f>_xll.EQNXTDZ($A$1,$B92,AO$5,$B$1)</f>
        <v>0</v>
      </c>
      <c r="AP92" s="55">
        <f>_xll.EQNXTDZ($A$1,$B92,AP$5,$B$1)</f>
        <v>23.294</v>
      </c>
      <c r="AQ92" s="55">
        <f>_xll.EQNXTDZ($A$1,$B92,AQ$5,$B$1)</f>
        <v>0</v>
      </c>
      <c r="AR92" s="55">
        <f>_xll.EQNXTDZ($A$1,$B92,AR$5,$B$1)</f>
        <v>16.042999999999999</v>
      </c>
      <c r="AS92" s="55">
        <f>_xll.EQNXTDZ($A$1,$B92,AS$5,$B$1)</f>
        <v>0</v>
      </c>
      <c r="AT92" s="55">
        <f>_xll.EQNXTDZ($A$1,$B92,AT$5,$B$1)</f>
        <v>13.39</v>
      </c>
      <c r="AU92" s="55">
        <f>_xll.EQNXTDZ($A$1,$B92,AU$5,$B$1)</f>
        <v>0</v>
      </c>
      <c r="AV92" s="55">
        <f>_xll.EQNXTDZ($A$1,$B92,AV$5,$B$1)</f>
        <v>16.38</v>
      </c>
      <c r="AW92" s="55">
        <f>_xll.EQNXTDZ($A$1,$B92,AW$5,$B$1)</f>
        <v>0</v>
      </c>
      <c r="AX92" s="55">
        <f>_xll.EQNXTDZ($A$1,$B92,AX$5,$B$1)</f>
        <v>17.36</v>
      </c>
      <c r="AY92" s="55">
        <f>_xll.EQNXTDZ($A$1,$B92,AY$5,$B$1)</f>
        <v>0</v>
      </c>
      <c r="AZ92" s="55">
        <f>_xll.EQNXTDZ($A$1,$B92,AZ$5,$B$1)</f>
        <v>19.82</v>
      </c>
      <c r="BA92" s="55">
        <f>_xll.EQNXTDZ($A$1,$B92,BA$5,$B$1)</f>
        <v>0</v>
      </c>
      <c r="BB92" s="55">
        <f>_xll.EQNXTDZ($A$1,$B92,BB$5,$B$1)</f>
        <v>23.47</v>
      </c>
      <c r="BC92" s="55">
        <f>_xll.EQNXTDZ($A$1,$B92,BC$5,$B$1)</f>
        <v>0</v>
      </c>
      <c r="BD92" s="55">
        <f>_xll.EQNXTDZ($A$1,$B92,BD$5,$B$1)</f>
        <v>23.4</v>
      </c>
      <c r="BE92" s="55">
        <f>_xll.EQNXTDZ($A$1,$B92,BE$5,$B$1)</f>
        <v>0</v>
      </c>
      <c r="BF92" s="55">
        <f>_xll.EQNXTDZ($A$1,$B92,BF$5,$B$1)</f>
        <v>24.37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1026.5139999999999</v>
      </c>
      <c r="E93" s="55">
        <f>_xll.EQNXTDZ($A$1,$B93,E$5,$B$1)</f>
        <v>0</v>
      </c>
      <c r="F93" s="55">
        <f>_xll.EQNXTDZ($A$1,$B93,F$5,$B$1)</f>
        <v>1192.3610000000001</v>
      </c>
      <c r="G93" s="55">
        <f>_xll.EQNXTDZ($A$1,$B93,G$5,$B$1)</f>
        <v>0</v>
      </c>
      <c r="H93" s="55">
        <f>_xll.EQNXTDZ($A$1,$B93,H$5,$B$1)</f>
        <v>484.584</v>
      </c>
      <c r="I93" s="55">
        <f>_xll.EQNXTDZ($A$1,$B93,I$5,$B$1)</f>
        <v>0</v>
      </c>
      <c r="J93" s="55">
        <f>_xll.EQNXTDZ($A$1,$B93,J$5,$B$1)</f>
        <v>1170.377</v>
      </c>
      <c r="K93" s="55">
        <f>_xll.EQNXTDZ($A$1,$B93,K$5,$B$1)</f>
        <v>0</v>
      </c>
      <c r="L93" s="55">
        <f>_xll.EQNXTDZ($A$1,$B93,L$5,$B$1)</f>
        <v>465.80500000000001</v>
      </c>
      <c r="M93" s="55">
        <f>_xll.EQNXTDZ($A$1,$B93,M$5,$B$1)</f>
        <v>0</v>
      </c>
      <c r="N93" s="55">
        <f>_xll.EQNXTDZ($A$1,$B93,N$5,$B$1)</f>
        <v>1080.4659999999999</v>
      </c>
      <c r="O93" s="55">
        <f>_xll.EQNXTDZ($A$1,$B93,O$5,$B$1)</f>
        <v>0</v>
      </c>
      <c r="P93" s="55">
        <f>_xll.EQNXTDZ($A$1,$B93,P$5,$B$1)</f>
        <v>1026.3040000000001</v>
      </c>
      <c r="Q93" s="55">
        <f>_xll.EQNXTDZ($A$1,$B93,Q$5,$B$1)</f>
        <v>0</v>
      </c>
      <c r="R93" s="55">
        <f>_xll.EQNXTDZ($A$1,$B93,R$5,$B$1)</f>
        <v>1207.518</v>
      </c>
      <c r="S93" s="55">
        <f>_xll.EQNXTDZ($A$1,$B93,S$5,$B$1)</f>
        <v>0</v>
      </c>
      <c r="T93" s="55">
        <f>_xll.EQNXTDZ($A$1,$B93,T$5,$B$1)</f>
        <v>1130.2329999999999</v>
      </c>
      <c r="U93" s="55">
        <f>_xll.EQNXTDZ($A$1,$B93,U$5,$B$1)</f>
        <v>0</v>
      </c>
      <c r="V93" s="55">
        <f>_xll.EQNXTDZ($A$1,$B93,V$5,$B$1)</f>
        <v>1119.4949999999999</v>
      </c>
      <c r="W93" s="55">
        <f>_xll.EQNXTDZ($A$1,$B93,W$5,$B$1)</f>
        <v>0</v>
      </c>
      <c r="X93" s="55">
        <f>_xll.EQNXTDZ($A$1,$B93,X$5,$B$1)</f>
        <v>1058.894</v>
      </c>
      <c r="Y93" s="55">
        <f>_xll.EQNXTDZ($A$1,$B93,Y$5,$B$1)</f>
        <v>0</v>
      </c>
      <c r="Z93" s="55">
        <f>_xll.EQNXTDZ($A$1,$B93,Z$5,$B$1)</f>
        <v>1140.384</v>
      </c>
      <c r="AA93" s="55">
        <f>_xll.EQNXTDZ($A$1,$B93,AA$5,$B$1)</f>
        <v>0</v>
      </c>
      <c r="AB93" s="55">
        <f>_xll.EQNXTDZ($A$1,$B93,AB$5,$B$1)</f>
        <v>1139.2349999999999</v>
      </c>
      <c r="AC93" s="55">
        <f>_xll.EQNXTDZ($A$1,$B93,AC$5,$B$1)</f>
        <v>0</v>
      </c>
      <c r="AD93" s="55">
        <f>_xll.EQNXTDZ($A$1,$B93,AD$5,$B$1)</f>
        <v>1020.165</v>
      </c>
      <c r="AE93" s="55">
        <f>_xll.EQNXTDZ($A$1,$B93,AE$5,$B$1)</f>
        <v>0</v>
      </c>
      <c r="AF93" s="55">
        <f>_xll.EQNXTDZ($A$1,$B93,AF$5,$B$1)</f>
        <v>1067.913</v>
      </c>
      <c r="AG93" s="55">
        <f>_xll.EQNXTDZ($A$1,$B93,AG$5,$B$1)</f>
        <v>0</v>
      </c>
      <c r="AH93" s="55">
        <f>_xll.EQNXTDZ($A$1,$B93,AH$5,$B$1)</f>
        <v>1015.154</v>
      </c>
      <c r="AI93" s="55">
        <f>_xll.EQNXTDZ($A$1,$B93,AI$5,$B$1)</f>
        <v>0</v>
      </c>
      <c r="AJ93" s="55">
        <f>_xll.EQNXTDZ($A$1,$B93,AJ$5,$B$1)</f>
        <v>837.78399999999999</v>
      </c>
      <c r="AK93" s="55">
        <f>_xll.EQNXTDZ($A$1,$B93,AK$5,$B$1)</f>
        <v>0</v>
      </c>
      <c r="AL93" s="55">
        <f>_xll.EQNXTDZ($A$1,$B93,AL$5,$B$1)</f>
        <v>838.86800000000005</v>
      </c>
      <c r="AM93" s="55">
        <f>_xll.EQNXTDZ($A$1,$B93,AM$5,$B$1)</f>
        <v>0</v>
      </c>
      <c r="AN93" s="55">
        <f>_xll.EQNXTDZ($A$1,$B93,AN$5,$B$1)</f>
        <v>744.221</v>
      </c>
      <c r="AO93" s="55">
        <f>_xll.EQNXTDZ($A$1,$B93,AO$5,$B$1)</f>
        <v>0</v>
      </c>
      <c r="AP93" s="55">
        <f>_xll.EQNXTDZ($A$1,$B93,AP$5,$B$1)</f>
        <v>539.51700000000005</v>
      </c>
      <c r="AQ93" s="55">
        <f>_xll.EQNXTDZ($A$1,$B93,AQ$5,$B$1)</f>
        <v>0</v>
      </c>
      <c r="AR93" s="55">
        <f>_xll.EQNXTDZ($A$1,$B93,AR$5,$B$1)</f>
        <v>379.65699999999998</v>
      </c>
      <c r="AS93" s="55">
        <f>_xll.EQNXTDZ($A$1,$B93,AS$5,$B$1)</f>
        <v>0</v>
      </c>
      <c r="AT93" s="55">
        <f>_xll.EQNXTDZ($A$1,$B93,AT$5,$B$1)</f>
        <v>342.5</v>
      </c>
      <c r="AU93" s="55">
        <f>_xll.EQNXTDZ($A$1,$B93,AU$5,$B$1)</f>
        <v>0</v>
      </c>
      <c r="AV93" s="55">
        <f>_xll.EQNXTDZ($A$1,$B93,AV$5,$B$1)</f>
        <v>375.24</v>
      </c>
      <c r="AW93" s="55">
        <f>_xll.EQNXTDZ($A$1,$B93,AW$5,$B$1)</f>
        <v>0</v>
      </c>
      <c r="AX93" s="55">
        <f>_xll.EQNXTDZ($A$1,$B93,AX$5,$B$1)</f>
        <v>399.31</v>
      </c>
      <c r="AY93" s="55">
        <f>_xll.EQNXTDZ($A$1,$B93,AY$5,$B$1)</f>
        <v>0</v>
      </c>
      <c r="AZ93" s="55">
        <f>_xll.EQNXTDZ($A$1,$B93,AZ$5,$B$1)</f>
        <v>438.13</v>
      </c>
      <c r="BA93" s="55">
        <f>_xll.EQNXTDZ($A$1,$B93,BA$5,$B$1)</f>
        <v>0</v>
      </c>
      <c r="BB93" s="55">
        <f>_xll.EQNXTDZ($A$1,$B93,BB$5,$B$1)</f>
        <v>537.12</v>
      </c>
      <c r="BC93" s="55">
        <f>_xll.EQNXTDZ($A$1,$B93,BC$5,$B$1)</f>
        <v>0</v>
      </c>
      <c r="BD93" s="55">
        <f>_xll.EQNXTDZ($A$1,$B93,BD$5,$B$1)</f>
        <v>488.61</v>
      </c>
      <c r="BE93" s="55">
        <f>_xll.EQNXTDZ($A$1,$B93,BE$5,$B$1)</f>
        <v>0</v>
      </c>
      <c r="BF93" s="55">
        <f>_xll.EQNXTDZ($A$1,$B93,BF$5,$B$1)</f>
        <v>665.84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78.650999999999996</v>
      </c>
      <c r="E94" s="55">
        <f>_xll.EQNXTDZ($A$1,$B94,E$5,$B$1)</f>
        <v>0</v>
      </c>
      <c r="F94" s="55">
        <f>_xll.EQNXTDZ($A$1,$B94,F$5,$B$1)</f>
        <v>241.166</v>
      </c>
      <c r="G94" s="55">
        <f>_xll.EQNXTDZ($A$1,$B94,G$5,$B$1)</f>
        <v>0</v>
      </c>
      <c r="H94" s="55">
        <f>_xll.EQNXTDZ($A$1,$B94,H$5,$B$1)</f>
        <v>142.55799999999999</v>
      </c>
      <c r="I94" s="55">
        <f>_xll.EQNXTDZ($A$1,$B94,I$5,$B$1)</f>
        <v>0</v>
      </c>
      <c r="J94" s="55">
        <f>_xll.EQNXTDZ($A$1,$B94,J$5,$B$1)</f>
        <v>196.01900000000001</v>
      </c>
      <c r="K94" s="55">
        <f>_xll.EQNXTDZ($A$1,$B94,K$5,$B$1)</f>
        <v>0</v>
      </c>
      <c r="L94" s="55">
        <f>_xll.EQNXTDZ($A$1,$B94,L$5,$B$1)</f>
        <v>112.55200000000001</v>
      </c>
      <c r="M94" s="55">
        <f>_xll.EQNXTDZ($A$1,$B94,M$5,$B$1)</f>
        <v>0</v>
      </c>
      <c r="N94" s="55">
        <f>_xll.EQNXTDZ($A$1,$B94,N$5,$B$1)</f>
        <v>279.923</v>
      </c>
      <c r="O94" s="55">
        <f>_xll.EQNXTDZ($A$1,$B94,O$5,$B$1)</f>
        <v>0</v>
      </c>
      <c r="P94" s="55">
        <f>_xll.EQNXTDZ($A$1,$B94,P$5,$B$1)</f>
        <v>344.87700000000001</v>
      </c>
      <c r="Q94" s="55">
        <f>_xll.EQNXTDZ($A$1,$B94,Q$5,$B$1)</f>
        <v>0</v>
      </c>
      <c r="R94" s="55">
        <f>_xll.EQNXTDZ($A$1,$B94,R$5,$B$1)</f>
        <v>5.80299999999988</v>
      </c>
      <c r="S94" s="55">
        <f>_xll.EQNXTDZ($A$1,$B94,S$5,$B$1)</f>
        <v>0</v>
      </c>
      <c r="T94" s="55">
        <f>_xll.EQNXTDZ($A$1,$B94,T$5,$B$1)</f>
        <v>-28.727999999999899</v>
      </c>
      <c r="U94" s="55">
        <f>_xll.EQNXTDZ($A$1,$B94,U$5,$B$1)</f>
        <v>0</v>
      </c>
      <c r="V94" s="55">
        <f>_xll.EQNXTDZ($A$1,$B94,V$5,$B$1)</f>
        <v>5.0859999999998804</v>
      </c>
      <c r="W94" s="55">
        <f>_xll.EQNXTDZ($A$1,$B94,W$5,$B$1)</f>
        <v>0</v>
      </c>
      <c r="X94" s="55">
        <f>_xll.EQNXTDZ($A$1,$B94,X$5,$B$1)</f>
        <v>-52.182999999999801</v>
      </c>
      <c r="Y94" s="55">
        <f>_xll.EQNXTDZ($A$1,$B94,Y$5,$B$1)</f>
        <v>0</v>
      </c>
      <c r="Z94" s="55">
        <f>_xll.EQNXTDZ($A$1,$B94,Z$5,$B$1)</f>
        <v>87.068999999999903</v>
      </c>
      <c r="AA94" s="55">
        <f>_xll.EQNXTDZ($A$1,$B94,AA$5,$B$1)</f>
        <v>0</v>
      </c>
      <c r="AB94" s="55">
        <f>_xll.EQNXTDZ($A$1,$B94,AB$5,$B$1)</f>
        <v>147.97</v>
      </c>
      <c r="AC94" s="55">
        <f>_xll.EQNXTDZ($A$1,$B94,AC$5,$B$1)</f>
        <v>0</v>
      </c>
      <c r="AD94" s="55">
        <f>_xll.EQNXTDZ($A$1,$B94,AD$5,$B$1)</f>
        <v>242.16</v>
      </c>
      <c r="AE94" s="55">
        <f>_xll.EQNXTDZ($A$1,$B94,AE$5,$B$1)</f>
        <v>0</v>
      </c>
      <c r="AF94" s="55">
        <f>_xll.EQNXTDZ($A$1,$B94,AF$5,$B$1)</f>
        <v>209.38399999999999</v>
      </c>
      <c r="AG94" s="55">
        <f>_xll.EQNXTDZ($A$1,$B94,AG$5,$B$1)</f>
        <v>0</v>
      </c>
      <c r="AH94" s="55">
        <f>_xll.EQNXTDZ($A$1,$B94,AH$5,$B$1)</f>
        <v>220.624</v>
      </c>
      <c r="AI94" s="55">
        <f>_xll.EQNXTDZ($A$1,$B94,AI$5,$B$1)</f>
        <v>0</v>
      </c>
      <c r="AJ94" s="55">
        <f>_xll.EQNXTDZ($A$1,$B94,AJ$5,$B$1)</f>
        <v>217.09</v>
      </c>
      <c r="AK94" s="55">
        <f>_xll.EQNXTDZ($A$1,$B94,AK$5,$B$1)</f>
        <v>0</v>
      </c>
      <c r="AL94" s="55">
        <f>_xll.EQNXTDZ($A$1,$B94,AL$5,$B$1)</f>
        <v>294.762</v>
      </c>
      <c r="AM94" s="55">
        <f>_xll.EQNXTDZ($A$1,$B94,AM$5,$B$1)</f>
        <v>0</v>
      </c>
      <c r="AN94" s="55">
        <f>_xll.EQNXTDZ($A$1,$B94,AN$5,$B$1)</f>
        <v>268.34500000000003</v>
      </c>
      <c r="AO94" s="55">
        <f>_xll.EQNXTDZ($A$1,$B94,AO$5,$B$1)</f>
        <v>0</v>
      </c>
      <c r="AP94" s="55">
        <f>_xll.EQNXTDZ($A$1,$B94,AP$5,$B$1)</f>
        <v>347.01100000000002</v>
      </c>
      <c r="AQ94" s="55">
        <f>_xll.EQNXTDZ($A$1,$B94,AQ$5,$B$1)</f>
        <v>0</v>
      </c>
      <c r="AR94" s="55">
        <f>_xll.EQNXTDZ($A$1,$B94,AR$5,$B$1)</f>
        <v>419.19799999999998</v>
      </c>
      <c r="AS94" s="55">
        <f>_xll.EQNXTDZ($A$1,$B94,AS$5,$B$1)</f>
        <v>0</v>
      </c>
      <c r="AT94" s="55">
        <f>_xll.EQNXTDZ($A$1,$B94,AT$5,$B$1)</f>
        <v>545.13</v>
      </c>
      <c r="AU94" s="55">
        <f>_xll.EQNXTDZ($A$1,$B94,AU$5,$B$1)</f>
        <v>0</v>
      </c>
      <c r="AV94" s="55">
        <f>_xll.EQNXTDZ($A$1,$B94,AV$5,$B$1)</f>
        <v>654.61</v>
      </c>
      <c r="AW94" s="55">
        <f>_xll.EQNXTDZ($A$1,$B94,AW$5,$B$1)</f>
        <v>0</v>
      </c>
      <c r="AX94" s="55">
        <f>_xll.EQNXTDZ($A$1,$B94,AX$5,$B$1)</f>
        <v>819.62</v>
      </c>
      <c r="AY94" s="55">
        <f>_xll.EQNXTDZ($A$1,$B94,AY$5,$B$1)</f>
        <v>0</v>
      </c>
      <c r="AZ94" s="55">
        <f>_xll.EQNXTDZ($A$1,$B94,AZ$5,$B$1)</f>
        <v>888.97</v>
      </c>
      <c r="BA94" s="55">
        <f>_xll.EQNXTDZ($A$1,$B94,BA$5,$B$1)</f>
        <v>0</v>
      </c>
      <c r="BB94" s="55">
        <f>_xll.EQNXTDZ($A$1,$B94,BB$5,$B$1)</f>
        <v>1159.1500000000001</v>
      </c>
      <c r="BC94" s="55">
        <f>_xll.EQNXTDZ($A$1,$B94,BC$5,$B$1)</f>
        <v>0</v>
      </c>
      <c r="BD94" s="55">
        <f>_xll.EQNXTDZ($A$1,$B94,BD$5,$B$1)</f>
        <v>1254.48</v>
      </c>
      <c r="BE94" s="55">
        <f>_xll.EQNXTDZ($A$1,$B94,BE$5,$B$1)</f>
        <v>0</v>
      </c>
      <c r="BF94" s="55">
        <f>_xll.EQNXTDZ($A$1,$B94,BF$5,$B$1)</f>
        <v>1288.8499999999999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8.1050000000000004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-46.703000000000003</v>
      </c>
      <c r="E96" s="55">
        <f>_xll.EQNXTDZ($A$1,$B96,E$5,$B$1)</f>
        <v>0</v>
      </c>
      <c r="F96" s="55">
        <f>_xll.EQNXTDZ($A$1,$B96,F$5,$B$1)</f>
        <v>-41.356000000000002</v>
      </c>
      <c r="G96" s="55">
        <f>_xll.EQNXTDZ($A$1,$B96,G$5,$B$1)</f>
        <v>0</v>
      </c>
      <c r="H96" s="55">
        <f>_xll.EQNXTDZ($A$1,$B96,H$5,$B$1)</f>
        <v>-41.46</v>
      </c>
      <c r="I96" s="55">
        <f>_xll.EQNXTDZ($A$1,$B96,I$5,$B$1)</f>
        <v>0</v>
      </c>
      <c r="J96" s="55">
        <f>_xll.EQNXTDZ($A$1,$B96,J$5,$B$1)</f>
        <v>-40.01</v>
      </c>
      <c r="K96" s="55">
        <f>_xll.EQNXTDZ($A$1,$B96,K$5,$B$1)</f>
        <v>0</v>
      </c>
      <c r="L96" s="55">
        <f>_xll.EQNXTDZ($A$1,$B96,L$5,$B$1)</f>
        <v>-39.104999999999997</v>
      </c>
      <c r="M96" s="55">
        <f>_xll.EQNXTDZ($A$1,$B96,M$5,$B$1)</f>
        <v>0</v>
      </c>
      <c r="N96" s="55">
        <f>_xll.EQNXTDZ($A$1,$B96,N$5,$B$1)</f>
        <v>-32.744999999999997</v>
      </c>
      <c r="O96" s="55">
        <f>_xll.EQNXTDZ($A$1,$B96,O$5,$B$1)</f>
        <v>0</v>
      </c>
      <c r="P96" s="55">
        <f>_xll.EQNXTDZ($A$1,$B96,P$5,$B$1)</f>
        <v>-30.931000000000001</v>
      </c>
      <c r="Q96" s="55">
        <f>_xll.EQNXTDZ($A$1,$B96,Q$5,$B$1)</f>
        <v>0</v>
      </c>
      <c r="R96" s="55">
        <f>_xll.EQNXTDZ($A$1,$B96,R$5,$B$1)</f>
        <v>-58.911000000000001</v>
      </c>
      <c r="S96" s="55">
        <f>_xll.EQNXTDZ($A$1,$B96,S$5,$B$1)</f>
        <v>0</v>
      </c>
      <c r="T96" s="55">
        <f>_xll.EQNXTDZ($A$1,$B96,T$5,$B$1)</f>
        <v>-103.869</v>
      </c>
      <c r="U96" s="55">
        <f>_xll.EQNXTDZ($A$1,$B96,U$5,$B$1)</f>
        <v>0</v>
      </c>
      <c r="V96" s="55">
        <f>_xll.EQNXTDZ($A$1,$B96,V$5,$B$1)</f>
        <v>-69.304000000000002</v>
      </c>
      <c r="W96" s="55">
        <f>_xll.EQNXTDZ($A$1,$B96,W$5,$B$1)</f>
        <v>0</v>
      </c>
      <c r="X96" s="55">
        <f>_xll.EQNXTDZ($A$1,$B96,X$5,$B$1)</f>
        <v>-67.658000000000001</v>
      </c>
      <c r="Y96" s="55">
        <f>_xll.EQNXTDZ($A$1,$B96,Y$5,$B$1)</f>
        <v>0</v>
      </c>
      <c r="Z96" s="55">
        <f>_xll.EQNXTDZ($A$1,$B96,Z$5,$B$1)</f>
        <v>-64.616</v>
      </c>
      <c r="AA96" s="55">
        <f>_xll.EQNXTDZ($A$1,$B96,AA$5,$B$1)</f>
        <v>0</v>
      </c>
      <c r="AB96" s="55">
        <f>_xll.EQNXTDZ($A$1,$B96,AB$5,$B$1)</f>
        <v>-70.075000000000003</v>
      </c>
      <c r="AC96" s="55">
        <f>_xll.EQNXTDZ($A$1,$B96,AC$5,$B$1)</f>
        <v>0</v>
      </c>
      <c r="AD96" s="55">
        <f>_xll.EQNXTDZ($A$1,$B96,AD$5,$B$1)</f>
        <v>-76.308000000000007</v>
      </c>
      <c r="AE96" s="55">
        <f>_xll.EQNXTDZ($A$1,$B96,AE$5,$B$1)</f>
        <v>0</v>
      </c>
      <c r="AF96" s="55">
        <f>_xll.EQNXTDZ($A$1,$B96,AF$5,$B$1)</f>
        <v>-79.162000000000006</v>
      </c>
      <c r="AG96" s="55">
        <f>_xll.EQNXTDZ($A$1,$B96,AG$5,$B$1)</f>
        <v>0</v>
      </c>
      <c r="AH96" s="55">
        <f>_xll.EQNXTDZ($A$1,$B96,AH$5,$B$1)</f>
        <v>-2.3199999999999998</v>
      </c>
      <c r="AI96" s="55">
        <f>_xll.EQNXTDZ($A$1,$B96,AI$5,$B$1)</f>
        <v>0</v>
      </c>
      <c r="AJ96" s="55">
        <f>_xll.EQNXTDZ($A$1,$B96,AJ$5,$B$1)</f>
        <v>-3.4209999999999998</v>
      </c>
      <c r="AK96" s="55">
        <f>_xll.EQNXTDZ($A$1,$B96,AK$5,$B$1)</f>
        <v>0</v>
      </c>
      <c r="AL96" s="55">
        <f>_xll.EQNXTDZ($A$1,$B96,AL$5,$B$1)</f>
        <v>-25.227</v>
      </c>
      <c r="AM96" s="55">
        <f>_xll.EQNXTDZ($A$1,$B96,AM$5,$B$1)</f>
        <v>0</v>
      </c>
      <c r="AN96" s="55">
        <f>_xll.EQNXTDZ($A$1,$B96,AN$5,$B$1)</f>
        <v>-27.137</v>
      </c>
      <c r="AO96" s="55">
        <f>_xll.EQNXTDZ($A$1,$B96,AO$5,$B$1)</f>
        <v>0</v>
      </c>
      <c r="AP96" s="55">
        <f>_xll.EQNXTDZ($A$1,$B96,AP$5,$B$1)</f>
        <v>-23.876999999999999</v>
      </c>
      <c r="AQ96" s="55">
        <f>_xll.EQNXTDZ($A$1,$B96,AQ$5,$B$1)</f>
        <v>0</v>
      </c>
      <c r="AR96" s="55">
        <f>_xll.EQNXTDZ($A$1,$B96,AR$5,$B$1)</f>
        <v>-24.289000000000001</v>
      </c>
      <c r="AS96" s="55">
        <f>_xll.EQNXTDZ($A$1,$B96,AS$5,$B$1)</f>
        <v>0</v>
      </c>
      <c r="AT96" s="55">
        <f>_xll.EQNXTDZ($A$1,$B96,AT$5,$B$1)</f>
        <v>-24.26</v>
      </c>
      <c r="AU96" s="55">
        <f>_xll.EQNXTDZ($A$1,$B96,AU$5,$B$1)</f>
        <v>0</v>
      </c>
      <c r="AV96" s="55">
        <f>_xll.EQNXTDZ($A$1,$B96,AV$5,$B$1)</f>
        <v>-22.99</v>
      </c>
      <c r="AW96" s="55">
        <f>_xll.EQNXTDZ($A$1,$B96,AW$5,$B$1)</f>
        <v>0</v>
      </c>
      <c r="AX96" s="55">
        <f>_xll.EQNXTDZ($A$1,$B96,AX$5,$B$1)</f>
        <v>-24.63</v>
      </c>
      <c r="AY96" s="55">
        <f>_xll.EQNXTDZ($A$1,$B96,AY$5,$B$1)</f>
        <v>0</v>
      </c>
      <c r="AZ96" s="55">
        <f>_xll.EQNXTDZ($A$1,$B96,AZ$5,$B$1)</f>
        <v>-24.27</v>
      </c>
      <c r="BA96" s="55">
        <f>_xll.EQNXTDZ($A$1,$B96,BA$5,$B$1)</f>
        <v>0</v>
      </c>
      <c r="BB96" s="55">
        <f>_xll.EQNXTDZ($A$1,$B96,BB$5,$B$1)</f>
        <v>-22.94</v>
      </c>
      <c r="BC96" s="55">
        <f>_xll.EQNXTDZ($A$1,$B96,BC$5,$B$1)</f>
        <v>0</v>
      </c>
      <c r="BD96" s="55">
        <f>_xll.EQNXTDZ($A$1,$B96,BD$5,$B$1)</f>
        <v>-47.33</v>
      </c>
      <c r="BE96" s="55">
        <f>_xll.EQNXTDZ($A$1,$B96,BE$5,$B$1)</f>
        <v>0</v>
      </c>
      <c r="BF96" s="55">
        <f>_xll.EQNXTDZ($A$1,$B96,BF$5,$B$1)</f>
        <v>-42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644.40099999999995</v>
      </c>
      <c r="E97" s="55">
        <f>_xll.EQNXTDZ($A$1,$B97,E$5,$B$1)</f>
        <v>0</v>
      </c>
      <c r="F97" s="55">
        <f>_xll.EQNXTDZ($A$1,$B97,F$5,$B$1)</f>
        <v>889.61099999999999</v>
      </c>
      <c r="G97" s="55">
        <f>_xll.EQNXTDZ($A$1,$B97,G$5,$B$1)</f>
        <v>0</v>
      </c>
      <c r="H97" s="55">
        <f>_xll.EQNXTDZ($A$1,$B97,H$5,$B$1)</f>
        <v>572.13199999999995</v>
      </c>
      <c r="I97" s="55">
        <f>_xll.EQNXTDZ($A$1,$B97,I$5,$B$1)</f>
        <v>0</v>
      </c>
      <c r="J97" s="55">
        <f>_xll.EQNXTDZ($A$1,$B97,J$5,$B$1)</f>
        <v>847.17600000000004</v>
      </c>
      <c r="K97" s="55">
        <f>_xll.EQNXTDZ($A$1,$B97,K$5,$B$1)</f>
        <v>0</v>
      </c>
      <c r="L97" s="55">
        <f>_xll.EQNXTDZ($A$1,$B97,L$5,$B$1)</f>
        <v>523.37599999999998</v>
      </c>
      <c r="M97" s="55">
        <f>_xll.EQNXTDZ($A$1,$B97,M$5,$B$1)</f>
        <v>0</v>
      </c>
      <c r="N97" s="55">
        <f>_xll.EQNXTDZ($A$1,$B97,N$5,$B$1)</f>
        <v>850.99599999999998</v>
      </c>
      <c r="O97" s="55">
        <f>_xll.EQNXTDZ($A$1,$B97,O$5,$B$1)</f>
        <v>0</v>
      </c>
      <c r="P97" s="55">
        <f>_xll.EQNXTDZ($A$1,$B97,P$5,$B$1)</f>
        <v>902.49099999999999</v>
      </c>
      <c r="Q97" s="55">
        <f>_xll.EQNXTDZ($A$1,$B97,Q$5,$B$1)</f>
        <v>0</v>
      </c>
      <c r="R97" s="55">
        <f>_xll.EQNXTDZ($A$1,$B97,R$5,$B$1)</f>
        <v>936.92200000000003</v>
      </c>
      <c r="S97" s="55">
        <f>_xll.EQNXTDZ($A$1,$B97,S$5,$B$1)</f>
        <v>0</v>
      </c>
      <c r="T97" s="55">
        <f>_xll.EQNXTDZ($A$1,$B97,T$5,$B$1)</f>
        <v>1038.903</v>
      </c>
      <c r="U97" s="55">
        <f>_xll.EQNXTDZ($A$1,$B97,U$5,$B$1)</f>
        <v>0</v>
      </c>
      <c r="V97" s="55">
        <f>_xll.EQNXTDZ($A$1,$B97,V$5,$B$1)</f>
        <v>898.09100000000001</v>
      </c>
      <c r="W97" s="55">
        <f>_xll.EQNXTDZ($A$1,$B97,W$5,$B$1)</f>
        <v>0</v>
      </c>
      <c r="X97" s="55">
        <f>_xll.EQNXTDZ($A$1,$B97,X$5,$B$1)</f>
        <v>850.08900000000006</v>
      </c>
      <c r="Y97" s="55">
        <f>_xll.EQNXTDZ($A$1,$B97,Y$5,$B$1)</f>
        <v>0</v>
      </c>
      <c r="Z97" s="55">
        <f>_xll.EQNXTDZ($A$1,$B97,Z$5,$B$1)</f>
        <v>951.01300000000003</v>
      </c>
      <c r="AA97" s="55">
        <f>_xll.EQNXTDZ($A$1,$B97,AA$5,$B$1)</f>
        <v>0</v>
      </c>
      <c r="AB97" s="55">
        <f>_xll.EQNXTDZ($A$1,$B97,AB$5,$B$1)</f>
        <v>999.95399999999995</v>
      </c>
      <c r="AC97" s="55">
        <f>_xll.EQNXTDZ($A$1,$B97,AC$5,$B$1)</f>
        <v>0</v>
      </c>
      <c r="AD97" s="55">
        <f>_xll.EQNXTDZ($A$1,$B97,AD$5,$B$1)</f>
        <v>1068.5899999999999</v>
      </c>
      <c r="AE97" s="55">
        <f>_xll.EQNXTDZ($A$1,$B97,AE$5,$B$1)</f>
        <v>0</v>
      </c>
      <c r="AF97" s="55">
        <f>_xll.EQNXTDZ($A$1,$B97,AF$5,$B$1)</f>
        <v>1044.3900000000001</v>
      </c>
      <c r="AG97" s="55">
        <f>_xll.EQNXTDZ($A$1,$B97,AG$5,$B$1)</f>
        <v>0</v>
      </c>
      <c r="AH97" s="55">
        <f>_xll.EQNXTDZ($A$1,$B97,AH$5,$B$1)</f>
        <v>1111.896</v>
      </c>
      <c r="AI97" s="55">
        <f>_xll.EQNXTDZ($A$1,$B97,AI$5,$B$1)</f>
        <v>0</v>
      </c>
      <c r="AJ97" s="55">
        <f>_xll.EQNXTDZ($A$1,$B97,AJ$5,$B$1)</f>
        <v>1088.2139999999999</v>
      </c>
      <c r="AK97" s="55">
        <f>_xll.EQNXTDZ($A$1,$B97,AK$5,$B$1)</f>
        <v>0</v>
      </c>
      <c r="AL97" s="55">
        <f>_xll.EQNXTDZ($A$1,$B97,AL$5,$B$1)</f>
        <v>1123.625</v>
      </c>
      <c r="AM97" s="55">
        <f>_xll.EQNXTDZ($A$1,$B97,AM$5,$B$1)</f>
        <v>0</v>
      </c>
      <c r="AN97" s="55">
        <f>_xll.EQNXTDZ($A$1,$B97,AN$5,$B$1)</f>
        <v>1081.175</v>
      </c>
      <c r="AO97" s="55">
        <f>_xll.EQNXTDZ($A$1,$B97,AO$5,$B$1)</f>
        <v>0</v>
      </c>
      <c r="AP97" s="55">
        <f>_xll.EQNXTDZ($A$1,$B97,AP$5,$B$1)</f>
        <v>1151.2159999999999</v>
      </c>
      <c r="AQ97" s="55">
        <f>_xll.EQNXTDZ($A$1,$B97,AQ$5,$B$1)</f>
        <v>0</v>
      </c>
      <c r="AR97" s="55">
        <f>_xll.EQNXTDZ($A$1,$B97,AR$5,$B$1)</f>
        <v>1214.9870000000001</v>
      </c>
      <c r="AS97" s="55">
        <f>_xll.EQNXTDZ($A$1,$B97,AS$5,$B$1)</f>
        <v>0</v>
      </c>
      <c r="AT97" s="55">
        <f>_xll.EQNXTDZ($A$1,$B97,AT$5,$B$1)</f>
        <v>1363.12</v>
      </c>
      <c r="AU97" s="55">
        <f>_xll.EQNXTDZ($A$1,$B97,AU$5,$B$1)</f>
        <v>0</v>
      </c>
      <c r="AV97" s="55">
        <f>_xll.EQNXTDZ($A$1,$B97,AV$5,$B$1)</f>
        <v>1480.86</v>
      </c>
      <c r="AW97" s="55">
        <f>_xll.EQNXTDZ($A$1,$B97,AW$5,$B$1)</f>
        <v>0</v>
      </c>
      <c r="AX97" s="55">
        <f>_xll.EQNXTDZ($A$1,$B97,AX$5,$B$1)</f>
        <v>1699.14</v>
      </c>
      <c r="AY97" s="55">
        <f>_xll.EQNXTDZ($A$1,$B97,AY$5,$B$1)</f>
        <v>0</v>
      </c>
      <c r="AZ97" s="55">
        <f>_xll.EQNXTDZ($A$1,$B97,AZ$5,$B$1)</f>
        <v>1884.11</v>
      </c>
      <c r="BA97" s="55">
        <f>_xll.EQNXTDZ($A$1,$B97,BA$5,$B$1)</f>
        <v>0</v>
      </c>
      <c r="BB97" s="55">
        <f>_xll.EQNXTDZ($A$1,$B97,BB$5,$B$1)</f>
        <v>2169.41</v>
      </c>
      <c r="BC97" s="55">
        <f>_xll.EQNXTDZ($A$1,$B97,BC$5,$B$1)</f>
        <v>0</v>
      </c>
      <c r="BD97" s="55">
        <f>_xll.EQNXTDZ($A$1,$B97,BD$5,$B$1)</f>
        <v>2460.44</v>
      </c>
      <c r="BE97" s="55">
        <f>_xll.EQNXTDZ($A$1,$B97,BE$5,$B$1)</f>
        <v>0</v>
      </c>
      <c r="BF97" s="55">
        <f>_xll.EQNXTDZ($A$1,$B97,BF$5,$B$1)</f>
        <v>2525.84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105700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Elecon Engineering Company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142.37875349999999</v>
      </c>
      <c r="D6" s="100">
        <f>_xll.EQNXTDZ($A$1,$B6,D$1,$B$1)</f>
        <v>143.7028349</v>
      </c>
      <c r="E6" s="100">
        <f>_xll.EQNXTDZ($A$1,$B6,E$1,$B$1)</f>
        <v>174.76054160000001</v>
      </c>
      <c r="F6" s="100">
        <f>_xll.EQNXTDZ($A$1,$B6,F$1,$B$1)</f>
        <v>187.68325730000001</v>
      </c>
      <c r="G6" s="100">
        <f>_xll.EQNXTDZ($A$1,$B6,G$1,$B$1)</f>
        <v>322.57339999999999</v>
      </c>
      <c r="H6" s="100">
        <f>_xll.EQNXTDZ($A$1,$B6,H$1,$B$1)</f>
        <v>507.74939999999998</v>
      </c>
      <c r="I6" s="100">
        <f>_xll.EQNXTDZ($A$1,$B6,I$1,$B$1)</f>
        <v>839.46100000000001</v>
      </c>
      <c r="J6" s="100">
        <f>_xll.EQNXTDZ($A$1,$B6,J$1,$B$1)</f>
        <v>950.38710000000003</v>
      </c>
      <c r="K6" s="100">
        <f>_xll.EQNXTDZ($A$1,$B6,K$1,$B$1)</f>
        <v>1049.3083999999999</v>
      </c>
      <c r="L6" s="100">
        <f>_xll.EQNXTDZ($A$1,$B6,L$1,$B$1)</f>
        <v>1129.9812999999999</v>
      </c>
      <c r="M6" s="100">
        <f>_xll.EQNXTDZ($A$1,$B6,M$1,$B$1)</f>
        <v>1369.7743</v>
      </c>
      <c r="N6" s="100">
        <f>_xll.EQNXTDZ($A$1,$B6,N$1,$B$1)</f>
        <v>1713.4603</v>
      </c>
      <c r="O6" s="100">
        <f>_xll.EQNXTDZ($A$1,$B6,O$1,$B$1)</f>
        <v>1645.6133</v>
      </c>
      <c r="P6" s="100">
        <f>_xll.EQNXTDZ($A$1,$B6,P$1,$B$1)</f>
        <v>1385.8887</v>
      </c>
      <c r="Q6" s="100">
        <f>_xll.EQNXTDZ($A$1,$B6,Q$1,$B$1)</f>
        <v>1402.7067</v>
      </c>
      <c r="R6" s="100">
        <f>_xll.EQNXTDZ($A$1,$B6,R$1,$B$1)</f>
        <v>1365.548</v>
      </c>
      <c r="S6" s="100">
        <f>_xll.EQNXTDZ($A$1,$B6,S$1,$B$1)</f>
        <v>1274.6554000000001</v>
      </c>
      <c r="T6" s="100">
        <f>_xll.EQNXTDZ($A$1,$B6,T$1,$B$1)</f>
        <v>1188.5006000000001</v>
      </c>
      <c r="U6" s="100">
        <f>_xll.EQNXTDZ($A$1,$B6,U$1,$B$1)</f>
        <v>1224.8443</v>
      </c>
      <c r="V6" s="100">
        <f>_xll.EQNXTDZ($A$1,$B6,V$1,$B$1)</f>
        <v>1088.4648999999999</v>
      </c>
      <c r="W6" s="100">
        <f>_xll.EQNXTDZ($A$1,$B6,W$1,$B$1)</f>
        <v>1044.4395999999999</v>
      </c>
      <c r="X6" s="100">
        <f>_xll.EQNXTDZ($A$1,$B6,X$1,$B$1)</f>
        <v>1211.9458</v>
      </c>
      <c r="Y6" s="100">
        <f>_xll.EQNXTDZ($A$1,$B6,Y$1,$B$1)</f>
        <v>1529.68</v>
      </c>
      <c r="Z6" s="100">
        <f>_xll.EQNXTDZ($A$1,$B6,Z$1,$B$1)</f>
        <v>1937.42</v>
      </c>
      <c r="AA6" s="100">
        <f>_xll.EQNXTDZ($A$1,$B6,AA$1,$B$1)</f>
        <v>2226.96</v>
      </c>
      <c r="AB6" s="100">
        <f>_xll.EQNXTDZ($A$1,$B6,AB$1,$B$1)</f>
        <v>2366.0500000000002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2.1717900999999999</v>
      </c>
      <c r="D9" s="100">
        <f>_xll.EQNXTDZ($A$1,$B9,D$1,$B$1)</f>
        <v>7.1899075999999997</v>
      </c>
      <c r="E9" s="100">
        <f>_xll.EQNXTDZ($A$1,$B9,E$1,$B$1)</f>
        <v>17.071817899999999</v>
      </c>
      <c r="F9" s="100">
        <f>_xll.EQNXTDZ($A$1,$B9,F$1,$B$1)</f>
        <v>21.6401869</v>
      </c>
      <c r="G9" s="100">
        <f>_xll.EQNXTDZ($A$1,$B9,G$1,$B$1)</f>
        <v>34.845599999999997</v>
      </c>
      <c r="H9" s="100">
        <f>_xll.EQNXTDZ($A$1,$B9,H$1,$B$1)</f>
        <v>51.232999999999997</v>
      </c>
      <c r="I9" s="100">
        <f>_xll.EQNXTDZ($A$1,$B9,I$1,$B$1)</f>
        <v>96.351399999999998</v>
      </c>
      <c r="J9" s="100">
        <f>_xll.EQNXTDZ($A$1,$B9,J$1,$B$1)</f>
        <v>102.6463</v>
      </c>
      <c r="K9" s="100">
        <f>_xll.EQNXTDZ($A$1,$B9,K$1,$B$1)</f>
        <v>74.275999999999996</v>
      </c>
      <c r="L9" s="100">
        <f>_xll.EQNXTDZ($A$1,$B9,L$1,$B$1)</f>
        <v>64.256399999999999</v>
      </c>
      <c r="M9" s="100">
        <f>_xll.EQNXTDZ($A$1,$B9,M$1,$B$1)</f>
        <v>87.210499999999996</v>
      </c>
      <c r="N9" s="100">
        <f>_xll.EQNXTDZ($A$1,$B9,N$1,$B$1)</f>
        <v>100.24339999999999</v>
      </c>
      <c r="O9" s="100">
        <f>_xll.EQNXTDZ($A$1,$B9,O$1,$B$1)</f>
        <v>118.7667</v>
      </c>
      <c r="P9" s="100">
        <f>_xll.EQNXTDZ($A$1,$B9,P$1,$B$1)</f>
        <v>92.970799999999997</v>
      </c>
      <c r="Q9" s="100">
        <f>_xll.EQNXTDZ($A$1,$B9,Q$1,$B$1)</f>
        <v>73.816199999999995</v>
      </c>
      <c r="R9" s="100">
        <f>_xll.EQNXTDZ($A$1,$B9,R$1,$B$1)</f>
        <v>85.188599999999994</v>
      </c>
      <c r="S9" s="100">
        <f>_xll.EQNXTDZ($A$1,$B9,S$1,$B$1)</f>
        <v>73.123099999999994</v>
      </c>
      <c r="T9" s="100">
        <f>_xll.EQNXTDZ($A$1,$B9,T$1,$B$1)</f>
        <v>8.2706999999999997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140.20696340000001</v>
      </c>
      <c r="D10" s="100">
        <f>_xll.EQNXTDZ($A$1,$B10,D$1,$B$1)</f>
        <v>136.5129273</v>
      </c>
      <c r="E10" s="100">
        <f>_xll.EQNXTDZ($A$1,$B10,E$1,$B$1)</f>
        <v>157.6887237</v>
      </c>
      <c r="F10" s="100">
        <f>_xll.EQNXTDZ($A$1,$B10,F$1,$B$1)</f>
        <v>166.0430704</v>
      </c>
      <c r="G10" s="100">
        <f>_xll.EQNXTDZ($A$1,$B10,G$1,$B$1)</f>
        <v>287.7278</v>
      </c>
      <c r="H10" s="100">
        <f>_xll.EQNXTDZ($A$1,$B10,H$1,$B$1)</f>
        <v>456.51639999999998</v>
      </c>
      <c r="I10" s="100">
        <f>_xll.EQNXTDZ($A$1,$B10,I$1,$B$1)</f>
        <v>743.1096</v>
      </c>
      <c r="J10" s="100">
        <f>_xll.EQNXTDZ($A$1,$B10,J$1,$B$1)</f>
        <v>847.74080000000004</v>
      </c>
      <c r="K10" s="100">
        <f>_xll.EQNXTDZ($A$1,$B10,K$1,$B$1)</f>
        <v>975.03240000000005</v>
      </c>
      <c r="L10" s="100">
        <f>_xll.EQNXTDZ($A$1,$B10,L$1,$B$1)</f>
        <v>1065.7248999999999</v>
      </c>
      <c r="M10" s="100">
        <f>_xll.EQNXTDZ($A$1,$B10,M$1,$B$1)</f>
        <v>1282.5637999999999</v>
      </c>
      <c r="N10" s="100">
        <f>_xll.EQNXTDZ($A$1,$B10,N$1,$B$1)</f>
        <v>1613.2168999999999</v>
      </c>
      <c r="O10" s="100">
        <f>_xll.EQNXTDZ($A$1,$B10,O$1,$B$1)</f>
        <v>1526.8466000000001</v>
      </c>
      <c r="P10" s="100">
        <f>_xll.EQNXTDZ($A$1,$B10,P$1,$B$1)</f>
        <v>1292.9178999999999</v>
      </c>
      <c r="Q10" s="100">
        <f>_xll.EQNXTDZ($A$1,$B10,Q$1,$B$1)</f>
        <v>1328.8905</v>
      </c>
      <c r="R10" s="100">
        <f>_xll.EQNXTDZ($A$1,$B10,R$1,$B$1)</f>
        <v>1280.3594000000001</v>
      </c>
      <c r="S10" s="100">
        <f>_xll.EQNXTDZ($A$1,$B10,S$1,$B$1)</f>
        <v>1201.5323000000001</v>
      </c>
      <c r="T10" s="100">
        <f>_xll.EQNXTDZ($A$1,$B10,T$1,$B$1)</f>
        <v>1180.2299</v>
      </c>
      <c r="U10" s="100">
        <f>_xll.EQNXTDZ($A$1,$B10,U$1,$B$1)</f>
        <v>1224.8443</v>
      </c>
      <c r="V10" s="100">
        <f>_xll.EQNXTDZ($A$1,$B10,V$1,$B$1)</f>
        <v>1088.4648999999999</v>
      </c>
      <c r="W10" s="100">
        <f>_xll.EQNXTDZ($A$1,$B10,W$1,$B$1)</f>
        <v>1044.4395999999999</v>
      </c>
      <c r="X10" s="100">
        <f>_xll.EQNXTDZ($A$1,$B10,X$1,$B$1)</f>
        <v>1211.9458</v>
      </c>
      <c r="Y10" s="100">
        <f>_xll.EQNXTDZ($A$1,$B10,Y$1,$B$1)</f>
        <v>1529.68</v>
      </c>
      <c r="Z10" s="100">
        <f>_xll.EQNXTDZ($A$1,$B10,Z$1,$B$1)</f>
        <v>1937.42</v>
      </c>
      <c r="AA10" s="100">
        <f>_xll.EQNXTDZ($A$1,$B10,AA$1,$B$1)</f>
        <v>2226.96</v>
      </c>
      <c r="AB10" s="100">
        <f>_xll.EQNXTDZ($A$1,$B10,AB$1,$B$1)</f>
        <v>2366.0500000000002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-2.8237339000000001</v>
      </c>
      <c r="D11" s="100">
        <f>_xll.EQNXTDZ($A$1,$B11,D$1,$B$1)</f>
        <v>-10.5604847</v>
      </c>
      <c r="E11" s="100">
        <f>_xll.EQNXTDZ($A$1,$B11,E$1,$B$1)</f>
        <v>1.5575190999999999</v>
      </c>
      <c r="F11" s="100">
        <f>_xll.EQNXTDZ($A$1,$B11,F$1,$B$1)</f>
        <v>-31.649834999999999</v>
      </c>
      <c r="G11" s="100">
        <f>_xll.EQNXTDZ($A$1,$B11,G$1,$B$1)</f>
        <v>-4.8327999999999998</v>
      </c>
      <c r="H11" s="100">
        <f>_xll.EQNXTDZ($A$1,$B11,H$1,$B$1)</f>
        <v>-17.589400000000001</v>
      </c>
      <c r="I11" s="100">
        <f>_xll.EQNXTDZ($A$1,$B11,I$1,$B$1)</f>
        <v>-9.7043999999999997</v>
      </c>
      <c r="J11" s="100">
        <f>_xll.EQNXTDZ($A$1,$B11,J$1,$B$1)</f>
        <v>-47.1</v>
      </c>
      <c r="K11" s="100">
        <f>_xll.EQNXTDZ($A$1,$B11,K$1,$B$1)</f>
        <v>-105.49639999999999</v>
      </c>
      <c r="L11" s="100">
        <f>_xll.EQNXTDZ($A$1,$B11,L$1,$B$1)</f>
        <v>34.665100000000002</v>
      </c>
      <c r="M11" s="100">
        <f>_xll.EQNXTDZ($A$1,$B11,M$1,$B$1)</f>
        <v>-34.725200000000001</v>
      </c>
      <c r="N11" s="100">
        <f>_xll.EQNXTDZ($A$1,$B11,N$1,$B$1)</f>
        <v>11.6496</v>
      </c>
      <c r="O11" s="100">
        <f>_xll.EQNXTDZ($A$1,$B11,O$1,$B$1)</f>
        <v>14.5123</v>
      </c>
      <c r="P11" s="100">
        <f>_xll.EQNXTDZ($A$1,$B11,P$1,$B$1)</f>
        <v>31.168600000000001</v>
      </c>
      <c r="Q11" s="100">
        <f>_xll.EQNXTDZ($A$1,$B11,Q$1,$B$1)</f>
        <v>29.643000000000001</v>
      </c>
      <c r="R11" s="100">
        <f>_xll.EQNXTDZ($A$1,$B11,R$1,$B$1)</f>
        <v>-31.443300000000001</v>
      </c>
      <c r="S11" s="100">
        <f>_xll.EQNXTDZ($A$1,$B11,S$1,$B$1)</f>
        <v>9.7947000000000006</v>
      </c>
      <c r="T11" s="100">
        <f>_xll.EQNXTDZ($A$1,$B11,T$1,$B$1)</f>
        <v>28.241800000000001</v>
      </c>
      <c r="U11" s="100">
        <f>_xll.EQNXTDZ($A$1,$B11,U$1,$B$1)</f>
        <v>-13.101100000000001</v>
      </c>
      <c r="V11" s="100">
        <f>_xll.EQNXTDZ($A$1,$B11,V$1,$B$1)</f>
        <v>6.5307000000000004</v>
      </c>
      <c r="W11" s="100">
        <f>_xll.EQNXTDZ($A$1,$B11,W$1,$B$1)</f>
        <v>46.257300000000001</v>
      </c>
      <c r="X11" s="100">
        <f>_xll.EQNXTDZ($A$1,$B11,X$1,$B$1)</f>
        <v>-35.731099999999998</v>
      </c>
      <c r="Y11" s="100">
        <f>_xll.EQNXTDZ($A$1,$B11,Y$1,$B$1)</f>
        <v>-5.01</v>
      </c>
      <c r="Z11" s="100">
        <f>_xll.EQNXTDZ($A$1,$B11,Z$1,$B$1)</f>
        <v>21.94</v>
      </c>
      <c r="AA11" s="100">
        <f>_xll.EQNXTDZ($A$1,$B11,AA$1,$B$1)</f>
        <v>12.85</v>
      </c>
      <c r="AB11" s="100">
        <f>_xll.EQNXTDZ($A$1,$B11,AB$1,$B$1)</f>
        <v>-48.65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79.278906199999994</v>
      </c>
      <c r="D12" s="100">
        <f>_xll.EQNXTDZ($A$1,$B12,D$1,$B$1)</f>
        <v>80.146580400000005</v>
      </c>
      <c r="E12" s="100">
        <f>_xll.EQNXTDZ($A$1,$B12,E$1,$B$1)</f>
        <v>81.164928500000002</v>
      </c>
      <c r="F12" s="100">
        <f>_xll.EQNXTDZ($A$1,$B12,F$1,$B$1)</f>
        <v>117.9787984</v>
      </c>
      <c r="G12" s="100">
        <f>_xll.EQNXTDZ($A$1,$B12,G$1,$B$1)</f>
        <v>170.6207</v>
      </c>
      <c r="H12" s="100">
        <f>_xll.EQNXTDZ($A$1,$B12,H$1,$B$1)</f>
        <v>282.89960000000002</v>
      </c>
      <c r="I12" s="100">
        <f>_xll.EQNXTDZ($A$1,$B12,I$1,$B$1)</f>
        <v>447.53030000000001</v>
      </c>
      <c r="J12" s="100">
        <f>_xll.EQNXTDZ($A$1,$B12,J$1,$B$1)</f>
        <v>524.46209999999996</v>
      </c>
      <c r="K12" s="100">
        <f>_xll.EQNXTDZ($A$1,$B12,K$1,$B$1)</f>
        <v>586.55280000000005</v>
      </c>
      <c r="L12" s="100">
        <f>_xll.EQNXTDZ($A$1,$B12,L$1,$B$1)</f>
        <v>578.59709999999995</v>
      </c>
      <c r="M12" s="100">
        <f>_xll.EQNXTDZ($A$1,$B12,M$1,$B$1)</f>
        <v>772.58939999999996</v>
      </c>
      <c r="N12" s="100">
        <f>_xll.EQNXTDZ($A$1,$B12,N$1,$B$1)</f>
        <v>928.36389999999994</v>
      </c>
      <c r="O12" s="100">
        <f>_xll.EQNXTDZ($A$1,$B12,O$1,$B$1)</f>
        <v>790.24270000000001</v>
      </c>
      <c r="P12" s="100">
        <f>_xll.EQNXTDZ($A$1,$B12,P$1,$B$1)</f>
        <v>592.99869999999999</v>
      </c>
      <c r="Q12" s="100">
        <f>_xll.EQNXTDZ($A$1,$B12,Q$1,$B$1)</f>
        <v>646.99090000000001</v>
      </c>
      <c r="R12" s="100">
        <f>_xll.EQNXTDZ($A$1,$B12,R$1,$B$1)</f>
        <v>632.92060000000004</v>
      </c>
      <c r="S12" s="100">
        <f>_xll.EQNXTDZ($A$1,$B12,S$1,$B$1)</f>
        <v>531.57320000000004</v>
      </c>
      <c r="T12" s="100">
        <f>_xll.EQNXTDZ($A$1,$B12,T$1,$B$1)</f>
        <v>523.32159999999999</v>
      </c>
      <c r="U12" s="100">
        <f>_xll.EQNXTDZ($A$1,$B12,U$1,$B$1)</f>
        <v>578.21860000000004</v>
      </c>
      <c r="V12" s="100">
        <f>_xll.EQNXTDZ($A$1,$B12,V$1,$B$1)</f>
        <v>496.8895</v>
      </c>
      <c r="W12" s="100">
        <f>_xll.EQNXTDZ($A$1,$B12,W$1,$B$1)</f>
        <v>439.10329999999999</v>
      </c>
      <c r="X12" s="100">
        <f>_xll.EQNXTDZ($A$1,$B12,X$1,$B$1)</f>
        <v>607.43529999999998</v>
      </c>
      <c r="Y12" s="100">
        <f>_xll.EQNXTDZ($A$1,$B12,Y$1,$B$1)</f>
        <v>719.36</v>
      </c>
      <c r="Z12" s="100">
        <f>_xll.EQNXTDZ($A$1,$B12,Z$1,$B$1)</f>
        <v>840.22</v>
      </c>
      <c r="AA12" s="100">
        <f>_xll.EQNXTDZ($A$1,$B12,AA$1,$B$1)</f>
        <v>1013.46</v>
      </c>
      <c r="AB12" s="100">
        <f>_xll.EQNXTDZ($A$1,$B12,AB$1,$B$1)</f>
        <v>1173.77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5.2813658999999999</v>
      </c>
      <c r="D13" s="100">
        <f>_xll.EQNXTDZ($A$1,$B13,D$1,$B$1)</f>
        <v>4.5133147999999998</v>
      </c>
      <c r="E13" s="100">
        <f>_xll.EQNXTDZ($A$1,$B13,E$1,$B$1)</f>
        <v>3.9835763000000002</v>
      </c>
      <c r="F13" s="100">
        <f>_xll.EQNXTDZ($A$1,$B13,F$1,$B$1)</f>
        <v>4.5552397999999998</v>
      </c>
      <c r="G13" s="100">
        <f>_xll.EQNXTDZ($A$1,$B13,G$1,$B$1)</f>
        <v>4.6809000000000003</v>
      </c>
      <c r="H13" s="100">
        <f>_xll.EQNXTDZ($A$1,$B13,H$1,$B$1)</f>
        <v>5.0254000000000003</v>
      </c>
      <c r="I13" s="100">
        <f>_xll.EQNXTDZ($A$1,$B13,I$1,$B$1)</f>
        <v>6.2427999999999999</v>
      </c>
      <c r="J13" s="100">
        <f>_xll.EQNXTDZ($A$1,$B13,J$1,$B$1)</f>
        <v>6.7763999999999998</v>
      </c>
      <c r="K13" s="100">
        <f>_xll.EQNXTDZ($A$1,$B13,K$1,$B$1)</f>
        <v>7.0590000000000002</v>
      </c>
      <c r="L13" s="100">
        <f>_xll.EQNXTDZ($A$1,$B13,L$1,$B$1)</f>
        <v>7.8220000000000001</v>
      </c>
      <c r="M13" s="100">
        <f>_xll.EQNXTDZ($A$1,$B13,M$1,$B$1)</f>
        <v>6.0922000000000001</v>
      </c>
      <c r="N13" s="100">
        <f>_xll.EQNXTDZ($A$1,$B13,N$1,$B$1)</f>
        <v>4.9025999999999996</v>
      </c>
      <c r="O13" s="100">
        <f>_xll.EQNXTDZ($A$1,$B13,O$1,$B$1)</f>
        <v>13.7921</v>
      </c>
      <c r="P13" s="100">
        <f>_xll.EQNXTDZ($A$1,$B13,P$1,$B$1)</f>
        <v>8.9077000000000002</v>
      </c>
      <c r="Q13" s="100">
        <f>_xll.EQNXTDZ($A$1,$B13,Q$1,$B$1)</f>
        <v>9.9795999999999996</v>
      </c>
      <c r="R13" s="100">
        <f>_xll.EQNXTDZ($A$1,$B13,R$1,$B$1)</f>
        <v>11.712</v>
      </c>
      <c r="S13" s="100">
        <f>_xll.EQNXTDZ($A$1,$B13,S$1,$B$1)</f>
        <v>10.575100000000001</v>
      </c>
      <c r="T13" s="100">
        <f>_xll.EQNXTDZ($A$1,$B13,T$1,$B$1)</f>
        <v>9.7264999999999997</v>
      </c>
      <c r="U13" s="100">
        <f>_xll.EQNXTDZ($A$1,$B13,U$1,$B$1)</f>
        <v>9.7452000000000005</v>
      </c>
      <c r="V13" s="100">
        <f>_xll.EQNXTDZ($A$1,$B13,V$1,$B$1)</f>
        <v>8.7021999999999995</v>
      </c>
      <c r="W13" s="100">
        <f>_xll.EQNXTDZ($A$1,$B13,W$1,$B$1)</f>
        <v>7.8282999999999996</v>
      </c>
      <c r="X13" s="100">
        <f>_xll.EQNXTDZ($A$1,$B13,X$1,$B$1)</f>
        <v>16.413499999999999</v>
      </c>
      <c r="Y13" s="100">
        <f>_xll.EQNXTDZ($A$1,$B13,Y$1,$B$1)</f>
        <v>22.1</v>
      </c>
      <c r="Z13" s="100">
        <f>_xll.EQNXTDZ($A$1,$B13,Z$1,$B$1)</f>
        <v>26.96</v>
      </c>
      <c r="AA13" s="100">
        <f>_xll.EQNXTDZ($A$1,$B13,AA$1,$B$1)</f>
        <v>27.15</v>
      </c>
      <c r="AB13" s="100">
        <f>_xll.EQNXTDZ($A$1,$B13,AB$1,$B$1)</f>
        <v>28.02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14.527117799999999</v>
      </c>
      <c r="D14" s="100">
        <f>_xll.EQNXTDZ($A$1,$B14,D$1,$B$1)</f>
        <v>13.9650044</v>
      </c>
      <c r="E14" s="100">
        <f>_xll.EQNXTDZ($A$1,$B14,E$1,$B$1)</f>
        <v>13.404496399999999</v>
      </c>
      <c r="F14" s="100">
        <f>_xll.EQNXTDZ($A$1,$B14,F$1,$B$1)</f>
        <v>14.263827300000001</v>
      </c>
      <c r="G14" s="100">
        <f>_xll.EQNXTDZ($A$1,$B14,G$1,$B$1)</f>
        <v>12.090299999999999</v>
      </c>
      <c r="H14" s="100">
        <f>_xll.EQNXTDZ($A$1,$B14,H$1,$B$1)</f>
        <v>19.053699999999999</v>
      </c>
      <c r="I14" s="100">
        <f>_xll.EQNXTDZ($A$1,$B14,I$1,$B$1)</f>
        <v>23.3432</v>
      </c>
      <c r="J14" s="100">
        <f>_xll.EQNXTDZ($A$1,$B14,J$1,$B$1)</f>
        <v>30.139600000000002</v>
      </c>
      <c r="K14" s="100">
        <f>_xll.EQNXTDZ($A$1,$B14,K$1,$B$1)</f>
        <v>40.4497</v>
      </c>
      <c r="L14" s="100">
        <f>_xll.EQNXTDZ($A$1,$B14,L$1,$B$1)</f>
        <v>40.644199999999998</v>
      </c>
      <c r="M14" s="100">
        <f>_xll.EQNXTDZ($A$1,$B14,M$1,$B$1)</f>
        <v>77.904399999999995</v>
      </c>
      <c r="N14" s="100">
        <f>_xll.EQNXTDZ($A$1,$B14,N$1,$B$1)</f>
        <v>144.4522</v>
      </c>
      <c r="O14" s="100">
        <f>_xll.EQNXTDZ($A$1,$B14,O$1,$B$1)</f>
        <v>184.71549999999999</v>
      </c>
      <c r="P14" s="100">
        <f>_xll.EQNXTDZ($A$1,$B14,P$1,$B$1)</f>
        <v>174.01660000000001</v>
      </c>
      <c r="Q14" s="100">
        <f>_xll.EQNXTDZ($A$1,$B14,Q$1,$B$1)</f>
        <v>143.25829999999999</v>
      </c>
      <c r="R14" s="100">
        <f>_xll.EQNXTDZ($A$1,$B14,R$1,$B$1)</f>
        <v>150.9178</v>
      </c>
      <c r="S14" s="100">
        <f>_xll.EQNXTDZ($A$1,$B14,S$1,$B$1)</f>
        <v>152.7764</v>
      </c>
      <c r="T14" s="100">
        <f>_xll.EQNXTDZ($A$1,$B14,T$1,$B$1)</f>
        <v>137.51730000000001</v>
      </c>
      <c r="U14" s="100">
        <f>_xll.EQNXTDZ($A$1,$B14,U$1,$B$1)</f>
        <v>138.87309999999999</v>
      </c>
      <c r="V14" s="100">
        <f>_xll.EQNXTDZ($A$1,$B14,V$1,$B$1)</f>
        <v>133.91679999999999</v>
      </c>
      <c r="W14" s="100">
        <f>_xll.EQNXTDZ($A$1,$B14,W$1,$B$1)</f>
        <v>117.9391</v>
      </c>
      <c r="X14" s="100">
        <f>_xll.EQNXTDZ($A$1,$B14,X$1,$B$1)</f>
        <v>128.18719999999999</v>
      </c>
      <c r="Y14" s="100">
        <f>_xll.EQNXTDZ($A$1,$B14,Y$1,$B$1)</f>
        <v>149.72999999999999</v>
      </c>
      <c r="Z14" s="100">
        <f>_xll.EQNXTDZ($A$1,$B14,Z$1,$B$1)</f>
        <v>188.48</v>
      </c>
      <c r="AA14" s="100">
        <f>_xll.EQNXTDZ($A$1,$B14,AA$1,$B$1)</f>
        <v>208.72</v>
      </c>
      <c r="AB14" s="100">
        <f>_xll.EQNXTDZ($A$1,$B14,AB$1,$B$1)</f>
        <v>241.3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17.480999400000002</v>
      </c>
      <c r="D15" s="100">
        <f>_xll.EQNXTDZ($A$1,$B15,D$1,$B$1)</f>
        <v>20.5023436</v>
      </c>
      <c r="E15" s="100">
        <f>_xll.EQNXTDZ($A$1,$B15,E$1,$B$1)</f>
        <v>23.937121900000001</v>
      </c>
      <c r="F15" s="100">
        <f>_xll.EQNXTDZ($A$1,$B15,F$1,$B$1)</f>
        <v>13.973368000000001</v>
      </c>
      <c r="G15" s="100">
        <f>_xll.EQNXTDZ($A$1,$B15,G$1,$B$1)</f>
        <v>14.2822</v>
      </c>
      <c r="H15" s="100">
        <f>_xll.EQNXTDZ($A$1,$B15,H$1,$B$1)</f>
        <v>34.182699999999997</v>
      </c>
      <c r="I15" s="100">
        <f>_xll.EQNXTDZ($A$1,$B15,I$1,$B$1)</f>
        <v>59.1723</v>
      </c>
      <c r="J15" s="100">
        <f>_xll.EQNXTDZ($A$1,$B15,J$1,$B$1)</f>
        <v>83.746600000000001</v>
      </c>
      <c r="K15" s="100">
        <f>_xll.EQNXTDZ($A$1,$B15,K$1,$B$1)</f>
        <v>159.76439999999999</v>
      </c>
      <c r="L15" s="100">
        <f>_xll.EQNXTDZ($A$1,$B15,L$1,$B$1)</f>
        <v>125.12609999999999</v>
      </c>
      <c r="M15" s="100">
        <f>_xll.EQNXTDZ($A$1,$B15,M$1,$B$1)</f>
        <v>123.4984</v>
      </c>
      <c r="N15" s="100">
        <f>_xll.EQNXTDZ($A$1,$B15,N$1,$B$1)</f>
        <v>109.6904</v>
      </c>
      <c r="O15" s="100">
        <f>_xll.EQNXTDZ($A$1,$B15,O$1,$B$1)</f>
        <v>146.37350000000001</v>
      </c>
      <c r="P15" s="100">
        <f>_xll.EQNXTDZ($A$1,$B15,P$1,$B$1)</f>
        <v>162.38579999999999</v>
      </c>
      <c r="Q15" s="100">
        <f>_xll.EQNXTDZ($A$1,$B15,Q$1,$B$1)</f>
        <v>164.15690000000001</v>
      </c>
      <c r="R15" s="100">
        <f>_xll.EQNXTDZ($A$1,$B15,R$1,$B$1)</f>
        <v>200.08760000000001</v>
      </c>
      <c r="S15" s="100">
        <f>_xll.EQNXTDZ($A$1,$B15,S$1,$B$1)</f>
        <v>165.35319999999999</v>
      </c>
      <c r="T15" s="100">
        <f>_xll.EQNXTDZ($A$1,$B15,T$1,$B$1)</f>
        <v>215.75139999999999</v>
      </c>
      <c r="U15" s="100">
        <f>_xll.EQNXTDZ($A$1,$B15,U$1,$B$1)</f>
        <v>219.83</v>
      </c>
      <c r="V15" s="100">
        <f>_xll.EQNXTDZ($A$1,$B15,V$1,$B$1)</f>
        <v>150.50540000000001</v>
      </c>
      <c r="W15" s="100">
        <f>_xll.EQNXTDZ($A$1,$B15,W$1,$B$1)</f>
        <v>85.473200000000006</v>
      </c>
      <c r="X15" s="100">
        <f>_xll.EQNXTDZ($A$1,$B15,X$1,$B$1)</f>
        <v>94.81</v>
      </c>
      <c r="Y15" s="100">
        <f>_xll.EQNXTDZ($A$1,$B15,Y$1,$B$1)</f>
        <v>132.80000000000001</v>
      </c>
      <c r="Z15" s="100">
        <f>_xll.EQNXTDZ($A$1,$B15,Z$1,$B$1)</f>
        <v>169.79</v>
      </c>
      <c r="AA15" s="100">
        <f>_xll.EQNXTDZ($A$1,$B15,AA$1,$B$1)</f>
        <v>183.91</v>
      </c>
      <c r="AB15" s="100">
        <f>_xll.EQNXTDZ($A$1,$B15,AB$1,$B$1)</f>
        <v>191.66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7.1402156999999997</v>
      </c>
      <c r="D17" s="100">
        <f>_xll.EQNXTDZ($A$1,$B17,D$1,$B$1)</f>
        <v>8.3765032999999995</v>
      </c>
      <c r="E17" s="100">
        <f>_xll.EQNXTDZ($A$1,$B17,E$1,$B$1)</f>
        <v>9.4014006999999999</v>
      </c>
      <c r="F17" s="100">
        <f>_xll.EQNXTDZ($A$1,$B17,F$1,$B$1)</f>
        <v>9.4534371000000004</v>
      </c>
      <c r="G17" s="100">
        <f>_xll.EQNXTDZ($A$1,$B17,G$1,$B$1)</f>
        <v>10.9297</v>
      </c>
      <c r="H17" s="100">
        <f>_xll.EQNXTDZ($A$1,$B17,H$1,$B$1)</f>
        <v>17.091000000000001</v>
      </c>
      <c r="I17" s="100">
        <f>_xll.EQNXTDZ($A$1,$B17,I$1,$B$1)</f>
        <v>20.2911</v>
      </c>
      <c r="J17" s="100">
        <f>_xll.EQNXTDZ($A$1,$B17,J$1,$B$1)</f>
        <v>23.8628</v>
      </c>
      <c r="K17" s="100">
        <f>_xll.EQNXTDZ($A$1,$B17,K$1,$B$1)</f>
        <v>29.571100000000001</v>
      </c>
      <c r="L17" s="100">
        <f>_xll.EQNXTDZ($A$1,$B17,L$1,$B$1)</f>
        <v>24.9239</v>
      </c>
      <c r="M17" s="100">
        <f>_xll.EQNXTDZ($A$1,$B17,M$1,$B$1)</f>
        <v>38.426900000000003</v>
      </c>
      <c r="N17" s="100">
        <f>_xll.EQNXTDZ($A$1,$B17,N$1,$B$1)</f>
        <v>68.010800000000003</v>
      </c>
      <c r="O17" s="100">
        <f>_xll.EQNXTDZ($A$1,$B17,O$1,$B$1)</f>
        <v>91.091999999999999</v>
      </c>
      <c r="P17" s="100">
        <f>_xll.EQNXTDZ($A$1,$B17,P$1,$B$1)</f>
        <v>101.0056</v>
      </c>
      <c r="Q17" s="100">
        <f>_xll.EQNXTDZ($A$1,$B17,Q$1,$B$1)</f>
        <v>90.753500000000003</v>
      </c>
      <c r="R17" s="100">
        <f>_xll.EQNXTDZ($A$1,$B17,R$1,$B$1)</f>
        <v>77.389200000000002</v>
      </c>
      <c r="S17" s="100">
        <f>_xll.EQNXTDZ($A$1,$B17,S$1,$B$1)</f>
        <v>97.096400000000003</v>
      </c>
      <c r="T17" s="100">
        <f>_xll.EQNXTDZ($A$1,$B17,T$1,$B$1)</f>
        <v>72.077299999999994</v>
      </c>
      <c r="U17" s="100">
        <f>_xll.EQNXTDZ($A$1,$B17,U$1,$B$1)</f>
        <v>69.891199999999998</v>
      </c>
      <c r="V17" s="100">
        <f>_xll.EQNXTDZ($A$1,$B17,V$1,$B$1)</f>
        <v>78.879000000000005</v>
      </c>
      <c r="W17" s="100">
        <f>_xll.EQNXTDZ($A$1,$B17,W$1,$B$1)</f>
        <v>54.429200000000002</v>
      </c>
      <c r="X17" s="100">
        <f>_xll.EQNXTDZ($A$1,$B17,X$1,$B$1)</f>
        <v>51.529600000000002</v>
      </c>
      <c r="Y17" s="100">
        <f>_xll.EQNXTDZ($A$1,$B17,Y$1,$B$1)</f>
        <v>64.13</v>
      </c>
      <c r="Z17" s="100">
        <f>_xll.EQNXTDZ($A$1,$B17,Z$1,$B$1)</f>
        <v>75.849999999999994</v>
      </c>
      <c r="AA17" s="100">
        <f>_xll.EQNXTDZ($A$1,$B17,AA$1,$B$1)</f>
        <v>76.88</v>
      </c>
      <c r="AB17" s="100">
        <f>_xll.EQNXTDZ($A$1,$B17,AB$1,$B$1)</f>
        <v>89.53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6.9409915</v>
      </c>
      <c r="D18" s="100">
        <f>_xll.EQNXTDZ($A$1,$B18,D$1,$B$1)</f>
        <v>8.0639047999999995</v>
      </c>
      <c r="E18" s="100">
        <f>_xll.EQNXTDZ($A$1,$B18,E$1,$B$1)</f>
        <v>12.3576988</v>
      </c>
      <c r="F18" s="100">
        <f>_xll.EQNXTDZ($A$1,$B18,F$1,$B$1)</f>
        <v>19.9028457</v>
      </c>
      <c r="G18" s="100">
        <f>_xll.EQNXTDZ($A$1,$B18,G$1,$B$1)</f>
        <v>35.525399999999998</v>
      </c>
      <c r="H18" s="100">
        <f>_xll.EQNXTDZ($A$1,$B18,H$1,$B$1)</f>
        <v>44.101700000000001</v>
      </c>
      <c r="I18" s="100">
        <f>_xll.EQNXTDZ($A$1,$B18,I$1,$B$1)</f>
        <v>67.052099999999996</v>
      </c>
      <c r="J18" s="100">
        <f>_xll.EQNXTDZ($A$1,$B18,J$1,$B$1)</f>
        <v>71.989599999999996</v>
      </c>
      <c r="K18" s="100">
        <f>_xll.EQNXTDZ($A$1,$B18,K$1,$B$1)</f>
        <v>70.780900000000003</v>
      </c>
      <c r="L18" s="100">
        <f>_xll.EQNXTDZ($A$1,$B18,L$1,$B$1)</f>
        <v>83.342500000000001</v>
      </c>
      <c r="M18" s="100">
        <f>_xll.EQNXTDZ($A$1,$B18,M$1,$B$1)</f>
        <v>81.298599999999993</v>
      </c>
      <c r="N18" s="100">
        <f>_xll.EQNXTDZ($A$1,$B18,N$1,$B$1)</f>
        <v>99.505200000000002</v>
      </c>
      <c r="O18" s="100">
        <f>_xll.EQNXTDZ($A$1,$B18,O$1,$B$1)</f>
        <v>53.887500000000003</v>
      </c>
      <c r="P18" s="100">
        <f>_xll.EQNXTDZ($A$1,$B18,P$1,$B$1)</f>
        <v>59.887099999999997</v>
      </c>
      <c r="Q18" s="100">
        <f>_xll.EQNXTDZ($A$1,$B18,Q$1,$B$1)</f>
        <v>53.417499999999997</v>
      </c>
      <c r="R18" s="100">
        <f>_xll.EQNXTDZ($A$1,$B18,R$1,$B$1)</f>
        <v>53.459000000000003</v>
      </c>
      <c r="S18" s="100">
        <f>_xll.EQNXTDZ($A$1,$B18,S$1,$B$1)</f>
        <v>55.392000000000003</v>
      </c>
      <c r="T18" s="100">
        <f>_xll.EQNXTDZ($A$1,$B18,T$1,$B$1)</f>
        <v>54.840800000000002</v>
      </c>
      <c r="U18" s="100">
        <f>_xll.EQNXTDZ($A$1,$B18,U$1,$B$1)</f>
        <v>63.759900000000002</v>
      </c>
      <c r="V18" s="100">
        <f>_xll.EQNXTDZ($A$1,$B18,V$1,$B$1)</f>
        <v>58.3369</v>
      </c>
      <c r="W18" s="100">
        <f>_xll.EQNXTDZ($A$1,$B18,W$1,$B$1)</f>
        <v>59.698500000000003</v>
      </c>
      <c r="X18" s="100">
        <f>_xll.EQNXTDZ($A$1,$B18,X$1,$B$1)</f>
        <v>75.558599999999998</v>
      </c>
      <c r="Y18" s="100">
        <f>_xll.EQNXTDZ($A$1,$B18,Y$1,$B$1)</f>
        <v>82.25</v>
      </c>
      <c r="Z18" s="100">
        <f>_xll.EQNXTDZ($A$1,$B18,Z$1,$B$1)</f>
        <v>102.24</v>
      </c>
      <c r="AA18" s="100">
        <f>_xll.EQNXTDZ($A$1,$B18,AA$1,$B$1)</f>
        <v>130.29</v>
      </c>
      <c r="AB18" s="100">
        <f>_xll.EQNXTDZ($A$1,$B18,AB$1,$B$1)</f>
        <v>134.62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0.1391076</v>
      </c>
      <c r="D19" s="100">
        <f>_xll.EQNXTDZ($A$1,$B19,D$1,$B$1)</f>
        <v>6.4143999999999998E-3</v>
      </c>
      <c r="E19" s="100">
        <f>_xll.EQNXTDZ($A$1,$B19,E$1,$B$1)</f>
        <v>3.3348900000000001E-2</v>
      </c>
      <c r="F19" s="100">
        <f>_xll.EQNXTDZ($A$1,$B19,F$1,$B$1)</f>
        <v>1.8973462000000001</v>
      </c>
      <c r="G19" s="100">
        <f>_xll.EQNXTDZ($A$1,$B19,G$1,$B$1)</f>
        <v>3.5301999999999998</v>
      </c>
      <c r="H19" s="100">
        <f>_xll.EQNXTDZ($A$1,$B19,H$1,$B$1)</f>
        <v>7.8776999999999999</v>
      </c>
      <c r="I19" s="100">
        <f>_xll.EQNXTDZ($A$1,$B19,I$1,$B$1)</f>
        <v>13.921200000000001</v>
      </c>
      <c r="J19" s="100">
        <f>_xll.EQNXTDZ($A$1,$B19,J$1,$B$1)</f>
        <v>17.2911</v>
      </c>
      <c r="K19" s="100">
        <f>_xll.EQNXTDZ($A$1,$B19,K$1,$B$1)</f>
        <v>28.186800000000002</v>
      </c>
      <c r="L19" s="100">
        <f>_xll.EQNXTDZ($A$1,$B19,L$1,$B$1)</f>
        <v>13.685600000000001</v>
      </c>
      <c r="M19" s="100">
        <f>_xll.EQNXTDZ($A$1,$B19,M$1,$B$1)</f>
        <v>21.571899999999999</v>
      </c>
      <c r="N19" s="100">
        <f>_xll.EQNXTDZ($A$1,$B19,N$1,$B$1)</f>
        <v>32.128300000000003</v>
      </c>
      <c r="O19" s="100">
        <f>_xll.EQNXTDZ($A$1,$B19,O$1,$B$1)</f>
        <v>15.8963</v>
      </c>
      <c r="P19" s="100">
        <f>_xll.EQNXTDZ($A$1,$B19,P$1,$B$1)</f>
        <v>5.8940999999999999</v>
      </c>
      <c r="Q19" s="100">
        <f>_xll.EQNXTDZ($A$1,$B19,Q$1,$B$1)</f>
        <v>14.7379</v>
      </c>
      <c r="R19" s="100">
        <f>_xll.EQNXTDZ($A$1,$B19,R$1,$B$1)</f>
        <v>13.3589</v>
      </c>
      <c r="S19" s="100">
        <f>_xll.EQNXTDZ($A$1,$B19,S$1,$B$1)</f>
        <v>4.7237999999999998</v>
      </c>
      <c r="T19" s="100">
        <f>_xll.EQNXTDZ($A$1,$B19,T$1,$B$1)</f>
        <v>13.133699999999999</v>
      </c>
      <c r="U19" s="100">
        <f>_xll.EQNXTDZ($A$1,$B19,U$1,$B$1)</f>
        <v>51.0824</v>
      </c>
      <c r="V19" s="100">
        <f>_xll.EQNXTDZ($A$1,$B19,V$1,$B$1)</f>
        <v>42.327599999999997</v>
      </c>
      <c r="W19" s="100">
        <f>_xll.EQNXTDZ($A$1,$B19,W$1,$B$1)</f>
        <v>121.4701</v>
      </c>
      <c r="X19" s="100">
        <f>_xll.EQNXTDZ($A$1,$B19,X$1,$B$1)</f>
        <v>33.957500000000003</v>
      </c>
      <c r="Y19" s="100">
        <f>_xll.EQNXTDZ($A$1,$B19,Y$1,$B$1)</f>
        <v>31.04</v>
      </c>
      <c r="Z19" s="100">
        <f>_xll.EQNXTDZ($A$1,$B19,Z$1,$B$1)</f>
        <v>37.22</v>
      </c>
      <c r="AA19" s="100">
        <f>_xll.EQNXTDZ($A$1,$B19,AA$1,$B$1)</f>
        <v>27</v>
      </c>
      <c r="AB19" s="100">
        <f>_xll.EQNXTDZ($A$1,$B19,AB$1,$B$1)</f>
        <v>35.43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127.9649702</v>
      </c>
      <c r="D21" s="100">
        <f>_xll.EQNXTDZ($A$1,$B21,D$1,$B$1)</f>
        <v>125.013581</v>
      </c>
      <c r="E21" s="100">
        <f>_xll.EQNXTDZ($A$1,$B21,E$1,$B$1)</f>
        <v>145.8400906</v>
      </c>
      <c r="F21" s="100">
        <f>_xll.EQNXTDZ($A$1,$B21,F$1,$B$1)</f>
        <v>150.37502749999999</v>
      </c>
      <c r="G21" s="100">
        <f>_xll.EQNXTDZ($A$1,$B21,G$1,$B$1)</f>
        <v>246.82660000000001</v>
      </c>
      <c r="H21" s="100">
        <f>_xll.EQNXTDZ($A$1,$B21,H$1,$B$1)</f>
        <v>392.64240000000001</v>
      </c>
      <c r="I21" s="100">
        <f>_xll.EQNXTDZ($A$1,$B21,I$1,$B$1)</f>
        <v>627.84860000000003</v>
      </c>
      <c r="J21" s="100">
        <f>_xll.EQNXTDZ($A$1,$B21,J$1,$B$1)</f>
        <v>711.16819999999996</v>
      </c>
      <c r="K21" s="100">
        <f>_xll.EQNXTDZ($A$1,$B21,K$1,$B$1)</f>
        <v>816.86829999999998</v>
      </c>
      <c r="L21" s="100">
        <f>_xll.EQNXTDZ($A$1,$B21,L$1,$B$1)</f>
        <v>908.80650000000003</v>
      </c>
      <c r="M21" s="100">
        <f>_xll.EQNXTDZ($A$1,$B21,M$1,$B$1)</f>
        <v>1086.6566</v>
      </c>
      <c r="N21" s="100">
        <f>_xll.EQNXTDZ($A$1,$B21,N$1,$B$1)</f>
        <v>1398.703</v>
      </c>
      <c r="O21" s="100">
        <f>_xll.EQNXTDZ($A$1,$B21,O$1,$B$1)</f>
        <v>1310.5119</v>
      </c>
      <c r="P21" s="100">
        <f>_xll.EQNXTDZ($A$1,$B21,P$1,$B$1)</f>
        <v>1136.2642000000001</v>
      </c>
      <c r="Q21" s="100">
        <f>_xll.EQNXTDZ($A$1,$B21,Q$1,$B$1)</f>
        <v>1152.9376</v>
      </c>
      <c r="R21" s="100">
        <f>_xll.EQNXTDZ($A$1,$B21,R$1,$B$1)</f>
        <v>1108.4018000000001</v>
      </c>
      <c r="S21" s="100">
        <f>_xll.EQNXTDZ($A$1,$B21,S$1,$B$1)</f>
        <v>1027.2847999999999</v>
      </c>
      <c r="T21" s="100">
        <f>_xll.EQNXTDZ($A$1,$B21,T$1,$B$1)</f>
        <v>1054.6104</v>
      </c>
      <c r="U21" s="100">
        <f>_xll.EQNXTDZ($A$1,$B21,U$1,$B$1)</f>
        <v>1118.2992999999999</v>
      </c>
      <c r="V21" s="100">
        <f>_xll.EQNXTDZ($A$1,$B21,V$1,$B$1)</f>
        <v>976.08810000000005</v>
      </c>
      <c r="W21" s="100">
        <f>_xll.EQNXTDZ($A$1,$B21,W$1,$B$1)</f>
        <v>932.19899999999996</v>
      </c>
      <c r="X21" s="100">
        <f>_xll.EQNXTDZ($A$1,$B21,X$1,$B$1)</f>
        <v>972.16060000000004</v>
      </c>
      <c r="Y21" s="100">
        <f>_xll.EQNXTDZ($A$1,$B21,Y$1,$B$1)</f>
        <v>1196.4000000000001</v>
      </c>
      <c r="Z21" s="100">
        <f>_xll.EQNXTDZ($A$1,$B21,Z$1,$B$1)</f>
        <v>1462.7</v>
      </c>
      <c r="AA21" s="100">
        <f>_xll.EQNXTDZ($A$1,$B21,AA$1,$B$1)</f>
        <v>1680.26</v>
      </c>
      <c r="AB21" s="100">
        <f>_xll.EQNXTDZ($A$1,$B21,AB$1,$B$1)</f>
        <v>1845.68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12.2419932</v>
      </c>
      <c r="D22" s="100">
        <f>_xll.EQNXTDZ($A$1,$B22,D$1,$B$1)</f>
        <v>11.499346299999999</v>
      </c>
      <c r="E22" s="100">
        <f>_xll.EQNXTDZ($A$1,$B22,E$1,$B$1)</f>
        <v>11.848633100000001</v>
      </c>
      <c r="F22" s="100">
        <f>_xll.EQNXTDZ($A$1,$B22,F$1,$B$1)</f>
        <v>15.6680429</v>
      </c>
      <c r="G22" s="100">
        <f>_xll.EQNXTDZ($A$1,$B22,G$1,$B$1)</f>
        <v>40.901200000000003</v>
      </c>
      <c r="H22" s="100">
        <f>_xll.EQNXTDZ($A$1,$B22,H$1,$B$1)</f>
        <v>63.874000000000002</v>
      </c>
      <c r="I22" s="100">
        <f>_xll.EQNXTDZ($A$1,$B22,I$1,$B$1)</f>
        <v>115.261</v>
      </c>
      <c r="J22" s="100">
        <f>_xll.EQNXTDZ($A$1,$B22,J$1,$B$1)</f>
        <v>136.57259999999999</v>
      </c>
      <c r="K22" s="100">
        <f>_xll.EQNXTDZ($A$1,$B22,K$1,$B$1)</f>
        <v>158.16409999999999</v>
      </c>
      <c r="L22" s="100">
        <f>_xll.EQNXTDZ($A$1,$B22,L$1,$B$1)</f>
        <v>156.91839999999999</v>
      </c>
      <c r="M22" s="100">
        <f>_xll.EQNXTDZ($A$1,$B22,M$1,$B$1)</f>
        <v>195.90719999999999</v>
      </c>
      <c r="N22" s="100">
        <f>_xll.EQNXTDZ($A$1,$B22,N$1,$B$1)</f>
        <v>214.51390000000001</v>
      </c>
      <c r="O22" s="100">
        <f>_xll.EQNXTDZ($A$1,$B22,O$1,$B$1)</f>
        <v>216.3347</v>
      </c>
      <c r="P22" s="100">
        <f>_xll.EQNXTDZ($A$1,$B22,P$1,$B$1)</f>
        <v>156.65369999999999</v>
      </c>
      <c r="Q22" s="100">
        <f>_xll.EQNXTDZ($A$1,$B22,Q$1,$B$1)</f>
        <v>175.9529</v>
      </c>
      <c r="R22" s="100">
        <f>_xll.EQNXTDZ($A$1,$B22,R$1,$B$1)</f>
        <v>171.95760000000001</v>
      </c>
      <c r="S22" s="100">
        <f>_xll.EQNXTDZ($A$1,$B22,S$1,$B$1)</f>
        <v>174.2475</v>
      </c>
      <c r="T22" s="100">
        <f>_xll.EQNXTDZ($A$1,$B22,T$1,$B$1)</f>
        <v>125.6195</v>
      </c>
      <c r="U22" s="100">
        <f>_xll.EQNXTDZ($A$1,$B22,U$1,$B$1)</f>
        <v>106.545</v>
      </c>
      <c r="V22" s="100">
        <f>_xll.EQNXTDZ($A$1,$B22,V$1,$B$1)</f>
        <v>112.3768</v>
      </c>
      <c r="W22" s="100">
        <f>_xll.EQNXTDZ($A$1,$B22,W$1,$B$1)</f>
        <v>112.2406</v>
      </c>
      <c r="X22" s="100">
        <f>_xll.EQNXTDZ($A$1,$B22,X$1,$B$1)</f>
        <v>239.7852</v>
      </c>
      <c r="Y22" s="100">
        <f>_xll.EQNXTDZ($A$1,$B22,Y$1,$B$1)</f>
        <v>333.28</v>
      </c>
      <c r="Z22" s="100">
        <f>_xll.EQNXTDZ($A$1,$B22,Z$1,$B$1)</f>
        <v>474.72</v>
      </c>
      <c r="AA22" s="100">
        <f>_xll.EQNXTDZ($A$1,$B22,AA$1,$B$1)</f>
        <v>546.70000000000005</v>
      </c>
      <c r="AB22" s="100">
        <f>_xll.EQNXTDZ($A$1,$B22,AB$1,$B$1)</f>
        <v>520.37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3.1730839999999998</v>
      </c>
      <c r="D23" s="100">
        <f>_xll.EQNXTDZ($A$1,$B23,D$1,$B$1)</f>
        <v>2.2787480000000002</v>
      </c>
      <c r="E23" s="100">
        <f>_xll.EQNXTDZ($A$1,$B23,E$1,$B$1)</f>
        <v>5.4723036</v>
      </c>
      <c r="F23" s="100">
        <f>_xll.EQNXTDZ($A$1,$B23,F$1,$B$1)</f>
        <v>3.4814408000000001</v>
      </c>
      <c r="G23" s="100">
        <f>_xll.EQNXTDZ($A$1,$B23,G$1,$B$1)</f>
        <v>3.0575000000000001</v>
      </c>
      <c r="H23" s="100">
        <f>_xll.EQNXTDZ($A$1,$B23,H$1,$B$1)</f>
        <v>8.2929999999999993</v>
      </c>
      <c r="I23" s="100">
        <f>_xll.EQNXTDZ($A$1,$B23,I$1,$B$1)</f>
        <v>8.2364999999999995</v>
      </c>
      <c r="J23" s="100">
        <f>_xll.EQNXTDZ($A$1,$B23,J$1,$B$1)</f>
        <v>9.7866</v>
      </c>
      <c r="K23" s="100">
        <f>_xll.EQNXTDZ($A$1,$B23,K$1,$B$1)</f>
        <v>9.5771999999999995</v>
      </c>
      <c r="L23" s="100">
        <f>_xll.EQNXTDZ($A$1,$B23,L$1,$B$1)</f>
        <v>24.771799999999999</v>
      </c>
      <c r="M23" s="100">
        <f>_xll.EQNXTDZ($A$1,$B23,M$1,$B$1)</f>
        <v>28.5977</v>
      </c>
      <c r="N23" s="100">
        <f>_xll.EQNXTDZ($A$1,$B23,N$1,$B$1)</f>
        <v>7.9808000000000003</v>
      </c>
      <c r="O23" s="100">
        <f>_xll.EQNXTDZ($A$1,$B23,O$1,$B$1)</f>
        <v>7.4139999999999997</v>
      </c>
      <c r="P23" s="100">
        <f>_xll.EQNXTDZ($A$1,$B23,P$1,$B$1)</f>
        <v>14.055</v>
      </c>
      <c r="Q23" s="100">
        <f>_xll.EQNXTDZ($A$1,$B23,Q$1,$B$1)</f>
        <v>16.6174</v>
      </c>
      <c r="R23" s="100">
        <f>_xll.EQNXTDZ($A$1,$B23,R$1,$B$1)</f>
        <v>29.675000000000001</v>
      </c>
      <c r="S23" s="100">
        <f>_xll.EQNXTDZ($A$1,$B23,S$1,$B$1)</f>
        <v>8.5625999999999998</v>
      </c>
      <c r="T23" s="100">
        <f>_xll.EQNXTDZ($A$1,$B23,T$1,$B$1)</f>
        <v>5.4737999999999998</v>
      </c>
      <c r="U23" s="100">
        <f>_xll.EQNXTDZ($A$1,$B23,U$1,$B$1)</f>
        <v>99.500500000000002</v>
      </c>
      <c r="V23" s="100">
        <f>_xll.EQNXTDZ($A$1,$B23,V$1,$B$1)</f>
        <v>36.466799999999999</v>
      </c>
      <c r="W23" s="100">
        <f>_xll.EQNXTDZ($A$1,$B23,W$1,$B$1)</f>
        <v>79.621899999999997</v>
      </c>
      <c r="X23" s="100">
        <f>_xll.EQNXTDZ($A$1,$B23,X$1,$B$1)</f>
        <v>15.972200000000001</v>
      </c>
      <c r="Y23" s="100">
        <f>_xll.EQNXTDZ($A$1,$B23,Y$1,$B$1)</f>
        <v>26.12</v>
      </c>
      <c r="Z23" s="100">
        <f>_xll.EQNXTDZ($A$1,$B23,Z$1,$B$1)</f>
        <v>44.06</v>
      </c>
      <c r="AA23" s="100">
        <f>_xll.EQNXTDZ($A$1,$B23,AA$1,$B$1)</f>
        <v>56.23</v>
      </c>
      <c r="AB23" s="100">
        <f>_xll.EQNXTDZ($A$1,$B23,AB$1,$B$1)</f>
        <v>84.16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15.415077200000001</v>
      </c>
      <c r="D24" s="100">
        <f>_xll.EQNXTDZ($A$1,$B24,D$1,$B$1)</f>
        <v>13.778094299999999</v>
      </c>
      <c r="E24" s="100">
        <f>_xll.EQNXTDZ($A$1,$B24,E$1,$B$1)</f>
        <v>17.320936700000001</v>
      </c>
      <c r="F24" s="100">
        <f>_xll.EQNXTDZ($A$1,$B24,F$1,$B$1)</f>
        <v>19.149483700000001</v>
      </c>
      <c r="G24" s="100">
        <f>_xll.EQNXTDZ($A$1,$B24,G$1,$B$1)</f>
        <v>43.9587</v>
      </c>
      <c r="H24" s="100">
        <f>_xll.EQNXTDZ($A$1,$B24,H$1,$B$1)</f>
        <v>72.167000000000002</v>
      </c>
      <c r="I24" s="100">
        <f>_xll.EQNXTDZ($A$1,$B24,I$1,$B$1)</f>
        <v>123.4975</v>
      </c>
      <c r="J24" s="100">
        <f>_xll.EQNXTDZ($A$1,$B24,J$1,$B$1)</f>
        <v>146.35919999999999</v>
      </c>
      <c r="K24" s="100">
        <f>_xll.EQNXTDZ($A$1,$B24,K$1,$B$1)</f>
        <v>167.7413</v>
      </c>
      <c r="L24" s="100">
        <f>_xll.EQNXTDZ($A$1,$B24,L$1,$B$1)</f>
        <v>181.6902</v>
      </c>
      <c r="M24" s="100">
        <f>_xll.EQNXTDZ($A$1,$B24,M$1,$B$1)</f>
        <v>224.50489999999999</v>
      </c>
      <c r="N24" s="100">
        <f>_xll.EQNXTDZ($A$1,$B24,N$1,$B$1)</f>
        <v>222.49469999999999</v>
      </c>
      <c r="O24" s="100">
        <f>_xll.EQNXTDZ($A$1,$B24,O$1,$B$1)</f>
        <v>223.74870000000001</v>
      </c>
      <c r="P24" s="100">
        <f>_xll.EQNXTDZ($A$1,$B24,P$1,$B$1)</f>
        <v>170.70869999999999</v>
      </c>
      <c r="Q24" s="100">
        <f>_xll.EQNXTDZ($A$1,$B24,Q$1,$B$1)</f>
        <v>192.5703</v>
      </c>
      <c r="R24" s="100">
        <f>_xll.EQNXTDZ($A$1,$B24,R$1,$B$1)</f>
        <v>201.6326</v>
      </c>
      <c r="S24" s="100">
        <f>_xll.EQNXTDZ($A$1,$B24,S$1,$B$1)</f>
        <v>182.81010000000001</v>
      </c>
      <c r="T24" s="100">
        <f>_xll.EQNXTDZ($A$1,$B24,T$1,$B$1)</f>
        <v>131.0933</v>
      </c>
      <c r="U24" s="100">
        <f>_xll.EQNXTDZ($A$1,$B24,U$1,$B$1)</f>
        <v>206.0455</v>
      </c>
      <c r="V24" s="100">
        <f>_xll.EQNXTDZ($A$1,$B24,V$1,$B$1)</f>
        <v>148.84360000000001</v>
      </c>
      <c r="W24" s="100">
        <f>_xll.EQNXTDZ($A$1,$B24,W$1,$B$1)</f>
        <v>191.86250000000001</v>
      </c>
      <c r="X24" s="100">
        <f>_xll.EQNXTDZ($A$1,$B24,X$1,$B$1)</f>
        <v>255.75739999999999</v>
      </c>
      <c r="Y24" s="100">
        <f>_xll.EQNXTDZ($A$1,$B24,Y$1,$B$1)</f>
        <v>359.4</v>
      </c>
      <c r="Z24" s="100">
        <f>_xll.EQNXTDZ($A$1,$B24,Z$1,$B$1)</f>
        <v>518.78</v>
      </c>
      <c r="AA24" s="100">
        <f>_xll.EQNXTDZ($A$1,$B24,AA$1,$B$1)</f>
        <v>602.92999999999995</v>
      </c>
      <c r="AB24" s="100">
        <f>_xll.EQNXTDZ($A$1,$B24,AB$1,$B$1)</f>
        <v>604.53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7.2335590999999999</v>
      </c>
      <c r="D25" s="100">
        <f>_xll.EQNXTDZ($A$1,$B25,D$1,$B$1)</f>
        <v>7.8128282000000002</v>
      </c>
      <c r="E25" s="100">
        <f>_xll.EQNXTDZ($A$1,$B25,E$1,$B$1)</f>
        <v>7.7728830000000002</v>
      </c>
      <c r="F25" s="100">
        <f>_xll.EQNXTDZ($A$1,$B25,F$1,$B$1)</f>
        <v>9.1588001000000006</v>
      </c>
      <c r="G25" s="100">
        <f>_xll.EQNXTDZ($A$1,$B25,G$1,$B$1)</f>
        <v>12.263400000000001</v>
      </c>
      <c r="H25" s="100">
        <f>_xll.EQNXTDZ($A$1,$B25,H$1,$B$1)</f>
        <v>18.2027</v>
      </c>
      <c r="I25" s="100">
        <f>_xll.EQNXTDZ($A$1,$B25,I$1,$B$1)</f>
        <v>24.569299999999998</v>
      </c>
      <c r="J25" s="100">
        <f>_xll.EQNXTDZ($A$1,$B25,J$1,$B$1)</f>
        <v>33.482100000000003</v>
      </c>
      <c r="K25" s="100">
        <f>_xll.EQNXTDZ($A$1,$B25,K$1,$B$1)</f>
        <v>57.493899999999996</v>
      </c>
      <c r="L25" s="100">
        <f>_xll.EQNXTDZ($A$1,$B25,L$1,$B$1)</f>
        <v>58.252899999999997</v>
      </c>
      <c r="M25" s="100">
        <f>_xll.EQNXTDZ($A$1,$B25,M$1,$B$1)</f>
        <v>60.1511</v>
      </c>
      <c r="N25" s="100">
        <f>_xll.EQNXTDZ($A$1,$B25,N$1,$B$1)</f>
        <v>72.1691</v>
      </c>
      <c r="O25" s="100">
        <f>_xll.EQNXTDZ($A$1,$B25,O$1,$B$1)</f>
        <v>89.825999999999993</v>
      </c>
      <c r="P25" s="100">
        <f>_xll.EQNXTDZ($A$1,$B25,P$1,$B$1)</f>
        <v>79.703199999999995</v>
      </c>
      <c r="Q25" s="100">
        <f>_xll.EQNXTDZ($A$1,$B25,Q$1,$B$1)</f>
        <v>87.0625</v>
      </c>
      <c r="R25" s="100">
        <f>_xll.EQNXTDZ($A$1,$B25,R$1,$B$1)</f>
        <v>82.874799999999993</v>
      </c>
      <c r="S25" s="100">
        <f>_xll.EQNXTDZ($A$1,$B25,S$1,$B$1)</f>
        <v>89.796499999999995</v>
      </c>
      <c r="T25" s="100">
        <f>_xll.EQNXTDZ($A$1,$B25,T$1,$B$1)</f>
        <v>75.2547</v>
      </c>
      <c r="U25" s="100">
        <f>_xll.EQNXTDZ($A$1,$B25,U$1,$B$1)</f>
        <v>73.753699999999995</v>
      </c>
      <c r="V25" s="100">
        <f>_xll.EQNXTDZ($A$1,$B25,V$1,$B$1)</f>
        <v>77.652000000000001</v>
      </c>
      <c r="W25" s="100">
        <f>_xll.EQNXTDZ($A$1,$B25,W$1,$B$1)</f>
        <v>60.332599999999999</v>
      </c>
      <c r="X25" s="100">
        <f>_xll.EQNXTDZ($A$1,$B25,X$1,$B$1)</f>
        <v>38.096899999999998</v>
      </c>
      <c r="Y25" s="100">
        <f>_xll.EQNXTDZ($A$1,$B25,Y$1,$B$1)</f>
        <v>13.77</v>
      </c>
      <c r="Z25" s="100">
        <f>_xll.EQNXTDZ($A$1,$B25,Z$1,$B$1)</f>
        <v>8.89</v>
      </c>
      <c r="AA25" s="100">
        <f>_xll.EQNXTDZ($A$1,$B25,AA$1,$B$1)</f>
        <v>13.33</v>
      </c>
      <c r="AB25" s="100">
        <f>_xll.EQNXTDZ($A$1,$B25,AB$1,$B$1)</f>
        <v>25.13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8.1815180999999999</v>
      </c>
      <c r="D26" s="100">
        <f>_xll.EQNXTDZ($A$1,$B26,D$1,$B$1)</f>
        <v>5.9652661</v>
      </c>
      <c r="E26" s="100">
        <f>_xll.EQNXTDZ($A$1,$B26,E$1,$B$1)</f>
        <v>9.5480537000000005</v>
      </c>
      <c r="F26" s="100">
        <f>_xll.EQNXTDZ($A$1,$B26,F$1,$B$1)</f>
        <v>9.9906836000000006</v>
      </c>
      <c r="G26" s="100">
        <f>_xll.EQNXTDZ($A$1,$B26,G$1,$B$1)</f>
        <v>31.6953</v>
      </c>
      <c r="H26" s="100">
        <f>_xll.EQNXTDZ($A$1,$B26,H$1,$B$1)</f>
        <v>53.964300000000001</v>
      </c>
      <c r="I26" s="100">
        <f>_xll.EQNXTDZ($A$1,$B26,I$1,$B$1)</f>
        <v>98.928200000000004</v>
      </c>
      <c r="J26" s="100">
        <f>_xll.EQNXTDZ($A$1,$B26,J$1,$B$1)</f>
        <v>112.8771</v>
      </c>
      <c r="K26" s="100">
        <f>_xll.EQNXTDZ($A$1,$B26,K$1,$B$1)</f>
        <v>110.2474</v>
      </c>
      <c r="L26" s="100">
        <f>_xll.EQNXTDZ($A$1,$B26,L$1,$B$1)</f>
        <v>123.43729999999999</v>
      </c>
      <c r="M26" s="100">
        <f>_xll.EQNXTDZ($A$1,$B26,M$1,$B$1)</f>
        <v>164.35380000000001</v>
      </c>
      <c r="N26" s="100">
        <f>_xll.EQNXTDZ($A$1,$B26,N$1,$B$1)</f>
        <v>150.32560000000001</v>
      </c>
      <c r="O26" s="100">
        <f>_xll.EQNXTDZ($A$1,$B26,O$1,$B$1)</f>
        <v>133.92269999999999</v>
      </c>
      <c r="P26" s="100">
        <f>_xll.EQNXTDZ($A$1,$B26,P$1,$B$1)</f>
        <v>91.005499999999998</v>
      </c>
      <c r="Q26" s="100">
        <f>_xll.EQNXTDZ($A$1,$B26,Q$1,$B$1)</f>
        <v>105.5078</v>
      </c>
      <c r="R26" s="100">
        <f>_xll.EQNXTDZ($A$1,$B26,R$1,$B$1)</f>
        <v>118.7578</v>
      </c>
      <c r="S26" s="100">
        <f>_xll.EQNXTDZ($A$1,$B26,S$1,$B$1)</f>
        <v>93.013599999999997</v>
      </c>
      <c r="T26" s="100">
        <f>_xll.EQNXTDZ($A$1,$B26,T$1,$B$1)</f>
        <v>55.8386</v>
      </c>
      <c r="U26" s="100">
        <f>_xll.EQNXTDZ($A$1,$B26,U$1,$B$1)</f>
        <v>132.29179999999999</v>
      </c>
      <c r="V26" s="100">
        <f>_xll.EQNXTDZ($A$1,$B26,V$1,$B$1)</f>
        <v>71.191599999999994</v>
      </c>
      <c r="W26" s="100">
        <f>_xll.EQNXTDZ($A$1,$B26,W$1,$B$1)</f>
        <v>131.5299</v>
      </c>
      <c r="X26" s="100">
        <f>_xll.EQNXTDZ($A$1,$B26,X$1,$B$1)</f>
        <v>217.66050000000001</v>
      </c>
      <c r="Y26" s="100">
        <f>_xll.EQNXTDZ($A$1,$B26,Y$1,$B$1)</f>
        <v>345.63</v>
      </c>
      <c r="Z26" s="100">
        <f>_xll.EQNXTDZ($A$1,$B26,Z$1,$B$1)</f>
        <v>509.89</v>
      </c>
      <c r="AA26" s="100">
        <f>_xll.EQNXTDZ($A$1,$B26,AA$1,$B$1)</f>
        <v>589.6</v>
      </c>
      <c r="AB26" s="100">
        <f>_xll.EQNXTDZ($A$1,$B26,AB$1,$B$1)</f>
        <v>579.4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7.7900296000000004</v>
      </c>
      <c r="D27" s="100">
        <f>_xll.EQNXTDZ($A$1,$B27,D$1,$B$1)</f>
        <v>7.4983586999999998</v>
      </c>
      <c r="E27" s="100">
        <f>_xll.EQNXTDZ($A$1,$B27,E$1,$B$1)</f>
        <v>8.0777785000000009</v>
      </c>
      <c r="F27" s="100">
        <f>_xll.EQNXTDZ($A$1,$B27,F$1,$B$1)</f>
        <v>7.8435405999999999</v>
      </c>
      <c r="G27" s="100">
        <f>_xll.EQNXTDZ($A$1,$B27,G$1,$B$1)</f>
        <v>8.2318999999999996</v>
      </c>
      <c r="H27" s="100">
        <f>_xll.EQNXTDZ($A$1,$B27,H$1,$B$1)</f>
        <v>9.4300999999999995</v>
      </c>
      <c r="I27" s="100">
        <f>_xll.EQNXTDZ($A$1,$B27,I$1,$B$1)</f>
        <v>12.223000000000001</v>
      </c>
      <c r="J27" s="100">
        <f>_xll.EQNXTDZ($A$1,$B27,J$1,$B$1)</f>
        <v>14.198</v>
      </c>
      <c r="K27" s="100">
        <f>_xll.EQNXTDZ($A$1,$B27,K$1,$B$1)</f>
        <v>22.147099999999998</v>
      </c>
      <c r="L27" s="100">
        <f>_xll.EQNXTDZ($A$1,$B27,L$1,$B$1)</f>
        <v>33.1203</v>
      </c>
      <c r="M27" s="100">
        <f>_xll.EQNXTDZ($A$1,$B27,M$1,$B$1)</f>
        <v>41.65</v>
      </c>
      <c r="N27" s="100">
        <f>_xll.EQNXTDZ($A$1,$B27,N$1,$B$1)</f>
        <v>48.647100000000002</v>
      </c>
      <c r="O27" s="100">
        <f>_xll.EQNXTDZ($A$1,$B27,O$1,$B$1)</f>
        <v>57.0899</v>
      </c>
      <c r="P27" s="100">
        <f>_xll.EQNXTDZ($A$1,$B27,P$1,$B$1)</f>
        <v>61.623600000000003</v>
      </c>
      <c r="Q27" s="100">
        <f>_xll.EQNXTDZ($A$1,$B27,Q$1,$B$1)</f>
        <v>71.578699999999998</v>
      </c>
      <c r="R27" s="100">
        <f>_xll.EQNXTDZ($A$1,$B27,R$1,$B$1)</f>
        <v>62.122599999999998</v>
      </c>
      <c r="S27" s="100">
        <f>_xll.EQNXTDZ($A$1,$B27,S$1,$B$1)</f>
        <v>53.238199999999999</v>
      </c>
      <c r="T27" s="100">
        <f>_xll.EQNXTDZ($A$1,$B27,T$1,$B$1)</f>
        <v>52.923200000000001</v>
      </c>
      <c r="U27" s="100">
        <f>_xll.EQNXTDZ($A$1,$B27,U$1,$B$1)</f>
        <v>47.892499999999998</v>
      </c>
      <c r="V27" s="100">
        <f>_xll.EQNXTDZ($A$1,$B27,V$1,$B$1)</f>
        <v>53.258099999999999</v>
      </c>
      <c r="W27" s="100">
        <f>_xll.EQNXTDZ($A$1,$B27,W$1,$B$1)</f>
        <v>52.112299999999998</v>
      </c>
      <c r="X27" s="100">
        <f>_xll.EQNXTDZ($A$1,$B27,X$1,$B$1)</f>
        <v>48.5764</v>
      </c>
      <c r="Y27" s="100">
        <f>_xll.EQNXTDZ($A$1,$B27,Y$1,$B$1)</f>
        <v>49.04</v>
      </c>
      <c r="Z27" s="100">
        <f>_xll.EQNXTDZ($A$1,$B27,Z$1,$B$1)</f>
        <v>50.92</v>
      </c>
      <c r="AA27" s="100">
        <f>_xll.EQNXTDZ($A$1,$B27,AA$1,$B$1)</f>
        <v>60.76</v>
      </c>
      <c r="AB27" s="100">
        <f>_xll.EQNXTDZ($A$1,$B27,AB$1,$B$1)</f>
        <v>104.24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2.9733000000000001</v>
      </c>
      <c r="S28" s="100">
        <f>_xll.EQNXTDZ($A$1,$B28,S$1,$B$1)</f>
        <v>4.0838999999999999</v>
      </c>
      <c r="T28" s="100">
        <f>_xll.EQNXTDZ($A$1,$B28,T$1,$B$1)</f>
        <v>2.7042000000000002</v>
      </c>
      <c r="U28" s="100">
        <f>_xll.EQNXTDZ($A$1,$B28,U$1,$B$1)</f>
        <v>3.8589000000000002</v>
      </c>
      <c r="V28" s="100">
        <f>_xll.EQNXTDZ($A$1,$B28,V$1,$B$1)</f>
        <v>1.5769</v>
      </c>
      <c r="W28" s="100">
        <f>_xll.EQNXTDZ($A$1,$B28,W$1,$B$1)</f>
        <v>1.8738999999999999</v>
      </c>
      <c r="X28" s="100">
        <f>_xll.EQNXTDZ($A$1,$B28,X$1,$B$1)</f>
        <v>1.4422999999999999</v>
      </c>
      <c r="Y28" s="100">
        <f>_xll.EQNXTDZ($A$1,$B28,Y$1,$B$1)</f>
        <v>3.25</v>
      </c>
      <c r="Z28" s="100">
        <f>_xll.EQNXTDZ($A$1,$B28,Z$1,$B$1)</f>
        <v>6.41</v>
      </c>
      <c r="AA28" s="100">
        <f>_xll.EQNXTDZ($A$1,$B28,AA$1,$B$1)</f>
        <v>8.1300000000000008</v>
      </c>
      <c r="AB28" s="100">
        <f>_xll.EQNXTDZ($A$1,$B28,AB$1,$B$1)</f>
        <v>0.61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-6.0542999999999996</v>
      </c>
      <c r="H29" s="100">
        <f>_xll.EQNXTDZ($A$1,$B29,H$1,$B$1)</f>
        <v>-3.5564</v>
      </c>
      <c r="I29" s="100">
        <f>_xll.EQNXTDZ($A$1,$B29,I$1,$B$1)</f>
        <v>-2.2976999999999999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1.4935</v>
      </c>
      <c r="O29" s="100">
        <f>_xll.EQNXTDZ($A$1,$B29,O$1,$B$1)</f>
        <v>-26.6829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-21.3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0.05</v>
      </c>
      <c r="D30" s="100">
        <f>_xll.EQNXTDZ($A$1,$B30,D$1,$B$1)</f>
        <v>-5.57741E-2</v>
      </c>
      <c r="E30" s="100">
        <f>_xll.EQNXTDZ($A$1,$B30,E$1,$B$1)</f>
        <v>-0.26747520000000002</v>
      </c>
      <c r="F30" s="100">
        <f>_xll.EQNXTDZ($A$1,$B30,F$1,$B$1)</f>
        <v>-2.24485E-2</v>
      </c>
      <c r="G30" s="100">
        <f>_xll.EQNXTDZ($A$1,$B30,G$1,$B$1)</f>
        <v>7.3708</v>
      </c>
      <c r="H30" s="100">
        <f>_xll.EQNXTDZ($A$1,$B30,H$1,$B$1)</f>
        <v>13.094200000000001</v>
      </c>
      <c r="I30" s="100">
        <f>_xll.EQNXTDZ($A$1,$B30,I$1,$B$1)</f>
        <v>29.5045</v>
      </c>
      <c r="J30" s="100">
        <f>_xll.EQNXTDZ($A$1,$B30,J$1,$B$1)</f>
        <v>31.474900000000002</v>
      </c>
      <c r="K30" s="100">
        <f>_xll.EQNXTDZ($A$1,$B30,K$1,$B$1)</f>
        <v>30.649100000000001</v>
      </c>
      <c r="L30" s="100">
        <f>_xll.EQNXTDZ($A$1,$B30,L$1,$B$1)</f>
        <v>24.1417</v>
      </c>
      <c r="M30" s="100">
        <f>_xll.EQNXTDZ($A$1,$B30,M$1,$B$1)</f>
        <v>34.034700000000001</v>
      </c>
      <c r="N30" s="100">
        <f>_xll.EQNXTDZ($A$1,$B30,N$1,$B$1)</f>
        <v>42.636600000000001</v>
      </c>
      <c r="O30" s="100">
        <f>_xll.EQNXTDZ($A$1,$B30,O$1,$B$1)</f>
        <v>20.754999999999999</v>
      </c>
      <c r="P30" s="100">
        <f>_xll.EQNXTDZ($A$1,$B30,P$1,$B$1)</f>
        <v>15.114599999999999</v>
      </c>
      <c r="Q30" s="100">
        <f>_xll.EQNXTDZ($A$1,$B30,Q$1,$B$1)</f>
        <v>16.786799999999999</v>
      </c>
      <c r="R30" s="100">
        <f>_xll.EQNXTDZ($A$1,$B30,R$1,$B$1)</f>
        <v>22.2393</v>
      </c>
      <c r="S30" s="100">
        <f>_xll.EQNXTDZ($A$1,$B30,S$1,$B$1)</f>
        <v>33.109099999999998</v>
      </c>
      <c r="T30" s="100">
        <f>_xll.EQNXTDZ($A$1,$B30,T$1,$B$1)</f>
        <v>-1.8653999999999999</v>
      </c>
      <c r="U30" s="100">
        <f>_xll.EQNXTDZ($A$1,$B30,U$1,$B$1)</f>
        <v>18.149000000000001</v>
      </c>
      <c r="V30" s="100">
        <f>_xll.EQNXTDZ($A$1,$B30,V$1,$B$1)</f>
        <v>-70.191100000000006</v>
      </c>
      <c r="W30" s="100">
        <f>_xll.EQNXTDZ($A$1,$B30,W$1,$B$1)</f>
        <v>23.660499999999999</v>
      </c>
      <c r="X30" s="100">
        <f>_xll.EQNXTDZ($A$1,$B30,X$1,$B$1)</f>
        <v>30.033899999999999</v>
      </c>
      <c r="Y30" s="100">
        <f>_xll.EQNXTDZ($A$1,$B30,Y$1,$B$1)</f>
        <v>62.33</v>
      </c>
      <c r="Z30" s="100">
        <f>_xll.EQNXTDZ($A$1,$B30,Z$1,$B$1)</f>
        <v>109.8</v>
      </c>
      <c r="AA30" s="100">
        <f>_xll.EQNXTDZ($A$1,$B30,AA$1,$B$1)</f>
        <v>121.87</v>
      </c>
      <c r="AB30" s="100">
        <f>_xll.EQNXTDZ($A$1,$B30,AB$1,$B$1)</f>
        <v>113.32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-11.5099</v>
      </c>
      <c r="P32" s="100">
        <f>_xll.EQNXTDZ($A$1,$B32,P$1,$B$1)</f>
        <v>-0.68869999999999998</v>
      </c>
      <c r="Q32" s="100">
        <f>_xll.EQNXTDZ($A$1,$B32,Q$1,$B$1)</f>
        <v>-1.0019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1.2887999999999999</v>
      </c>
      <c r="N33" s="100">
        <f>_xll.EQNXTDZ($A$1,$B33,N$1,$B$1)</f>
        <v>0.30869999999999997</v>
      </c>
      <c r="O33" s="100">
        <f>_xll.EQNXTDZ($A$1,$B33,O$1,$B$1)</f>
        <v>4.7199999999999999E-2</v>
      </c>
      <c r="P33" s="100">
        <f>_xll.EQNXTDZ($A$1,$B33,P$1,$B$1)</f>
        <v>0.1542</v>
      </c>
      <c r="Q33" s="100">
        <f>_xll.EQNXTDZ($A$1,$B33,Q$1,$B$1)</f>
        <v>0.2039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0.25609999999999999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0.34148849999999997</v>
      </c>
      <c r="D35" s="100">
        <f>_xll.EQNXTDZ($A$1,$B35,D$1,$B$1)</f>
        <v>-1.4773185</v>
      </c>
      <c r="E35" s="100">
        <f>_xll.EQNXTDZ($A$1,$B35,E$1,$B$1)</f>
        <v>1.7377503999999999</v>
      </c>
      <c r="F35" s="100">
        <f>_xll.EQNXTDZ($A$1,$B35,F$1,$B$1)</f>
        <v>2.1695915000000001</v>
      </c>
      <c r="G35" s="100">
        <f>_xll.EQNXTDZ($A$1,$B35,G$1,$B$1)</f>
        <v>10.0383</v>
      </c>
      <c r="H35" s="100">
        <f>_xll.EQNXTDZ($A$1,$B35,H$1,$B$1)</f>
        <v>27.883600000000001</v>
      </c>
      <c r="I35" s="100">
        <f>_xll.EQNXTDZ($A$1,$B35,I$1,$B$1)</f>
        <v>54.902999999999999</v>
      </c>
      <c r="J35" s="100">
        <f>_xll.EQNXTDZ($A$1,$B35,J$1,$B$1)</f>
        <v>67.2042</v>
      </c>
      <c r="K35" s="100">
        <f>_xll.EQNXTDZ($A$1,$B35,K$1,$B$1)</f>
        <v>57.4512</v>
      </c>
      <c r="L35" s="100">
        <f>_xll.EQNXTDZ($A$1,$B35,L$1,$B$1)</f>
        <v>66.175299999999993</v>
      </c>
      <c r="M35" s="100">
        <f>_xll.EQNXTDZ($A$1,$B35,M$1,$B$1)</f>
        <v>89.957899999999995</v>
      </c>
      <c r="N35" s="100">
        <f>_xll.EQNXTDZ($A$1,$B35,N$1,$B$1)</f>
        <v>61.100200000000001</v>
      </c>
      <c r="O35" s="100">
        <f>_xll.EQNXTDZ($A$1,$B35,O$1,$B$1)</f>
        <v>17.932200000000002</v>
      </c>
      <c r="P35" s="100">
        <f>_xll.EQNXTDZ($A$1,$B35,P$1,$B$1)</f>
        <v>13.732799999999999</v>
      </c>
      <c r="Q35" s="100">
        <f>_xll.EQNXTDZ($A$1,$B35,Q$1,$B$1)</f>
        <v>16.3443</v>
      </c>
      <c r="R35" s="100">
        <f>_xll.EQNXTDZ($A$1,$B35,R$1,$B$1)</f>
        <v>37.369199999999999</v>
      </c>
      <c r="S35" s="100">
        <f>_xll.EQNXTDZ($A$1,$B35,S$1,$B$1)</f>
        <v>10.7502</v>
      </c>
      <c r="T35" s="100">
        <f>_xll.EQNXTDZ($A$1,$B35,T$1,$B$1)</f>
        <v>7.4850000000000003</v>
      </c>
      <c r="U35" s="100">
        <f>_xll.EQNXTDZ($A$1,$B35,U$1,$B$1)</f>
        <v>70.109200000000001</v>
      </c>
      <c r="V35" s="100">
        <f>_xll.EQNXTDZ($A$1,$B35,V$1,$B$1)</f>
        <v>89.701499999999996</v>
      </c>
      <c r="W35" s="100">
        <f>_xll.EQNXTDZ($A$1,$B35,W$1,$B$1)</f>
        <v>57.631</v>
      </c>
      <c r="X35" s="100">
        <f>_xll.EQNXTDZ($A$1,$B35,X$1,$B$1)</f>
        <v>140.49250000000001</v>
      </c>
      <c r="Y35" s="100">
        <f>_xll.EQNXTDZ($A$1,$B35,Y$1,$B$1)</f>
        <v>237.51</v>
      </c>
      <c r="Z35" s="100">
        <f>_xll.EQNXTDZ($A$1,$B35,Z$1,$B$1)</f>
        <v>355.58</v>
      </c>
      <c r="AA35" s="100">
        <f>_xll.EQNXTDZ($A$1,$B35,AA$1,$B$1)</f>
        <v>415.1</v>
      </c>
      <c r="AB35" s="100">
        <f>_xll.EQNXTDZ($A$1,$B35,AB$1,$B$1)</f>
        <v>341.15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5.6474099999999998</v>
      </c>
      <c r="D41" s="55">
        <f>_xll.EQNXTDZ($A$1,$B41,D$1,$B$1)</f>
        <v>5.6474099999999998</v>
      </c>
      <c r="E41" s="55">
        <f>_xll.EQNXTDZ($A$1,$B41,E$1,$B$1)</f>
        <v>5.6474099999999998</v>
      </c>
      <c r="F41" s="55">
        <f>_xll.EQNXTDZ($A$1,$B41,F$1,$B$1)</f>
        <v>5.6474099999999998</v>
      </c>
      <c r="G41" s="55">
        <f>_xll.EQNXTDZ($A$1,$B41,G$1,$B$1)</f>
        <v>5.6474000000000002</v>
      </c>
      <c r="H41" s="55">
        <f>_xll.EQNXTDZ($A$1,$B41,H$1,$B$1)</f>
        <v>5.7077999999999998</v>
      </c>
      <c r="I41" s="55">
        <f>_xll.EQNXTDZ($A$1,$B41,I$1,$B$1)</f>
        <v>6.1847000000000003</v>
      </c>
      <c r="J41" s="55">
        <f>_xll.EQNXTDZ($A$1,$B41,J$1,$B$1)</f>
        <v>18.572299999999998</v>
      </c>
      <c r="K41" s="55">
        <f>_xll.EQNXTDZ($A$1,$B41,K$1,$B$1)</f>
        <v>18.572299999999998</v>
      </c>
      <c r="L41" s="55">
        <f>_xll.EQNXTDZ($A$1,$B41,L$1,$B$1)</f>
        <v>18.572299999999998</v>
      </c>
      <c r="M41" s="55">
        <f>_xll.EQNXTDZ($A$1,$B41,M$1,$B$1)</f>
        <v>18.572299999999998</v>
      </c>
      <c r="N41" s="55">
        <f>_xll.EQNXTDZ($A$1,$B41,N$1,$B$1)</f>
        <v>18.572299999999998</v>
      </c>
      <c r="O41" s="55">
        <f>_xll.EQNXTDZ($A$1,$B41,O$1,$B$1)</f>
        <v>18.572299999999998</v>
      </c>
      <c r="P41" s="55">
        <f>_xll.EQNXTDZ($A$1,$B41,P$1,$B$1)</f>
        <v>21.787199999999999</v>
      </c>
      <c r="Q41" s="55">
        <f>_xll.EQNXTDZ($A$1,$B41,Q$1,$B$1)</f>
        <v>21.787199999999999</v>
      </c>
      <c r="R41" s="55">
        <f>_xll.EQNXTDZ($A$1,$B41,R$1,$B$1)</f>
        <v>21.787199999999999</v>
      </c>
      <c r="S41" s="55">
        <f>_xll.EQNXTDZ($A$1,$B41,S$1,$B$1)</f>
        <v>22.44</v>
      </c>
      <c r="T41" s="55">
        <f>_xll.EQNXTDZ($A$1,$B41,T$1,$B$1)</f>
        <v>22.44</v>
      </c>
      <c r="U41" s="55">
        <f>_xll.EQNXTDZ($A$1,$B41,U$1,$B$1)</f>
        <v>22.44</v>
      </c>
      <c r="V41" s="55">
        <f>_xll.EQNXTDZ($A$1,$B41,V$1,$B$1)</f>
        <v>22.44</v>
      </c>
      <c r="W41" s="55">
        <f>_xll.EQNXTDZ($A$1,$B41,W$1,$B$1)</f>
        <v>22.44</v>
      </c>
      <c r="X41" s="55">
        <f>_xll.EQNXTDZ($A$1,$B41,X$1,$B$1)</f>
        <v>22.44</v>
      </c>
      <c r="Y41" s="55">
        <f>_xll.EQNXTDZ($A$1,$B41,Y$1,$B$1)</f>
        <v>22.44</v>
      </c>
      <c r="Z41" s="55">
        <f>_xll.EQNXTDZ($A$1,$B41,Z$1,$B$1)</f>
        <v>22.44</v>
      </c>
      <c r="AA41" s="55">
        <f>_xll.EQNXTDZ($A$1,$B41,AA$1,$B$1)</f>
        <v>22.44</v>
      </c>
      <c r="AB41" s="55">
        <f>_xll.EQNXTDZ($A$1,$B41,AB$1,$B$1)</f>
        <v>22.44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3.2149000000000001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0.65280000000000005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68.2470134</v>
      </c>
      <c r="D43" s="55">
        <f>_xll.EQNXTDZ($A$1,$B43,D$1,$B$1)</f>
        <v>56.210759299999999</v>
      </c>
      <c r="E43" s="55">
        <f>_xll.EQNXTDZ($A$1,$B43,E$1,$B$1)</f>
        <v>57.948509700000002</v>
      </c>
      <c r="F43" s="55">
        <f>_xll.EQNXTDZ($A$1,$B43,F$1,$B$1)</f>
        <v>59.481002799999999</v>
      </c>
      <c r="G43" s="55">
        <f>_xll.EQNXTDZ($A$1,$B43,G$1,$B$1)</f>
        <v>67.657799999999995</v>
      </c>
      <c r="H43" s="55">
        <f>_xll.EQNXTDZ($A$1,$B43,H$1,$B$1)</f>
        <v>96.956000000000003</v>
      </c>
      <c r="I43" s="55">
        <f>_xll.EQNXTDZ($A$1,$B43,I$1,$B$1)</f>
        <v>181.71899999999999</v>
      </c>
      <c r="J43" s="55">
        <f>_xll.EQNXTDZ($A$1,$B43,J$1,$B$1)</f>
        <v>218.15389999999999</v>
      </c>
      <c r="K43" s="55">
        <f>_xll.EQNXTDZ($A$1,$B43,K$1,$B$1)</f>
        <v>256.82769999999999</v>
      </c>
      <c r="L43" s="55">
        <f>_xll.EQNXTDZ($A$1,$B43,L$1,$B$1)</f>
        <v>307.53410000000002</v>
      </c>
      <c r="M43" s="55">
        <f>_xll.EQNXTDZ($A$1,$B43,M$1,$B$1)</f>
        <v>399.8186</v>
      </c>
      <c r="N43" s="55">
        <f>_xll.EQNXTDZ($A$1,$B43,N$1,$B$1)</f>
        <v>440.12060000000002</v>
      </c>
      <c r="O43" s="55">
        <f>_xll.EQNXTDZ($A$1,$B43,O$1,$B$1)</f>
        <v>516.00440000000003</v>
      </c>
      <c r="P43" s="55">
        <f>_xll.EQNXTDZ($A$1,$B43,P$1,$B$1)</f>
        <v>510.30650000000003</v>
      </c>
      <c r="Q43" s="55">
        <f>_xll.EQNXTDZ($A$1,$B43,Q$1,$B$1)</f>
        <v>513.78089999999997</v>
      </c>
      <c r="R43" s="55">
        <f>_xll.EQNXTDZ($A$1,$B43,R$1,$B$1)</f>
        <v>681.84349999999995</v>
      </c>
      <c r="S43" s="55">
        <f>_xll.EQNXTDZ($A$1,$B43,S$1,$B$1)</f>
        <v>687.40970000000004</v>
      </c>
      <c r="T43" s="55">
        <f>_xll.EQNXTDZ($A$1,$B43,T$1,$B$1)</f>
        <v>686.43190000000004</v>
      </c>
      <c r="U43" s="55">
        <f>_xll.EQNXTDZ($A$1,$B43,U$1,$B$1)</f>
        <v>745.62440000000004</v>
      </c>
      <c r="V43" s="55">
        <f>_xll.EQNXTDZ($A$1,$B43,V$1,$B$1)</f>
        <v>831.75379999999996</v>
      </c>
      <c r="W43" s="55">
        <f>_xll.EQNXTDZ($A$1,$B43,W$1,$B$1)</f>
        <v>896.80830000000003</v>
      </c>
      <c r="X43" s="55">
        <f>_xll.EQNXTDZ($A$1,$B43,X$1,$B$1)</f>
        <v>1027.7978000000001</v>
      </c>
      <c r="Y43" s="55">
        <f>_xll.EQNXTDZ($A$1,$B43,Y$1,$B$1)</f>
        <v>1256.67</v>
      </c>
      <c r="Z43" s="55">
        <f>_xll.EQNXTDZ($A$1,$B43,Z$1,$B$1)</f>
        <v>1581.59</v>
      </c>
      <c r="AA43" s="55">
        <f>_xll.EQNXTDZ($A$1,$B43,AA$1,$B$1)</f>
        <v>1976.25</v>
      </c>
      <c r="AB43" s="55">
        <f>_xll.EQNXTDZ($A$1,$B43,AB$1,$B$1)</f>
        <v>2283.41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73.894423399999994</v>
      </c>
      <c r="D44" s="55">
        <f>_xll.EQNXTDZ($A$1,$B44,D$1,$B$1)</f>
        <v>61.8581693</v>
      </c>
      <c r="E44" s="55">
        <f>_xll.EQNXTDZ($A$1,$B44,E$1,$B$1)</f>
        <v>63.595919700000003</v>
      </c>
      <c r="F44" s="55">
        <f>_xll.EQNXTDZ($A$1,$B44,F$1,$B$1)</f>
        <v>65.128412800000007</v>
      </c>
      <c r="G44" s="55">
        <f>_xll.EQNXTDZ($A$1,$B44,G$1,$B$1)</f>
        <v>73.305199999999999</v>
      </c>
      <c r="H44" s="55">
        <f>_xll.EQNXTDZ($A$1,$B44,H$1,$B$1)</f>
        <v>102.66379999999999</v>
      </c>
      <c r="I44" s="55">
        <f>_xll.EQNXTDZ($A$1,$B44,I$1,$B$1)</f>
        <v>187.90369999999999</v>
      </c>
      <c r="J44" s="55">
        <f>_xll.EQNXTDZ($A$1,$B44,J$1,$B$1)</f>
        <v>236.72620000000001</v>
      </c>
      <c r="K44" s="55">
        <f>_xll.EQNXTDZ($A$1,$B44,K$1,$B$1)</f>
        <v>275.39999999999998</v>
      </c>
      <c r="L44" s="55">
        <f>_xll.EQNXTDZ($A$1,$B44,L$1,$B$1)</f>
        <v>326.10640000000001</v>
      </c>
      <c r="M44" s="55">
        <f>_xll.EQNXTDZ($A$1,$B44,M$1,$B$1)</f>
        <v>418.39089999999999</v>
      </c>
      <c r="N44" s="55">
        <f>_xll.EQNXTDZ($A$1,$B44,N$1,$B$1)</f>
        <v>458.69290000000001</v>
      </c>
      <c r="O44" s="55">
        <f>_xll.EQNXTDZ($A$1,$B44,O$1,$B$1)</f>
        <v>537.79160000000002</v>
      </c>
      <c r="P44" s="55">
        <f>_xll.EQNXTDZ($A$1,$B44,P$1,$B$1)</f>
        <v>532.09370000000001</v>
      </c>
      <c r="Q44" s="55">
        <f>_xll.EQNXTDZ($A$1,$B44,Q$1,$B$1)</f>
        <v>535.56809999999996</v>
      </c>
      <c r="R44" s="55">
        <f>_xll.EQNXTDZ($A$1,$B44,R$1,$B$1)</f>
        <v>704.2835</v>
      </c>
      <c r="S44" s="55">
        <f>_xll.EQNXTDZ($A$1,$B44,S$1,$B$1)</f>
        <v>709.84969999999998</v>
      </c>
      <c r="T44" s="55">
        <f>_xll.EQNXTDZ($A$1,$B44,T$1,$B$1)</f>
        <v>708.87189999999998</v>
      </c>
      <c r="U44" s="55">
        <f>_xll.EQNXTDZ($A$1,$B44,U$1,$B$1)</f>
        <v>768.06439999999998</v>
      </c>
      <c r="V44" s="55">
        <f>_xll.EQNXTDZ($A$1,$B44,V$1,$B$1)</f>
        <v>854.19380000000001</v>
      </c>
      <c r="W44" s="55">
        <f>_xll.EQNXTDZ($A$1,$B44,W$1,$B$1)</f>
        <v>919.24829999999997</v>
      </c>
      <c r="X44" s="55">
        <f>_xll.EQNXTDZ($A$1,$B44,X$1,$B$1)</f>
        <v>1050.2378000000001</v>
      </c>
      <c r="Y44" s="55">
        <f>_xll.EQNXTDZ($A$1,$B44,Y$1,$B$1)</f>
        <v>1279.1099999999999</v>
      </c>
      <c r="Z44" s="55">
        <f>_xll.EQNXTDZ($A$1,$B44,Z$1,$B$1)</f>
        <v>1604.03</v>
      </c>
      <c r="AA44" s="55">
        <f>_xll.EQNXTDZ($A$1,$B44,AA$1,$B$1)</f>
        <v>1998.69</v>
      </c>
      <c r="AB44" s="55">
        <f>_xll.EQNXTDZ($A$1,$B44,AB$1,$B$1)</f>
        <v>2305.85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34.344700000000003</v>
      </c>
      <c r="P45" s="55">
        <f>_xll.EQNXTDZ($A$1,$B45,P$1,$B$1)</f>
        <v>35.0334</v>
      </c>
      <c r="Q45" s="55">
        <f>_xll.EQNXTDZ($A$1,$B45,Q$1,$B$1)</f>
        <v>36.035299999999999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42.821278800000002</v>
      </c>
      <c r="D47" s="55">
        <f>_xll.EQNXTDZ($A$1,$B47,D$1,$B$1)</f>
        <v>43.6866135</v>
      </c>
      <c r="E47" s="55">
        <f>_xll.EQNXTDZ($A$1,$B47,E$1,$B$1)</f>
        <v>40.3346102</v>
      </c>
      <c r="F47" s="55">
        <f>_xll.EQNXTDZ($A$1,$B47,F$1,$B$1)</f>
        <v>33.509765199999997</v>
      </c>
      <c r="G47" s="55">
        <f>_xll.EQNXTDZ($A$1,$B47,G$1,$B$1)</f>
        <v>66.957599999999999</v>
      </c>
      <c r="H47" s="55">
        <f>_xll.EQNXTDZ($A$1,$B47,H$1,$B$1)</f>
        <v>150.61490000000001</v>
      </c>
      <c r="I47" s="55">
        <f>_xll.EQNXTDZ($A$1,$B47,I$1,$B$1)</f>
        <v>267.28570000000002</v>
      </c>
      <c r="J47" s="55">
        <f>_xll.EQNXTDZ($A$1,$B47,J$1,$B$1)</f>
        <v>320.91059999999999</v>
      </c>
      <c r="K47" s="55">
        <f>_xll.EQNXTDZ($A$1,$B47,K$1,$B$1)</f>
        <v>523.60919999999999</v>
      </c>
      <c r="L47" s="55">
        <f>_xll.EQNXTDZ($A$1,$B47,L$1,$B$1)</f>
        <v>332.87700000000001</v>
      </c>
      <c r="M47" s="55">
        <f>_xll.EQNXTDZ($A$1,$B47,M$1,$B$1)</f>
        <v>203.39660000000001</v>
      </c>
      <c r="N47" s="55">
        <f>_xll.EQNXTDZ($A$1,$B47,N$1,$B$1)</f>
        <v>194.06059999999999</v>
      </c>
      <c r="O47" s="55">
        <f>_xll.EQNXTDZ($A$1,$B47,O$1,$B$1)</f>
        <v>181.39490000000001</v>
      </c>
      <c r="P47" s="55">
        <f>_xll.EQNXTDZ($A$1,$B47,P$1,$B$1)</f>
        <v>137.79839999999999</v>
      </c>
      <c r="Q47" s="55">
        <f>_xll.EQNXTDZ($A$1,$B47,Q$1,$B$1)</f>
        <v>163.16579999999999</v>
      </c>
      <c r="R47" s="55">
        <f>_xll.EQNXTDZ($A$1,$B47,R$1,$B$1)</f>
        <v>178.89150000000001</v>
      </c>
      <c r="S47" s="55">
        <f>_xll.EQNXTDZ($A$1,$B47,S$1,$B$1)</f>
        <v>139.44759999999999</v>
      </c>
      <c r="T47" s="55">
        <f>_xll.EQNXTDZ($A$1,$B47,T$1,$B$1)</f>
        <v>186.97120000000001</v>
      </c>
      <c r="U47" s="55">
        <f>_xll.EQNXTDZ($A$1,$B47,U$1,$B$1)</f>
        <v>243.85650000000001</v>
      </c>
      <c r="V47" s="55">
        <f>_xll.EQNXTDZ($A$1,$B47,V$1,$B$1)</f>
        <v>146.4316</v>
      </c>
      <c r="W47" s="55">
        <f>_xll.EQNXTDZ($A$1,$B47,W$1,$B$1)</f>
        <v>117.41589999999999</v>
      </c>
      <c r="X47" s="55">
        <f>_xll.EQNXTDZ($A$1,$B47,X$1,$B$1)</f>
        <v>19.6629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14.870937400000001</v>
      </c>
      <c r="D48" s="55">
        <f>_xll.EQNXTDZ($A$1,$B48,D$1,$B$1)</f>
        <v>12.558703299999999</v>
      </c>
      <c r="E48" s="55">
        <f>_xll.EQNXTDZ($A$1,$B48,E$1,$B$1)</f>
        <v>16.825001499999999</v>
      </c>
      <c r="F48" s="55">
        <f>_xll.EQNXTDZ($A$1,$B48,F$1,$B$1)</f>
        <v>35.347245399999998</v>
      </c>
      <c r="G48" s="55">
        <f>_xll.EQNXTDZ($A$1,$B48,G$1,$B$1)</f>
        <v>29.1891</v>
      </c>
      <c r="H48" s="55">
        <f>_xll.EQNXTDZ($A$1,$B48,H$1,$B$1)</f>
        <v>55.125700000000002</v>
      </c>
      <c r="I48" s="55">
        <f>_xll.EQNXTDZ($A$1,$B48,I$1,$B$1)</f>
        <v>16.373799999999999</v>
      </c>
      <c r="J48" s="55">
        <f>_xll.EQNXTDZ($A$1,$B48,J$1,$B$1)</f>
        <v>88.350300000000004</v>
      </c>
      <c r="K48" s="55">
        <f>_xll.EQNXTDZ($A$1,$B48,K$1,$B$1)</f>
        <v>68.472800000000007</v>
      </c>
      <c r="L48" s="55">
        <f>_xll.EQNXTDZ($A$1,$B48,L$1,$B$1)</f>
        <v>188.69890000000001</v>
      </c>
      <c r="M48" s="55">
        <f>_xll.EQNXTDZ($A$1,$B48,M$1,$B$1)</f>
        <v>0</v>
      </c>
      <c r="N48" s="55">
        <f>_xll.EQNXTDZ($A$1,$B48,N$1,$B$1)</f>
        <v>5.0099</v>
      </c>
      <c r="O48" s="55">
        <f>_xll.EQNXTDZ($A$1,$B48,O$1,$B$1)</f>
        <v>2.6404999999999998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10.521258599999999</v>
      </c>
      <c r="E49" s="55">
        <f>_xll.EQNXTDZ($A$1,$B49,E$1,$B$1)</f>
        <v>10.103783399999999</v>
      </c>
      <c r="F49" s="55">
        <f>_xll.EQNXTDZ($A$1,$B49,F$1,$B$1)</f>
        <v>9.9513350000000003</v>
      </c>
      <c r="G49" s="55">
        <f>_xll.EQNXTDZ($A$1,$B49,G$1,$B$1)</f>
        <v>12.312200000000001</v>
      </c>
      <c r="H49" s="55">
        <f>_xll.EQNXTDZ($A$1,$B49,H$1,$B$1)</f>
        <v>12.1052</v>
      </c>
      <c r="I49" s="55">
        <f>_xll.EQNXTDZ($A$1,$B49,I$1,$B$1)</f>
        <v>16.769500000000001</v>
      </c>
      <c r="J49" s="55">
        <f>_xll.EQNXTDZ($A$1,$B49,J$1,$B$1)</f>
        <v>17.107600000000001</v>
      </c>
      <c r="K49" s="55">
        <f>_xll.EQNXTDZ($A$1,$B49,K$1,$B$1)</f>
        <v>32.780299999999997</v>
      </c>
      <c r="L49" s="55">
        <f>_xll.EQNXTDZ($A$1,$B49,L$1,$B$1)</f>
        <v>40.258499999999998</v>
      </c>
      <c r="M49" s="55">
        <f>_xll.EQNXTDZ($A$1,$B49,M$1,$B$1)</f>
        <v>39.202300000000001</v>
      </c>
      <c r="N49" s="55">
        <f>_xll.EQNXTDZ($A$1,$B49,N$1,$B$1)</f>
        <v>42.709200000000003</v>
      </c>
      <c r="O49" s="55">
        <f>_xll.EQNXTDZ($A$1,$B49,O$1,$B$1)</f>
        <v>41.356099999999998</v>
      </c>
      <c r="P49" s="55">
        <f>_xll.EQNXTDZ($A$1,$B49,P$1,$B$1)</f>
        <v>40.010100000000001</v>
      </c>
      <c r="Q49" s="55">
        <f>_xll.EQNXTDZ($A$1,$B49,Q$1,$B$1)</f>
        <v>32.744999999999997</v>
      </c>
      <c r="R49" s="55">
        <f>_xll.EQNXTDZ($A$1,$B49,R$1,$B$1)</f>
        <v>58.910600000000002</v>
      </c>
      <c r="S49" s="55">
        <f>_xll.EQNXTDZ($A$1,$B49,S$1,$B$1)</f>
        <v>69.304500000000004</v>
      </c>
      <c r="T49" s="55">
        <f>_xll.EQNXTDZ($A$1,$B49,T$1,$B$1)</f>
        <v>64.616</v>
      </c>
      <c r="U49" s="55">
        <f>_xll.EQNXTDZ($A$1,$B49,U$1,$B$1)</f>
        <v>76.307699999999997</v>
      </c>
      <c r="V49" s="55">
        <f>_xll.EQNXTDZ($A$1,$B49,V$1,$B$1)</f>
        <v>2.3207</v>
      </c>
      <c r="W49" s="55">
        <f>_xll.EQNXTDZ($A$1,$B49,W$1,$B$1)</f>
        <v>25.226199999999999</v>
      </c>
      <c r="X49" s="55">
        <f>_xll.EQNXTDZ($A$1,$B49,X$1,$B$1)</f>
        <v>23.877700000000001</v>
      </c>
      <c r="Y49" s="55">
        <f>_xll.EQNXTDZ($A$1,$B49,Y$1,$B$1)</f>
        <v>24.26</v>
      </c>
      <c r="Z49" s="55">
        <f>_xll.EQNXTDZ($A$1,$B49,Z$1,$B$1)</f>
        <v>24.63</v>
      </c>
      <c r="AA49" s="55">
        <f>_xll.EQNXTDZ($A$1,$B49,AA$1,$B$1)</f>
        <v>22.94</v>
      </c>
      <c r="AB49" s="55">
        <f>_xll.EQNXTDZ($A$1,$B49,AB$1,$B$1)</f>
        <v>42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70.5715</v>
      </c>
      <c r="N50" s="55">
        <f>_xll.EQNXTDZ($A$1,$B50,N$1,$B$1)</f>
        <v>55.176900000000003</v>
      </c>
      <c r="O50" s="55">
        <f>_xll.EQNXTDZ($A$1,$B50,O$1,$B$1)</f>
        <v>125.9269</v>
      </c>
      <c r="P50" s="55">
        <f>_xll.EQNXTDZ($A$1,$B50,P$1,$B$1)</f>
        <v>129.76310000000001</v>
      </c>
      <c r="Q50" s="55">
        <f>_xll.EQNXTDZ($A$1,$B50,Q$1,$B$1)</f>
        <v>100.52030000000001</v>
      </c>
      <c r="R50" s="55">
        <f>_xll.EQNXTDZ($A$1,$B50,R$1,$B$1)</f>
        <v>47.075800000000001</v>
      </c>
      <c r="S50" s="55">
        <f>_xll.EQNXTDZ($A$1,$B50,S$1,$B$1)</f>
        <v>0.57799999999999996</v>
      </c>
      <c r="T50" s="55">
        <f>_xll.EQNXTDZ($A$1,$B50,T$1,$B$1)</f>
        <v>0.56289999999999996</v>
      </c>
      <c r="U50" s="55">
        <f>_xll.EQNXTDZ($A$1,$B50,U$1,$B$1)</f>
        <v>0.26240000000000002</v>
      </c>
      <c r="V50" s="55">
        <f>_xll.EQNXTDZ($A$1,$B50,V$1,$B$1)</f>
        <v>48.601900000000001</v>
      </c>
      <c r="W50" s="55">
        <f>_xll.EQNXTDZ($A$1,$B50,W$1,$B$1)</f>
        <v>32.291200000000003</v>
      </c>
      <c r="X50" s="55">
        <f>_xll.EQNXTDZ($A$1,$B50,X$1,$B$1)</f>
        <v>32.418199999999999</v>
      </c>
      <c r="Y50" s="55">
        <f>_xll.EQNXTDZ($A$1,$B50,Y$1,$B$1)</f>
        <v>51.15</v>
      </c>
      <c r="Z50" s="55">
        <f>_xll.EQNXTDZ($A$1,$B50,Z$1,$B$1)</f>
        <v>77.86</v>
      </c>
      <c r="AA50" s="55">
        <f>_xll.EQNXTDZ($A$1,$B50,AA$1,$B$1)</f>
        <v>167.98</v>
      </c>
      <c r="AB50" s="55">
        <f>_xll.EQNXTDZ($A$1,$B50,AB$1,$B$1)</f>
        <v>218.21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25.048500000000001</v>
      </c>
      <c r="N51" s="55">
        <f>_xll.EQNXTDZ($A$1,$B51,N$1,$B$1)</f>
        <v>5.5277000000000003</v>
      </c>
      <c r="O51" s="55">
        <f>_xll.EQNXTDZ($A$1,$B51,O$1,$B$1)</f>
        <v>2.3016000000000001</v>
      </c>
      <c r="P51" s="55">
        <f>_xll.EQNXTDZ($A$1,$B51,P$1,$B$1)</f>
        <v>9.2304999999999993</v>
      </c>
      <c r="Q51" s="55">
        <f>_xll.EQNXTDZ($A$1,$B51,Q$1,$B$1)</f>
        <v>12.5303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5.0384000000000002</v>
      </c>
      <c r="N52" s="55">
        <f>_xll.EQNXTDZ($A$1,$B52,N$1,$B$1)</f>
        <v>4.0690999999999997</v>
      </c>
      <c r="O52" s="55">
        <f>_xll.EQNXTDZ($A$1,$B52,O$1,$B$1)</f>
        <v>5.2104999999999997</v>
      </c>
      <c r="P52" s="55">
        <f>_xll.EQNXTDZ($A$1,$B52,P$1,$B$1)</f>
        <v>3.2570999999999999</v>
      </c>
      <c r="Q52" s="55">
        <f>_xll.EQNXTDZ($A$1,$B52,Q$1,$B$1)</f>
        <v>3.1747000000000001</v>
      </c>
      <c r="R52" s="55">
        <f>_xll.EQNXTDZ($A$1,$B52,R$1,$B$1)</f>
        <v>6.6699000000000002</v>
      </c>
      <c r="S52" s="55">
        <f>_xll.EQNXTDZ($A$1,$B52,S$1,$B$1)</f>
        <v>48.211799999999997</v>
      </c>
      <c r="T52" s="55">
        <f>_xll.EQNXTDZ($A$1,$B52,T$1,$B$1)</f>
        <v>54.605800000000002</v>
      </c>
      <c r="U52" s="55">
        <f>_xll.EQNXTDZ($A$1,$B52,U$1,$B$1)</f>
        <v>56.404699999999998</v>
      </c>
      <c r="V52" s="55">
        <f>_xll.EQNXTDZ($A$1,$B52,V$1,$B$1)</f>
        <v>62.669400000000003</v>
      </c>
      <c r="W52" s="55">
        <f>_xll.EQNXTDZ($A$1,$B52,W$1,$B$1)</f>
        <v>54.669499999999999</v>
      </c>
      <c r="X52" s="55">
        <f>_xll.EQNXTDZ($A$1,$B52,X$1,$B$1)</f>
        <v>48.896700000000003</v>
      </c>
      <c r="Y52" s="55">
        <f>_xll.EQNXTDZ($A$1,$B52,Y$1,$B$1)</f>
        <v>32.86</v>
      </c>
      <c r="Z52" s="55">
        <f>_xll.EQNXTDZ($A$1,$B52,Z$1,$B$1)</f>
        <v>17.25</v>
      </c>
      <c r="AA52" s="55">
        <f>_xll.EQNXTDZ($A$1,$B52,AA$1,$B$1)</f>
        <v>2.74</v>
      </c>
      <c r="AB52" s="55">
        <f>_xll.EQNXTDZ($A$1,$B52,AB$1,$B$1)</f>
        <v>1.78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57.692216199999997</v>
      </c>
      <c r="D53" s="55">
        <f>_xll.EQNXTDZ($A$1,$B53,D$1,$B$1)</f>
        <v>66.766575399999994</v>
      </c>
      <c r="E53" s="55">
        <f>_xll.EQNXTDZ($A$1,$B53,E$1,$B$1)</f>
        <v>67.263395099999997</v>
      </c>
      <c r="F53" s="55">
        <f>_xll.EQNXTDZ($A$1,$B53,F$1,$B$1)</f>
        <v>78.808345599999996</v>
      </c>
      <c r="G53" s="55">
        <f>_xll.EQNXTDZ($A$1,$B53,G$1,$B$1)</f>
        <v>108.4589</v>
      </c>
      <c r="H53" s="55">
        <f>_xll.EQNXTDZ($A$1,$B53,H$1,$B$1)</f>
        <v>217.8458</v>
      </c>
      <c r="I53" s="55">
        <f>_xll.EQNXTDZ($A$1,$B53,I$1,$B$1)</f>
        <v>300.42899999999997</v>
      </c>
      <c r="J53" s="55">
        <f>_xll.EQNXTDZ($A$1,$B53,J$1,$B$1)</f>
        <v>426.36849999999998</v>
      </c>
      <c r="K53" s="55">
        <f>_xll.EQNXTDZ($A$1,$B53,K$1,$B$1)</f>
        <v>624.8623</v>
      </c>
      <c r="L53" s="55">
        <f>_xll.EQNXTDZ($A$1,$B53,L$1,$B$1)</f>
        <v>561.83439999999996</v>
      </c>
      <c r="M53" s="55">
        <f>_xll.EQNXTDZ($A$1,$B53,M$1,$B$1)</f>
        <v>343.25729999999999</v>
      </c>
      <c r="N53" s="55">
        <f>_xll.EQNXTDZ($A$1,$B53,N$1,$B$1)</f>
        <v>306.55340000000001</v>
      </c>
      <c r="O53" s="55">
        <f>_xll.EQNXTDZ($A$1,$B53,O$1,$B$1)</f>
        <v>358.83049999999997</v>
      </c>
      <c r="P53" s="55">
        <f>_xll.EQNXTDZ($A$1,$B53,P$1,$B$1)</f>
        <v>320.05919999999998</v>
      </c>
      <c r="Q53" s="55">
        <f>_xll.EQNXTDZ($A$1,$B53,Q$1,$B$1)</f>
        <v>312.1361</v>
      </c>
      <c r="R53" s="55">
        <f>_xll.EQNXTDZ($A$1,$B53,R$1,$B$1)</f>
        <v>291.5478</v>
      </c>
      <c r="S53" s="55">
        <f>_xll.EQNXTDZ($A$1,$B53,S$1,$B$1)</f>
        <v>257.5419</v>
      </c>
      <c r="T53" s="55">
        <f>_xll.EQNXTDZ($A$1,$B53,T$1,$B$1)</f>
        <v>306.7559</v>
      </c>
      <c r="U53" s="55">
        <f>_xll.EQNXTDZ($A$1,$B53,U$1,$B$1)</f>
        <v>376.8313</v>
      </c>
      <c r="V53" s="55">
        <f>_xll.EQNXTDZ($A$1,$B53,V$1,$B$1)</f>
        <v>260.02359999999999</v>
      </c>
      <c r="W53" s="55">
        <f>_xll.EQNXTDZ($A$1,$B53,W$1,$B$1)</f>
        <v>229.6028</v>
      </c>
      <c r="X53" s="55">
        <f>_xll.EQNXTDZ($A$1,$B53,X$1,$B$1)</f>
        <v>124.85550000000001</v>
      </c>
      <c r="Y53" s="55">
        <f>_xll.EQNXTDZ($A$1,$B53,Y$1,$B$1)</f>
        <v>108.27</v>
      </c>
      <c r="Z53" s="55">
        <f>_xll.EQNXTDZ($A$1,$B53,Z$1,$B$1)</f>
        <v>119.74</v>
      </c>
      <c r="AA53" s="55">
        <f>_xll.EQNXTDZ($A$1,$B53,AA$1,$B$1)</f>
        <v>193.66</v>
      </c>
      <c r="AB53" s="55">
        <f>_xll.EQNXTDZ($A$1,$B53,AB$1,$B$1)</f>
        <v>261.99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23.007166099999999</v>
      </c>
      <c r="D54" s="55">
        <f>_xll.EQNXTDZ($A$1,$B54,D$1,$B$1)</f>
        <v>33.417605600000002</v>
      </c>
      <c r="E54" s="55">
        <f>_xll.EQNXTDZ($A$1,$B54,E$1,$B$1)</f>
        <v>52.180615600000003</v>
      </c>
      <c r="F54" s="55">
        <f>_xll.EQNXTDZ($A$1,$B54,F$1,$B$1)</f>
        <v>78.2289976</v>
      </c>
      <c r="G54" s="55">
        <f>_xll.EQNXTDZ($A$1,$B54,G$1,$B$1)</f>
        <v>103.691</v>
      </c>
      <c r="H54" s="55">
        <f>_xll.EQNXTDZ($A$1,$B54,H$1,$B$1)</f>
        <v>152.8109</v>
      </c>
      <c r="I54" s="55">
        <f>_xll.EQNXTDZ($A$1,$B54,I$1,$B$1)</f>
        <v>203.95529999999999</v>
      </c>
      <c r="J54" s="55">
        <f>_xll.EQNXTDZ($A$1,$B54,J$1,$B$1)</f>
        <v>275.26229999999998</v>
      </c>
      <c r="K54" s="55">
        <f>_xll.EQNXTDZ($A$1,$B54,K$1,$B$1)</f>
        <v>281.67809999999997</v>
      </c>
      <c r="L54" s="55">
        <f>_xll.EQNXTDZ($A$1,$B54,L$1,$B$1)</f>
        <v>294.69479999999999</v>
      </c>
      <c r="M54" s="55">
        <f>_xll.EQNXTDZ($A$1,$B54,M$1,$B$1)</f>
        <v>372.74770000000001</v>
      </c>
      <c r="N54" s="55">
        <f>_xll.EQNXTDZ($A$1,$B54,N$1,$B$1)</f>
        <v>509.01679999999999</v>
      </c>
      <c r="O54" s="55">
        <f>_xll.EQNXTDZ($A$1,$B54,O$1,$B$1)</f>
        <v>539.79380000000003</v>
      </c>
      <c r="P54" s="55">
        <f>_xll.EQNXTDZ($A$1,$B54,P$1,$B$1)</f>
        <v>493.99849999999998</v>
      </c>
      <c r="Q54" s="55">
        <f>_xll.EQNXTDZ($A$1,$B54,Q$1,$B$1)</f>
        <v>515.2713</v>
      </c>
      <c r="R54" s="55">
        <f>_xll.EQNXTDZ($A$1,$B54,R$1,$B$1)</f>
        <v>545.4674</v>
      </c>
      <c r="S54" s="55">
        <f>_xll.EQNXTDZ($A$1,$B54,S$1,$B$1)</f>
        <v>482.83249999999998</v>
      </c>
      <c r="T54" s="55">
        <f>_xll.EQNXTDZ($A$1,$B54,T$1,$B$1)</f>
        <v>445.07549999999998</v>
      </c>
      <c r="U54" s="55">
        <f>_xll.EQNXTDZ($A$1,$B54,U$1,$B$1)</f>
        <v>401.01650000000001</v>
      </c>
      <c r="V54" s="55">
        <f>_xll.EQNXTDZ($A$1,$B54,V$1,$B$1)</f>
        <v>519.25909999999999</v>
      </c>
      <c r="W54" s="55">
        <f>_xll.EQNXTDZ($A$1,$B54,W$1,$B$1)</f>
        <v>424.34469999999999</v>
      </c>
      <c r="X54" s="55">
        <f>_xll.EQNXTDZ($A$1,$B54,X$1,$B$1)</f>
        <v>270.38040000000001</v>
      </c>
      <c r="Y54" s="55">
        <f>_xll.EQNXTDZ($A$1,$B54,Y$1,$B$1)</f>
        <v>195.83</v>
      </c>
      <c r="Z54" s="55">
        <f>_xll.EQNXTDZ($A$1,$B54,Z$1,$B$1)</f>
        <v>187.91</v>
      </c>
      <c r="AA54" s="55">
        <f>_xll.EQNXTDZ($A$1,$B54,AA$1,$B$1)</f>
        <v>280.14</v>
      </c>
      <c r="AB54" s="55">
        <f>_xll.EQNXTDZ($A$1,$B54,AB$1,$B$1)</f>
        <v>288.37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17.921895899999999</v>
      </c>
      <c r="D55" s="55">
        <f>_xll.EQNXTDZ($A$1,$B55,D$1,$B$1)</f>
        <v>20.815845400000001</v>
      </c>
      <c r="E55" s="55">
        <f>_xll.EQNXTDZ($A$1,$B55,E$1,$B$1)</f>
        <v>13.810450299999999</v>
      </c>
      <c r="F55" s="55">
        <f>_xll.EQNXTDZ($A$1,$B55,F$1,$B$1)</f>
        <v>23.462510900000002</v>
      </c>
      <c r="G55" s="55">
        <f>_xll.EQNXTDZ($A$1,$B55,G$1,$B$1)</f>
        <v>50.227600000000002</v>
      </c>
      <c r="H55" s="55">
        <f>_xll.EQNXTDZ($A$1,$B55,H$1,$B$1)</f>
        <v>59.417700000000004</v>
      </c>
      <c r="I55" s="55">
        <f>_xll.EQNXTDZ($A$1,$B55,I$1,$B$1)</f>
        <v>46.2072</v>
      </c>
      <c r="J55" s="55">
        <f>_xll.EQNXTDZ($A$1,$B55,J$1,$B$1)</f>
        <v>53.685600000000001</v>
      </c>
      <c r="K55" s="55">
        <f>_xll.EQNXTDZ($A$1,$B55,K$1,$B$1)</f>
        <v>126.9924</v>
      </c>
      <c r="L55" s="55">
        <f>_xll.EQNXTDZ($A$1,$B55,L$1,$B$1)</f>
        <v>92.133299999999906</v>
      </c>
      <c r="M55" s="55">
        <f>_xll.EQNXTDZ($A$1,$B55,M$1,$B$1)</f>
        <v>161.6549</v>
      </c>
      <c r="N55" s="55">
        <f>_xll.EQNXTDZ($A$1,$B55,N$1,$B$1)</f>
        <v>237.71809999999999</v>
      </c>
      <c r="O55" s="55">
        <f>_xll.EQNXTDZ($A$1,$B55,O$1,$B$1)</f>
        <v>182.78139999999999</v>
      </c>
      <c r="P55" s="55">
        <f>_xll.EQNXTDZ($A$1,$B55,P$1,$B$1)</f>
        <v>215.1063</v>
      </c>
      <c r="Q55" s="55">
        <f>_xll.EQNXTDZ($A$1,$B55,Q$1,$B$1)</f>
        <v>204.29859999999999</v>
      </c>
      <c r="R55" s="55">
        <f>_xll.EQNXTDZ($A$1,$B55,R$1,$B$1)</f>
        <v>233.9409</v>
      </c>
      <c r="S55" s="55">
        <f>_xll.EQNXTDZ($A$1,$B55,S$1,$B$1)</f>
        <v>236.50630000000001</v>
      </c>
      <c r="T55" s="55">
        <f>_xll.EQNXTDZ($A$1,$B55,T$1,$B$1)</f>
        <v>309.5136</v>
      </c>
      <c r="U55" s="55">
        <f>_xll.EQNXTDZ($A$1,$B55,U$1,$B$1)</f>
        <v>304.02940000000001</v>
      </c>
      <c r="V55" s="55">
        <f>_xll.EQNXTDZ($A$1,$B55,V$1,$B$1)</f>
        <v>200.05029999999999</v>
      </c>
      <c r="W55" s="55">
        <f>_xll.EQNXTDZ($A$1,$B55,W$1,$B$1)</f>
        <v>241.43190000000001</v>
      </c>
      <c r="X55" s="55">
        <f>_xll.EQNXTDZ($A$1,$B55,X$1,$B$1)</f>
        <v>145.00909999999999</v>
      </c>
      <c r="Y55" s="55">
        <f>_xll.EQNXTDZ($A$1,$B55,Y$1,$B$1)</f>
        <v>128.01</v>
      </c>
      <c r="Z55" s="55">
        <f>_xll.EQNXTDZ($A$1,$B55,Z$1,$B$1)</f>
        <v>186.16</v>
      </c>
      <c r="AA55" s="55">
        <f>_xll.EQNXTDZ($A$1,$B55,AA$1,$B$1)</f>
        <v>222.89</v>
      </c>
      <c r="AB55" s="55">
        <f>_xll.EQNXTDZ($A$1,$B55,AB$1,$B$1)</f>
        <v>343.25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375.28680000000003</v>
      </c>
      <c r="N56" s="55">
        <f>_xll.EQNXTDZ($A$1,$B56,N$1,$B$1)</f>
        <v>380.15730000000002</v>
      </c>
      <c r="O56" s="55">
        <f>_xll.EQNXTDZ($A$1,$B56,O$1,$B$1)</f>
        <v>439.39839999999998</v>
      </c>
      <c r="P56" s="55">
        <f>_xll.EQNXTDZ($A$1,$B56,P$1,$B$1)</f>
        <v>439.61529999999999</v>
      </c>
      <c r="Q56" s="55">
        <f>_xll.EQNXTDZ($A$1,$B56,Q$1,$B$1)</f>
        <v>339.64</v>
      </c>
      <c r="R56" s="55">
        <f>_xll.EQNXTDZ($A$1,$B56,R$1,$B$1)</f>
        <v>395.48</v>
      </c>
      <c r="S56" s="55">
        <f>_xll.EQNXTDZ($A$1,$B56,S$1,$B$1)</f>
        <v>363.68889999999999</v>
      </c>
      <c r="T56" s="55">
        <f>_xll.EQNXTDZ($A$1,$B56,T$1,$B$1)</f>
        <v>357.40320000000003</v>
      </c>
      <c r="U56" s="55">
        <f>_xll.EQNXTDZ($A$1,$B56,U$1,$B$1)</f>
        <v>281.43239999999997</v>
      </c>
      <c r="V56" s="55">
        <f>_xll.EQNXTDZ($A$1,$B56,V$1,$B$1)</f>
        <v>255.14080000000001</v>
      </c>
      <c r="W56" s="55">
        <f>_xll.EQNXTDZ($A$1,$B56,W$1,$B$1)</f>
        <v>130.1662</v>
      </c>
      <c r="X56" s="55">
        <f>_xll.EQNXTDZ($A$1,$B56,X$1,$B$1)</f>
        <v>80.354600000000005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3.31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0.63709839999999995</v>
      </c>
      <c r="G57" s="55">
        <f>_xll.EQNXTDZ($A$1,$B57,G$1,$B$1)</f>
        <v>4.4859999999999998</v>
      </c>
      <c r="H57" s="55">
        <f>_xll.EQNXTDZ($A$1,$B57,H$1,$B$1)</f>
        <v>4.4756999999999998</v>
      </c>
      <c r="I57" s="55">
        <f>_xll.EQNXTDZ($A$1,$B57,I$1,$B$1)</f>
        <v>6.0534999999999997</v>
      </c>
      <c r="J57" s="55">
        <f>_xll.EQNXTDZ($A$1,$B57,J$1,$B$1)</f>
        <v>21.0885</v>
      </c>
      <c r="K57" s="55">
        <f>_xll.EQNXTDZ($A$1,$B57,K$1,$B$1)</f>
        <v>23.1023</v>
      </c>
      <c r="L57" s="55">
        <f>_xll.EQNXTDZ($A$1,$B57,L$1,$B$1)</f>
        <v>21.988299999999999</v>
      </c>
      <c r="M57" s="55">
        <f>_xll.EQNXTDZ($A$1,$B57,M$1,$B$1)</f>
        <v>25.448699999999999</v>
      </c>
      <c r="N57" s="55">
        <f>_xll.EQNXTDZ($A$1,$B57,N$1,$B$1)</f>
        <v>27.634699999999999</v>
      </c>
      <c r="O57" s="55">
        <f>_xll.EQNXTDZ($A$1,$B57,O$1,$B$1)</f>
        <v>30.387899999999998</v>
      </c>
      <c r="P57" s="55">
        <f>_xll.EQNXTDZ($A$1,$B57,P$1,$B$1)</f>
        <v>21.657</v>
      </c>
      <c r="Q57" s="55">
        <f>_xll.EQNXTDZ($A$1,$B57,Q$1,$B$1)</f>
        <v>21.2562</v>
      </c>
      <c r="R57" s="55">
        <f>_xll.EQNXTDZ($A$1,$B57,R$1,$B$1)</f>
        <v>32.629600000000003</v>
      </c>
      <c r="S57" s="55">
        <f>_xll.EQNXTDZ($A$1,$B57,S$1,$B$1)</f>
        <v>36.467100000000002</v>
      </c>
      <c r="T57" s="55">
        <f>_xll.EQNXTDZ($A$1,$B57,T$1,$B$1)</f>
        <v>28.3918</v>
      </c>
      <c r="U57" s="55">
        <f>_xll.EQNXTDZ($A$1,$B57,U$1,$B$1)</f>
        <v>33.686300000000003</v>
      </c>
      <c r="V57" s="55">
        <f>_xll.EQNXTDZ($A$1,$B57,V$1,$B$1)</f>
        <v>40.703000000000003</v>
      </c>
      <c r="W57" s="55">
        <f>_xll.EQNXTDZ($A$1,$B57,W$1,$B$1)</f>
        <v>42.924900000000001</v>
      </c>
      <c r="X57" s="55">
        <f>_xll.EQNXTDZ($A$1,$B57,X$1,$B$1)</f>
        <v>43.771999999999998</v>
      </c>
      <c r="Y57" s="55">
        <f>_xll.EQNXTDZ($A$1,$B57,Y$1,$B$1)</f>
        <v>18.66</v>
      </c>
      <c r="Z57" s="55">
        <f>_xll.EQNXTDZ($A$1,$B57,Z$1,$B$1)</f>
        <v>25.24</v>
      </c>
      <c r="AA57" s="55">
        <f>_xll.EQNXTDZ($A$1,$B57,AA$1,$B$1)</f>
        <v>30.78</v>
      </c>
      <c r="AB57" s="55">
        <f>_xll.EQNXTDZ($A$1,$B57,AB$1,$B$1)</f>
        <v>34.22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40.929062000000002</v>
      </c>
      <c r="D59" s="55">
        <f>_xll.EQNXTDZ($A$1,$B59,D$1,$B$1)</f>
        <v>54.233451000000002</v>
      </c>
      <c r="E59" s="55">
        <f>_xll.EQNXTDZ($A$1,$B59,E$1,$B$1)</f>
        <v>65.991065899999995</v>
      </c>
      <c r="F59" s="55">
        <f>_xll.EQNXTDZ($A$1,$B59,F$1,$B$1)</f>
        <v>102.3286069</v>
      </c>
      <c r="G59" s="55">
        <f>_xll.EQNXTDZ($A$1,$B59,G$1,$B$1)</f>
        <v>158.40459999999999</v>
      </c>
      <c r="H59" s="55">
        <f>_xll.EQNXTDZ($A$1,$B59,H$1,$B$1)</f>
        <v>216.70429999999999</v>
      </c>
      <c r="I59" s="55">
        <f>_xll.EQNXTDZ($A$1,$B59,I$1,$B$1)</f>
        <v>256.21600000000001</v>
      </c>
      <c r="J59" s="55">
        <f>_xll.EQNXTDZ($A$1,$B59,J$1,$B$1)</f>
        <v>350.03640000000001</v>
      </c>
      <c r="K59" s="55">
        <f>_xll.EQNXTDZ($A$1,$B59,K$1,$B$1)</f>
        <v>431.77280000000002</v>
      </c>
      <c r="L59" s="55">
        <f>_xll.EQNXTDZ($A$1,$B59,L$1,$B$1)</f>
        <v>408.81639999999999</v>
      </c>
      <c r="M59" s="55">
        <f>_xll.EQNXTDZ($A$1,$B59,M$1,$B$1)</f>
        <v>935.13810000000001</v>
      </c>
      <c r="N59" s="55">
        <f>_xll.EQNXTDZ($A$1,$B59,N$1,$B$1)</f>
        <v>1154.5269000000001</v>
      </c>
      <c r="O59" s="55">
        <f>_xll.EQNXTDZ($A$1,$B59,O$1,$B$1)</f>
        <v>1192.3615</v>
      </c>
      <c r="P59" s="55">
        <f>_xll.EQNXTDZ($A$1,$B59,P$1,$B$1)</f>
        <v>1170.3770999999999</v>
      </c>
      <c r="Q59" s="55">
        <f>_xll.EQNXTDZ($A$1,$B59,Q$1,$B$1)</f>
        <v>1080.4661000000001</v>
      </c>
      <c r="R59" s="55">
        <f>_xll.EQNXTDZ($A$1,$B59,R$1,$B$1)</f>
        <v>1207.5179000000001</v>
      </c>
      <c r="S59" s="55">
        <f>_xll.EQNXTDZ($A$1,$B59,S$1,$B$1)</f>
        <v>1119.4947999999999</v>
      </c>
      <c r="T59" s="55">
        <f>_xll.EQNXTDZ($A$1,$B59,T$1,$B$1)</f>
        <v>1140.3841</v>
      </c>
      <c r="U59" s="55">
        <f>_xll.EQNXTDZ($A$1,$B59,U$1,$B$1)</f>
        <v>1020.1646</v>
      </c>
      <c r="V59" s="55">
        <f>_xll.EQNXTDZ($A$1,$B59,V$1,$B$1)</f>
        <v>1015.1532</v>
      </c>
      <c r="W59" s="55">
        <f>_xll.EQNXTDZ($A$1,$B59,W$1,$B$1)</f>
        <v>838.86770000000001</v>
      </c>
      <c r="X59" s="55">
        <f>_xll.EQNXTDZ($A$1,$B59,X$1,$B$1)</f>
        <v>539.51610000000005</v>
      </c>
      <c r="Y59" s="55">
        <f>_xll.EQNXTDZ($A$1,$B59,Y$1,$B$1)</f>
        <v>342.5</v>
      </c>
      <c r="Z59" s="55">
        <f>_xll.EQNXTDZ($A$1,$B59,Z$1,$B$1)</f>
        <v>399.31</v>
      </c>
      <c r="AA59" s="55">
        <f>_xll.EQNXTDZ($A$1,$B59,AA$1,$B$1)</f>
        <v>537.12</v>
      </c>
      <c r="AB59" s="55">
        <f>_xll.EQNXTDZ($A$1,$B59,AB$1,$B$1)</f>
        <v>665.84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172.5157016</v>
      </c>
      <c r="D60" s="55">
        <f>_xll.EQNXTDZ($A$1,$B60,D$1,$B$1)</f>
        <v>182.85819570000001</v>
      </c>
      <c r="E60" s="55">
        <f>_xll.EQNXTDZ($A$1,$B60,E$1,$B$1)</f>
        <v>196.85038069999999</v>
      </c>
      <c r="F60" s="55">
        <f>_xll.EQNXTDZ($A$1,$B60,F$1,$B$1)</f>
        <v>246.26536530000001</v>
      </c>
      <c r="G60" s="55">
        <f>_xll.EQNXTDZ($A$1,$B60,G$1,$B$1)</f>
        <v>340.1687</v>
      </c>
      <c r="H60" s="55">
        <f>_xll.EQNXTDZ($A$1,$B60,H$1,$B$1)</f>
        <v>537.21389999999997</v>
      </c>
      <c r="I60" s="55">
        <f>_xll.EQNXTDZ($A$1,$B60,I$1,$B$1)</f>
        <v>744.54870000000005</v>
      </c>
      <c r="J60" s="55">
        <f>_xll.EQNXTDZ($A$1,$B60,J$1,$B$1)</f>
        <v>1013.1310999999999</v>
      </c>
      <c r="K60" s="55">
        <f>_xll.EQNXTDZ($A$1,$B60,K$1,$B$1)</f>
        <v>1332.0351000000001</v>
      </c>
      <c r="L60" s="55">
        <f>_xll.EQNXTDZ($A$1,$B60,L$1,$B$1)</f>
        <v>1296.7572</v>
      </c>
      <c r="M60" s="55">
        <f>_xll.EQNXTDZ($A$1,$B60,M$1,$B$1)</f>
        <v>1696.7863</v>
      </c>
      <c r="N60" s="55">
        <f>_xll.EQNXTDZ($A$1,$B60,N$1,$B$1)</f>
        <v>1919.7732000000001</v>
      </c>
      <c r="O60" s="55">
        <f>_xll.EQNXTDZ($A$1,$B60,O$1,$B$1)</f>
        <v>2123.3283000000001</v>
      </c>
      <c r="P60" s="55">
        <f>_xll.EQNXTDZ($A$1,$B60,P$1,$B$1)</f>
        <v>2057.5634</v>
      </c>
      <c r="Q60" s="55">
        <f>_xll.EQNXTDZ($A$1,$B60,Q$1,$B$1)</f>
        <v>1964.2056</v>
      </c>
      <c r="R60" s="55">
        <f>_xll.EQNXTDZ($A$1,$B60,R$1,$B$1)</f>
        <v>2203.3492000000001</v>
      </c>
      <c r="S60" s="55">
        <f>_xll.EQNXTDZ($A$1,$B60,S$1,$B$1)</f>
        <v>2086.8863999999999</v>
      </c>
      <c r="T60" s="55">
        <f>_xll.EQNXTDZ($A$1,$B60,T$1,$B$1)</f>
        <v>2156.0119</v>
      </c>
      <c r="U60" s="55">
        <f>_xll.EQNXTDZ($A$1,$B60,U$1,$B$1)</f>
        <v>2165.0603000000001</v>
      </c>
      <c r="V60" s="55">
        <f>_xll.EQNXTDZ($A$1,$B60,V$1,$B$1)</f>
        <v>2129.3706000000002</v>
      </c>
      <c r="W60" s="55">
        <f>_xll.EQNXTDZ($A$1,$B60,W$1,$B$1)</f>
        <v>1987.7188000000001</v>
      </c>
      <c r="X60" s="55">
        <f>_xll.EQNXTDZ($A$1,$B60,X$1,$B$1)</f>
        <v>1714.6094000000001</v>
      </c>
      <c r="Y60" s="55">
        <f>_xll.EQNXTDZ($A$1,$B60,Y$1,$B$1)</f>
        <v>1729.88</v>
      </c>
      <c r="Z60" s="55">
        <f>_xll.EQNXTDZ($A$1,$B60,Z$1,$B$1)</f>
        <v>2123.08</v>
      </c>
      <c r="AA60" s="55">
        <f>_xll.EQNXTDZ($A$1,$B60,AA$1,$B$1)</f>
        <v>2729.47</v>
      </c>
      <c r="AB60" s="55">
        <f>_xll.EQNXTDZ($A$1,$B60,AB$1,$B$1)</f>
        <v>3233.68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144.4294223</v>
      </c>
      <c r="D62" s="55">
        <f>_xll.EQNXTDZ($A$1,$B62,D$1,$B$1)</f>
        <v>142.27236769999999</v>
      </c>
      <c r="E62" s="55">
        <f>_xll.EQNXTDZ($A$1,$B62,E$1,$B$1)</f>
        <v>146.61030959999999</v>
      </c>
      <c r="F62" s="55">
        <f>_xll.EQNXTDZ($A$1,$B62,F$1,$B$1)</f>
        <v>150.33251189999999</v>
      </c>
      <c r="G62" s="55">
        <f>_xll.EQNXTDZ($A$1,$B62,G$1,$B$1)</f>
        <v>172.51679999999999</v>
      </c>
      <c r="H62" s="55">
        <f>_xll.EQNXTDZ($A$1,$B62,H$1,$B$1)</f>
        <v>202.7149</v>
      </c>
      <c r="I62" s="55">
        <f>_xll.EQNXTDZ($A$1,$B62,I$1,$B$1)</f>
        <v>246.64959999999999</v>
      </c>
      <c r="J62" s="55">
        <f>_xll.EQNXTDZ($A$1,$B62,J$1,$B$1)</f>
        <v>300.55880000000002</v>
      </c>
      <c r="K62" s="55">
        <f>_xll.EQNXTDZ($A$1,$B62,K$1,$B$1)</f>
        <v>427.7405</v>
      </c>
      <c r="L62" s="55">
        <f>_xll.EQNXTDZ($A$1,$B62,L$1,$B$1)</f>
        <v>509.42009999999999</v>
      </c>
      <c r="M62" s="55">
        <f>_xll.EQNXTDZ($A$1,$B62,M$1,$B$1)</f>
        <v>739.76239999999996</v>
      </c>
      <c r="N62" s="55">
        <f>_xll.EQNXTDZ($A$1,$B62,N$1,$B$1)</f>
        <v>838.19280000000003</v>
      </c>
      <c r="O62" s="55">
        <f>_xll.EQNXTDZ($A$1,$B62,O$1,$B$1)</f>
        <v>985.30079999999998</v>
      </c>
      <c r="P62" s="55">
        <f>_xll.EQNXTDZ($A$1,$B62,P$1,$B$1)</f>
        <v>995.24779999999998</v>
      </c>
      <c r="Q62" s="55">
        <f>_xll.EQNXTDZ($A$1,$B62,Q$1,$B$1)</f>
        <v>979.57090000000005</v>
      </c>
      <c r="R62" s="55">
        <f>_xll.EQNXTDZ($A$1,$B62,R$1,$B$1)</f>
        <v>1033.1584</v>
      </c>
      <c r="S62" s="55">
        <f>_xll.EQNXTDZ($A$1,$B62,S$1,$B$1)</f>
        <v>1047.8896</v>
      </c>
      <c r="T62" s="55">
        <f>_xll.EQNXTDZ($A$1,$B62,T$1,$B$1)</f>
        <v>1069.1985</v>
      </c>
      <c r="U62" s="55">
        <f>_xll.EQNXTDZ($A$1,$B62,U$1,$B$1)</f>
        <v>1055.2601</v>
      </c>
      <c r="V62" s="55">
        <f>_xll.EQNXTDZ($A$1,$B62,V$1,$B$1)</f>
        <v>1077.0585000000001</v>
      </c>
      <c r="W62" s="55">
        <f>_xll.EQNXTDZ($A$1,$B62,W$1,$B$1)</f>
        <v>1087.2460000000001</v>
      </c>
      <c r="X62" s="55">
        <f>_xll.EQNXTDZ($A$1,$B62,X$1,$B$1)</f>
        <v>1052.2218</v>
      </c>
      <c r="Y62" s="55">
        <f>_xll.EQNXTDZ($A$1,$B62,Y$1,$B$1)</f>
        <v>1100.9000000000001</v>
      </c>
      <c r="Z62" s="55">
        <f>_xll.EQNXTDZ($A$1,$B62,Z$1,$B$1)</f>
        <v>1155.82</v>
      </c>
      <c r="AA62" s="55">
        <f>_xll.EQNXTDZ($A$1,$B62,AA$1,$B$1)</f>
        <v>1347.9</v>
      </c>
      <c r="AB62" s="55">
        <f>_xll.EQNXTDZ($A$1,$B62,AB$1,$B$1)</f>
        <v>1461.07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89.779884999999993</v>
      </c>
      <c r="D63" s="55">
        <f>_xll.EQNXTDZ($A$1,$B63,D$1,$B$1)</f>
        <v>93.709782700000005</v>
      </c>
      <c r="E63" s="55">
        <f>_xll.EQNXTDZ($A$1,$B63,E$1,$B$1)</f>
        <v>99.206272499999997</v>
      </c>
      <c r="F63" s="55">
        <f>_xll.EQNXTDZ($A$1,$B63,F$1,$B$1)</f>
        <v>104.7749286</v>
      </c>
      <c r="G63" s="55">
        <f>_xll.EQNXTDZ($A$1,$B63,G$1,$B$1)</f>
        <v>111.1944</v>
      </c>
      <c r="H63" s="55">
        <f>_xll.EQNXTDZ($A$1,$B63,H$1,$B$1)</f>
        <v>118.1593</v>
      </c>
      <c r="I63" s="55">
        <f>_xll.EQNXTDZ($A$1,$B63,I$1,$B$1)</f>
        <v>124.3781</v>
      </c>
      <c r="J63" s="55">
        <f>_xll.EQNXTDZ($A$1,$B63,J$1,$B$1)</f>
        <v>123.40689999999999</v>
      </c>
      <c r="K63" s="55">
        <f>_xll.EQNXTDZ($A$1,$B63,K$1,$B$1)</f>
        <v>144.8348</v>
      </c>
      <c r="L63" s="55">
        <f>_xll.EQNXTDZ($A$1,$B63,L$1,$B$1)</f>
        <v>165.07570000000001</v>
      </c>
      <c r="M63" s="55">
        <f>_xll.EQNXTDZ($A$1,$B63,M$1,$B$1)</f>
        <v>261.07</v>
      </c>
      <c r="N63" s="55">
        <f>_xll.EQNXTDZ($A$1,$B63,N$1,$B$1)</f>
        <v>306.88319999999999</v>
      </c>
      <c r="O63" s="55">
        <f>_xll.EQNXTDZ($A$1,$B63,O$1,$B$1)</f>
        <v>360.06259999999997</v>
      </c>
      <c r="P63" s="55">
        <f>_xll.EQNXTDZ($A$1,$B63,P$1,$B$1)</f>
        <v>400.02350000000001</v>
      </c>
      <c r="Q63" s="55">
        <f>_xll.EQNXTDZ($A$1,$B63,Q$1,$B$1)</f>
        <v>456.47739999999999</v>
      </c>
      <c r="R63" s="55">
        <f>_xll.EQNXTDZ($A$1,$B63,R$1,$B$1)</f>
        <v>135.17519999999999</v>
      </c>
      <c r="S63" s="55">
        <f>_xll.EQNXTDZ($A$1,$B63,S$1,$B$1)</f>
        <v>189.9958</v>
      </c>
      <c r="T63" s="55">
        <f>_xll.EQNXTDZ($A$1,$B63,T$1,$B$1)</f>
        <v>238.3175</v>
      </c>
      <c r="U63" s="55">
        <f>_xll.EQNXTDZ($A$1,$B63,U$1,$B$1)</f>
        <v>259.1549</v>
      </c>
      <c r="V63" s="55">
        <f>_xll.EQNXTDZ($A$1,$B63,V$1,$B$1)</f>
        <v>303.70690000000002</v>
      </c>
      <c r="W63" s="55">
        <f>_xll.EQNXTDZ($A$1,$B63,W$1,$B$1)</f>
        <v>354.80270000000002</v>
      </c>
      <c r="X63" s="55">
        <f>_xll.EQNXTDZ($A$1,$B63,X$1,$B$1)</f>
        <v>338.38400000000001</v>
      </c>
      <c r="Y63" s="55">
        <f>_xll.EQNXTDZ($A$1,$B63,Y$1,$B$1)</f>
        <v>372.14</v>
      </c>
      <c r="Z63" s="55">
        <f>_xll.EQNXTDZ($A$1,$B63,Z$1,$B$1)</f>
        <v>412.39</v>
      </c>
      <c r="AA63" s="55">
        <f>_xll.EQNXTDZ($A$1,$B63,AA$1,$B$1)</f>
        <v>458.99</v>
      </c>
      <c r="AB63" s="55">
        <f>_xll.EQNXTDZ($A$1,$B63,AB$1,$B$1)</f>
        <v>556.34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54.649537299999999</v>
      </c>
      <c r="D65" s="55">
        <f>_xll.EQNXTDZ($A$1,$B65,D$1,$B$1)</f>
        <v>48.562584999999999</v>
      </c>
      <c r="E65" s="55">
        <f>_xll.EQNXTDZ($A$1,$B65,E$1,$B$1)</f>
        <v>47.404037099999996</v>
      </c>
      <c r="F65" s="55">
        <f>_xll.EQNXTDZ($A$1,$B65,F$1,$B$1)</f>
        <v>45.557583299999997</v>
      </c>
      <c r="G65" s="55">
        <f>_xll.EQNXTDZ($A$1,$B65,G$1,$B$1)</f>
        <v>61.322400000000002</v>
      </c>
      <c r="H65" s="55">
        <f>_xll.EQNXTDZ($A$1,$B65,H$1,$B$1)</f>
        <v>84.555599999999998</v>
      </c>
      <c r="I65" s="55">
        <f>_xll.EQNXTDZ($A$1,$B65,I$1,$B$1)</f>
        <v>122.2715</v>
      </c>
      <c r="J65" s="55">
        <f>_xll.EQNXTDZ($A$1,$B65,J$1,$B$1)</f>
        <v>177.15190000000001</v>
      </c>
      <c r="K65" s="55">
        <f>_xll.EQNXTDZ($A$1,$B65,K$1,$B$1)</f>
        <v>282.90570000000002</v>
      </c>
      <c r="L65" s="55">
        <f>_xll.EQNXTDZ($A$1,$B65,L$1,$B$1)</f>
        <v>344.34440000000001</v>
      </c>
      <c r="M65" s="55">
        <f>_xll.EQNXTDZ($A$1,$B65,M$1,$B$1)</f>
        <v>478.69240000000002</v>
      </c>
      <c r="N65" s="55">
        <f>_xll.EQNXTDZ($A$1,$B65,N$1,$B$1)</f>
        <v>531.30960000000005</v>
      </c>
      <c r="O65" s="55">
        <f>_xll.EQNXTDZ($A$1,$B65,O$1,$B$1)</f>
        <v>625.23820000000001</v>
      </c>
      <c r="P65" s="55">
        <f>_xll.EQNXTDZ($A$1,$B65,P$1,$B$1)</f>
        <v>595.22429999999997</v>
      </c>
      <c r="Q65" s="55">
        <f>_xll.EQNXTDZ($A$1,$B65,Q$1,$B$1)</f>
        <v>523.09349999999995</v>
      </c>
      <c r="R65" s="55">
        <f>_xll.EQNXTDZ($A$1,$B65,R$1,$B$1)</f>
        <v>897.98320000000001</v>
      </c>
      <c r="S65" s="55">
        <f>_xll.EQNXTDZ($A$1,$B65,S$1,$B$1)</f>
        <v>857.89380000000006</v>
      </c>
      <c r="T65" s="55">
        <f>_xll.EQNXTDZ($A$1,$B65,T$1,$B$1)</f>
        <v>830.88099999999997</v>
      </c>
      <c r="U65" s="55">
        <f>_xll.EQNXTDZ($A$1,$B65,U$1,$B$1)</f>
        <v>796.10519999999997</v>
      </c>
      <c r="V65" s="55">
        <f>_xll.EQNXTDZ($A$1,$B65,V$1,$B$1)</f>
        <v>773.35159999999996</v>
      </c>
      <c r="W65" s="55">
        <f>_xll.EQNXTDZ($A$1,$B65,W$1,$B$1)</f>
        <v>732.44330000000002</v>
      </c>
      <c r="X65" s="55">
        <f>_xll.EQNXTDZ($A$1,$B65,X$1,$B$1)</f>
        <v>713.83780000000002</v>
      </c>
      <c r="Y65" s="55">
        <f>_xll.EQNXTDZ($A$1,$B65,Y$1,$B$1)</f>
        <v>728.76</v>
      </c>
      <c r="Z65" s="55">
        <f>_xll.EQNXTDZ($A$1,$B65,Z$1,$B$1)</f>
        <v>743.43</v>
      </c>
      <c r="AA65" s="55">
        <f>_xll.EQNXTDZ($A$1,$B65,AA$1,$B$1)</f>
        <v>888.91</v>
      </c>
      <c r="AB65" s="55">
        <f>_xll.EQNXTDZ($A$1,$B65,AB$1,$B$1)</f>
        <v>904.73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1.8344913</v>
      </c>
      <c r="D67" s="55">
        <f>_xll.EQNXTDZ($A$1,$B67,D$1,$B$1)</f>
        <v>2.3131103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0.72799999999999998</v>
      </c>
      <c r="H67" s="55">
        <f>_xll.EQNXTDZ($A$1,$B67,H$1,$B$1)</f>
        <v>10.6614</v>
      </c>
      <c r="I67" s="55">
        <f>_xll.EQNXTDZ($A$1,$B67,I$1,$B$1)</f>
        <v>4.4661</v>
      </c>
      <c r="J67" s="55">
        <f>_xll.EQNXTDZ($A$1,$B67,J$1,$B$1)</f>
        <v>15.9155</v>
      </c>
      <c r="K67" s="55">
        <f>_xll.EQNXTDZ($A$1,$B67,K$1,$B$1)</f>
        <v>28.113600000000002</v>
      </c>
      <c r="L67" s="55">
        <f>_xll.EQNXTDZ($A$1,$B67,L$1,$B$1)</f>
        <v>17.875399999999999</v>
      </c>
      <c r="M67" s="55">
        <f>_xll.EQNXTDZ($A$1,$B67,M$1,$B$1)</f>
        <v>10.7704</v>
      </c>
      <c r="N67" s="55">
        <f>_xll.EQNXTDZ($A$1,$B67,N$1,$B$1)</f>
        <v>41.722999999999999</v>
      </c>
      <c r="O67" s="55">
        <f>_xll.EQNXTDZ($A$1,$B67,O$1,$B$1)</f>
        <v>10.0418</v>
      </c>
      <c r="P67" s="55">
        <f>_xll.EQNXTDZ($A$1,$B67,P$1,$B$1)</f>
        <v>7.3577000000000004</v>
      </c>
      <c r="Q67" s="55">
        <f>_xll.EQNXTDZ($A$1,$B67,Q$1,$B$1)</f>
        <v>3.7987000000000002</v>
      </c>
      <c r="R67" s="55">
        <f>_xll.EQNXTDZ($A$1,$B67,R$1,$B$1)</f>
        <v>6.2870999999999997</v>
      </c>
      <c r="S67" s="55">
        <f>_xll.EQNXTDZ($A$1,$B67,S$1,$B$1)</f>
        <v>0.98970000000000002</v>
      </c>
      <c r="T67" s="55">
        <f>_xll.EQNXTDZ($A$1,$B67,T$1,$B$1)</f>
        <v>1.165</v>
      </c>
      <c r="U67" s="55">
        <f>_xll.EQNXTDZ($A$1,$B67,U$1,$B$1)</f>
        <v>5.2336</v>
      </c>
      <c r="V67" s="55">
        <f>_xll.EQNXTDZ($A$1,$B67,V$1,$B$1)</f>
        <v>0.40500000000000003</v>
      </c>
      <c r="W67" s="55">
        <f>_xll.EQNXTDZ($A$1,$B67,W$1,$B$1)</f>
        <v>0.30959999999999999</v>
      </c>
      <c r="X67" s="55">
        <f>_xll.EQNXTDZ($A$1,$B67,X$1,$B$1)</f>
        <v>0.51239999999999997</v>
      </c>
      <c r="Y67" s="55">
        <f>_xll.EQNXTDZ($A$1,$B67,Y$1,$B$1)</f>
        <v>0.12</v>
      </c>
      <c r="Z67" s="55">
        <f>_xll.EQNXTDZ($A$1,$B67,Z$1,$B$1)</f>
        <v>0.91</v>
      </c>
      <c r="AA67" s="55">
        <f>_xll.EQNXTDZ($A$1,$B67,AA$1,$B$1)</f>
        <v>6.7</v>
      </c>
      <c r="AB67" s="55">
        <f>_xll.EQNXTDZ($A$1,$B67,AB$1,$B$1)</f>
        <v>23.11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1.4279999999999999</v>
      </c>
      <c r="S68" s="55">
        <f>_xll.EQNXTDZ($A$1,$B68,S$1,$B$1)</f>
        <v>0.65</v>
      </c>
      <c r="T68" s="55">
        <f>_xll.EQNXTDZ($A$1,$B68,T$1,$B$1)</f>
        <v>0.245</v>
      </c>
      <c r="U68" s="55">
        <f>_xll.EQNXTDZ($A$1,$B68,U$1,$B$1)</f>
        <v>0.245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3.1796000000000002</v>
      </c>
      <c r="S70" s="55">
        <f>_xll.EQNXTDZ($A$1,$B70,S$1,$B$1)</f>
        <v>3.0289999999999999</v>
      </c>
      <c r="T70" s="55">
        <f>_xll.EQNXTDZ($A$1,$B70,T$1,$B$1)</f>
        <v>2.8776000000000002</v>
      </c>
      <c r="U70" s="55">
        <f>_xll.EQNXTDZ($A$1,$B70,U$1,$B$1)</f>
        <v>2.7336999999999998</v>
      </c>
      <c r="V70" s="55">
        <f>_xll.EQNXTDZ($A$1,$B70,V$1,$B$1)</f>
        <v>25.599900000000002</v>
      </c>
      <c r="W70" s="55">
        <f>_xll.EQNXTDZ($A$1,$B70,W$1,$B$1)</f>
        <v>25.47</v>
      </c>
      <c r="X70" s="55">
        <f>_xll.EQNXTDZ($A$1,$B70,X$1,$B$1)</f>
        <v>25.346699999999998</v>
      </c>
      <c r="Y70" s="55">
        <f>_xll.EQNXTDZ($A$1,$B70,Y$1,$B$1)</f>
        <v>25.23</v>
      </c>
      <c r="Z70" s="55">
        <f>_xll.EQNXTDZ($A$1,$B70,Z$1,$B$1)</f>
        <v>25.12</v>
      </c>
      <c r="AA70" s="55">
        <f>_xll.EQNXTDZ($A$1,$B70,AA$1,$B$1)</f>
        <v>25.01</v>
      </c>
      <c r="AB70" s="55">
        <f>_xll.EQNXTDZ($A$1,$B70,AB$1,$B$1)</f>
        <v>24.91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4.1561060999999997</v>
      </c>
      <c r="D71" s="55">
        <f>_xll.EQNXTDZ($A$1,$B71,D$1,$B$1)</f>
        <v>4.8376644999999998</v>
      </c>
      <c r="E71" s="55">
        <f>_xll.EQNXTDZ($A$1,$B71,E$1,$B$1)</f>
        <v>5.9105454000000002</v>
      </c>
      <c r="F71" s="55">
        <f>_xll.EQNXTDZ($A$1,$B71,F$1,$B$1)</f>
        <v>5.7607033999999997</v>
      </c>
      <c r="G71" s="55">
        <f>_xll.EQNXTDZ($A$1,$B71,G$1,$B$1)</f>
        <v>5.6452</v>
      </c>
      <c r="H71" s="55">
        <f>_xll.EQNXTDZ($A$1,$B71,H$1,$B$1)</f>
        <v>6.2866</v>
      </c>
      <c r="I71" s="55">
        <f>_xll.EQNXTDZ($A$1,$B71,I$1,$B$1)</f>
        <v>8.0396999999999998</v>
      </c>
      <c r="J71" s="55">
        <f>_xll.EQNXTDZ($A$1,$B71,J$1,$B$1)</f>
        <v>9.4555000000000007</v>
      </c>
      <c r="K71" s="55">
        <f>_xll.EQNXTDZ($A$1,$B71,K$1,$B$1)</f>
        <v>10.868</v>
      </c>
      <c r="L71" s="55">
        <f>_xll.EQNXTDZ($A$1,$B71,L$1,$B$1)</f>
        <v>5.6757</v>
      </c>
      <c r="M71" s="55">
        <f>_xll.EQNXTDZ($A$1,$B71,M$1,$B$1)</f>
        <v>3.7654999999999998</v>
      </c>
      <c r="N71" s="55">
        <f>_xll.EQNXTDZ($A$1,$B71,N$1,$B$1)</f>
        <v>6.1525999999999996</v>
      </c>
      <c r="O71" s="55">
        <f>_xll.EQNXTDZ($A$1,$B71,O$1,$B$1)</f>
        <v>4.6962999999999999</v>
      </c>
      <c r="P71" s="55">
        <f>_xll.EQNXTDZ($A$1,$B71,P$1,$B$1)</f>
        <v>4.8048999999999999</v>
      </c>
      <c r="Q71" s="55">
        <f>_xll.EQNXTDZ($A$1,$B71,Q$1,$B$1)</f>
        <v>6.0758999999999999</v>
      </c>
      <c r="R71" s="55">
        <f>_xll.EQNXTDZ($A$1,$B71,R$1,$B$1)</f>
        <v>46.051699999999997</v>
      </c>
      <c r="S71" s="55">
        <f>_xll.EQNXTDZ($A$1,$B71,S$1,$B$1)</f>
        <v>48.8583</v>
      </c>
      <c r="T71" s="55">
        <f>_xll.EQNXTDZ($A$1,$B71,T$1,$B$1)</f>
        <v>50.859900000000003</v>
      </c>
      <c r="U71" s="55">
        <f>_xll.EQNXTDZ($A$1,$B71,U$1,$B$1)</f>
        <v>53.979500000000002</v>
      </c>
      <c r="V71" s="55">
        <f>_xll.EQNXTDZ($A$1,$B71,V$1,$B$1)</f>
        <v>52.541899999999998</v>
      </c>
      <c r="W71" s="55">
        <f>_xll.EQNXTDZ($A$1,$B71,W$1,$B$1)</f>
        <v>53.435899999999997</v>
      </c>
      <c r="X71" s="55">
        <f>_xll.EQNXTDZ($A$1,$B71,X$1,$B$1)</f>
        <v>54.2378</v>
      </c>
      <c r="Y71" s="55">
        <f>_xll.EQNXTDZ($A$1,$B71,Y$1,$B$1)</f>
        <v>57.61</v>
      </c>
      <c r="Z71" s="55">
        <f>_xll.EQNXTDZ($A$1,$B71,Z$1,$B$1)</f>
        <v>83.13</v>
      </c>
      <c r="AA71" s="55">
        <f>_xll.EQNXTDZ($A$1,$B71,AA$1,$B$1)</f>
        <v>81.25</v>
      </c>
      <c r="AB71" s="55">
        <f>_xll.EQNXTDZ($A$1,$B71,AB$1,$B$1)</f>
        <v>148.38999999999999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142.24690000000001</v>
      </c>
      <c r="N72" s="55">
        <f>_xll.EQNXTDZ($A$1,$B72,N$1,$B$1)</f>
        <v>81.142399999999995</v>
      </c>
      <c r="O72" s="55">
        <f>_xll.EQNXTDZ($A$1,$B72,O$1,$B$1)</f>
        <v>47.582599999999999</v>
      </c>
      <c r="P72" s="55">
        <f>_xll.EQNXTDZ($A$1,$B72,P$1,$B$1)</f>
        <v>82.995699999999999</v>
      </c>
      <c r="Q72" s="55">
        <f>_xll.EQNXTDZ($A$1,$B72,Q$1,$B$1)</f>
        <v>70.185699999999997</v>
      </c>
      <c r="R72" s="55">
        <f>_xll.EQNXTDZ($A$1,$B72,R$1,$B$1)</f>
        <v>34.436</v>
      </c>
      <c r="S72" s="55">
        <f>_xll.EQNXTDZ($A$1,$B72,S$1,$B$1)</f>
        <v>39.516399999999997</v>
      </c>
      <c r="T72" s="55">
        <f>_xll.EQNXTDZ($A$1,$B72,T$1,$B$1)</f>
        <v>39.253900000000002</v>
      </c>
      <c r="U72" s="55">
        <f>_xll.EQNXTDZ($A$1,$B72,U$1,$B$1)</f>
        <v>41.790399999999998</v>
      </c>
      <c r="V72" s="55">
        <f>_xll.EQNXTDZ($A$1,$B72,V$1,$B$1)</f>
        <v>32.959400000000002</v>
      </c>
      <c r="W72" s="55">
        <f>_xll.EQNXTDZ($A$1,$B72,W$1,$B$1)</f>
        <v>29.072500000000002</v>
      </c>
      <c r="X72" s="55">
        <f>_xll.EQNXTDZ($A$1,$B72,X$1,$B$1)</f>
        <v>30.231999999999999</v>
      </c>
      <c r="Y72" s="55">
        <f>_xll.EQNXTDZ($A$1,$B72,Y$1,$B$1)</f>
        <v>20.86</v>
      </c>
      <c r="Z72" s="55">
        <f>_xll.EQNXTDZ($A$1,$B72,Z$1,$B$1)</f>
        <v>50.76</v>
      </c>
      <c r="AA72" s="55">
        <f>_xll.EQNXTDZ($A$1,$B72,AA$1,$B$1)</f>
        <v>30.86</v>
      </c>
      <c r="AB72" s="55">
        <f>_xll.EQNXTDZ($A$1,$B72,AB$1,$B$1)</f>
        <v>176.55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0.59130000000000005</v>
      </c>
      <c r="N73" s="55">
        <f>_xll.EQNXTDZ($A$1,$B73,N$1,$B$1)</f>
        <v>0.66339999999999999</v>
      </c>
      <c r="O73" s="55">
        <f>_xll.EQNXTDZ($A$1,$B73,O$1,$B$1)</f>
        <v>2.2423000000000002</v>
      </c>
      <c r="P73" s="55">
        <f>_xll.EQNXTDZ($A$1,$B73,P$1,$B$1)</f>
        <v>0.78500000000000003</v>
      </c>
      <c r="Q73" s="55">
        <f>_xll.EQNXTDZ($A$1,$B73,Q$1,$B$1)</f>
        <v>0.66310000000000002</v>
      </c>
      <c r="R73" s="55">
        <f>_xll.EQNXTDZ($A$1,$B73,R$1,$B$1)</f>
        <v>0.66310000000000002</v>
      </c>
      <c r="S73" s="55">
        <f>_xll.EQNXTDZ($A$1,$B73,S$1,$B$1)</f>
        <v>11.3683</v>
      </c>
      <c r="T73" s="55">
        <f>_xll.EQNXTDZ($A$1,$B73,T$1,$B$1)</f>
        <v>3.2766000000000002</v>
      </c>
      <c r="U73" s="55">
        <f>_xll.EQNXTDZ($A$1,$B73,U$1,$B$1)</f>
        <v>2.6488</v>
      </c>
      <c r="V73" s="55">
        <f>_xll.EQNXTDZ($A$1,$B73,V$1,$B$1)</f>
        <v>8.7347000000000001</v>
      </c>
      <c r="W73" s="55">
        <f>_xll.EQNXTDZ($A$1,$B73,W$1,$B$1)</f>
        <v>13.358000000000001</v>
      </c>
      <c r="X73" s="55">
        <f>_xll.EQNXTDZ($A$1,$B73,X$1,$B$1)</f>
        <v>3.9146000000000001</v>
      </c>
      <c r="Y73" s="55">
        <f>_xll.EQNXTDZ($A$1,$B73,Y$1,$B$1)</f>
        <v>9.67</v>
      </c>
      <c r="Z73" s="55">
        <f>_xll.EQNXTDZ($A$1,$B73,Z$1,$B$1)</f>
        <v>0.8</v>
      </c>
      <c r="AA73" s="55">
        <f>_xll.EQNXTDZ($A$1,$B73,AA$1,$B$1)</f>
        <v>0.47</v>
      </c>
      <c r="AB73" s="55">
        <f>_xll.EQNXTDZ($A$1,$B73,AB$1,$B$1)</f>
        <v>1.3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60.640134699999997</v>
      </c>
      <c r="D74" s="55">
        <f>_xll.EQNXTDZ($A$1,$B74,D$1,$B$1)</f>
        <v>55.713359799999999</v>
      </c>
      <c r="E74" s="55">
        <f>_xll.EQNXTDZ($A$1,$B74,E$1,$B$1)</f>
        <v>53.3145825</v>
      </c>
      <c r="F74" s="55">
        <f>_xll.EQNXTDZ($A$1,$B74,F$1,$B$1)</f>
        <v>51.318286700000002</v>
      </c>
      <c r="G74" s="55">
        <f>_xll.EQNXTDZ($A$1,$B74,G$1,$B$1)</f>
        <v>67.695599999999999</v>
      </c>
      <c r="H74" s="55">
        <f>_xll.EQNXTDZ($A$1,$B74,H$1,$B$1)</f>
        <v>101.50360000000001</v>
      </c>
      <c r="I74" s="55">
        <f>_xll.EQNXTDZ($A$1,$B74,I$1,$B$1)</f>
        <v>134.7773</v>
      </c>
      <c r="J74" s="55">
        <f>_xll.EQNXTDZ($A$1,$B74,J$1,$B$1)</f>
        <v>202.52289999999999</v>
      </c>
      <c r="K74" s="55">
        <f>_xll.EQNXTDZ($A$1,$B74,K$1,$B$1)</f>
        <v>321.88729999999998</v>
      </c>
      <c r="L74" s="55">
        <f>_xll.EQNXTDZ($A$1,$B74,L$1,$B$1)</f>
        <v>367.89550000000003</v>
      </c>
      <c r="M74" s="55">
        <f>_xll.EQNXTDZ($A$1,$B74,M$1,$B$1)</f>
        <v>636.06650000000002</v>
      </c>
      <c r="N74" s="55">
        <f>_xll.EQNXTDZ($A$1,$B74,N$1,$B$1)</f>
        <v>660.99099999999999</v>
      </c>
      <c r="O74" s="55">
        <f>_xll.EQNXTDZ($A$1,$B74,O$1,$B$1)</f>
        <v>689.80119999999999</v>
      </c>
      <c r="P74" s="55">
        <f>_xll.EQNXTDZ($A$1,$B74,P$1,$B$1)</f>
        <v>691.16759999999999</v>
      </c>
      <c r="Q74" s="55">
        <f>_xll.EQNXTDZ($A$1,$B74,Q$1,$B$1)</f>
        <v>603.81690000000003</v>
      </c>
      <c r="R74" s="55">
        <f>_xll.EQNXTDZ($A$1,$B74,R$1,$B$1)</f>
        <v>990.02869999999996</v>
      </c>
      <c r="S74" s="55">
        <f>_xll.EQNXTDZ($A$1,$B74,S$1,$B$1)</f>
        <v>962.30550000000005</v>
      </c>
      <c r="T74" s="55">
        <f>_xll.EQNXTDZ($A$1,$B74,T$1,$B$1)</f>
        <v>928.55899999999997</v>
      </c>
      <c r="U74" s="55">
        <f>_xll.EQNXTDZ($A$1,$B74,U$1,$B$1)</f>
        <v>902.73620000000005</v>
      </c>
      <c r="V74" s="55">
        <f>_xll.EQNXTDZ($A$1,$B74,V$1,$B$1)</f>
        <v>893.59249999999997</v>
      </c>
      <c r="W74" s="55">
        <f>_xll.EQNXTDZ($A$1,$B74,W$1,$B$1)</f>
        <v>854.08929999999998</v>
      </c>
      <c r="X74" s="55">
        <f>_xll.EQNXTDZ($A$1,$B74,X$1,$B$1)</f>
        <v>828.08130000000006</v>
      </c>
      <c r="Y74" s="55">
        <f>_xll.EQNXTDZ($A$1,$B74,Y$1,$B$1)</f>
        <v>842.25</v>
      </c>
      <c r="Z74" s="55">
        <f>_xll.EQNXTDZ($A$1,$B74,Z$1,$B$1)</f>
        <v>904.15</v>
      </c>
      <c r="AA74" s="55">
        <f>_xll.EQNXTDZ($A$1,$B74,AA$1,$B$1)</f>
        <v>1033.2</v>
      </c>
      <c r="AB74" s="55">
        <f>_xll.EQNXTDZ($A$1,$B74,AB$1,$B$1)</f>
        <v>1278.99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0.624</v>
      </c>
      <c r="N75" s="55">
        <f>_xll.EQNXTDZ($A$1,$B75,N$1,$B$1)</f>
        <v>7.3765000000000001</v>
      </c>
      <c r="O75" s="55">
        <f>_xll.EQNXTDZ($A$1,$B75,O$1,$B$1)</f>
        <v>8.1304999999999996</v>
      </c>
      <c r="P75" s="55">
        <f>_xll.EQNXTDZ($A$1,$B75,P$1,$B$1)</f>
        <v>9.6074999999999999</v>
      </c>
      <c r="Q75" s="55">
        <f>_xll.EQNXTDZ($A$1,$B75,Q$1,$B$1)</f>
        <v>9.2714999999999996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19.059999999999999</v>
      </c>
      <c r="Z75" s="55">
        <f>_xll.EQNXTDZ($A$1,$B75,Z$1,$B$1)</f>
        <v>203.28</v>
      </c>
      <c r="AA75" s="55">
        <f>_xll.EQNXTDZ($A$1,$B75,AA$1,$B$1)</f>
        <v>414.55</v>
      </c>
      <c r="AB75" s="55">
        <f>_xll.EQNXTDZ($A$1,$B75,AB$1,$B$1)</f>
        <v>594.36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37.607467300000003</v>
      </c>
      <c r="D76" s="55">
        <f>_xll.EQNXTDZ($A$1,$B76,D$1,$B$1)</f>
        <v>48.654510600000002</v>
      </c>
      <c r="E76" s="55">
        <f>_xll.EQNXTDZ($A$1,$B76,E$1,$B$1)</f>
        <v>48.086986600000003</v>
      </c>
      <c r="F76" s="55">
        <f>_xll.EQNXTDZ($A$1,$B76,F$1,$B$1)</f>
        <v>94.730837300000005</v>
      </c>
      <c r="G76" s="55">
        <f>_xll.EQNXTDZ($A$1,$B76,G$1,$B$1)</f>
        <v>119.9555</v>
      </c>
      <c r="H76" s="55">
        <f>_xll.EQNXTDZ($A$1,$B76,H$1,$B$1)</f>
        <v>163.90600000000001</v>
      </c>
      <c r="I76" s="55">
        <f>_xll.EQNXTDZ($A$1,$B76,I$1,$B$1)</f>
        <v>168.95740000000001</v>
      </c>
      <c r="J76" s="55">
        <f>_xll.EQNXTDZ($A$1,$B76,J$1,$B$1)</f>
        <v>252.6037</v>
      </c>
      <c r="K76" s="55">
        <f>_xll.EQNXTDZ($A$1,$B76,K$1,$B$1)</f>
        <v>400.7466</v>
      </c>
      <c r="L76" s="55">
        <f>_xll.EQNXTDZ($A$1,$B76,L$1,$B$1)</f>
        <v>315.18459999999999</v>
      </c>
      <c r="M76" s="55">
        <f>_xll.EQNXTDZ($A$1,$B76,M$1,$B$1)</f>
        <v>385.81439999999998</v>
      </c>
      <c r="N76" s="55">
        <f>_xll.EQNXTDZ($A$1,$B76,N$1,$B$1)</f>
        <v>360.75650000000002</v>
      </c>
      <c r="O76" s="55">
        <f>_xll.EQNXTDZ($A$1,$B76,O$1,$B$1)</f>
        <v>392.8587</v>
      </c>
      <c r="P76" s="55">
        <f>_xll.EQNXTDZ($A$1,$B76,P$1,$B$1)</f>
        <v>357.91669999999999</v>
      </c>
      <c r="Q76" s="55">
        <f>_xll.EQNXTDZ($A$1,$B76,Q$1,$B$1)</f>
        <v>346.29259999999999</v>
      </c>
      <c r="R76" s="55">
        <f>_xll.EQNXTDZ($A$1,$B76,R$1,$B$1)</f>
        <v>359.36930000000001</v>
      </c>
      <c r="S76" s="55">
        <f>_xll.EQNXTDZ($A$1,$B76,S$1,$B$1)</f>
        <v>301.5718</v>
      </c>
      <c r="T76" s="55">
        <f>_xll.EQNXTDZ($A$1,$B76,T$1,$B$1)</f>
        <v>285.12060000000002</v>
      </c>
      <c r="U76" s="55">
        <f>_xll.EQNXTDZ($A$1,$B76,U$1,$B$1)</f>
        <v>319.22559999999999</v>
      </c>
      <c r="V76" s="55">
        <f>_xll.EQNXTDZ($A$1,$B76,V$1,$B$1)</f>
        <v>306.55119999999999</v>
      </c>
      <c r="W76" s="55">
        <f>_xll.EQNXTDZ($A$1,$B76,W$1,$B$1)</f>
        <v>250.2235</v>
      </c>
      <c r="X76" s="55">
        <f>_xll.EQNXTDZ($A$1,$B76,X$1,$B$1)</f>
        <v>261.66699999999997</v>
      </c>
      <c r="Y76" s="55">
        <f>_xll.EQNXTDZ($A$1,$B76,Y$1,$B$1)</f>
        <v>278.8</v>
      </c>
      <c r="Z76" s="55">
        <f>_xll.EQNXTDZ($A$1,$B76,Z$1,$B$1)</f>
        <v>229.74</v>
      </c>
      <c r="AA76" s="55">
        <f>_xll.EQNXTDZ($A$1,$B76,AA$1,$B$1)</f>
        <v>242.96</v>
      </c>
      <c r="AB76" s="55">
        <f>_xll.EQNXTDZ($A$1,$B76,AB$1,$B$1)</f>
        <v>301.14999999999998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55.088778599999998</v>
      </c>
      <c r="D77" s="55">
        <f>_xll.EQNXTDZ($A$1,$B77,D$1,$B$1)</f>
        <v>55.790398400000001</v>
      </c>
      <c r="E77" s="55">
        <f>_xll.EQNXTDZ($A$1,$B77,E$1,$B$1)</f>
        <v>69.721205100000006</v>
      </c>
      <c r="F77" s="55">
        <f>_xll.EQNXTDZ($A$1,$B77,F$1,$B$1)</f>
        <v>74.612402099999997</v>
      </c>
      <c r="G77" s="55">
        <f>_xll.EQNXTDZ($A$1,$B77,G$1,$B$1)</f>
        <v>113.9675</v>
      </c>
      <c r="H77" s="55">
        <f>_xll.EQNXTDZ($A$1,$B77,H$1,$B$1)</f>
        <v>214.17590000000001</v>
      </c>
      <c r="I77" s="55">
        <f>_xll.EQNXTDZ($A$1,$B77,I$1,$B$1)</f>
        <v>387.98599999999999</v>
      </c>
      <c r="J77" s="55">
        <f>_xll.EQNXTDZ($A$1,$B77,J$1,$B$1)</f>
        <v>492.31610000000001</v>
      </c>
      <c r="K77" s="55">
        <f>_xll.EQNXTDZ($A$1,$B77,K$1,$B$1)</f>
        <v>471.73579999999998</v>
      </c>
      <c r="L77" s="55">
        <f>_xll.EQNXTDZ($A$1,$B77,L$1,$B$1)</f>
        <v>517.58550000000002</v>
      </c>
      <c r="M77" s="55">
        <f>_xll.EQNXTDZ($A$1,$B77,M$1,$B$1)</f>
        <v>599.995</v>
      </c>
      <c r="N77" s="55">
        <f>_xll.EQNXTDZ($A$1,$B77,N$1,$B$1)</f>
        <v>783.27170000000001</v>
      </c>
      <c r="O77" s="55">
        <f>_xll.EQNXTDZ($A$1,$B77,O$1,$B$1)</f>
        <v>837.72040000000004</v>
      </c>
      <c r="P77" s="55">
        <f>_xll.EQNXTDZ($A$1,$B77,P$1,$B$1)</f>
        <v>853.07449999999994</v>
      </c>
      <c r="Q77" s="55">
        <f>_xll.EQNXTDZ($A$1,$B77,Q$1,$B$1)</f>
        <v>858.22460000000001</v>
      </c>
      <c r="R77" s="55">
        <f>_xll.EQNXTDZ($A$1,$B77,R$1,$B$1)</f>
        <v>705.66079999999999</v>
      </c>
      <c r="S77" s="55">
        <f>_xll.EQNXTDZ($A$1,$B77,S$1,$B$1)</f>
        <v>628.14829999999995</v>
      </c>
      <c r="T77" s="55">
        <f>_xll.EQNXTDZ($A$1,$B77,T$1,$B$1)</f>
        <v>671.24300000000005</v>
      </c>
      <c r="U77" s="55">
        <f>_xll.EQNXTDZ($A$1,$B77,U$1,$B$1)</f>
        <v>592.81370000000004</v>
      </c>
      <c r="V77" s="55">
        <f>_xll.EQNXTDZ($A$1,$B77,V$1,$B$1)</f>
        <v>612.07209999999998</v>
      </c>
      <c r="W77" s="55">
        <f>_xll.EQNXTDZ($A$1,$B77,W$1,$B$1)</f>
        <v>507.73610000000002</v>
      </c>
      <c r="X77" s="55">
        <f>_xll.EQNXTDZ($A$1,$B77,X$1,$B$1)</f>
        <v>415.07440000000003</v>
      </c>
      <c r="Y77" s="55">
        <f>_xll.EQNXTDZ($A$1,$B77,Y$1,$B$1)</f>
        <v>345.77</v>
      </c>
      <c r="Z77" s="55">
        <f>_xll.EQNXTDZ($A$1,$B77,Z$1,$B$1)</f>
        <v>445.1</v>
      </c>
      <c r="AA77" s="55">
        <f>_xll.EQNXTDZ($A$1,$B77,AA$1,$B$1)</f>
        <v>613.87</v>
      </c>
      <c r="AB77" s="55">
        <f>_xll.EQNXTDZ($A$1,$B77,AB$1,$B$1)</f>
        <v>720.51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1.2693787999999999</v>
      </c>
      <c r="D78" s="55">
        <f>_xll.EQNXTDZ($A$1,$B78,D$1,$B$1)</f>
        <v>1.8701117</v>
      </c>
      <c r="E78" s="55">
        <f>_xll.EQNXTDZ($A$1,$B78,E$1,$B$1)</f>
        <v>1.7297389000000001</v>
      </c>
      <c r="F78" s="55">
        <f>_xll.EQNXTDZ($A$1,$B78,F$1,$B$1)</f>
        <v>2.6617492999999999</v>
      </c>
      <c r="G78" s="55">
        <f>_xll.EQNXTDZ($A$1,$B78,G$1,$B$1)</f>
        <v>8.4718</v>
      </c>
      <c r="H78" s="55">
        <f>_xll.EQNXTDZ($A$1,$B78,H$1,$B$1)</f>
        <v>24.706900000000001</v>
      </c>
      <c r="I78" s="55">
        <f>_xll.EQNXTDZ($A$1,$B78,I$1,$B$1)</f>
        <v>12.759</v>
      </c>
      <c r="J78" s="55">
        <f>_xll.EQNXTDZ($A$1,$B78,J$1,$B$1)</f>
        <v>7.5224000000000002</v>
      </c>
      <c r="K78" s="55">
        <f>_xll.EQNXTDZ($A$1,$B78,K$1,$B$1)</f>
        <v>61.058700000000002</v>
      </c>
      <c r="L78" s="55">
        <f>_xll.EQNXTDZ($A$1,$B78,L$1,$B$1)</f>
        <v>38.8125</v>
      </c>
      <c r="M78" s="55">
        <f>_xll.EQNXTDZ($A$1,$B78,M$1,$B$1)</f>
        <v>27.105599999999999</v>
      </c>
      <c r="N78" s="55">
        <f>_xll.EQNXTDZ($A$1,$B78,N$1,$B$1)</f>
        <v>18.887699999999999</v>
      </c>
      <c r="O78" s="55">
        <f>_xll.EQNXTDZ($A$1,$B78,O$1,$B$1)</f>
        <v>31.678999999999998</v>
      </c>
      <c r="P78" s="55">
        <f>_xll.EQNXTDZ($A$1,$B78,P$1,$B$1)</f>
        <v>22.288499999999999</v>
      </c>
      <c r="Q78" s="55">
        <f>_xll.EQNXTDZ($A$1,$B78,Q$1,$B$1)</f>
        <v>31.505199999999999</v>
      </c>
      <c r="R78" s="55">
        <f>_xll.EQNXTDZ($A$1,$B78,R$1,$B$1)</f>
        <v>45.0229</v>
      </c>
      <c r="S78" s="55">
        <f>_xll.EQNXTDZ($A$1,$B78,S$1,$B$1)</f>
        <v>92.546599999999998</v>
      </c>
      <c r="T78" s="55">
        <f>_xll.EQNXTDZ($A$1,$B78,T$1,$B$1)</f>
        <v>82.763000000000005</v>
      </c>
      <c r="U78" s="55">
        <f>_xll.EQNXTDZ($A$1,$B78,U$1,$B$1)</f>
        <v>75.589799999999997</v>
      </c>
      <c r="V78" s="55">
        <f>_xll.EQNXTDZ($A$1,$B78,V$1,$B$1)</f>
        <v>107.4824</v>
      </c>
      <c r="W78" s="55">
        <f>_xll.EQNXTDZ($A$1,$B78,W$1,$B$1)</f>
        <v>141.4845</v>
      </c>
      <c r="X78" s="55">
        <f>_xll.EQNXTDZ($A$1,$B78,X$1,$B$1)</f>
        <v>112.1344</v>
      </c>
      <c r="Y78" s="55">
        <f>_xll.EQNXTDZ($A$1,$B78,Y$1,$B$1)</f>
        <v>210.37</v>
      </c>
      <c r="Z78" s="55">
        <f>_xll.EQNXTDZ($A$1,$B78,Z$1,$B$1)</f>
        <v>263.31</v>
      </c>
      <c r="AA78" s="55">
        <f>_xll.EQNXTDZ($A$1,$B78,AA$1,$B$1)</f>
        <v>358.44</v>
      </c>
      <c r="AB78" s="55">
        <f>_xll.EQNXTDZ($A$1,$B78,AB$1,$B$1)</f>
        <v>212.64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2.14</v>
      </c>
      <c r="N79" s="55">
        <f>_xll.EQNXTDZ($A$1,$B79,N$1,$B$1)</f>
        <v>1.5562</v>
      </c>
      <c r="O79" s="55">
        <f>_xll.EQNXTDZ($A$1,$B79,O$1,$B$1)</f>
        <v>9.2233000000000001</v>
      </c>
      <c r="P79" s="55">
        <f>_xll.EQNXTDZ($A$1,$B79,P$1,$B$1)</f>
        <v>14.872400000000001</v>
      </c>
      <c r="Q79" s="55">
        <f>_xll.EQNXTDZ($A$1,$B79,Q$1,$B$1)</f>
        <v>15.1229</v>
      </c>
      <c r="R79" s="55">
        <f>_xll.EQNXTDZ($A$1,$B79,R$1,$B$1)</f>
        <v>49.637500000000003</v>
      </c>
      <c r="S79" s="55">
        <f>_xll.EQNXTDZ($A$1,$B79,S$1,$B$1)</f>
        <v>27.075199999999999</v>
      </c>
      <c r="T79" s="55">
        <f>_xll.EQNXTDZ($A$1,$B79,T$1,$B$1)</f>
        <v>19.0307</v>
      </c>
      <c r="U79" s="55">
        <f>_xll.EQNXTDZ($A$1,$B79,U$1,$B$1)</f>
        <v>21.4678</v>
      </c>
      <c r="V79" s="55">
        <f>_xll.EQNXTDZ($A$1,$B79,V$1,$B$1)</f>
        <v>19.040199999999999</v>
      </c>
      <c r="W79" s="55">
        <f>_xll.EQNXTDZ($A$1,$B79,W$1,$B$1)</f>
        <v>19.7988</v>
      </c>
      <c r="X79" s="55">
        <f>_xll.EQNXTDZ($A$1,$B79,X$1,$B$1)</f>
        <v>18.502099999999999</v>
      </c>
      <c r="Y79" s="55">
        <f>_xll.EQNXTDZ($A$1,$B79,Y$1,$B$1)</f>
        <v>22.16</v>
      </c>
      <c r="Z79" s="55">
        <f>_xll.EQNXTDZ($A$1,$B79,Z$1,$B$1)</f>
        <v>22.48</v>
      </c>
      <c r="AA79" s="55">
        <f>_xll.EQNXTDZ($A$1,$B79,AA$1,$B$1)</f>
        <v>28.61</v>
      </c>
      <c r="AB79" s="55">
        <f>_xll.EQNXTDZ($A$1,$B79,AB$1,$B$1)</f>
        <v>35.76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13.308793100000001</v>
      </c>
      <c r="D80" s="55">
        <f>_xll.EQNXTDZ($A$1,$B80,D$1,$B$1)</f>
        <v>17.069912200000001</v>
      </c>
      <c r="E80" s="55">
        <f>_xll.EQNXTDZ($A$1,$B80,E$1,$B$1)</f>
        <v>12.275330500000001</v>
      </c>
      <c r="F80" s="55">
        <f>_xll.EQNXTDZ($A$1,$B80,F$1,$B$1)</f>
        <v>14.7445998</v>
      </c>
      <c r="G80" s="55">
        <f>_xll.EQNXTDZ($A$1,$B80,G$1,$B$1)</f>
        <v>25.405799999999999</v>
      </c>
      <c r="H80" s="55">
        <f>_xll.EQNXTDZ($A$1,$B80,H$1,$B$1)</f>
        <v>30.623799999999999</v>
      </c>
      <c r="I80" s="55">
        <f>_xll.EQNXTDZ($A$1,$B80,I$1,$B$1)</f>
        <v>39.636299999999999</v>
      </c>
      <c r="J80" s="55">
        <f>_xll.EQNXTDZ($A$1,$B80,J$1,$B$1)</f>
        <v>57.194800000000001</v>
      </c>
      <c r="K80" s="55">
        <f>_xll.EQNXTDZ($A$1,$B80,K$1,$B$1)</f>
        <v>74.917900000000003</v>
      </c>
      <c r="L80" s="55">
        <f>_xll.EQNXTDZ($A$1,$B80,L$1,$B$1)</f>
        <v>54.674300000000002</v>
      </c>
      <c r="M80" s="55">
        <f>_xll.EQNXTDZ($A$1,$B80,M$1,$B$1)</f>
        <v>45.040799999999997</v>
      </c>
      <c r="N80" s="55">
        <f>_xll.EQNXTDZ($A$1,$B80,N$1,$B$1)</f>
        <v>86.933599999999998</v>
      </c>
      <c r="O80" s="55">
        <f>_xll.EQNXTDZ($A$1,$B80,O$1,$B$1)</f>
        <v>153.9152</v>
      </c>
      <c r="P80" s="55">
        <f>_xll.EQNXTDZ($A$1,$B80,P$1,$B$1)</f>
        <v>108.6362</v>
      </c>
      <c r="Q80" s="55">
        <f>_xll.EQNXTDZ($A$1,$B80,Q$1,$B$1)</f>
        <v>99.971900000000005</v>
      </c>
      <c r="R80" s="55">
        <f>_xll.EQNXTDZ($A$1,$B80,R$1,$B$1)</f>
        <v>53.63</v>
      </c>
      <c r="S80" s="55">
        <f>_xll.EQNXTDZ($A$1,$B80,S$1,$B$1)</f>
        <v>75.239000000000004</v>
      </c>
      <c r="T80" s="55">
        <f>_xll.EQNXTDZ($A$1,$B80,T$1,$B$1)</f>
        <v>169.29560000000001</v>
      </c>
      <c r="U80" s="55">
        <f>_xll.EQNXTDZ($A$1,$B80,U$1,$B$1)</f>
        <v>253.22720000000001</v>
      </c>
      <c r="V80" s="55">
        <f>_xll.EQNXTDZ($A$1,$B80,V$1,$B$1)</f>
        <v>190.63220000000001</v>
      </c>
      <c r="W80" s="55">
        <f>_xll.EQNXTDZ($A$1,$B80,W$1,$B$1)</f>
        <v>214.38659999999999</v>
      </c>
      <c r="X80" s="55">
        <f>_xll.EQNXTDZ($A$1,$B80,X$1,$B$1)</f>
        <v>79.150199999999998</v>
      </c>
      <c r="Y80" s="55">
        <f>_xll.EQNXTDZ($A$1,$B80,Y$1,$B$1)</f>
        <v>11.47</v>
      </c>
      <c r="Z80" s="55">
        <f>_xll.EQNXTDZ($A$1,$B80,Z$1,$B$1)</f>
        <v>55.02</v>
      </c>
      <c r="AA80" s="55">
        <f>_xll.EQNXTDZ($A$1,$B80,AA$1,$B$1)</f>
        <v>37.840000000000003</v>
      </c>
      <c r="AB80" s="55">
        <f>_xll.EQNXTDZ($A$1,$B80,AB$1,$B$1)</f>
        <v>90.27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107.27441779999999</v>
      </c>
      <c r="D82" s="55">
        <f>_xll.EQNXTDZ($A$1,$B82,D$1,$B$1)</f>
        <v>123.3849329</v>
      </c>
      <c r="E82" s="55">
        <f>_xll.EQNXTDZ($A$1,$B82,E$1,$B$1)</f>
        <v>131.81326110000001</v>
      </c>
      <c r="F82" s="55">
        <f>_xll.EQNXTDZ($A$1,$B82,F$1,$B$1)</f>
        <v>186.74958849999999</v>
      </c>
      <c r="G82" s="55">
        <f>_xll.EQNXTDZ($A$1,$B82,G$1,$B$1)</f>
        <v>267.80059999999997</v>
      </c>
      <c r="H82" s="55">
        <f>_xll.EQNXTDZ($A$1,$B82,H$1,$B$1)</f>
        <v>433.4126</v>
      </c>
      <c r="I82" s="55">
        <f>_xll.EQNXTDZ($A$1,$B82,I$1,$B$1)</f>
        <v>609.33870000000002</v>
      </c>
      <c r="J82" s="55">
        <f>_xll.EQNXTDZ($A$1,$B82,J$1,$B$1)</f>
        <v>809.63699999999994</v>
      </c>
      <c r="K82" s="55">
        <f>_xll.EQNXTDZ($A$1,$B82,K$1,$B$1)</f>
        <v>1008.4589999999999</v>
      </c>
      <c r="L82" s="55">
        <f>_xll.EQNXTDZ($A$1,$B82,L$1,$B$1)</f>
        <v>926.25689999999997</v>
      </c>
      <c r="M82" s="55">
        <f>_xll.EQNXTDZ($A$1,$B82,M$1,$B$1)</f>
        <v>1060.7198000000001</v>
      </c>
      <c r="N82" s="55">
        <f>_xll.EQNXTDZ($A$1,$B82,N$1,$B$1)</f>
        <v>1258.7822000000001</v>
      </c>
      <c r="O82" s="55">
        <f>_xll.EQNXTDZ($A$1,$B82,O$1,$B$1)</f>
        <v>1433.5271</v>
      </c>
      <c r="P82" s="55">
        <f>_xll.EQNXTDZ($A$1,$B82,P$1,$B$1)</f>
        <v>1366.3958</v>
      </c>
      <c r="Q82" s="55">
        <f>_xll.EQNXTDZ($A$1,$B82,Q$1,$B$1)</f>
        <v>1360.3887</v>
      </c>
      <c r="R82" s="55">
        <f>_xll.EQNXTDZ($A$1,$B82,R$1,$B$1)</f>
        <v>1213.3205</v>
      </c>
      <c r="S82" s="55">
        <f>_xll.EQNXTDZ($A$1,$B82,S$1,$B$1)</f>
        <v>1124.5808999999999</v>
      </c>
      <c r="T82" s="55">
        <f>_xll.EQNXTDZ($A$1,$B82,T$1,$B$1)</f>
        <v>1227.4529</v>
      </c>
      <c r="U82" s="55">
        <f>_xll.EQNXTDZ($A$1,$B82,U$1,$B$1)</f>
        <v>1262.3241</v>
      </c>
      <c r="V82" s="55">
        <f>_xll.EQNXTDZ($A$1,$B82,V$1,$B$1)</f>
        <v>1235.7781</v>
      </c>
      <c r="W82" s="55">
        <f>_xll.EQNXTDZ($A$1,$B82,W$1,$B$1)</f>
        <v>1133.6295</v>
      </c>
      <c r="X82" s="55">
        <f>_xll.EQNXTDZ($A$1,$B82,X$1,$B$1)</f>
        <v>886.52809999999999</v>
      </c>
      <c r="Y82" s="55">
        <f>_xll.EQNXTDZ($A$1,$B82,Y$1,$B$1)</f>
        <v>887.63</v>
      </c>
      <c r="Z82" s="55">
        <f>_xll.EQNXTDZ($A$1,$B82,Z$1,$B$1)</f>
        <v>1218.93</v>
      </c>
      <c r="AA82" s="55">
        <f>_xll.EQNXTDZ($A$1,$B82,AA$1,$B$1)</f>
        <v>1696.27</v>
      </c>
      <c r="AB82" s="55">
        <f>_xll.EQNXTDZ($A$1,$B82,AB$1,$B$1)</f>
        <v>1954.69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4.6011490999999998</v>
      </c>
      <c r="D83" s="55">
        <f>_xll.EQNXTDZ($A$1,$B83,D$1,$B$1)</f>
        <v>3.759903</v>
      </c>
      <c r="E83" s="55">
        <f>_xll.EQNXTDZ($A$1,$B83,E$1,$B$1)</f>
        <v>11.7225371</v>
      </c>
      <c r="F83" s="55">
        <f>_xll.EQNXTDZ($A$1,$B83,F$1,$B$1)</f>
        <v>8.1974900999999996</v>
      </c>
      <c r="G83" s="55">
        <f>_xll.EQNXTDZ($A$1,$B83,G$1,$B$1)</f>
        <v>4.6725000000000003</v>
      </c>
      <c r="H83" s="55">
        <f>_xll.EQNXTDZ($A$1,$B83,H$1,$B$1)</f>
        <v>2.2976999999999999</v>
      </c>
      <c r="I83" s="55">
        <f>_xll.EQNXTDZ($A$1,$B83,I$1,$B$1)</f>
        <v>0.43269999999999997</v>
      </c>
      <c r="J83" s="55">
        <f>_xll.EQNXTDZ($A$1,$B83,J$1,$B$1)</f>
        <v>0.97119999999999995</v>
      </c>
      <c r="K83" s="55">
        <f>_xll.EQNXTDZ($A$1,$B83,K$1,$B$1)</f>
        <v>1.6888000000000001</v>
      </c>
      <c r="L83" s="55">
        <f>_xll.EQNXTDZ($A$1,$B83,L$1,$B$1)</f>
        <v>2.6048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172.5157016</v>
      </c>
      <c r="D84" s="55">
        <f>_xll.EQNXTDZ($A$1,$B84,D$1,$B$1)</f>
        <v>182.85819570000001</v>
      </c>
      <c r="E84" s="55">
        <f>_xll.EQNXTDZ($A$1,$B84,E$1,$B$1)</f>
        <v>196.85038069999999</v>
      </c>
      <c r="F84" s="55">
        <f>_xll.EQNXTDZ($A$1,$B84,F$1,$B$1)</f>
        <v>246.26536530000001</v>
      </c>
      <c r="G84" s="55">
        <f>_xll.EQNXTDZ($A$1,$B84,G$1,$B$1)</f>
        <v>340.1687</v>
      </c>
      <c r="H84" s="55">
        <f>_xll.EQNXTDZ($A$1,$B84,H$1,$B$1)</f>
        <v>537.21389999999997</v>
      </c>
      <c r="I84" s="55">
        <f>_xll.EQNXTDZ($A$1,$B84,I$1,$B$1)</f>
        <v>744.54870000000005</v>
      </c>
      <c r="J84" s="55">
        <f>_xll.EQNXTDZ($A$1,$B84,J$1,$B$1)</f>
        <v>1013.1310999999999</v>
      </c>
      <c r="K84" s="55">
        <f>_xll.EQNXTDZ($A$1,$B84,K$1,$B$1)</f>
        <v>1332.0351000000001</v>
      </c>
      <c r="L84" s="55">
        <f>_xll.EQNXTDZ($A$1,$B84,L$1,$B$1)</f>
        <v>1296.7572</v>
      </c>
      <c r="M84" s="55">
        <f>_xll.EQNXTDZ($A$1,$B84,M$1,$B$1)</f>
        <v>1696.7863</v>
      </c>
      <c r="N84" s="55">
        <f>_xll.EQNXTDZ($A$1,$B84,N$1,$B$1)</f>
        <v>1919.7732000000001</v>
      </c>
      <c r="O84" s="55">
        <f>_xll.EQNXTDZ($A$1,$B84,O$1,$B$1)</f>
        <v>2123.3283000000001</v>
      </c>
      <c r="P84" s="55">
        <f>_xll.EQNXTDZ($A$1,$B84,P$1,$B$1)</f>
        <v>2057.5634</v>
      </c>
      <c r="Q84" s="55">
        <f>_xll.EQNXTDZ($A$1,$B84,Q$1,$B$1)</f>
        <v>1964.2056</v>
      </c>
      <c r="R84" s="55">
        <f>_xll.EQNXTDZ($A$1,$B84,R$1,$B$1)</f>
        <v>2203.3492000000001</v>
      </c>
      <c r="S84" s="55">
        <f>_xll.EQNXTDZ($A$1,$B84,S$1,$B$1)</f>
        <v>2086.8863999999999</v>
      </c>
      <c r="T84" s="55">
        <f>_xll.EQNXTDZ($A$1,$B84,T$1,$B$1)</f>
        <v>2156.0119</v>
      </c>
      <c r="U84" s="55">
        <f>_xll.EQNXTDZ($A$1,$B84,U$1,$B$1)</f>
        <v>2165.0603000000001</v>
      </c>
      <c r="V84" s="55">
        <f>_xll.EQNXTDZ($A$1,$B84,V$1,$B$1)</f>
        <v>2129.3706000000002</v>
      </c>
      <c r="W84" s="55">
        <f>_xll.EQNXTDZ($A$1,$B84,W$1,$B$1)</f>
        <v>1987.7188000000001</v>
      </c>
      <c r="X84" s="55">
        <f>_xll.EQNXTDZ($A$1,$B84,X$1,$B$1)</f>
        <v>1714.6094000000001</v>
      </c>
      <c r="Y84" s="55">
        <f>_xll.EQNXTDZ($A$1,$B84,Y$1,$B$1)</f>
        <v>1729.88</v>
      </c>
      <c r="Z84" s="55">
        <f>_xll.EQNXTDZ($A$1,$B84,Z$1,$B$1)</f>
        <v>2123.08</v>
      </c>
      <c r="AA84" s="55">
        <f>_xll.EQNXTDZ($A$1,$B84,AA$1,$B$1)</f>
        <v>2729.47</v>
      </c>
      <c r="AB84" s="55">
        <f>_xll.EQNXTDZ($A$1,$B84,AB$1,$B$1)</f>
        <v>3233.68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55.418700000000001</v>
      </c>
      <c r="D85" s="55">
        <f>_xll.EQNXTDZ($A$1,$B85,D$1,$B$1)</f>
        <v>52.073300000000003</v>
      </c>
      <c r="E85" s="55">
        <f>_xll.EQNXTDZ($A$1,$B85,E$1,$B$1)</f>
        <v>45.395699999999998</v>
      </c>
      <c r="F85" s="55">
        <f>_xll.EQNXTDZ($A$1,$B85,F$1,$B$1)</f>
        <v>69.768600000000006</v>
      </c>
      <c r="G85" s="55">
        <f>_xll.EQNXTDZ($A$1,$B85,G$1,$B$1)</f>
        <v>124.96469999999999</v>
      </c>
      <c r="H85" s="55">
        <f>_xll.EQNXTDZ($A$1,$B85,H$1,$B$1)</f>
        <v>189.95760000000001</v>
      </c>
      <c r="I85" s="55">
        <f>_xll.EQNXTDZ($A$1,$B85,I$1,$B$1)</f>
        <v>350.23349999999999</v>
      </c>
      <c r="J85" s="55">
        <f>_xll.EQNXTDZ($A$1,$B85,J$1,$B$1)</f>
        <v>490.42110000000002</v>
      </c>
      <c r="K85" s="55">
        <f>_xll.EQNXTDZ($A$1,$B85,K$1,$B$1)</f>
        <v>584.7278</v>
      </c>
      <c r="L85" s="55">
        <f>_xll.EQNXTDZ($A$1,$B85,L$1,$B$1)</f>
        <v>600.30970000000002</v>
      </c>
      <c r="M85" s="55">
        <f>_xll.EQNXTDZ($A$1,$B85,M$1,$B$1)</f>
        <v>515.72979999999995</v>
      </c>
      <c r="N85" s="55">
        <f>_xll.EQNXTDZ($A$1,$B85,N$1,$B$1)</f>
        <v>756.79290000000003</v>
      </c>
      <c r="O85" s="55">
        <f>_xll.EQNXTDZ($A$1,$B85,O$1,$B$1)</f>
        <v>959.47789999999998</v>
      </c>
      <c r="P85" s="55">
        <f>_xll.EQNXTDZ($A$1,$B85,P$1,$B$1)</f>
        <v>1864.2577000000001</v>
      </c>
      <c r="Q85" s="55">
        <f>_xll.EQNXTDZ($A$1,$B85,Q$1,$B$1)</f>
        <v>2335.5747999999999</v>
      </c>
      <c r="R85" s="55">
        <f>_xll.EQNXTDZ($A$1,$B85,R$1,$B$1)</f>
        <v>136.70949999999999</v>
      </c>
      <c r="S85" s="55">
        <f>_xll.EQNXTDZ($A$1,$B85,S$1,$B$1)</f>
        <v>515.50390000000004</v>
      </c>
      <c r="T85" s="55">
        <f>_xll.EQNXTDZ($A$1,$B85,T$1,$B$1)</f>
        <v>513.77829999999994</v>
      </c>
      <c r="U85" s="55">
        <f>_xll.EQNXTDZ($A$1,$B85,U$1,$B$1)</f>
        <v>525.96929999999998</v>
      </c>
      <c r="V85" s="55">
        <f>_xll.EQNXTDZ($A$1,$B85,V$1,$B$1)</f>
        <v>538.90570000000002</v>
      </c>
      <c r="W85" s="55">
        <f>_xll.EQNXTDZ($A$1,$B85,W$1,$B$1)</f>
        <v>487.36430000000001</v>
      </c>
      <c r="X85" s="55">
        <f>_xll.EQNXTDZ($A$1,$B85,X$1,$B$1)</f>
        <v>128.0429</v>
      </c>
      <c r="Y85" s="55">
        <f>_xll.EQNXTDZ($A$1,$B85,Y$1,$B$1)</f>
        <v>107.68</v>
      </c>
      <c r="Z85" s="55">
        <f>_xll.EQNXTDZ($A$1,$B85,Z$1,$B$1)</f>
        <v>111.87</v>
      </c>
      <c r="AA85" s="55">
        <f>_xll.EQNXTDZ($A$1,$B85,AA$1,$B$1)</f>
        <v>107.3</v>
      </c>
      <c r="AB85" s="55">
        <f>_xll.EQNXTDZ($A$1,$B85,AB$1,$B$1)</f>
        <v>107.24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83.383499999999998</v>
      </c>
      <c r="N86" s="55">
        <f>_xll.EQNXTDZ($A$1,$B86,N$1,$B$1)</f>
        <v>85.731300000000005</v>
      </c>
      <c r="O86" s="55">
        <f>_xll.EQNXTDZ($A$1,$B86,O$1,$B$1)</f>
        <v>80.845500000000001</v>
      </c>
      <c r="P86" s="55">
        <f>_xll.EQNXTDZ($A$1,$B86,P$1,$B$1)</f>
        <v>86.775999999999996</v>
      </c>
      <c r="Q86" s="55">
        <f>_xll.EQNXTDZ($A$1,$B86,Q$1,$B$1)</f>
        <v>83.551400000000001</v>
      </c>
      <c r="R86" s="55">
        <f>_xll.EQNXTDZ($A$1,$B86,R$1,$B$1)</f>
        <v>83.513000000000005</v>
      </c>
      <c r="S86" s="55">
        <f>_xll.EQNXTDZ($A$1,$B86,S$1,$B$1)</f>
        <v>83.513000000000005</v>
      </c>
      <c r="T86" s="55">
        <f>_xll.EQNXTDZ($A$1,$B86,T$1,$B$1)</f>
        <v>98.074100000000001</v>
      </c>
      <c r="U86" s="55">
        <f>_xll.EQNXTDZ($A$1,$B86,U$1,$B$1)</f>
        <v>96.185500000000005</v>
      </c>
      <c r="V86" s="55">
        <f>_xll.EQNXTDZ($A$1,$B86,V$1,$B$1)</f>
        <v>98.900300000000001</v>
      </c>
      <c r="W86" s="55">
        <f>_xll.EQNXTDZ($A$1,$B86,W$1,$B$1)</f>
        <v>107.1215</v>
      </c>
      <c r="X86" s="55">
        <f>_xll.EQNXTDZ($A$1,$B86,X$1,$B$1)</f>
        <v>105.6615</v>
      </c>
      <c r="Y86" s="55">
        <f>_xll.EQNXTDZ($A$1,$B86,Y$1,$B$1)</f>
        <v>102.82</v>
      </c>
      <c r="Z86" s="55">
        <f>_xll.EQNXTDZ($A$1,$B86,Z$1,$B$1)</f>
        <v>101.77</v>
      </c>
      <c r="AA86" s="55">
        <f>_xll.EQNXTDZ($A$1,$B86,AA$1,$B$1)</f>
        <v>101.77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4.2858000000000001</v>
      </c>
      <c r="W87" s="55">
        <f>_xll.EQNXTDZ($A$1,$B87,W$1,$B$1)</f>
        <v>5.7142999999999997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69.7761</v>
      </c>
      <c r="N88" s="55">
        <f>_xll.EQNXTDZ($A$1,$B88,N$1,$B$1)</f>
        <v>85.504800000000003</v>
      </c>
      <c r="O88" s="55">
        <f>_xll.EQNXTDZ($A$1,$B88,O$1,$B$1)</f>
        <v>71.1738</v>
      </c>
      <c r="P88" s="55">
        <f>_xll.EQNXTDZ($A$1,$B88,P$1,$B$1)</f>
        <v>53.323900000000002</v>
      </c>
      <c r="Q88" s="55">
        <f>_xll.EQNXTDZ($A$1,$B88,Q$1,$B$1)</f>
        <v>48.888399999999997</v>
      </c>
      <c r="R88" s="55">
        <f>_xll.EQNXTDZ($A$1,$B88,R$1,$B$1)</f>
        <v>54.361699999999999</v>
      </c>
      <c r="S88" s="55">
        <f>_xll.EQNXTDZ($A$1,$B88,S$1,$B$1)</f>
        <v>80.3018</v>
      </c>
      <c r="T88" s="55">
        <f>_xll.EQNXTDZ($A$1,$B88,T$1,$B$1)</f>
        <v>46.108800000000002</v>
      </c>
      <c r="U88" s="55">
        <f>_xll.EQNXTDZ($A$1,$B88,U$1,$B$1)</f>
        <v>22.870799999999999</v>
      </c>
      <c r="V88" s="55">
        <f>_xll.EQNXTDZ($A$1,$B88,V$1,$B$1)</f>
        <v>14.184799999999999</v>
      </c>
      <c r="W88" s="55">
        <f>_xll.EQNXTDZ($A$1,$B88,W$1,$B$1)</f>
        <v>32.8934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2.3694999999999999</v>
      </c>
      <c r="P90" s="55">
        <f>_xll.EQNXTDZ($A$1,$B90,P$1,$B$1)</f>
        <v>2.6404999999999998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83.383499999999998</v>
      </c>
      <c r="N91" s="55">
        <f>_xll.EQNXTDZ($A$1,$B91,N$1,$B$1)</f>
        <v>87.985200000000006</v>
      </c>
      <c r="O91" s="55">
        <f>_xll.EQNXTDZ($A$1,$B91,O$1,$B$1)</f>
        <v>80.845500000000001</v>
      </c>
      <c r="P91" s="55">
        <f>_xll.EQNXTDZ($A$1,$B91,P$1,$B$1)</f>
        <v>86.775999999999996</v>
      </c>
      <c r="Q91" s="55">
        <f>_xll.EQNXTDZ($A$1,$B91,Q$1,$B$1)</f>
        <v>84.663799999999995</v>
      </c>
      <c r="R91" s="55">
        <f>_xll.EQNXTDZ($A$1,$B91,R$1,$B$1)</f>
        <v>83.513000000000005</v>
      </c>
      <c r="S91" s="55">
        <f>_xll.EQNXTDZ($A$1,$B91,S$1,$B$1)</f>
        <v>83.513000000000005</v>
      </c>
      <c r="T91" s="55">
        <f>_xll.EQNXTDZ($A$1,$B91,T$1,$B$1)</f>
        <v>98.074100000000001</v>
      </c>
      <c r="U91" s="55">
        <f>_xll.EQNXTDZ($A$1,$B91,U$1,$B$1)</f>
        <v>96.185500000000005</v>
      </c>
      <c r="V91" s="55">
        <f>_xll.EQNXTDZ($A$1,$B91,V$1,$B$1)</f>
        <v>98.900300000000001</v>
      </c>
      <c r="W91" s="55">
        <f>_xll.EQNXTDZ($A$1,$B91,W$1,$B$1)</f>
        <v>107.1215</v>
      </c>
      <c r="X91" s="55">
        <f>_xll.EQNXTDZ($A$1,$B91,X$1,$B$1)</f>
        <v>105.6615</v>
      </c>
      <c r="Y91" s="55">
        <f>_xll.EQNXTDZ($A$1,$B91,Y$1,$B$1)</f>
        <v>102.82</v>
      </c>
      <c r="Z91" s="55">
        <f>_xll.EQNXTDZ($A$1,$B91,Z$1,$B$1)</f>
        <v>101.77</v>
      </c>
      <c r="AA91" s="55">
        <f>_xll.EQNXTDZ($A$1,$B91,AA$1,$B$1)</f>
        <v>101.77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2.2538999999999998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1.1124000000000001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11.439</v>
      </c>
      <c r="D93" s="55">
        <f>_xll.EQNXTDZ($A$1,$B93,D$1,$B$1)</f>
        <v>8.9499999999999993</v>
      </c>
      <c r="E93" s="55">
        <f>_xll.EQNXTDZ($A$1,$B93,E$1,$B$1)</f>
        <v>13.229200000000001</v>
      </c>
      <c r="F93" s="55">
        <f>_xll.EQNXTDZ($A$1,$B93,F$1,$B$1)</f>
        <v>12.3028</v>
      </c>
      <c r="G93" s="55">
        <f>_xll.EQNXTDZ($A$1,$B93,G$1,$B$1)</f>
        <v>15.953900000000001</v>
      </c>
      <c r="H93" s="55">
        <f>_xll.EQNXTDZ($A$1,$B93,H$1,$B$1)</f>
        <v>9.0691000000000006</v>
      </c>
      <c r="I93" s="55">
        <f>_xll.EQNXTDZ($A$1,$B93,I$1,$B$1)</f>
        <v>7.0667999999999997</v>
      </c>
      <c r="J93" s="55">
        <f>_xll.EQNXTDZ($A$1,$B93,J$1,$B$1)</f>
        <v>18.098199999999999</v>
      </c>
      <c r="K93" s="55">
        <f>_xll.EQNXTDZ($A$1,$B93,K$1,$B$1)</f>
        <v>6.6492000000000004</v>
      </c>
      <c r="L93" s="55">
        <f>_xll.EQNXTDZ($A$1,$B93,L$1,$B$1)</f>
        <v>18.141400000000001</v>
      </c>
      <c r="M93" s="55">
        <f>_xll.EQNXTDZ($A$1,$B93,M$1,$B$1)</f>
        <v>17.1905</v>
      </c>
      <c r="N93" s="55">
        <f>_xll.EQNXTDZ($A$1,$B93,N$1,$B$1)</f>
        <v>18.164000000000001</v>
      </c>
      <c r="O93" s="55">
        <f>_xll.EQNXTDZ($A$1,$B93,O$1,$B$1)</f>
        <v>63.531599999999997</v>
      </c>
      <c r="P93" s="55">
        <f>_xll.EQNXTDZ($A$1,$B93,P$1,$B$1)</f>
        <v>63.14</v>
      </c>
      <c r="Q93" s="55">
        <f>_xll.EQNXTDZ($A$1,$B93,Q$1,$B$1)</f>
        <v>136.28270000000001</v>
      </c>
      <c r="R93" s="55">
        <f>_xll.EQNXTDZ($A$1,$B93,R$1,$B$1)</f>
        <v>118.4238</v>
      </c>
      <c r="S93" s="55">
        <f>_xll.EQNXTDZ($A$1,$B93,S$1,$B$1)</f>
        <v>167.44</v>
      </c>
      <c r="T93" s="55">
        <f>_xll.EQNXTDZ($A$1,$B93,T$1,$B$1)</f>
        <v>155.79310000000001</v>
      </c>
      <c r="U93" s="55">
        <f>_xll.EQNXTDZ($A$1,$B93,U$1,$B$1)</f>
        <v>191.89320000000001</v>
      </c>
      <c r="V93" s="55">
        <f>_xll.EQNXTDZ($A$1,$B93,V$1,$B$1)</f>
        <v>186.2586</v>
      </c>
      <c r="W93" s="55">
        <f>_xll.EQNXTDZ($A$1,$B93,W$1,$B$1)</f>
        <v>167.23339999999999</v>
      </c>
      <c r="X93" s="55">
        <f>_xll.EQNXTDZ($A$1,$B93,X$1,$B$1)</f>
        <v>126.06229999999999</v>
      </c>
      <c r="Y93" s="55">
        <f>_xll.EQNXTDZ($A$1,$B93,Y$1,$B$1)</f>
        <v>104.92</v>
      </c>
      <c r="Z93" s="55">
        <f>_xll.EQNXTDZ($A$1,$B93,Z$1,$B$1)</f>
        <v>111.56</v>
      </c>
      <c r="AA93" s="55">
        <f>_xll.EQNXTDZ($A$1,$B93,AA$1,$B$1)</f>
        <v>106.96</v>
      </c>
      <c r="AB93" s="55">
        <f>_xll.EQNXTDZ($A$1,$B93,AB$1,$B$1)</f>
        <v>106.84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43.921900000000001</v>
      </c>
      <c r="D95" s="55">
        <f>_xll.EQNXTDZ($A$1,$B95,D$1,$B$1)</f>
        <v>41.916400000000003</v>
      </c>
      <c r="E95" s="55">
        <f>_xll.EQNXTDZ($A$1,$B95,E$1,$B$1)</f>
        <v>30.645900000000001</v>
      </c>
      <c r="F95" s="55">
        <f>_xll.EQNXTDZ($A$1,$B95,F$1,$B$1)</f>
        <v>55.694499999999998</v>
      </c>
      <c r="G95" s="55">
        <f>_xll.EQNXTDZ($A$1,$B95,G$1,$B$1)</f>
        <v>88.620800000000003</v>
      </c>
      <c r="H95" s="55">
        <f>_xll.EQNXTDZ($A$1,$B95,H$1,$B$1)</f>
        <v>151.88740000000001</v>
      </c>
      <c r="I95" s="55">
        <f>_xll.EQNXTDZ($A$1,$B95,I$1,$B$1)</f>
        <v>166.22710000000001</v>
      </c>
      <c r="J95" s="55">
        <f>_xll.EQNXTDZ($A$1,$B95,J$1,$B$1)</f>
        <v>321.6223</v>
      </c>
      <c r="K95" s="55">
        <f>_xll.EQNXTDZ($A$1,$B95,K$1,$B$1)</f>
        <v>423.86989999999997</v>
      </c>
      <c r="L95" s="55">
        <f>_xll.EQNXTDZ($A$1,$B95,L$1,$B$1)</f>
        <v>434.9631</v>
      </c>
      <c r="M95" s="55">
        <f>_xll.EQNXTDZ($A$1,$B95,M$1,$B$1)</f>
        <v>461.40190000000001</v>
      </c>
      <c r="N95" s="55">
        <f>_xll.EQNXTDZ($A$1,$B95,N$1,$B$1)</f>
        <v>676.50609999999995</v>
      </c>
      <c r="O95" s="55">
        <f>_xll.EQNXTDZ($A$1,$B95,O$1,$B$1)</f>
        <v>844.25469999999996</v>
      </c>
      <c r="P95" s="55">
        <f>_xll.EQNXTDZ($A$1,$B95,P$1,$B$1)</f>
        <v>1787.7132999999999</v>
      </c>
      <c r="Q95" s="55">
        <f>_xll.EQNXTDZ($A$1,$B95,Q$1,$B$1)</f>
        <v>2188.6637999999998</v>
      </c>
      <c r="R95" s="55">
        <f>_xll.EQNXTDZ($A$1,$B95,R$1,$B$1)</f>
        <v>12.2393</v>
      </c>
      <c r="S95" s="55">
        <f>_xll.EQNXTDZ($A$1,$B95,S$1,$B$1)</f>
        <v>333.78449999999998</v>
      </c>
      <c r="T95" s="55">
        <f>_xll.EQNXTDZ($A$1,$B95,T$1,$B$1)</f>
        <v>352.01830000000001</v>
      </c>
      <c r="U95" s="55">
        <f>_xll.EQNXTDZ($A$1,$B95,U$1,$B$1)</f>
        <v>333.67869999999999</v>
      </c>
      <c r="V95" s="55">
        <f>_xll.EQNXTDZ($A$1,$B95,V$1,$B$1)</f>
        <v>352.39249999999998</v>
      </c>
      <c r="W95" s="55">
        <f>_xll.EQNXTDZ($A$1,$B95,W$1,$B$1)</f>
        <v>316.66449999999998</v>
      </c>
      <c r="X95" s="55">
        <f>_xll.EQNXTDZ($A$1,$B95,X$1,$B$1)</f>
        <v>0.32779999999999998</v>
      </c>
      <c r="Y95" s="55">
        <f>_xll.EQNXTDZ($A$1,$B95,Y$1,$B$1)</f>
        <v>0.32</v>
      </c>
      <c r="Z95" s="55">
        <f>_xll.EQNXTDZ($A$1,$B95,Z$1,$B$1)</f>
        <v>0.31</v>
      </c>
      <c r="AA95" s="55">
        <f>_xll.EQNXTDZ($A$1,$B95,AA$1,$B$1)</f>
        <v>0.34</v>
      </c>
      <c r="AB95" s="55">
        <f>_xll.EQNXTDZ($A$1,$B95,AB$1,$B$1)</f>
        <v>0.4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5.0042999999999997</v>
      </c>
      <c r="H97" s="55">
        <f>_xll.EQNXTDZ($A$1,$B97,H$1,$B$1)</f>
        <v>12.6431</v>
      </c>
      <c r="I97" s="55">
        <f>_xll.EQNXTDZ($A$1,$B97,I$1,$B$1)</f>
        <v>36.979700000000001</v>
      </c>
      <c r="J97" s="55">
        <f>_xll.EQNXTDZ($A$1,$B97,J$1,$B$1)</f>
        <v>18.413799999999998</v>
      </c>
      <c r="K97" s="55">
        <f>_xll.EQNXTDZ($A$1,$B97,K$1,$B$1)</f>
        <v>24.3566</v>
      </c>
      <c r="L97" s="55">
        <f>_xll.EQNXTDZ($A$1,$B97,L$1,$B$1)</f>
        <v>29.6127</v>
      </c>
      <c r="M97" s="55">
        <f>_xll.EQNXTDZ($A$1,$B97,M$1,$B$1)</f>
        <v>37.1374</v>
      </c>
      <c r="N97" s="55">
        <f>_xll.EQNXTDZ($A$1,$B97,N$1,$B$1)</f>
        <v>61.513199999999998</v>
      </c>
      <c r="O97" s="55">
        <f>_xll.EQNXTDZ($A$1,$B97,O$1,$B$1)</f>
        <v>51.354799999999997</v>
      </c>
      <c r="P97" s="55">
        <f>_xll.EQNXTDZ($A$1,$B97,P$1,$B$1)</f>
        <v>11.763999999999999</v>
      </c>
      <c r="Q97" s="55">
        <f>_xll.EQNXTDZ($A$1,$B97,Q$1,$B$1)</f>
        <v>10.426500000000001</v>
      </c>
      <c r="R97" s="55">
        <f>_xll.EQNXTDZ($A$1,$B97,R$1,$B$1)</f>
        <v>6.0464000000000002</v>
      </c>
      <c r="S97" s="55">
        <f>_xll.EQNXTDZ($A$1,$B97,S$1,$B$1)</f>
        <v>14.279400000000001</v>
      </c>
      <c r="T97" s="55">
        <f>_xll.EQNXTDZ($A$1,$B97,T$1,$B$1)</f>
        <v>5.9668999999999999</v>
      </c>
      <c r="U97" s="55">
        <f>_xll.EQNXTDZ($A$1,$B97,U$1,$B$1)</f>
        <v>0.39739999999999998</v>
      </c>
      <c r="V97" s="55">
        <f>_xll.EQNXTDZ($A$1,$B97,V$1,$B$1)</f>
        <v>0.25459999999999999</v>
      </c>
      <c r="W97" s="55">
        <f>_xll.EQNXTDZ($A$1,$B97,W$1,$B$1)</f>
        <v>3.4664000000000001</v>
      </c>
      <c r="X97" s="55">
        <f>_xll.EQNXTDZ($A$1,$B97,X$1,$B$1)</f>
        <v>1.6528</v>
      </c>
      <c r="Y97" s="55">
        <f>_xll.EQNXTDZ($A$1,$B97,Y$1,$B$1)</f>
        <v>2.44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5.7799999999999997E-2</v>
      </c>
      <c r="D98" s="55">
        <f>_xll.EQNXTDZ($A$1,$B98,D$1,$B$1)</f>
        <v>1.2069000000000001</v>
      </c>
      <c r="E98" s="55">
        <f>_xll.EQNXTDZ($A$1,$B98,E$1,$B$1)</f>
        <v>1.5206</v>
      </c>
      <c r="F98" s="55">
        <f>_xll.EQNXTDZ($A$1,$B98,F$1,$B$1)</f>
        <v>1.7713000000000001</v>
      </c>
      <c r="G98" s="55">
        <f>_xll.EQNXTDZ($A$1,$B98,G$1,$B$1)</f>
        <v>15.3857</v>
      </c>
      <c r="H98" s="55">
        <f>_xll.EQNXTDZ($A$1,$B98,H$1,$B$1)</f>
        <v>16.358000000000001</v>
      </c>
      <c r="I98" s="55">
        <f>_xll.EQNXTDZ($A$1,$B98,I$1,$B$1)</f>
        <v>139.9599</v>
      </c>
      <c r="J98" s="55">
        <f>_xll.EQNXTDZ($A$1,$B98,J$1,$B$1)</f>
        <v>132.2868</v>
      </c>
      <c r="K98" s="55">
        <f>_xll.EQNXTDZ($A$1,$B98,K$1,$B$1)</f>
        <v>129.85210000000001</v>
      </c>
      <c r="L98" s="55">
        <f>_xll.EQNXTDZ($A$1,$B98,L$1,$B$1)</f>
        <v>117.5925</v>
      </c>
      <c r="M98" s="55">
        <f>_xll.EQNXTDZ($A$1,$B98,M$1,$B$1)</f>
        <v>0</v>
      </c>
      <c r="N98" s="55">
        <f>_xll.EQNXTDZ($A$1,$B98,N$1,$B$1)</f>
        <v>0.60960000000000003</v>
      </c>
      <c r="O98" s="55">
        <f>_xll.EQNXTDZ($A$1,$B98,O$1,$B$1)</f>
        <v>0</v>
      </c>
      <c r="P98" s="55">
        <f>_xll.EQNXTDZ($A$1,$B98,P$1,$B$1)</f>
        <v>0.79349999999999998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0.33679999999999999</v>
      </c>
      <c r="P99" s="55">
        <f>_xll.EQNXTDZ($A$1,$B99,P$1,$B$1)</f>
        <v>0.84689999999999999</v>
      </c>
      <c r="Q99" s="55">
        <f>_xll.EQNXTDZ($A$1,$B99,Q$1,$B$1)</f>
        <v>0.20180000000000001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5.6474099999999998</v>
      </c>
      <c r="D104" s="55">
        <f>_xll.EQNXTDZ($A$1,$B104,D$1,$B$1)</f>
        <v>5.6474099999999998</v>
      </c>
      <c r="E104" s="55">
        <f>_xll.EQNXTDZ($A$1,$B104,E$1,$B$1)</f>
        <v>5.6474099999999998</v>
      </c>
      <c r="F104" s="55">
        <f>_xll.EQNXTDZ($A$1,$B104,F$1,$B$1)</f>
        <v>5.6474099999999998</v>
      </c>
      <c r="G104" s="55">
        <f>_xll.EQNXTDZ($A$1,$B104,G$1,$B$1)</f>
        <v>5.6474000000000002</v>
      </c>
      <c r="H104" s="55">
        <f>_xll.EQNXTDZ($A$1,$B104,H$1,$B$1)</f>
        <v>5.7077999999999998</v>
      </c>
      <c r="I104" s="55">
        <f>_xll.EQNXTDZ($A$1,$B104,I$1,$B$1)</f>
        <v>6.1847000000000003</v>
      </c>
      <c r="J104" s="55">
        <f>_xll.EQNXTDZ($A$1,$B104,J$1,$B$1)</f>
        <v>18.572299999999998</v>
      </c>
      <c r="K104" s="55">
        <f>_xll.EQNXTDZ($A$1,$B104,K$1,$B$1)</f>
        <v>18.572299999999998</v>
      </c>
      <c r="L104" s="55">
        <f>_xll.EQNXTDZ($A$1,$B104,L$1,$B$1)</f>
        <v>18.572299999999998</v>
      </c>
      <c r="M104" s="55">
        <f>_xll.EQNXTDZ($A$1,$B104,M$1,$B$1)</f>
        <v>18.572299999999998</v>
      </c>
      <c r="N104" s="55">
        <f>_xll.EQNXTDZ($A$1,$B104,N$1,$B$1)</f>
        <v>18.572299999999998</v>
      </c>
      <c r="O104" s="55">
        <f>_xll.EQNXTDZ($A$1,$B104,O$1,$B$1)</f>
        <v>18.572299999999998</v>
      </c>
      <c r="P104" s="55">
        <f>_xll.EQNXTDZ($A$1,$B104,P$1,$B$1)</f>
        <v>21.787199999999999</v>
      </c>
      <c r="Q104" s="55">
        <f>_xll.EQNXTDZ($A$1,$B104,Q$1,$B$1)</f>
        <v>21.787199999999999</v>
      </c>
      <c r="R104" s="55">
        <f>_xll.EQNXTDZ($A$1,$B104,R$1,$B$1)</f>
        <v>21.787199999999999</v>
      </c>
      <c r="S104" s="55">
        <f>_xll.EQNXTDZ($A$1,$B104,S$1,$B$1)</f>
        <v>22.44</v>
      </c>
      <c r="T104" s="55">
        <f>_xll.EQNXTDZ($A$1,$B104,T$1,$B$1)</f>
        <v>22.44</v>
      </c>
      <c r="U104" s="55">
        <f>_xll.EQNXTDZ($A$1,$B104,U$1,$B$1)</f>
        <v>22.44</v>
      </c>
      <c r="V104" s="55">
        <f>_xll.EQNXTDZ($A$1,$B104,V$1,$B$1)</f>
        <v>22.44</v>
      </c>
      <c r="W104" s="55">
        <f>_xll.EQNXTDZ($A$1,$B104,W$1,$B$1)</f>
        <v>22.44</v>
      </c>
      <c r="X104" s="55">
        <f>_xll.EQNXTDZ($A$1,$B104,X$1,$B$1)</f>
        <v>22.44</v>
      </c>
      <c r="Y104" s="55">
        <f>_xll.EQNXTDZ($A$1,$B104,Y$1,$B$1)</f>
        <v>22.44</v>
      </c>
      <c r="Z104" s="55">
        <f>_xll.EQNXTDZ($A$1,$B104,Z$1,$B$1)</f>
        <v>22.44</v>
      </c>
      <c r="AA104" s="55">
        <f>_xll.EQNXTDZ($A$1,$B104,AA$1,$B$1)</f>
        <v>22.44</v>
      </c>
      <c r="AB104" s="55">
        <f>_xll.EQNXTDZ($A$1,$B104,AB$1,$B$1)</f>
        <v>22.44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2</v>
      </c>
      <c r="J105" s="55">
        <f>_xll.EQNXTDZ($A$1,$B105,J$1,$B$1)</f>
        <v>2</v>
      </c>
      <c r="K105" s="55">
        <f>_xll.EQNXTDZ($A$1,$B105,K$1,$B$1)</f>
        <v>2</v>
      </c>
      <c r="L105" s="55">
        <f>_xll.EQNXTDZ($A$1,$B105,L$1,$B$1)</f>
        <v>2</v>
      </c>
      <c r="M105" s="55">
        <f>_xll.EQNXTDZ($A$1,$B105,M$1,$B$1)</f>
        <v>2</v>
      </c>
      <c r="N105" s="55">
        <f>_xll.EQNXTDZ($A$1,$B105,N$1,$B$1)</f>
        <v>2</v>
      </c>
      <c r="O105" s="55">
        <f>_xll.EQNXTDZ($A$1,$B105,O$1,$B$1)</f>
        <v>2</v>
      </c>
      <c r="P105" s="55">
        <f>_xll.EQNXTDZ($A$1,$B105,P$1,$B$1)</f>
        <v>2</v>
      </c>
      <c r="Q105" s="55">
        <f>_xll.EQNXTDZ($A$1,$B105,Q$1,$B$1)</f>
        <v>2</v>
      </c>
      <c r="R105" s="55">
        <f>_xll.EQNXTDZ($A$1,$B105,R$1,$B$1)</f>
        <v>2</v>
      </c>
      <c r="S105" s="55">
        <f>_xll.EQNXTDZ($A$1,$B105,S$1,$B$1)</f>
        <v>2</v>
      </c>
      <c r="T105" s="55">
        <f>_xll.EQNXTDZ($A$1,$B105,T$1,$B$1)</f>
        <v>2</v>
      </c>
      <c r="U105" s="55">
        <f>_xll.EQNXTDZ($A$1,$B105,U$1,$B$1)</f>
        <v>2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0.48166666666666702</v>
      </c>
      <c r="D106" s="55">
        <f>_xll.EQNXTDZ($A$1,$B106,D$1,$B$1)</f>
        <v>0.36666666666666697</v>
      </c>
      <c r="E106" s="55">
        <f>_xll.EQNXTDZ($A$1,$B106,E$1,$B$1)</f>
        <v>0.25666666666666699</v>
      </c>
      <c r="F106" s="55">
        <f>_xll.EQNXTDZ($A$1,$B106,F$1,$B$1)</f>
        <v>0.87833333333333297</v>
      </c>
      <c r="G106" s="55">
        <f>_xll.EQNXTDZ($A$1,$B106,G$1,$B$1)</f>
        <v>5.7266666666666701</v>
      </c>
      <c r="H106" s="55">
        <f>_xll.EQNXTDZ($A$1,$B106,H$1,$B$1)</f>
        <v>45.948333333333302</v>
      </c>
      <c r="I106" s="55">
        <f>_xll.EQNXTDZ($A$1,$B106,I$1,$B$1)</f>
        <v>64.991666666666703</v>
      </c>
      <c r="J106" s="55">
        <f>_xll.EQNXTDZ($A$1,$B106,J$1,$B$1)</f>
        <v>94.6</v>
      </c>
      <c r="K106" s="55">
        <f>_xll.EQNXTDZ($A$1,$B106,K$1,$B$1)</f>
        <v>15.55</v>
      </c>
      <c r="L106" s="55">
        <f>_xll.EQNXTDZ($A$1,$B106,L$1,$B$1)</f>
        <v>36.274999999999999</v>
      </c>
      <c r="M106" s="55">
        <f>_xll.EQNXTDZ($A$1,$B106,M$1,$B$1)</f>
        <v>34.049999999999997</v>
      </c>
      <c r="N106" s="55">
        <f>_xll.EQNXTDZ($A$1,$B106,N$1,$B$1)</f>
        <v>30.625</v>
      </c>
      <c r="O106" s="55">
        <f>_xll.EQNXTDZ($A$1,$B106,O$1,$B$1)</f>
        <v>15.45</v>
      </c>
      <c r="P106" s="55">
        <f>_xll.EQNXTDZ($A$1,$B106,P$1,$B$1)</f>
        <v>16.899999999999999</v>
      </c>
      <c r="Q106" s="55">
        <f>_xll.EQNXTDZ($A$1,$B106,Q$1,$B$1)</f>
        <v>33.35</v>
      </c>
      <c r="R106" s="55">
        <f>_xll.EQNXTDZ($A$1,$B106,R$1,$B$1)</f>
        <v>27.25</v>
      </c>
      <c r="S106" s="55">
        <f>_xll.EQNXTDZ($A$1,$B106,S$1,$B$1)</f>
        <v>26.425000000000001</v>
      </c>
      <c r="T106" s="55">
        <f>_xll.EQNXTDZ($A$1,$B106,T$1,$B$1)</f>
        <v>38.475000000000001</v>
      </c>
      <c r="U106" s="55">
        <f>_xll.EQNXTDZ($A$1,$B106,U$1,$B$1)</f>
        <v>31.625</v>
      </c>
      <c r="V106" s="55">
        <f>_xll.EQNXTDZ($A$1,$B106,V$1,$B$1)</f>
        <v>9.5250000000000004</v>
      </c>
      <c r="W106" s="55">
        <f>_xll.EQNXTDZ($A$1,$B106,W$1,$B$1)</f>
        <v>31.675000000000001</v>
      </c>
      <c r="X106" s="55">
        <f>_xll.EQNXTDZ($A$1,$B106,X$1,$B$1)</f>
        <v>71.924999999999997</v>
      </c>
      <c r="Y106" s="55">
        <f>_xll.EQNXTDZ($A$1,$B106,Y$1,$B$1)</f>
        <v>190.95</v>
      </c>
      <c r="Z106" s="55">
        <f>_xll.EQNXTDZ($A$1,$B106,Z$1,$B$1)</f>
        <v>474.92500000000001</v>
      </c>
      <c r="AA106" s="55">
        <f>_xll.EQNXTDZ($A$1,$B106,AA$1,$B$1)</f>
        <v>449.1</v>
      </c>
      <c r="AB106" s="55">
        <f>_xll.EQNXTDZ($A$1,$B106,AB$1,$B$1)</f>
        <v>354.75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1.42333333333333</v>
      </c>
      <c r="D107" s="55">
        <f>_xll.EQNXTDZ($A$1,$B107,D$1,$B$1)</f>
        <v>0.62666666666666704</v>
      </c>
      <c r="E107" s="55">
        <f>_xll.EQNXTDZ($A$1,$B107,E$1,$B$1)</f>
        <v>0.75833333333333297</v>
      </c>
      <c r="F107" s="55">
        <f>_xll.EQNXTDZ($A$1,$B107,F$1,$B$1)</f>
        <v>1.7649999999999999</v>
      </c>
      <c r="G107" s="55">
        <f>_xll.EQNXTDZ($A$1,$B107,G$1,$B$1)</f>
        <v>6.3633333333333297</v>
      </c>
      <c r="H107" s="55">
        <f>_xll.EQNXTDZ($A$1,$B107,H$1,$B$1)</f>
        <v>47.6</v>
      </c>
      <c r="I107" s="55">
        <f>_xll.EQNXTDZ($A$1,$B107,I$1,$B$1)</f>
        <v>79.633333333333297</v>
      </c>
      <c r="J107" s="55">
        <f>_xll.EQNXTDZ($A$1,$B107,J$1,$B$1)</f>
        <v>171.5</v>
      </c>
      <c r="K107" s="55">
        <f>_xll.EQNXTDZ($A$1,$B107,K$1,$B$1)</f>
        <v>100</v>
      </c>
      <c r="L107" s="55">
        <f>_xll.EQNXTDZ($A$1,$B107,L$1,$B$1)</f>
        <v>55.424999999999997</v>
      </c>
      <c r="M107" s="55">
        <f>_xll.EQNXTDZ($A$1,$B107,M$1,$B$1)</f>
        <v>51.85</v>
      </c>
      <c r="N107" s="55">
        <f>_xll.EQNXTDZ($A$1,$B107,N$1,$B$1)</f>
        <v>43</v>
      </c>
      <c r="O107" s="55">
        <f>_xll.EQNXTDZ($A$1,$B107,O$1,$B$1)</f>
        <v>31</v>
      </c>
      <c r="P107" s="55">
        <f>_xll.EQNXTDZ($A$1,$B107,P$1,$B$1)</f>
        <v>19.149999999999999</v>
      </c>
      <c r="Q107" s="55">
        <f>_xll.EQNXTDZ($A$1,$B107,Q$1,$B$1)</f>
        <v>35.9</v>
      </c>
      <c r="R107" s="55">
        <f>_xll.EQNXTDZ($A$1,$B107,R$1,$B$1)</f>
        <v>48.5</v>
      </c>
      <c r="S107" s="55">
        <f>_xll.EQNXTDZ($A$1,$B107,S$1,$B$1)</f>
        <v>37</v>
      </c>
      <c r="T107" s="55">
        <f>_xll.EQNXTDZ($A$1,$B107,T$1,$B$1)</f>
        <v>56.75</v>
      </c>
      <c r="U107" s="55">
        <f>_xll.EQNXTDZ($A$1,$B107,U$1,$B$1)</f>
        <v>44.35</v>
      </c>
      <c r="V107" s="55">
        <f>_xll.EQNXTDZ($A$1,$B107,V$1,$B$1)</f>
        <v>33.200000000000003</v>
      </c>
      <c r="W107" s="55">
        <f>_xll.EQNXTDZ($A$1,$B107,W$1,$B$1)</f>
        <v>34.75</v>
      </c>
      <c r="X107" s="55">
        <f>_xll.EQNXTDZ($A$1,$B107,X$1,$B$1)</f>
        <v>109.5</v>
      </c>
      <c r="Y107" s="55">
        <f>_xll.EQNXTDZ($A$1,$B107,Y$1,$B$1)</f>
        <v>237.875</v>
      </c>
      <c r="Z107" s="55">
        <f>_xll.EQNXTDZ($A$1,$B107,Z$1,$B$1)</f>
        <v>560.25</v>
      </c>
      <c r="AA107" s="55">
        <f>_xll.EQNXTDZ($A$1,$B107,AA$1,$B$1)</f>
        <v>738.85</v>
      </c>
      <c r="AB107" s="55">
        <f>_xll.EQNXTDZ($A$1,$B107,AB$1,$B$1)</f>
        <v>716.55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0.48166666666666702</v>
      </c>
      <c r="D108" s="55">
        <f>_xll.EQNXTDZ($A$1,$B108,D$1,$B$1)</f>
        <v>0.30833333333333302</v>
      </c>
      <c r="E108" s="55">
        <f>_xll.EQNXTDZ($A$1,$B108,E$1,$B$1)</f>
        <v>0.233333333333333</v>
      </c>
      <c r="F108" s="55">
        <f>_xll.EQNXTDZ($A$1,$B108,F$1,$B$1)</f>
        <v>0.236666666666667</v>
      </c>
      <c r="G108" s="55">
        <f>_xll.EQNXTDZ($A$1,$B108,G$1,$B$1)</f>
        <v>0.79</v>
      </c>
      <c r="H108" s="55">
        <f>_xll.EQNXTDZ($A$1,$B108,H$1,$B$1)</f>
        <v>5.9566666666666697</v>
      </c>
      <c r="I108" s="55">
        <f>_xll.EQNXTDZ($A$1,$B108,I$1,$B$1)</f>
        <v>24.008333333333301</v>
      </c>
      <c r="J108" s="55">
        <f>_xll.EQNXTDZ($A$1,$B108,J$1,$B$1)</f>
        <v>59.533333333333303</v>
      </c>
      <c r="K108" s="55">
        <f>_xll.EQNXTDZ($A$1,$B108,K$1,$B$1)</f>
        <v>11.925000000000001</v>
      </c>
      <c r="L108" s="55">
        <f>_xll.EQNXTDZ($A$1,$B108,L$1,$B$1)</f>
        <v>15.275</v>
      </c>
      <c r="M108" s="55">
        <f>_xll.EQNXTDZ($A$1,$B108,M$1,$B$1)</f>
        <v>29.65</v>
      </c>
      <c r="N108" s="55">
        <f>_xll.EQNXTDZ($A$1,$B108,N$1,$B$1)</f>
        <v>25</v>
      </c>
      <c r="O108" s="55">
        <f>_xll.EQNXTDZ($A$1,$B108,O$1,$B$1)</f>
        <v>15.15</v>
      </c>
      <c r="P108" s="55">
        <f>_xll.EQNXTDZ($A$1,$B108,P$1,$B$1)</f>
        <v>9.3000000000000007</v>
      </c>
      <c r="Q108" s="55">
        <f>_xll.EQNXTDZ($A$1,$B108,Q$1,$B$1)</f>
        <v>16.625</v>
      </c>
      <c r="R108" s="55">
        <f>_xll.EQNXTDZ($A$1,$B108,R$1,$B$1)</f>
        <v>21.35</v>
      </c>
      <c r="S108" s="55">
        <f>_xll.EQNXTDZ($A$1,$B108,S$1,$B$1)</f>
        <v>22.7</v>
      </c>
      <c r="T108" s="55">
        <f>_xll.EQNXTDZ($A$1,$B108,T$1,$B$1)</f>
        <v>22.5</v>
      </c>
      <c r="U108" s="55">
        <f>_xll.EQNXTDZ($A$1,$B108,U$1,$B$1)</f>
        <v>24.225000000000001</v>
      </c>
      <c r="V108" s="55">
        <f>_xll.EQNXTDZ($A$1,$B108,V$1,$B$1)</f>
        <v>6.875</v>
      </c>
      <c r="W108" s="55">
        <f>_xll.EQNXTDZ($A$1,$B108,W$1,$B$1)</f>
        <v>8.6999999999999993</v>
      </c>
      <c r="X108" s="55">
        <f>_xll.EQNXTDZ($A$1,$B108,X$1,$B$1)</f>
        <v>30.725000000000001</v>
      </c>
      <c r="Y108" s="55">
        <f>_xll.EQNXTDZ($A$1,$B108,Y$1,$B$1)</f>
        <v>71.5</v>
      </c>
      <c r="Z108" s="55">
        <f>_xll.EQNXTDZ($A$1,$B108,Z$1,$B$1)</f>
        <v>190.02500000000001</v>
      </c>
      <c r="AA108" s="55">
        <f>_xll.EQNXTDZ($A$1,$B108,AA$1,$B$1)</f>
        <v>378.35</v>
      </c>
      <c r="AB108" s="55">
        <f>_xll.EQNXTDZ($A$1,$B108,AB$1,$B$1)</f>
        <v>348.05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8.1605074500000008</v>
      </c>
      <c r="D109" s="55">
        <f>_xll.EQNXTDZ($A$1,$B109,D$1,$B$1)</f>
        <v>6.2121510000000004</v>
      </c>
      <c r="E109" s="55">
        <f>_xll.EQNXTDZ($A$1,$B109,E$1,$B$1)</f>
        <v>4.3485056999999996</v>
      </c>
      <c r="F109" s="55">
        <f>_xll.EQNXTDZ($A$1,$B109,F$1,$B$1)</f>
        <v>14.88092535</v>
      </c>
      <c r="G109" s="55">
        <f>_xll.EQNXTDZ($A$1,$B109,G$1,$B$1)</f>
        <v>97.022332000000006</v>
      </c>
      <c r="H109" s="55">
        <f>_xll.EQNXTDZ($A$1,$B109,H$1,$B$1)</f>
        <v>786.79169100000001</v>
      </c>
      <c r="I109" s="55">
        <f>_xll.EQNXTDZ($A$1,$B109,I$1,$B$1)</f>
        <v>1205.8618825000001</v>
      </c>
      <c r="J109" s="55">
        <f>_xll.EQNXTDZ($A$1,$B109,J$1,$B$1)</f>
        <v>1756.93958</v>
      </c>
      <c r="K109" s="55">
        <f>_xll.EQNXTDZ($A$1,$B109,K$1,$B$1)</f>
        <v>288.79926499999999</v>
      </c>
      <c r="L109" s="55">
        <f>_xll.EQNXTDZ($A$1,$B109,L$1,$B$1)</f>
        <v>673.71018249999997</v>
      </c>
      <c r="M109" s="55">
        <f>_xll.EQNXTDZ($A$1,$B109,M$1,$B$1)</f>
        <v>632.38681499999996</v>
      </c>
      <c r="N109" s="55">
        <f>_xll.EQNXTDZ($A$1,$B109,N$1,$B$1)</f>
        <v>568.77668749999998</v>
      </c>
      <c r="O109" s="55">
        <f>_xll.EQNXTDZ($A$1,$B109,O$1,$B$1)</f>
        <v>286.94203499999998</v>
      </c>
      <c r="P109" s="55">
        <f>_xll.EQNXTDZ($A$1,$B109,P$1,$B$1)</f>
        <v>368.20368000000002</v>
      </c>
      <c r="Q109" s="55">
        <f>_xll.EQNXTDZ($A$1,$B109,Q$1,$B$1)</f>
        <v>726.60311999999999</v>
      </c>
      <c r="R109" s="55">
        <f>_xll.EQNXTDZ($A$1,$B109,R$1,$B$1)</f>
        <v>593.70119999999997</v>
      </c>
      <c r="S109" s="55">
        <f>_xll.EQNXTDZ($A$1,$B109,S$1,$B$1)</f>
        <v>592.97699999999998</v>
      </c>
      <c r="T109" s="55">
        <f>_xll.EQNXTDZ($A$1,$B109,T$1,$B$1)</f>
        <v>863.37900000000002</v>
      </c>
      <c r="U109" s="55">
        <f>_xll.EQNXTDZ($A$1,$B109,U$1,$B$1)</f>
        <v>709.66499999999996</v>
      </c>
      <c r="V109" s="55">
        <f>_xll.EQNXTDZ($A$1,$B109,V$1,$B$1)</f>
        <v>213.74100000000001</v>
      </c>
      <c r="W109" s="55">
        <f>_xll.EQNXTDZ($A$1,$B109,W$1,$B$1)</f>
        <v>710.78700000000003</v>
      </c>
      <c r="X109" s="55">
        <f>_xll.EQNXTDZ($A$1,$B109,X$1,$B$1)</f>
        <v>1613.9970000000001</v>
      </c>
      <c r="Y109" s="55">
        <f>_xll.EQNXTDZ($A$1,$B109,Y$1,$B$1)</f>
        <v>4284.9179999999997</v>
      </c>
      <c r="Z109" s="55">
        <f>_xll.EQNXTDZ($A$1,$B109,Z$1,$B$1)</f>
        <v>10657.316999999999</v>
      </c>
      <c r="AA109" s="55">
        <f>_xll.EQNXTDZ($A$1,$B109,AA$1,$B$1)</f>
        <v>10077.804</v>
      </c>
      <c r="AB109" s="55">
        <f>_xll.EQNXTDZ($A$1,$B109,AB$1,$B$1)</f>
        <v>7960.59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3.3333333333333298E-2</v>
      </c>
      <c r="G110" s="55">
        <f>_xll.EQNXTDZ($A$1,$B110,G$1,$B$1)</f>
        <v>8.3333333333333301E-2</v>
      </c>
      <c r="H110" s="55">
        <f>_xll.EQNXTDZ($A$1,$B110,H$1,$B$1)</f>
        <v>0.16666666666666699</v>
      </c>
      <c r="I110" s="55">
        <f>_xll.EQNXTDZ($A$1,$B110,I$1,$B$1)</f>
        <v>0.25</v>
      </c>
      <c r="J110" s="55">
        <f>_xll.EQNXTDZ($A$1,$B110,J$1,$B$1)</f>
        <v>0.75</v>
      </c>
      <c r="K110" s="55">
        <f>_xll.EQNXTDZ($A$1,$B110,K$1,$B$1)</f>
        <v>0.75</v>
      </c>
      <c r="L110" s="55">
        <f>_xll.EQNXTDZ($A$1,$B110,L$1,$B$1)</f>
        <v>0.75</v>
      </c>
      <c r="M110" s="55">
        <f>_xll.EQNXTDZ($A$1,$B110,M$1,$B$1)</f>
        <v>0.9</v>
      </c>
      <c r="N110" s="55">
        <f>_xll.EQNXTDZ($A$1,$B110,N$1,$B$1)</f>
        <v>0.9</v>
      </c>
      <c r="O110" s="55">
        <f>_xll.EQNXTDZ($A$1,$B110,O$1,$B$1)</f>
        <v>0.5</v>
      </c>
      <c r="P110" s="55">
        <f>_xll.EQNXTDZ($A$1,$B110,P$1,$B$1)</f>
        <v>0.5</v>
      </c>
      <c r="Q110" s="55">
        <f>_xll.EQNXTDZ($A$1,$B110,Q$1,$B$1)</f>
        <v>0.55000000000000004</v>
      </c>
      <c r="R110" s="55">
        <f>_xll.EQNXTDZ($A$1,$B110,R$1,$B$1)</f>
        <v>0.55000000000000004</v>
      </c>
      <c r="S110" s="55">
        <f>_xll.EQNXTDZ($A$1,$B110,S$1,$B$1)</f>
        <v>0.25</v>
      </c>
      <c r="T110" s="55">
        <f>_xll.EQNXTDZ($A$1,$B110,T$1,$B$1)</f>
        <v>0.1</v>
      </c>
      <c r="U110" s="55">
        <f>_xll.EQNXTDZ($A$1,$B110,U$1,$B$1)</f>
        <v>0.1</v>
      </c>
      <c r="V110" s="55">
        <f>_xll.EQNXTDZ($A$1,$B110,V$1,$B$1)</f>
        <v>0</v>
      </c>
      <c r="W110" s="55">
        <f>_xll.EQNXTDZ($A$1,$B110,W$1,$B$1)</f>
        <v>0.2</v>
      </c>
      <c r="X110" s="55">
        <f>_xll.EQNXTDZ($A$1,$B110,X$1,$B$1)</f>
        <v>0.7</v>
      </c>
      <c r="Y110" s="55">
        <f>_xll.EQNXTDZ($A$1,$B110,Y$1,$B$1)</f>
        <v>1</v>
      </c>
      <c r="Z110" s="55">
        <f>_xll.EQNXTDZ($A$1,$B110,Z$1,$B$1)</f>
        <v>1.5</v>
      </c>
      <c r="AA110" s="55">
        <f>_xll.EQNXTDZ($A$1,$B110,AA$1,$B$1)</f>
        <v>2</v>
      </c>
      <c r="AB110" s="55">
        <f>_xll.EQNXTDZ($A$1,$B110,AB$1,$B$1)</f>
        <v>2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46.18</v>
      </c>
      <c r="D112" s="56">
        <f>_xll.EQNXTDZ($A$1,$B112,D$5)</f>
        <v>46.18</v>
      </c>
      <c r="E112" s="56">
        <f>_xll.EQNXTDZ($A$1,$B112,E$5)</f>
        <v>46.37</v>
      </c>
      <c r="F112" s="56">
        <f>_xll.EQNXTDZ($A$1,$B112,F$5)</f>
        <v>46.09</v>
      </c>
      <c r="G112" s="56">
        <f>_xll.EQNXTDZ($A$1,$B112,G$5)</f>
        <v>46.06</v>
      </c>
      <c r="H112" s="56">
        <f>_xll.EQNXTDZ($A$1,$B112,H$5)</f>
        <v>45.59</v>
      </c>
      <c r="I112" s="56">
        <f>_xll.EQNXTDZ($A$1,$B112,I$5)</f>
        <v>42.16</v>
      </c>
      <c r="J112" s="56">
        <f>_xll.EQNXTDZ($A$1,$B112,J$5)</f>
        <v>42.17</v>
      </c>
      <c r="K112" s="56">
        <f>_xll.EQNXTDZ($A$1,$B112,K$5)</f>
        <v>45.63</v>
      </c>
      <c r="L112" s="56">
        <f>_xll.EQNXTDZ($A$1,$B112,L$5)</f>
        <v>45.71</v>
      </c>
      <c r="M112" s="56">
        <f>_xll.EQNXTDZ($A$1,$B112,M$5)</f>
        <v>45.71</v>
      </c>
      <c r="N112" s="56">
        <f>_xll.EQNXTDZ($A$1,$B112,N$5)</f>
        <v>45.99</v>
      </c>
      <c r="O112" s="56">
        <f>_xll.EQNXTDZ($A$1,$B112,O$5)</f>
        <v>46.12</v>
      </c>
      <c r="P112" s="56">
        <f>_xll.EQNXTDZ($A$1,$B112,P$5)</f>
        <v>58.08</v>
      </c>
      <c r="Q112" s="56">
        <f>_xll.EQNXTDZ($A$1,$B112,Q$5)</f>
        <v>58.08</v>
      </c>
      <c r="R112" s="56">
        <f>_xll.EQNXTDZ($A$1,$B112,R$5)</f>
        <v>57.34</v>
      </c>
      <c r="S112" s="56">
        <f>_xll.EQNXTDZ($A$1,$B112,S$5)</f>
        <v>58.58</v>
      </c>
      <c r="T112" s="56">
        <f>_xll.EQNXTDZ($A$1,$B112,T$5)</f>
        <v>58.64</v>
      </c>
      <c r="U112" s="56">
        <f>_xll.EQNXTDZ($A$1,$B112,U$5)</f>
        <v>58.68</v>
      </c>
      <c r="V112" s="56">
        <f>_xll.EQNXTDZ($A$1,$B112,V$5)</f>
        <v>59.2</v>
      </c>
      <c r="W112" s="56">
        <f>_xll.EQNXTDZ($A$1,$B112,W$5)</f>
        <v>59.2</v>
      </c>
      <c r="X112" s="56">
        <f>_xll.EQNXTDZ($A$1,$B112,X$5)</f>
        <v>59.26</v>
      </c>
      <c r="Y112" s="56">
        <f>_xll.EQNXTDZ($A$1,$B112,Y$5)</f>
        <v>59.29</v>
      </c>
      <c r="Z112" s="56">
        <f>_xll.EQNXTDZ($A$1,$B112,Z$5)</f>
        <v>59.27</v>
      </c>
      <c r="AA112" s="56">
        <f>_xll.EQNXTDZ($A$1,$B112,AA$5)</f>
        <v>59.27</v>
      </c>
      <c r="AB112" s="56">
        <f>_xll.EQNXTDZ($A$1,$B112,AB$5)</f>
        <v>59.27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31.26</v>
      </c>
      <c r="L113" s="56">
        <f>_xll.EQNXTDZ($A$1,$B113,L$5)</f>
        <v>20.14</v>
      </c>
      <c r="M113" s="56">
        <f>_xll.EQNXTDZ($A$1,$B113,M$5)</f>
        <v>20.91</v>
      </c>
      <c r="N113" s="56">
        <f>_xll.EQNXTDZ($A$1,$B113,N$5)</f>
        <v>20.78</v>
      </c>
      <c r="O113" s="56">
        <f>_xll.EQNXTDZ($A$1,$B113,O$5)</f>
        <v>15.39</v>
      </c>
      <c r="P113" s="56">
        <f>_xll.EQNXTDZ($A$1,$B113,P$5)</f>
        <v>12.4</v>
      </c>
      <c r="Q113" s="56">
        <f>_xll.EQNXTDZ($A$1,$B113,Q$5)</f>
        <v>10.01</v>
      </c>
      <c r="R113" s="56">
        <f>_xll.EQNXTDZ($A$1,$B113,R$5)</f>
        <v>26.43</v>
      </c>
      <c r="S113" s="56">
        <f>_xll.EQNXTDZ($A$1,$B113,S$5)</f>
        <v>13.31</v>
      </c>
      <c r="T113" s="56">
        <f>_xll.EQNXTDZ($A$1,$B113,T$5)</f>
        <v>60.95</v>
      </c>
      <c r="U113" s="56">
        <f>_xll.EQNXTDZ($A$1,$B113,U$5)</f>
        <v>46.17</v>
      </c>
      <c r="V113" s="56">
        <f>_xll.EQNXTDZ($A$1,$B113,V$5)</f>
        <v>40.35</v>
      </c>
      <c r="W113" s="56">
        <f>_xll.EQNXTDZ($A$1,$B113,W$5)</f>
        <v>23.49</v>
      </c>
      <c r="X113" s="56">
        <f>_xll.EQNXTDZ($A$1,$B113,X$5)</f>
        <v>11.28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B37" sqref="B37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105700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0">
        <v>45901</v>
      </c>
      <c r="FG2" s="180">
        <f>+EOMONTH(FF2,1)</f>
        <v>45961</v>
      </c>
      <c r="FH2" s="180">
        <f t="shared" ref="FH2:HH2" si="0">+EOMONTH(FG2,1)</f>
        <v>45991</v>
      </c>
      <c r="FI2" s="180">
        <f t="shared" si="0"/>
        <v>46022</v>
      </c>
      <c r="FJ2" s="180">
        <f t="shared" si="0"/>
        <v>46053</v>
      </c>
      <c r="FK2" s="180">
        <f t="shared" si="0"/>
        <v>46081</v>
      </c>
      <c r="FL2" s="180">
        <f t="shared" si="0"/>
        <v>46112</v>
      </c>
      <c r="FM2" s="180">
        <f t="shared" si="0"/>
        <v>46142</v>
      </c>
      <c r="FN2" s="180">
        <f t="shared" si="0"/>
        <v>46173</v>
      </c>
      <c r="FO2" s="180">
        <f t="shared" si="0"/>
        <v>46203</v>
      </c>
      <c r="FP2" s="180">
        <f t="shared" si="0"/>
        <v>46234</v>
      </c>
      <c r="FQ2" s="180">
        <f t="shared" si="0"/>
        <v>46265</v>
      </c>
      <c r="FR2" s="180">
        <f t="shared" si="0"/>
        <v>46295</v>
      </c>
      <c r="FS2" s="180">
        <f t="shared" si="0"/>
        <v>46326</v>
      </c>
      <c r="FT2" s="180">
        <f t="shared" si="0"/>
        <v>46356</v>
      </c>
      <c r="FU2" s="180">
        <f t="shared" si="0"/>
        <v>46387</v>
      </c>
      <c r="FV2" s="180">
        <f t="shared" si="0"/>
        <v>46418</v>
      </c>
      <c r="FW2" s="180">
        <f t="shared" si="0"/>
        <v>46446</v>
      </c>
      <c r="FX2" s="180">
        <f t="shared" si="0"/>
        <v>46477</v>
      </c>
      <c r="FY2" s="180">
        <f t="shared" si="0"/>
        <v>46507</v>
      </c>
      <c r="FZ2" s="180">
        <f t="shared" si="0"/>
        <v>46538</v>
      </c>
      <c r="GA2" s="180">
        <f t="shared" si="0"/>
        <v>46568</v>
      </c>
      <c r="GB2" s="180">
        <f t="shared" si="0"/>
        <v>46599</v>
      </c>
      <c r="GC2" s="180">
        <f t="shared" si="0"/>
        <v>46630</v>
      </c>
      <c r="GD2" s="180">
        <f t="shared" si="0"/>
        <v>46660</v>
      </c>
      <c r="GE2" s="180">
        <f t="shared" si="0"/>
        <v>46691</v>
      </c>
      <c r="GF2" s="180">
        <f t="shared" si="0"/>
        <v>46721</v>
      </c>
      <c r="GG2" s="180">
        <f t="shared" si="0"/>
        <v>46752</v>
      </c>
      <c r="GH2" s="180">
        <f t="shared" si="0"/>
        <v>46783</v>
      </c>
      <c r="GI2" s="180">
        <f t="shared" si="0"/>
        <v>46812</v>
      </c>
      <c r="GJ2" s="180">
        <f t="shared" si="0"/>
        <v>46843</v>
      </c>
      <c r="GK2" s="180">
        <f t="shared" si="0"/>
        <v>46873</v>
      </c>
      <c r="GL2" s="180">
        <f t="shared" si="0"/>
        <v>46904</v>
      </c>
      <c r="GM2" s="180">
        <f t="shared" si="0"/>
        <v>46934</v>
      </c>
      <c r="GN2" s="180">
        <f t="shared" si="0"/>
        <v>46965</v>
      </c>
      <c r="GO2" s="180">
        <f t="shared" si="0"/>
        <v>46996</v>
      </c>
      <c r="GP2" s="180">
        <f t="shared" si="0"/>
        <v>47026</v>
      </c>
      <c r="GQ2" s="180">
        <f t="shared" si="0"/>
        <v>47057</v>
      </c>
      <c r="GR2" s="180">
        <f t="shared" si="0"/>
        <v>47087</v>
      </c>
      <c r="GS2" s="180">
        <f t="shared" si="0"/>
        <v>47118</v>
      </c>
      <c r="GT2" s="180">
        <f t="shared" si="0"/>
        <v>47149</v>
      </c>
      <c r="GU2" s="180">
        <f t="shared" si="0"/>
        <v>47177</v>
      </c>
      <c r="GV2" s="180">
        <f t="shared" si="0"/>
        <v>47208</v>
      </c>
      <c r="GW2" s="180">
        <f t="shared" si="0"/>
        <v>47238</v>
      </c>
      <c r="GX2" s="180">
        <f t="shared" si="0"/>
        <v>47269</v>
      </c>
      <c r="GY2" s="180">
        <f t="shared" si="0"/>
        <v>47299</v>
      </c>
      <c r="GZ2" s="180">
        <f t="shared" si="0"/>
        <v>47330</v>
      </c>
      <c r="HA2" s="180">
        <f t="shared" si="0"/>
        <v>47361</v>
      </c>
      <c r="HB2" s="180">
        <f t="shared" si="0"/>
        <v>47391</v>
      </c>
      <c r="HC2" s="180">
        <f t="shared" si="0"/>
        <v>47422</v>
      </c>
      <c r="HD2" s="180">
        <f t="shared" si="0"/>
        <v>47452</v>
      </c>
      <c r="HE2" s="180">
        <f t="shared" si="0"/>
        <v>47483</v>
      </c>
      <c r="HF2" s="180">
        <f t="shared" si="0"/>
        <v>47514</v>
      </c>
      <c r="HG2" s="180">
        <f t="shared" si="0"/>
        <v>47542</v>
      </c>
      <c r="HH2" s="180">
        <f t="shared" si="0"/>
        <v>47573</v>
      </c>
      <c r="HI2" s="180"/>
      <c r="HJ2" s="180"/>
      <c r="HK2" s="180"/>
      <c r="HL2" s="180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27</v>
      </c>
      <c r="D6" cm="1">
        <f t="array" ref="D6">_xll.EQNXTDZ($A$1,$B6,D$1)</f>
        <v>26.7</v>
      </c>
      <c r="E6" cm="1">
        <f t="array" ref="E6">_xll.EQNXTDZ($A$1,$B6,E$1)</f>
        <v>25.725000000000001</v>
      </c>
      <c r="F6" cm="1">
        <f t="array" ref="F6">_xll.EQNXTDZ($A$1,$B6,F$1)</f>
        <v>22.225000000000001</v>
      </c>
      <c r="G6" cm="1">
        <f t="array" ref="G6">_xll.EQNXTDZ($A$1,$B6,G$1)</f>
        <v>25</v>
      </c>
      <c r="H6" cm="1">
        <f t="array" ref="H6">_xll.EQNXTDZ($A$1,$B6,H$1)</f>
        <v>23.8</v>
      </c>
      <c r="I6" cm="1">
        <f t="array" ref="I6">_xll.EQNXTDZ($A$1,$B6,I$1)</f>
        <v>23.95</v>
      </c>
      <c r="J6" cm="1">
        <f t="array" ref="J6">_xll.EQNXTDZ($A$1,$B6,J$1)</f>
        <v>23.5</v>
      </c>
      <c r="K6" cm="1">
        <f t="array" ref="K6">_xll.EQNXTDZ($A$1,$B6,K$1)</f>
        <v>20.574999999999999</v>
      </c>
      <c r="L6" cm="1">
        <f t="array" ref="L6">_xll.EQNXTDZ($A$1,$B6,L$1)</f>
        <v>17.225000000000001</v>
      </c>
      <c r="M6" cm="1">
        <f t="array" ref="M6">_xll.EQNXTDZ($A$1,$B6,M$1)</f>
        <v>15.5</v>
      </c>
      <c r="N6" cm="1">
        <f t="array" ref="N6">_xll.EQNXTDZ($A$1,$B6,N$1)</f>
        <v>16.5</v>
      </c>
      <c r="O6" cm="1">
        <f t="array" ref="O6">_xll.EQNXTDZ($A$1,$B6,O$1)</f>
        <v>15.875</v>
      </c>
      <c r="P6" cm="1">
        <f t="array" ref="P6">_xll.EQNXTDZ($A$1,$B6,P$1)</f>
        <v>14</v>
      </c>
      <c r="Q6" cm="1">
        <f t="array" ref="Q6">_xll.EQNXTDZ($A$1,$B6,Q$1)</f>
        <v>11.2</v>
      </c>
      <c r="R6" cm="1">
        <f t="array" ref="R6">_xll.EQNXTDZ($A$1,$B6,R$1)</f>
        <v>11.5</v>
      </c>
      <c r="S6" cm="1">
        <f t="array" ref="S6">_xll.EQNXTDZ($A$1,$B6,S$1)</f>
        <v>13.4</v>
      </c>
      <c r="T6" cm="1">
        <f t="array" ref="T6">_xll.EQNXTDZ($A$1,$B6,T$1)</f>
        <v>15.625</v>
      </c>
      <c r="U6" cm="1">
        <f t="array" ref="U6">_xll.EQNXTDZ($A$1,$B6,U$1)</f>
        <v>15</v>
      </c>
      <c r="V6" cm="1">
        <f t="array" ref="V6">_xll.EQNXTDZ($A$1,$B6,V$1)</f>
        <v>16.25</v>
      </c>
      <c r="W6" cm="1">
        <f t="array" ref="W6">_xll.EQNXTDZ($A$1,$B6,W$1)</f>
        <v>15.425000000000001</v>
      </c>
      <c r="X6" cm="1">
        <f t="array" ref="X6">_xll.EQNXTDZ($A$1,$B6,X$1)</f>
        <v>14.125</v>
      </c>
      <c r="Y6" cm="1">
        <f t="array" ref="Y6">_xll.EQNXTDZ($A$1,$B6,Y$1)</f>
        <v>17</v>
      </c>
      <c r="Z6" cm="1">
        <f t="array" ref="Z6">_xll.EQNXTDZ($A$1,$B6,Z$1)</f>
        <v>18.574999999999999</v>
      </c>
      <c r="AA6" cm="1">
        <f t="array" ref="AA6">_xll.EQNXTDZ($A$1,$B6,AA$1)</f>
        <v>34.25</v>
      </c>
      <c r="AB6" cm="1">
        <f t="array" ref="AB6">_xll.EQNXTDZ($A$1,$B6,AB$1)</f>
        <v>32.299999999999997</v>
      </c>
      <c r="AC6" cm="1">
        <f t="array" ref="AC6">_xll.EQNXTDZ($A$1,$B6,AC$1)</f>
        <v>28</v>
      </c>
      <c r="AD6" cm="1">
        <f t="array" ref="AD6">_xll.EQNXTDZ($A$1,$B6,AD$1)</f>
        <v>22.475000000000001</v>
      </c>
      <c r="AE6" cm="1">
        <f t="array" ref="AE6">_xll.EQNXTDZ($A$1,$B6,AE$1)</f>
        <v>23.475000000000001</v>
      </c>
      <c r="AF6" cm="1">
        <f t="array" ref="AF6">_xll.EQNXTDZ($A$1,$B6,AF$1)</f>
        <v>27.024999999999999</v>
      </c>
      <c r="AG6" cm="1">
        <f t="array" ref="AG6">_xll.EQNXTDZ($A$1,$B6,AG$1)</f>
        <v>25.875</v>
      </c>
      <c r="AH6" cm="1">
        <f t="array" ref="AH6">_xll.EQNXTDZ($A$1,$B6,AH$1)</f>
        <v>26.5</v>
      </c>
      <c r="AI6" cm="1">
        <f t="array" ref="AI6">_xll.EQNXTDZ($A$1,$B6,AI$1)</f>
        <v>25.425000000000001</v>
      </c>
      <c r="AJ6" cm="1">
        <f t="array" ref="AJ6">_xll.EQNXTDZ($A$1,$B6,AJ$1)</f>
        <v>26.05</v>
      </c>
      <c r="AK6" cm="1">
        <f t="array" ref="AK6">_xll.EQNXTDZ($A$1,$B6,AK$1)</f>
        <v>33.25</v>
      </c>
      <c r="AL6" cm="1">
        <f t="array" ref="AL6">_xll.EQNXTDZ($A$1,$B6,AL$1)</f>
        <v>35.25</v>
      </c>
      <c r="AM6" cm="1">
        <f t="array" ref="AM6">_xll.EQNXTDZ($A$1,$B6,AM$1)</f>
        <v>33</v>
      </c>
      <c r="AN6" cm="1">
        <f t="array" ref="AN6">_xll.EQNXTDZ($A$1,$B6,AN$1)</f>
        <v>39.5</v>
      </c>
      <c r="AO6" cm="1">
        <f t="array" ref="AO6">_xll.EQNXTDZ($A$1,$B6,AO$1)</f>
        <v>43.75</v>
      </c>
      <c r="AP6" cm="1">
        <f t="array" ref="AP6">_xll.EQNXTDZ($A$1,$B6,AP$1)</f>
        <v>34.575000000000003</v>
      </c>
      <c r="AQ6" cm="1">
        <f t="array" ref="AQ6">_xll.EQNXTDZ($A$1,$B6,AQ$1)</f>
        <v>36.174999999999997</v>
      </c>
      <c r="AR6" cm="1">
        <f t="array" ref="AR6">_xll.EQNXTDZ($A$1,$B6,AR$1)</f>
        <v>38.35</v>
      </c>
      <c r="AS6" cm="1">
        <f t="array" ref="AS6">_xll.EQNXTDZ($A$1,$B6,AS$1)</f>
        <v>43.25</v>
      </c>
      <c r="AT6" cm="1">
        <f t="array" ref="AT6">_xll.EQNXTDZ($A$1,$B6,AT$1)</f>
        <v>42.375</v>
      </c>
      <c r="AU6" cm="1">
        <f t="array" ref="AU6">_xll.EQNXTDZ($A$1,$B6,AU$1)</f>
        <v>34.5</v>
      </c>
      <c r="AV6" cm="1">
        <f t="array" ref="AV6">_xll.EQNXTDZ($A$1,$B6,AV$1)</f>
        <v>21.725000000000001</v>
      </c>
      <c r="AW6" cm="1">
        <f t="array" ref="AW6">_xll.EQNXTDZ($A$1,$B6,AW$1)</f>
        <v>27.425000000000001</v>
      </c>
      <c r="AX6" cm="1">
        <f t="array" ref="AX6">_xll.EQNXTDZ($A$1,$B6,AX$1)</f>
        <v>31.05</v>
      </c>
      <c r="AY6" cm="1">
        <f t="array" ref="AY6">_xll.EQNXTDZ($A$1,$B6,AY$1)</f>
        <v>29.25</v>
      </c>
      <c r="AZ6" cm="1">
        <f t="array" ref="AZ6">_xll.EQNXTDZ($A$1,$B6,AZ$1)</f>
        <v>33.1</v>
      </c>
      <c r="BA6" cm="1">
        <f t="array" ref="BA6">_xll.EQNXTDZ($A$1,$B6,BA$1)</f>
        <v>29.975000000000001</v>
      </c>
      <c r="BB6" cm="1">
        <f t="array" ref="BB6">_xll.EQNXTDZ($A$1,$B6,BB$1)</f>
        <v>28.675000000000001</v>
      </c>
      <c r="BC6" cm="1">
        <f t="array" ref="BC6">_xll.EQNXTDZ($A$1,$B6,BC$1)</f>
        <v>29.5</v>
      </c>
      <c r="BD6" cm="1">
        <f t="array" ref="BD6">_xll.EQNXTDZ($A$1,$B6,BD$1)</f>
        <v>33.5</v>
      </c>
      <c r="BE6" cm="1">
        <f t="array" ref="BE6">_xll.EQNXTDZ($A$1,$B6,BE$1)</f>
        <v>26.375</v>
      </c>
      <c r="BF6" cm="1">
        <f t="array" ref="BF6">_xll.EQNXTDZ($A$1,$B6,BF$1)</f>
        <v>28.574999999999999</v>
      </c>
      <c r="BG6" cm="1">
        <f t="array" ref="BG6">_xll.EQNXTDZ($A$1,$B6,BG$1)</f>
        <v>28.175000000000001</v>
      </c>
      <c r="BH6" cm="1">
        <f t="array" ref="BH6">_xll.EQNXTDZ($A$1,$B6,BH$1)</f>
        <v>27.175000000000001</v>
      </c>
      <c r="BI6" cm="1">
        <f t="array" ref="BI6">_xll.EQNXTDZ($A$1,$B6,BI$1)</f>
        <v>27.25</v>
      </c>
      <c r="BJ6" cm="1">
        <f t="array" ref="BJ6">_xll.EQNXTDZ($A$1,$B6,BJ$1)</f>
        <v>30.475000000000001</v>
      </c>
      <c r="BK6" cm="1">
        <f t="array" ref="BK6">_xll.EQNXTDZ($A$1,$B6,BK$1)</f>
        <v>32</v>
      </c>
      <c r="BL6" cm="1">
        <f t="array" ref="BL6">_xll.EQNXTDZ($A$1,$B6,BL$1)</f>
        <v>28.524999999999999</v>
      </c>
      <c r="BM6" cm="1">
        <f t="array" ref="BM6">_xll.EQNXTDZ($A$1,$B6,BM$1)</f>
        <v>31.524999999999999</v>
      </c>
      <c r="BN6" cm="1">
        <f t="array" ref="BN6">_xll.EQNXTDZ($A$1,$B6,BN$1)</f>
        <v>24.324999999999999</v>
      </c>
      <c r="BO6" cm="1">
        <f t="array" ref="BO6">_xll.EQNXTDZ($A$1,$B6,BO$1)</f>
        <v>29.175000000000001</v>
      </c>
      <c r="BP6" cm="1">
        <f t="array" ref="BP6">_xll.EQNXTDZ($A$1,$B6,BP$1)</f>
        <v>37.799999999999997</v>
      </c>
      <c r="BQ6" cm="1">
        <f t="array" ref="BQ6">_xll.EQNXTDZ($A$1,$B6,BQ$1)</f>
        <v>40.375</v>
      </c>
      <c r="BR6" cm="1">
        <f t="array" ref="BR6">_xll.EQNXTDZ($A$1,$B6,BR$1)</f>
        <v>51.475000000000001</v>
      </c>
      <c r="BS6" cm="1">
        <f t="array" ref="BS6">_xll.EQNXTDZ($A$1,$B6,BS$1)</f>
        <v>45.475000000000001</v>
      </c>
      <c r="BT6" cm="1">
        <f t="array" ref="BT6">_xll.EQNXTDZ($A$1,$B6,BT$1)</f>
        <v>44.25</v>
      </c>
      <c r="BU6" cm="1">
        <f t="array" ref="BU6">_xll.EQNXTDZ($A$1,$B6,BU$1)</f>
        <v>37.975000000000001</v>
      </c>
      <c r="BV6" cm="1">
        <f t="array" ref="BV6">_xll.EQNXTDZ($A$1,$B6,BV$1)</f>
        <v>41.95</v>
      </c>
      <c r="BW6" cm="1">
        <f t="array" ref="BW6">_xll.EQNXTDZ($A$1,$B6,BW$1)</f>
        <v>34.024999999999999</v>
      </c>
      <c r="BX6" cm="1">
        <f t="array" ref="BX6">_xll.EQNXTDZ($A$1,$B6,BX$1)</f>
        <v>29.05</v>
      </c>
      <c r="BY6" cm="1">
        <f t="array" ref="BY6">_xll.EQNXTDZ($A$1,$B6,BY$1)</f>
        <v>32.075000000000003</v>
      </c>
      <c r="BZ6" cm="1">
        <f t="array" ref="BZ6">_xll.EQNXTDZ($A$1,$B6,BZ$1)</f>
        <v>32.424999999999997</v>
      </c>
      <c r="CA6" cm="1">
        <f t="array" ref="CA6">_xll.EQNXTDZ($A$1,$B6,CA$1)</f>
        <v>26.5</v>
      </c>
      <c r="CB6" cm="1">
        <f t="array" ref="CB6">_xll.EQNXTDZ($A$1,$B6,CB$1)</f>
        <v>27.35</v>
      </c>
      <c r="CC6" cm="1">
        <f t="array" ref="CC6">_xll.EQNXTDZ($A$1,$B6,CC$1)</f>
        <v>29</v>
      </c>
      <c r="CD6" cm="1">
        <f t="array" ref="CD6">_xll.EQNXTDZ($A$1,$B6,CD$1)</f>
        <v>35.049999999999997</v>
      </c>
      <c r="CE6" cm="1">
        <f t="array" ref="CE6">_xll.EQNXTDZ($A$1,$B6,CE$1)</f>
        <v>32.65</v>
      </c>
      <c r="CF6" cm="1">
        <f t="array" ref="CF6">_xll.EQNXTDZ($A$1,$B6,CF$1)</f>
        <v>28.774999999999999</v>
      </c>
      <c r="CG6" cm="1">
        <f t="array" ref="CG6">_xll.EQNXTDZ($A$1,$B6,CG$1)</f>
        <v>32.15</v>
      </c>
      <c r="CH6" cm="1">
        <f t="array" ref="CH6">_xll.EQNXTDZ($A$1,$B6,CH$1)</f>
        <v>28.75</v>
      </c>
      <c r="CI6" cm="1">
        <f t="array" ref="CI6">_xll.EQNXTDZ($A$1,$B6,CI$1)</f>
        <v>26.524999999999999</v>
      </c>
      <c r="CJ6" cm="1">
        <f t="array" ref="CJ6">_xll.EQNXTDZ($A$1,$B6,CJ$1)</f>
        <v>23.05</v>
      </c>
      <c r="CK6" cm="1">
        <f t="array" ref="CK6">_xll.EQNXTDZ($A$1,$B6,CK$1)</f>
        <v>15.5</v>
      </c>
      <c r="CL6" cm="1">
        <f t="array" ref="CL6">_xll.EQNXTDZ($A$1,$B6,CL$1)</f>
        <v>14.824999999999999</v>
      </c>
      <c r="CM6" cm="1">
        <f t="array" ref="CM6">_xll.EQNXTDZ($A$1,$B6,CM$1)</f>
        <v>17</v>
      </c>
      <c r="CN6" cm="1">
        <f t="array" ref="CN6">_xll.EQNXTDZ($A$1,$B6,CN$1)</f>
        <v>17.25</v>
      </c>
      <c r="CO6" cm="1">
        <f t="array" ref="CO6">_xll.EQNXTDZ($A$1,$B6,CO$1)</f>
        <v>17.399999999999999</v>
      </c>
      <c r="CP6" cm="1">
        <f t="array" ref="CP6">_xll.EQNXTDZ($A$1,$B6,CP$1)</f>
        <v>18.375</v>
      </c>
      <c r="CQ6" cm="1">
        <f t="array" ref="CQ6">_xll.EQNXTDZ($A$1,$B6,CQ$1)</f>
        <v>20</v>
      </c>
      <c r="CR6" cm="1">
        <f t="array" ref="CR6">_xll.EQNXTDZ($A$1,$B6,CR$1)</f>
        <v>14.4</v>
      </c>
      <c r="CS6" cm="1">
        <f t="array" ref="CS6">_xll.EQNXTDZ($A$1,$B6,CS$1)</f>
        <v>9.4749999999999996</v>
      </c>
      <c r="CT6" cm="1">
        <f t="array" ref="CT6">_xll.EQNXTDZ($A$1,$B6,CT$1)</f>
        <v>10.65</v>
      </c>
      <c r="CU6" cm="1">
        <f t="array" ref="CU6">_xll.EQNXTDZ($A$1,$B6,CU$1)</f>
        <v>9.65</v>
      </c>
      <c r="CV6" cm="1">
        <f t="array" ref="CV6">_xll.EQNXTDZ($A$1,$B6,CV$1)</f>
        <v>13.25</v>
      </c>
      <c r="CW6" cm="1">
        <f t="array" ref="CW6">_xll.EQNXTDZ($A$1,$B6,CW$1)</f>
        <v>12.324999999999999</v>
      </c>
      <c r="CX6" cm="1">
        <f t="array" ref="CX6">_xll.EQNXTDZ($A$1,$B6,CX$1)</f>
        <v>15.25</v>
      </c>
      <c r="CY6" cm="1">
        <f t="array" ref="CY6">_xll.EQNXTDZ($A$1,$B6,CY$1)</f>
        <v>12.75</v>
      </c>
      <c r="CZ6" cm="1">
        <f t="array" ref="CZ6">_xll.EQNXTDZ($A$1,$B6,CZ$1)</f>
        <v>11.25</v>
      </c>
      <c r="DA6" cm="1">
        <f t="array" ref="DA6">_xll.EQNXTDZ($A$1,$B6,DA$1)</f>
        <v>18</v>
      </c>
      <c r="DB6" cm="1">
        <f t="array" ref="DB6">_xll.EQNXTDZ($A$1,$B6,DB$1)</f>
        <v>21.3</v>
      </c>
      <c r="DC6" cm="1">
        <f t="array" ref="DC6">_xll.EQNXTDZ($A$1,$B6,DC$1)</f>
        <v>22.574999999999999</v>
      </c>
      <c r="DD6" cm="1">
        <f t="array" ref="DD6">_xll.EQNXTDZ($A$1,$B6,DD$1)</f>
        <v>28.7</v>
      </c>
      <c r="DE6" cm="1">
        <f t="array" ref="DE6">_xll.EQNXTDZ($A$1,$B6,DE$1)</f>
        <v>32.450000000000003</v>
      </c>
      <c r="DF6" cm="1">
        <f t="array" ref="DF6">_xll.EQNXTDZ($A$1,$B6,DF$1)</f>
        <v>46.25</v>
      </c>
      <c r="DG6" cm="1">
        <f t="array" ref="DG6">_xll.EQNXTDZ($A$1,$B6,DG$1)</f>
        <v>59.35</v>
      </c>
      <c r="DH6" cm="1">
        <f t="array" ref="DH6">_xll.EQNXTDZ($A$1,$B6,DH$1)</f>
        <v>69.2</v>
      </c>
      <c r="DI6" cm="1">
        <f t="array" ref="DI6">_xll.EQNXTDZ($A$1,$B6,DI$1)</f>
        <v>69.375</v>
      </c>
      <c r="DJ6" cm="1">
        <f t="array" ref="DJ6">_xll.EQNXTDZ($A$1,$B6,DJ$1)</f>
        <v>82.9</v>
      </c>
      <c r="DK6" cm="1">
        <f t="array" ref="DK6">_xll.EQNXTDZ($A$1,$B6,DK$1)</f>
        <v>83.45</v>
      </c>
      <c r="DL6" cm="1">
        <f t="array" ref="DL6">_xll.EQNXTDZ($A$1,$B6,DL$1)</f>
        <v>87.45</v>
      </c>
      <c r="DM6" cm="1">
        <f t="array" ref="DM6">_xll.EQNXTDZ($A$1,$B6,DM$1)</f>
        <v>105</v>
      </c>
      <c r="DN6" cm="1">
        <f t="array" ref="DN6">_xll.EQNXTDZ($A$1,$B6,DN$1)</f>
        <v>93.224999999999994</v>
      </c>
      <c r="DO6" cm="1">
        <f t="array" ref="DO6">_xll.EQNXTDZ($A$1,$B6,DO$1)</f>
        <v>90.325000000000003</v>
      </c>
      <c r="DP6" cm="1">
        <f t="array" ref="DP6">_xll.EQNXTDZ($A$1,$B6,DP$1)</f>
        <v>72.924999999999997</v>
      </c>
      <c r="DQ6" cm="1">
        <f t="array" ref="DQ6">_xll.EQNXTDZ($A$1,$B6,DQ$1)</f>
        <v>71.650000000000006</v>
      </c>
      <c r="DR6" cm="1">
        <f t="array" ref="DR6">_xll.EQNXTDZ($A$1,$B6,DR$1)</f>
        <v>93.55</v>
      </c>
      <c r="DS6" cm="1">
        <f t="array" ref="DS6">_xll.EQNXTDZ($A$1,$B6,DS$1)</f>
        <v>99.075000000000003</v>
      </c>
      <c r="DT6" cm="1">
        <f t="array" ref="DT6">_xll.EQNXTDZ($A$1,$B6,DT$1)</f>
        <v>130.75</v>
      </c>
      <c r="DU6" cm="1">
        <f t="array" ref="DU6">_xll.EQNXTDZ($A$1,$B6,DU$1)</f>
        <v>181.25</v>
      </c>
      <c r="DV6" cm="1">
        <f t="array" ref="DV6">_xll.EQNXTDZ($A$1,$B6,DV$1)</f>
        <v>187.45</v>
      </c>
      <c r="DW6" cm="1">
        <f t="array" ref="DW6">_xll.EQNXTDZ($A$1,$B6,DW$1)</f>
        <v>170</v>
      </c>
      <c r="DX6" cm="1">
        <f t="array" ref="DX6">_xll.EQNXTDZ($A$1,$B6,DX$1)</f>
        <v>189.45</v>
      </c>
      <c r="DY6" cm="1">
        <f t="array" ref="DY6">_xll.EQNXTDZ($A$1,$B6,DY$1)</f>
        <v>232</v>
      </c>
      <c r="DZ6" cm="1">
        <f t="array" ref="DZ6">_xll.EQNXTDZ($A$1,$B6,DZ$1)</f>
        <v>184.625</v>
      </c>
      <c r="EA6" cm="1">
        <f t="array" ref="EA6">_xll.EQNXTDZ($A$1,$B6,EA$1)</f>
        <v>194.97499999999999</v>
      </c>
      <c r="EB6" cm="1">
        <f t="array" ref="EB6">_xll.EQNXTDZ($A$1,$B6,EB$1)</f>
        <v>198.95</v>
      </c>
      <c r="EC6" cm="1">
        <f t="array" ref="EC6">_xll.EQNXTDZ($A$1,$B6,EC$1)</f>
        <v>191.75</v>
      </c>
      <c r="ED6" cm="1">
        <f t="array" ref="ED6">_xll.EQNXTDZ($A$1,$B6,ED$1)</f>
        <v>218.5</v>
      </c>
      <c r="EE6" cm="1">
        <f t="array" ref="EE6">_xll.EQNXTDZ($A$1,$B6,EE$1)</f>
        <v>264.5</v>
      </c>
      <c r="EF6" cm="1">
        <f t="array" ref="EF6">_xll.EQNXTDZ($A$1,$B6,EF$1)</f>
        <v>294.17500000000001</v>
      </c>
      <c r="EG6" cm="1">
        <f t="array" ref="EG6">_xll.EQNXTDZ($A$1,$B6,EG$1)</f>
        <v>378.92500000000001</v>
      </c>
      <c r="EH6" cm="1">
        <f t="array" ref="EH6">_xll.EQNXTDZ($A$1,$B6,EH$1)</f>
        <v>442.5</v>
      </c>
      <c r="EI6" cm="1">
        <f t="array" ref="EI6">_xll.EQNXTDZ($A$1,$B6,EI$1)</f>
        <v>387</v>
      </c>
      <c r="EJ6" cm="1">
        <f t="array" ref="EJ6">_xll.EQNXTDZ($A$1,$B6,EJ$1)</f>
        <v>425.42500000000001</v>
      </c>
      <c r="EK6" cm="1">
        <f t="array" ref="EK6">_xll.EQNXTDZ($A$1,$B6,EK$1)</f>
        <v>474</v>
      </c>
      <c r="EL6" cm="1">
        <f t="array" ref="EL6">_xll.EQNXTDZ($A$1,$B6,EL$1)</f>
        <v>466.47500000000002</v>
      </c>
      <c r="EM6" cm="1">
        <f t="array" ref="EM6">_xll.EQNXTDZ($A$1,$B6,EM$1)</f>
        <v>553.07500000000005</v>
      </c>
      <c r="EN6" cm="1">
        <f t="array" ref="EN6">_xll.EQNXTDZ($A$1,$B6,EN$1)</f>
        <v>499.45</v>
      </c>
      <c r="EO6" cm="1">
        <f t="array" ref="EO6">_xll.EQNXTDZ($A$1,$B6,EO$1)</f>
        <v>479.17500000000001</v>
      </c>
      <c r="EP6" cm="1">
        <f t="array" ref="EP6">_xll.EQNXTDZ($A$1,$B6,EP$1)</f>
        <v>569.02499999999998</v>
      </c>
      <c r="EQ6" cm="1">
        <f t="array" ref="EQ6">_xll.EQNXTDZ($A$1,$B6,EQ$1)</f>
        <v>590</v>
      </c>
      <c r="ER6" cm="1">
        <f t="array" ref="ER6">_xll.EQNXTDZ($A$1,$B6,ER$1)</f>
        <v>651</v>
      </c>
      <c r="ES6" cm="1">
        <f t="array" ref="ES6">_xll.EQNXTDZ($A$1,$B6,ES$1)</f>
        <v>634.70000000000005</v>
      </c>
      <c r="ET6" cm="1">
        <f t="array" ref="ET6">_xll.EQNXTDZ($A$1,$B6,ET$1)</f>
        <v>627</v>
      </c>
      <c r="EU6" cm="1">
        <f t="array" ref="EU6">_xll.EQNXTDZ($A$1,$B6,EU$1)</f>
        <v>705</v>
      </c>
      <c r="EV6" cm="1">
        <f t="array" ref="EV6">_xll.EQNXTDZ($A$1,$B6,EV$1)</f>
        <v>580.45000000000005</v>
      </c>
      <c r="EW6" cm="1">
        <f t="array" ref="EW6">_xll.EQNXTDZ($A$1,$B6,EW$1)</f>
        <v>590.1</v>
      </c>
      <c r="EX6" cm="1">
        <f t="array" ref="EX6">_xll.EQNXTDZ($A$1,$B6,EX$1)</f>
        <v>634.6</v>
      </c>
      <c r="EY6" cm="1">
        <f t="array" ref="EY6">_xll.EQNXTDZ($A$1,$B6,EY$1)</f>
        <v>537</v>
      </c>
      <c r="EZ6" cm="1">
        <f t="array" ref="EZ6">_xll.EQNXTDZ($A$1,$B6,EZ$1)</f>
        <v>420.05</v>
      </c>
      <c r="FA6" cm="1">
        <f t="array" ref="FA6">_xll.EQNXTDZ($A$1,$B6,FA$1)</f>
        <v>448</v>
      </c>
      <c r="FB6" cm="1">
        <f t="array" ref="FB6">_xll.EQNXTDZ($A$1,$B6,FB$1)</f>
        <v>544.9</v>
      </c>
      <c r="FC6" cm="1">
        <f t="array" ref="FC6">_xll.EQNXTDZ($A$1,$B6,FC$1)</f>
        <v>664</v>
      </c>
      <c r="FD6" cm="1">
        <f t="array" ref="FD6">_xll.EQNXTDZ($A$1,$B6,FD$1)</f>
        <v>658</v>
      </c>
      <c r="FE6" cm="1">
        <f t="array" ref="FE6">_xll.EQNXTDZ($A$1,$B6,FE$1)</f>
        <v>569.79999999999995</v>
      </c>
      <c r="FF6" cm="1">
        <f t="array" ref="FF6">_xll.EQNXTDZ($A$1,$B6,FF$1)</f>
        <v>560</v>
      </c>
      <c r="FG6" cm="1">
        <f t="array" ref="FG6">_xll.EQNXTDZ($A$1,$B6,FG$1)</f>
        <v>568</v>
      </c>
      <c r="FH6" cm="1">
        <f t="array" ref="FH6">_xll.EQNXTDZ($A$1,$B6,FH$1)</f>
        <v>561.45000000000005</v>
      </c>
      <c r="FI6" cm="1">
        <f t="array" ref="FI6">_xll.EQNXTDZ($A$1,$B6,FI$1)</f>
        <v>503</v>
      </c>
      <c r="FJ6" cm="1">
        <f t="array" ref="FJ6">_xll.EQNXTDZ($A$1,$B6,FJ$1)</f>
        <v>482.55</v>
      </c>
      <c r="FK6" cm="1">
        <f t="array" ref="FK6">_xll.EQNXTDZ($A$1,$B6,FK$1)</f>
        <v>416</v>
      </c>
      <c r="FL6" cm="1">
        <f t="array" ref="FL6">_xll.EQNXTDZ($A$1,$B6,FL$1)</f>
        <v>397</v>
      </c>
      <c r="FM6" cm="1">
        <f t="array" ref="FM6">_xll.EQNXTDZ($A$1,$B6,FM$1)</f>
        <v>367.95</v>
      </c>
      <c r="FN6" cm="1">
        <f t="array" ref="FN6">_xll.EQNXTDZ($A$1,$B6,FN$1)</f>
        <v>512</v>
      </c>
      <c r="FO6" cm="1">
        <f t="array" ref="FO6">_xll.EQNXTDZ($A$1,$B6,FO$1)</f>
        <v>514.9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28</v>
      </c>
      <c r="D7" s="116" cm="1">
        <f t="array" ref="D7">_xll.EQNXTDZ($A$1,$B7,D$1)</f>
        <v>31</v>
      </c>
      <c r="E7" s="116" cm="1">
        <f t="array" ref="E7">_xll.EQNXTDZ($A$1,$B7,E$1)</f>
        <v>25.875</v>
      </c>
      <c r="F7" s="116" cm="1">
        <f t="array" ref="F7">_xll.EQNXTDZ($A$1,$B7,F$1)</f>
        <v>25.65</v>
      </c>
      <c r="G7" s="116" cm="1">
        <f t="array" ref="G7">_xll.EQNXTDZ($A$1,$B7,G$1)</f>
        <v>26.125</v>
      </c>
      <c r="H7" s="116" cm="1">
        <f t="array" ref="H7">_xll.EQNXTDZ($A$1,$B7,H$1)</f>
        <v>27.15</v>
      </c>
      <c r="I7" s="116" cm="1">
        <f t="array" ref="I7">_xll.EQNXTDZ($A$1,$B7,I$1)</f>
        <v>25.8</v>
      </c>
      <c r="J7" s="116" cm="1">
        <f t="array" ref="J7">_xll.EQNXTDZ($A$1,$B7,J$1)</f>
        <v>24.875</v>
      </c>
      <c r="K7" s="116" cm="1">
        <f t="array" ref="K7">_xll.EQNXTDZ($A$1,$B7,K$1)</f>
        <v>22</v>
      </c>
      <c r="L7" s="116" cm="1">
        <f t="array" ref="L7">_xll.EQNXTDZ($A$1,$B7,L$1)</f>
        <v>19.425000000000001</v>
      </c>
      <c r="M7" s="116" cm="1">
        <f t="array" ref="M7">_xll.EQNXTDZ($A$1,$B7,M$1)</f>
        <v>18</v>
      </c>
      <c r="N7" s="116" cm="1">
        <f t="array" ref="N7">_xll.EQNXTDZ($A$1,$B7,N$1)</f>
        <v>19.225000000000001</v>
      </c>
      <c r="O7" s="116" cm="1">
        <f t="array" ref="O7">_xll.EQNXTDZ($A$1,$B7,O$1)</f>
        <v>16</v>
      </c>
      <c r="P7" s="116" cm="1">
        <f t="array" ref="P7">_xll.EQNXTDZ($A$1,$B7,P$1)</f>
        <v>14.725</v>
      </c>
      <c r="Q7" s="116" cm="1">
        <f t="array" ref="Q7">_xll.EQNXTDZ($A$1,$B7,Q$1)</f>
        <v>13.9</v>
      </c>
      <c r="R7" s="116" cm="1">
        <f t="array" ref="R7">_xll.EQNXTDZ($A$1,$B7,R$1)</f>
        <v>14.25</v>
      </c>
      <c r="S7" s="116" cm="1">
        <f t="array" ref="S7">_xll.EQNXTDZ($A$1,$B7,S$1)</f>
        <v>16.875</v>
      </c>
      <c r="T7" s="116" cm="1">
        <f t="array" ref="T7">_xll.EQNXTDZ($A$1,$B7,T$1)</f>
        <v>17.100000000000001</v>
      </c>
      <c r="U7" s="116" cm="1">
        <f t="array" ref="U7">_xll.EQNXTDZ($A$1,$B7,U$1)</f>
        <v>16.95</v>
      </c>
      <c r="V7" s="116" cm="1">
        <f t="array" ref="V7">_xll.EQNXTDZ($A$1,$B7,V$1)</f>
        <v>18.100000000000001</v>
      </c>
      <c r="W7" s="116" cm="1">
        <f t="array" ref="W7">_xll.EQNXTDZ($A$1,$B7,W$1)</f>
        <v>15.425000000000001</v>
      </c>
      <c r="X7" s="116" cm="1">
        <f t="array" ref="X7">_xll.EQNXTDZ($A$1,$B7,X$1)</f>
        <v>17.225000000000001</v>
      </c>
      <c r="Y7" s="116" cm="1">
        <f t="array" ref="Y7">_xll.EQNXTDZ($A$1,$B7,Y$1)</f>
        <v>21.45</v>
      </c>
      <c r="Z7" s="116" cm="1">
        <f t="array" ref="Z7">_xll.EQNXTDZ($A$1,$B7,Z$1)</f>
        <v>34.325000000000003</v>
      </c>
      <c r="AA7" s="116" cm="1">
        <f t="array" ref="AA7">_xll.EQNXTDZ($A$1,$B7,AA$1)</f>
        <v>35.299999999999997</v>
      </c>
      <c r="AB7" s="116" cm="1">
        <f t="array" ref="AB7">_xll.EQNXTDZ($A$1,$B7,AB$1)</f>
        <v>34.35</v>
      </c>
      <c r="AC7" s="116" cm="1">
        <f t="array" ref="AC7">_xll.EQNXTDZ($A$1,$B7,AC$1)</f>
        <v>28.9</v>
      </c>
      <c r="AD7" s="116" cm="1">
        <f t="array" ref="AD7">_xll.EQNXTDZ($A$1,$B7,AD$1)</f>
        <v>28.7</v>
      </c>
      <c r="AE7" s="116" cm="1">
        <f t="array" ref="AE7">_xll.EQNXTDZ($A$1,$B7,AE$1)</f>
        <v>27.45</v>
      </c>
      <c r="AF7" s="116" cm="1">
        <f t="array" ref="AF7">_xll.EQNXTDZ($A$1,$B7,AF$1)</f>
        <v>29.175000000000001</v>
      </c>
      <c r="AG7" s="116" cm="1">
        <f t="array" ref="AG7">_xll.EQNXTDZ($A$1,$B7,AG$1)</f>
        <v>27.4</v>
      </c>
      <c r="AH7" s="116" cm="1">
        <f t="array" ref="AH7">_xll.EQNXTDZ($A$1,$B7,AH$1)</f>
        <v>28.074999999999999</v>
      </c>
      <c r="AI7" s="116" cm="1">
        <f t="array" ref="AI7">_xll.EQNXTDZ($A$1,$B7,AI$1)</f>
        <v>29.375</v>
      </c>
      <c r="AJ7" s="116" cm="1">
        <f t="array" ref="AJ7">_xll.EQNXTDZ($A$1,$B7,AJ$1)</f>
        <v>35.924999999999997</v>
      </c>
      <c r="AK7" s="116" cm="1">
        <f t="array" ref="AK7">_xll.EQNXTDZ($A$1,$B7,AK$1)</f>
        <v>40.225000000000001</v>
      </c>
      <c r="AL7" s="116" cm="1">
        <f t="array" ref="AL7">_xll.EQNXTDZ($A$1,$B7,AL$1)</f>
        <v>35.825000000000003</v>
      </c>
      <c r="AM7" s="116" cm="1">
        <f t="array" ref="AM7">_xll.EQNXTDZ($A$1,$B7,AM$1)</f>
        <v>42.1</v>
      </c>
      <c r="AN7" s="116" cm="1">
        <f t="array" ref="AN7">_xll.EQNXTDZ($A$1,$B7,AN$1)</f>
        <v>47.674999999999997</v>
      </c>
      <c r="AO7" s="116" cm="1">
        <f t="array" ref="AO7">_xll.EQNXTDZ($A$1,$B7,AO$1)</f>
        <v>48.45</v>
      </c>
      <c r="AP7" s="116" cm="1">
        <f t="array" ref="AP7">_xll.EQNXTDZ($A$1,$B7,AP$1)</f>
        <v>37.4</v>
      </c>
      <c r="AQ7" s="116" cm="1">
        <f t="array" ref="AQ7">_xll.EQNXTDZ($A$1,$B7,AQ$1)</f>
        <v>42</v>
      </c>
      <c r="AR7" s="116" cm="1">
        <f t="array" ref="AR7">_xll.EQNXTDZ($A$1,$B7,AR$1)</f>
        <v>45.35</v>
      </c>
      <c r="AS7" s="116" cm="1">
        <f t="array" ref="AS7">_xll.EQNXTDZ($A$1,$B7,AS$1)</f>
        <v>46.424999999999997</v>
      </c>
      <c r="AT7" s="116" cm="1">
        <f t="array" ref="AT7">_xll.EQNXTDZ($A$1,$B7,AT$1)</f>
        <v>42.9</v>
      </c>
      <c r="AU7" s="116" cm="1">
        <f t="array" ref="AU7">_xll.EQNXTDZ($A$1,$B7,AU$1)</f>
        <v>35.450000000000003</v>
      </c>
      <c r="AV7" s="116" cm="1">
        <f t="array" ref="AV7">_xll.EQNXTDZ($A$1,$B7,AV$1)</f>
        <v>29.6</v>
      </c>
      <c r="AW7" s="116" cm="1">
        <f t="array" ref="AW7">_xll.EQNXTDZ($A$1,$B7,AW$1)</f>
        <v>33.299999999999997</v>
      </c>
      <c r="AX7" s="116" cm="1">
        <f t="array" ref="AX7">_xll.EQNXTDZ($A$1,$B7,AX$1)</f>
        <v>32.549999999999997</v>
      </c>
      <c r="AY7" s="116" cm="1">
        <f t="array" ref="AY7">_xll.EQNXTDZ($A$1,$B7,AY$1)</f>
        <v>33.049999999999997</v>
      </c>
      <c r="AZ7" s="116" cm="1">
        <f t="array" ref="AZ7">_xll.EQNXTDZ($A$1,$B7,AZ$1)</f>
        <v>33.5</v>
      </c>
      <c r="BA7" s="116" cm="1">
        <f t="array" ref="BA7">_xll.EQNXTDZ($A$1,$B7,BA$1)</f>
        <v>30.75</v>
      </c>
      <c r="BB7" s="116" cm="1">
        <f t="array" ref="BB7">_xll.EQNXTDZ($A$1,$B7,BB$1)</f>
        <v>32.125</v>
      </c>
      <c r="BC7" s="116" cm="1">
        <f t="array" ref="BC7">_xll.EQNXTDZ($A$1,$B7,BC$1)</f>
        <v>36.9</v>
      </c>
      <c r="BD7" s="116" cm="1">
        <f t="array" ref="BD7">_xll.EQNXTDZ($A$1,$B7,BD$1)</f>
        <v>33.700000000000003</v>
      </c>
      <c r="BE7" s="116" cm="1">
        <f t="array" ref="BE7">_xll.EQNXTDZ($A$1,$B7,BE$1)</f>
        <v>32.25</v>
      </c>
      <c r="BF7" s="116" cm="1">
        <f t="array" ref="BF7">_xll.EQNXTDZ($A$1,$B7,BF$1)</f>
        <v>30.5</v>
      </c>
      <c r="BG7" s="116" cm="1">
        <f t="array" ref="BG7">_xll.EQNXTDZ($A$1,$B7,BG$1)</f>
        <v>29.925000000000001</v>
      </c>
      <c r="BH7" s="116" cm="1">
        <f t="array" ref="BH7">_xll.EQNXTDZ($A$1,$B7,BH$1)</f>
        <v>27.65</v>
      </c>
      <c r="BI7" s="116" cm="1">
        <f t="array" ref="BI7">_xll.EQNXTDZ($A$1,$B7,BI$1)</f>
        <v>32.325000000000003</v>
      </c>
      <c r="BJ7" s="116" cm="1">
        <f t="array" ref="BJ7">_xll.EQNXTDZ($A$1,$B7,BJ$1)</f>
        <v>32.9</v>
      </c>
      <c r="BK7" s="116" cm="1">
        <f t="array" ref="BK7">_xll.EQNXTDZ($A$1,$B7,BK$1)</f>
        <v>32.674999999999997</v>
      </c>
      <c r="BL7" s="116" cm="1">
        <f t="array" ref="BL7">_xll.EQNXTDZ($A$1,$B7,BL$1)</f>
        <v>32.299999999999997</v>
      </c>
      <c r="BM7" s="116" cm="1">
        <f t="array" ref="BM7">_xll.EQNXTDZ($A$1,$B7,BM$1)</f>
        <v>31.95</v>
      </c>
      <c r="BN7" s="116" cm="1">
        <f t="array" ref="BN7">_xll.EQNXTDZ($A$1,$B7,BN$1)</f>
        <v>29.75</v>
      </c>
      <c r="BO7" s="116" cm="1">
        <f t="array" ref="BO7">_xll.EQNXTDZ($A$1,$B7,BO$1)</f>
        <v>37.950000000000003</v>
      </c>
      <c r="BP7" s="116" cm="1">
        <f t="array" ref="BP7">_xll.EQNXTDZ($A$1,$B7,BP$1)</f>
        <v>42.7</v>
      </c>
      <c r="BQ7" s="116" cm="1">
        <f t="array" ref="BQ7">_xll.EQNXTDZ($A$1,$B7,BQ$1)</f>
        <v>56.75</v>
      </c>
      <c r="BR7" s="116" cm="1">
        <f t="array" ref="BR7">_xll.EQNXTDZ($A$1,$B7,BR$1)</f>
        <v>54.9</v>
      </c>
      <c r="BS7" s="116" cm="1">
        <f t="array" ref="BS7">_xll.EQNXTDZ($A$1,$B7,BS$1)</f>
        <v>45.85</v>
      </c>
      <c r="BT7" s="116" cm="1">
        <f t="array" ref="BT7">_xll.EQNXTDZ($A$1,$B7,BT$1)</f>
        <v>46.5</v>
      </c>
      <c r="BU7" s="116" cm="1">
        <f t="array" ref="BU7">_xll.EQNXTDZ($A$1,$B7,BU$1)</f>
        <v>44.325000000000003</v>
      </c>
      <c r="BV7" s="116" cm="1">
        <f t="array" ref="BV7">_xll.EQNXTDZ($A$1,$B7,BV$1)</f>
        <v>42.75</v>
      </c>
      <c r="BW7" s="116" cm="1">
        <f t="array" ref="BW7">_xll.EQNXTDZ($A$1,$B7,BW$1)</f>
        <v>34.975000000000001</v>
      </c>
      <c r="BX7" s="116" cm="1">
        <f t="array" ref="BX7">_xll.EQNXTDZ($A$1,$B7,BX$1)</f>
        <v>32.4</v>
      </c>
      <c r="BY7" s="116" cm="1">
        <f t="array" ref="BY7">_xll.EQNXTDZ($A$1,$B7,BY$1)</f>
        <v>36.75</v>
      </c>
      <c r="BZ7" s="116" cm="1">
        <f t="array" ref="BZ7">_xll.EQNXTDZ($A$1,$B7,BZ$1)</f>
        <v>32.950000000000003</v>
      </c>
      <c r="CA7" s="116" cm="1">
        <f t="array" ref="CA7">_xll.EQNXTDZ($A$1,$B7,CA$1)</f>
        <v>28.324999999999999</v>
      </c>
      <c r="CB7" s="116" cm="1">
        <f t="array" ref="CB7">_xll.EQNXTDZ($A$1,$B7,CB$1)</f>
        <v>32.975000000000001</v>
      </c>
      <c r="CC7" s="116" cm="1">
        <f t="array" ref="CC7">_xll.EQNXTDZ($A$1,$B7,CC$1)</f>
        <v>35.65</v>
      </c>
      <c r="CD7" s="116" cm="1">
        <f t="array" ref="CD7">_xll.EQNXTDZ($A$1,$B7,CD$1)</f>
        <v>37.5</v>
      </c>
      <c r="CE7" s="116" cm="1">
        <f t="array" ref="CE7">_xll.EQNXTDZ($A$1,$B7,CE$1)</f>
        <v>33.774999999999999</v>
      </c>
      <c r="CF7" s="116" cm="1">
        <f t="array" ref="CF7">_xll.EQNXTDZ($A$1,$B7,CF$1)</f>
        <v>35</v>
      </c>
      <c r="CG7" s="116" cm="1">
        <f t="array" ref="CG7">_xll.EQNXTDZ($A$1,$B7,CG$1)</f>
        <v>33.125</v>
      </c>
      <c r="CH7" s="116" cm="1">
        <f t="array" ref="CH7">_xll.EQNXTDZ($A$1,$B7,CH$1)</f>
        <v>29.375</v>
      </c>
      <c r="CI7" s="116" cm="1">
        <f t="array" ref="CI7">_xll.EQNXTDZ($A$1,$B7,CI$1)</f>
        <v>26.8</v>
      </c>
      <c r="CJ7" s="116" cm="1">
        <f t="array" ref="CJ7">_xll.EQNXTDZ($A$1,$B7,CJ$1)</f>
        <v>23.925000000000001</v>
      </c>
      <c r="CK7" s="116" cm="1">
        <f t="array" ref="CK7">_xll.EQNXTDZ($A$1,$B7,CK$1)</f>
        <v>16</v>
      </c>
      <c r="CL7" s="116" cm="1">
        <f t="array" ref="CL7">_xll.EQNXTDZ($A$1,$B7,CL$1)</f>
        <v>18.899999999999999</v>
      </c>
      <c r="CM7" s="116" cm="1">
        <f t="array" ref="CM7">_xll.EQNXTDZ($A$1,$B7,CM$1)</f>
        <v>17.175000000000001</v>
      </c>
      <c r="CN7" s="116" cm="1">
        <f t="array" ref="CN7">_xll.EQNXTDZ($A$1,$B7,CN$1)</f>
        <v>20.05</v>
      </c>
      <c r="CO7" s="116" cm="1">
        <f t="array" ref="CO7">_xll.EQNXTDZ($A$1,$B7,CO$1)</f>
        <v>19.05</v>
      </c>
      <c r="CP7" s="116" cm="1">
        <f t="array" ref="CP7">_xll.EQNXTDZ($A$1,$B7,CP$1)</f>
        <v>21.85</v>
      </c>
      <c r="CQ7" s="116" cm="1">
        <f t="array" ref="CQ7">_xll.EQNXTDZ($A$1,$B7,CQ$1)</f>
        <v>20.25</v>
      </c>
      <c r="CR7" s="116" cm="1">
        <f t="array" ref="CR7">_xll.EQNXTDZ($A$1,$B7,CR$1)</f>
        <v>15</v>
      </c>
      <c r="CS7" s="116" cm="1">
        <f t="array" ref="CS7">_xll.EQNXTDZ($A$1,$B7,CS$1)</f>
        <v>12.824999999999999</v>
      </c>
      <c r="CT7" s="116" cm="1">
        <f t="array" ref="CT7">_xll.EQNXTDZ($A$1,$B7,CT$1)</f>
        <v>10.925000000000001</v>
      </c>
      <c r="CU7" s="116" cm="1">
        <f t="array" ref="CU7">_xll.EQNXTDZ($A$1,$B7,CU$1)</f>
        <v>15.3</v>
      </c>
      <c r="CV7" s="116" cm="1">
        <f t="array" ref="CV7">_xll.EQNXTDZ($A$1,$B7,CV$1)</f>
        <v>15.5</v>
      </c>
      <c r="CW7" s="116" cm="1">
        <f t="array" ref="CW7">_xll.EQNXTDZ($A$1,$B7,CW$1)</f>
        <v>18.399999999999999</v>
      </c>
      <c r="CX7" s="116" cm="1">
        <f t="array" ref="CX7">_xll.EQNXTDZ($A$1,$B7,CX$1)</f>
        <v>15.7</v>
      </c>
      <c r="CY7" s="116" cm="1">
        <f t="array" ref="CY7">_xll.EQNXTDZ($A$1,$B7,CY$1)</f>
        <v>13.35</v>
      </c>
      <c r="CZ7" s="116" cm="1">
        <f t="array" ref="CZ7">_xll.EQNXTDZ($A$1,$B7,CZ$1)</f>
        <v>18.3</v>
      </c>
      <c r="DA7" s="116" cm="1">
        <f t="array" ref="DA7">_xll.EQNXTDZ($A$1,$B7,DA$1)</f>
        <v>22.3</v>
      </c>
      <c r="DB7" s="116" cm="1">
        <f t="array" ref="DB7">_xll.EQNXTDZ($A$1,$B7,DB$1)</f>
        <v>28.375</v>
      </c>
      <c r="DC7" s="116" cm="1">
        <f t="array" ref="DC7">_xll.EQNXTDZ($A$1,$B7,DC$1)</f>
        <v>30.125</v>
      </c>
      <c r="DD7" s="116" cm="1">
        <f t="array" ref="DD7">_xll.EQNXTDZ($A$1,$B7,DD$1)</f>
        <v>34.774999999999999</v>
      </c>
      <c r="DE7" s="116" cm="1">
        <f t="array" ref="DE7">_xll.EQNXTDZ($A$1,$B7,DE$1)</f>
        <v>49</v>
      </c>
      <c r="DF7" s="116" cm="1">
        <f t="array" ref="DF7">_xll.EQNXTDZ($A$1,$B7,DF$1)</f>
        <v>60.35</v>
      </c>
      <c r="DG7" s="116" cm="1">
        <f t="array" ref="DG7">_xll.EQNXTDZ($A$1,$B7,DG$1)</f>
        <v>71.400000000000006</v>
      </c>
      <c r="DH7" s="116" cm="1">
        <f t="array" ref="DH7">_xll.EQNXTDZ($A$1,$B7,DH$1)</f>
        <v>74.95</v>
      </c>
      <c r="DI7" s="116" cm="1">
        <f t="array" ref="DI7">_xll.EQNXTDZ($A$1,$B7,DI$1)</f>
        <v>91.8</v>
      </c>
      <c r="DJ7" s="116" cm="1">
        <f t="array" ref="DJ7">_xll.EQNXTDZ($A$1,$B7,DJ$1)</f>
        <v>93</v>
      </c>
      <c r="DK7" s="116" cm="1">
        <f t="array" ref="DK7">_xll.EQNXTDZ($A$1,$B7,DK$1)</f>
        <v>90</v>
      </c>
      <c r="DL7" s="116" cm="1">
        <f t="array" ref="DL7">_xll.EQNXTDZ($A$1,$B7,DL$1)</f>
        <v>109.5</v>
      </c>
      <c r="DM7" s="116" cm="1">
        <f t="array" ref="DM7">_xll.EQNXTDZ($A$1,$B7,DM$1)</f>
        <v>106</v>
      </c>
      <c r="DN7" s="116" cm="1">
        <f t="array" ref="DN7">_xll.EQNXTDZ($A$1,$B7,DN$1)</f>
        <v>107.15</v>
      </c>
      <c r="DO7" s="116" cm="1">
        <f t="array" ref="DO7">_xll.EQNXTDZ($A$1,$B7,DO$1)</f>
        <v>91.85</v>
      </c>
      <c r="DP7" s="116" cm="1">
        <f t="array" ref="DP7">_xll.EQNXTDZ($A$1,$B7,DP$1)</f>
        <v>81.599999999999994</v>
      </c>
      <c r="DQ7" s="116" cm="1">
        <f t="array" ref="DQ7">_xll.EQNXTDZ($A$1,$B7,DQ$1)</f>
        <v>99.9</v>
      </c>
      <c r="DR7" s="116" cm="1">
        <f t="array" ref="DR7">_xll.EQNXTDZ($A$1,$B7,DR$1)</f>
        <v>106.2</v>
      </c>
      <c r="DS7" s="116" cm="1">
        <f t="array" ref="DS7">_xll.EQNXTDZ($A$1,$B7,DS$1)</f>
        <v>144.94999999999999</v>
      </c>
      <c r="DT7" s="116" cm="1">
        <f t="array" ref="DT7">_xll.EQNXTDZ($A$1,$B7,DT$1)</f>
        <v>196.97499999999999</v>
      </c>
      <c r="DU7" s="116" cm="1">
        <f t="array" ref="DU7">_xll.EQNXTDZ($A$1,$B7,DU$1)</f>
        <v>197.45</v>
      </c>
      <c r="DV7" s="116" cm="1">
        <f t="array" ref="DV7">_xll.EQNXTDZ($A$1,$B7,DV$1)</f>
        <v>207.8</v>
      </c>
      <c r="DW7" s="116" cm="1">
        <f t="array" ref="DW7">_xll.EQNXTDZ($A$1,$B7,DW$1)</f>
        <v>195</v>
      </c>
      <c r="DX7" s="116" cm="1">
        <f t="array" ref="DX7">_xll.EQNXTDZ($A$1,$B7,DX$1)</f>
        <v>232.5</v>
      </c>
      <c r="DY7" s="116" cm="1">
        <f t="array" ref="DY7">_xll.EQNXTDZ($A$1,$B7,DY$1)</f>
        <v>238</v>
      </c>
      <c r="DZ7" s="116" cm="1">
        <f t="array" ref="DZ7">_xll.EQNXTDZ($A$1,$B7,DZ$1)</f>
        <v>203.35</v>
      </c>
      <c r="EA7" s="116" cm="1">
        <f t="array" ref="EA7">_xll.EQNXTDZ($A$1,$B7,EA$1)</f>
        <v>216.85</v>
      </c>
      <c r="EB7" s="116" cm="1">
        <f t="array" ref="EB7">_xll.EQNXTDZ($A$1,$B7,EB$1)</f>
        <v>203.47499999999999</v>
      </c>
      <c r="EC7" s="116" cm="1">
        <f t="array" ref="EC7">_xll.EQNXTDZ($A$1,$B7,EC$1)</f>
        <v>236.875</v>
      </c>
      <c r="ED7" s="116" cm="1">
        <f t="array" ref="ED7">_xll.EQNXTDZ($A$1,$B7,ED$1)</f>
        <v>299.95</v>
      </c>
      <c r="EE7" s="116" cm="1">
        <f t="array" ref="EE7">_xll.EQNXTDZ($A$1,$B7,EE$1)</f>
        <v>298.47500000000002</v>
      </c>
      <c r="EF7" s="116" cm="1">
        <f t="array" ref="EF7">_xll.EQNXTDZ($A$1,$B7,EF$1)</f>
        <v>390.95</v>
      </c>
      <c r="EG7" s="116" cm="1">
        <f t="array" ref="EG7">_xll.EQNXTDZ($A$1,$B7,EG$1)</f>
        <v>443.02499999999998</v>
      </c>
      <c r="EH7" s="116" cm="1">
        <f t="array" ref="EH7">_xll.EQNXTDZ($A$1,$B7,EH$1)</f>
        <v>491.5</v>
      </c>
      <c r="EI7" s="116" cm="1">
        <f t="array" ref="EI7">_xll.EQNXTDZ($A$1,$B7,EI$1)</f>
        <v>425</v>
      </c>
      <c r="EJ7" s="116" cm="1">
        <f t="array" ref="EJ7">_xll.EQNXTDZ($A$1,$B7,EJ$1)</f>
        <v>494.9</v>
      </c>
      <c r="EK7" s="116" cm="1">
        <f t="array" ref="EK7">_xll.EQNXTDZ($A$1,$B7,EK$1)</f>
        <v>492</v>
      </c>
      <c r="EL7" s="116" cm="1">
        <f t="array" ref="EL7">_xll.EQNXTDZ($A$1,$B7,EL$1)</f>
        <v>561</v>
      </c>
      <c r="EM7" s="116" cm="1">
        <f t="array" ref="EM7">_xll.EQNXTDZ($A$1,$B7,EM$1)</f>
        <v>554.6</v>
      </c>
      <c r="EN7" s="116" cm="1">
        <f t="array" ref="EN7">_xll.EQNXTDZ($A$1,$B7,EN$1)</f>
        <v>504.9</v>
      </c>
      <c r="EO7" s="116" cm="1">
        <f t="array" ref="EO7">_xll.EQNXTDZ($A$1,$B7,EO$1)</f>
        <v>622.5</v>
      </c>
      <c r="EP7" s="116" cm="1">
        <f t="array" ref="EP7">_xll.EQNXTDZ($A$1,$B7,EP$1)</f>
        <v>594.29999999999995</v>
      </c>
      <c r="EQ7" s="116" cm="1">
        <f t="array" ref="EQ7">_xll.EQNXTDZ($A$1,$B7,EQ$1)</f>
        <v>690</v>
      </c>
      <c r="ER7" s="116" cm="1">
        <f t="array" ref="ER7">_xll.EQNXTDZ($A$1,$B7,ER$1)</f>
        <v>716.75</v>
      </c>
      <c r="ES7" s="116" cm="1">
        <f t="array" ref="ES7">_xll.EQNXTDZ($A$1,$B7,ES$1)</f>
        <v>642</v>
      </c>
      <c r="ET7" s="116" cm="1">
        <f t="array" ref="ET7">_xll.EQNXTDZ($A$1,$B7,ET$1)</f>
        <v>710</v>
      </c>
      <c r="EU7" s="116" cm="1">
        <f t="array" ref="EU7">_xll.EQNXTDZ($A$1,$B7,EU$1)</f>
        <v>739.1</v>
      </c>
      <c r="EV7" s="116" cm="1">
        <f t="array" ref="EV7">_xll.EQNXTDZ($A$1,$B7,EV$1)</f>
        <v>613</v>
      </c>
      <c r="EW7" s="116" cm="1">
        <f t="array" ref="EW7">_xll.EQNXTDZ($A$1,$B7,EW$1)</f>
        <v>672.55</v>
      </c>
      <c r="EX7" s="116" cm="1">
        <f t="array" ref="EX7">_xll.EQNXTDZ($A$1,$B7,EX$1)</f>
        <v>643.5</v>
      </c>
      <c r="EY7" s="116" cm="1">
        <f t="array" ref="EY7">_xll.EQNXTDZ($A$1,$B7,EY$1)</f>
        <v>543.45000000000005</v>
      </c>
      <c r="EZ7" s="116" cm="1">
        <f t="array" ref="EZ7">_xll.EQNXTDZ($A$1,$B7,EZ$1)</f>
        <v>494.4</v>
      </c>
      <c r="FA7" s="116" cm="1">
        <f t="array" ref="FA7">_xll.EQNXTDZ($A$1,$B7,FA$1)</f>
        <v>572.54999999999995</v>
      </c>
      <c r="FB7" s="116" cm="1">
        <f t="array" ref="FB7">_xll.EQNXTDZ($A$1,$B7,FB$1)</f>
        <v>701.5</v>
      </c>
      <c r="FC7" s="116" cm="1">
        <f t="array" ref="FC7">_xll.EQNXTDZ($A$1,$B7,FC$1)</f>
        <v>716.25</v>
      </c>
      <c r="FD7" s="116" cm="1">
        <f t="array" ref="FD7">_xll.EQNXTDZ($A$1,$B7,FD$1)</f>
        <v>683</v>
      </c>
      <c r="FE7" s="116" cm="1">
        <f t="array" ref="FE7">_xll.EQNXTDZ($A$1,$B7,FE$1)</f>
        <v>583.54999999999995</v>
      </c>
      <c r="FF7" s="116" cm="1">
        <f t="array" ref="FF7">_xll.EQNXTDZ($A$1,$B7,FF$1)</f>
        <v>634.9</v>
      </c>
      <c r="FG7" s="116" cm="1">
        <f t="array" ref="FG7">_xll.EQNXTDZ($A$1,$B7,FG$1)</f>
        <v>626</v>
      </c>
      <c r="FH7" s="116" cm="1">
        <f t="array" ref="FH7">_xll.EQNXTDZ($A$1,$B7,FH$1)</f>
        <v>570.79999999999995</v>
      </c>
      <c r="FI7" s="116" cm="1">
        <f t="array" ref="FI7">_xll.EQNXTDZ($A$1,$B7,FI$1)</f>
        <v>505.7</v>
      </c>
      <c r="FJ7" s="116" cm="1">
        <f t="array" ref="FJ7">_xll.EQNXTDZ($A$1,$B7,FJ$1)</f>
        <v>533.20000000000005</v>
      </c>
      <c r="FK7" s="116" cm="1">
        <f t="array" ref="FK7">_xll.EQNXTDZ($A$1,$B7,FK$1)</f>
        <v>494</v>
      </c>
      <c r="FL7" s="116" cm="1">
        <f t="array" ref="FL7">_xll.EQNXTDZ($A$1,$B7,FL$1)</f>
        <v>436</v>
      </c>
      <c r="FM7" s="116" cm="1">
        <f t="array" ref="FM7">_xll.EQNXTDZ($A$1,$B7,FM$1)</f>
        <v>524.45000000000005</v>
      </c>
      <c r="FN7" s="116" cm="1">
        <f t="array" ref="FN7">_xll.EQNXTDZ($A$1,$B7,FN$1)</f>
        <v>579</v>
      </c>
      <c r="FO7" s="116" cm="1">
        <f t="array" ref="FO7">_xll.EQNXTDZ($A$1,$B7,FO$1)</f>
        <v>576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31</v>
      </c>
      <c r="HQ7" s="116">
        <f>+MAX(G7:I7)</f>
        <v>27.15</v>
      </c>
      <c r="HR7" s="116">
        <f>+MAX(J7:L7)</f>
        <v>24.875</v>
      </c>
      <c r="HS7" s="116">
        <f>+MAX(M7:O7)</f>
        <v>19.225000000000001</v>
      </c>
      <c r="HT7" s="116">
        <f>+MAX(P7:R7)</f>
        <v>14.725</v>
      </c>
      <c r="HU7" s="116">
        <f>+MAX(S7:U7)</f>
        <v>17.100000000000001</v>
      </c>
      <c r="HV7" s="116">
        <f>+MAX(V7:X7)</f>
        <v>18.100000000000001</v>
      </c>
      <c r="HW7" s="116">
        <f>+MAX(Y7:AA7)</f>
        <v>35.299999999999997</v>
      </c>
      <c r="HX7" s="116">
        <f>+MAX(AB7:AD7)</f>
        <v>34.35</v>
      </c>
      <c r="HY7" s="116">
        <f>+MAX(AE7:AG7)</f>
        <v>29.175000000000001</v>
      </c>
      <c r="HZ7" s="116">
        <f>+MAX(AH7:AJ7)</f>
        <v>35.924999999999997</v>
      </c>
      <c r="IA7" s="116">
        <f>+MAX(AK7:AM7)</f>
        <v>42.1</v>
      </c>
      <c r="IB7" s="116">
        <f>+MAX(AN7:AP7)</f>
        <v>48.45</v>
      </c>
      <c r="IC7" s="116">
        <f>+MAX(AQ7:AS7)</f>
        <v>46.424999999999997</v>
      </c>
      <c r="ID7" s="116">
        <f>+MAX(AT7:AV7)</f>
        <v>42.9</v>
      </c>
      <c r="IE7" s="116">
        <f>+MAX(AW7:AY7)</f>
        <v>33.299999999999997</v>
      </c>
      <c r="IF7" s="116">
        <f>+MAX(AZ7:BB7)</f>
        <v>33.5</v>
      </c>
      <c r="IG7" s="116">
        <f>+MAX(BC7:BE7)</f>
        <v>36.9</v>
      </c>
      <c r="IH7" s="116">
        <f>+MAX(BF7:BH7)</f>
        <v>30.5</v>
      </c>
      <c r="II7" s="116">
        <f>+MAX(BI7:BK7)</f>
        <v>32.9</v>
      </c>
      <c r="IJ7" s="116">
        <f>+MAX(BL7:BN7)</f>
        <v>32.299999999999997</v>
      </c>
      <c r="IK7" s="116">
        <f>+MAX(BO7:BQ7)</f>
        <v>56.75</v>
      </c>
      <c r="IL7" s="116">
        <f>+MAX(BR7:BT7)</f>
        <v>54.9</v>
      </c>
      <c r="IM7" s="116">
        <f>+MAX(BU7:BW7)</f>
        <v>44.325000000000003</v>
      </c>
      <c r="IN7" s="116">
        <f>+MAX(BX7:BZ7)</f>
        <v>36.75</v>
      </c>
      <c r="IO7" s="116">
        <f>+MAX(CA7:CC7)</f>
        <v>35.65</v>
      </c>
      <c r="IP7" s="116">
        <f>+MAX(CD7:CF7)</f>
        <v>37.5</v>
      </c>
      <c r="IQ7" s="116">
        <f>+MAX(CG7:CI7)</f>
        <v>33.125</v>
      </c>
      <c r="IR7" s="116">
        <f>+MAX(CJ7:CL7)</f>
        <v>23.925000000000001</v>
      </c>
      <c r="IS7" s="116">
        <f>+MAX(CM7:CO7)</f>
        <v>20.05</v>
      </c>
      <c r="IT7" s="116">
        <f>+MAX(CP7:CR7)</f>
        <v>21.85</v>
      </c>
      <c r="IU7" s="116">
        <f>+MAX(CS7:CU7)</f>
        <v>15.3</v>
      </c>
      <c r="IV7" s="116">
        <f>+MAX(CV7:CX7)</f>
        <v>18.399999999999999</v>
      </c>
      <c r="IW7" s="116">
        <f>+MAX(CY7:DA7)</f>
        <v>22.3</v>
      </c>
      <c r="IX7" s="116">
        <f>+MAX(DB7:DD7)</f>
        <v>34.774999999999999</v>
      </c>
      <c r="IY7" s="116">
        <f>+MAX(DE7:DG7)</f>
        <v>71.400000000000006</v>
      </c>
      <c r="IZ7" s="116">
        <f>+MAX(DH7:DJ7)</f>
        <v>93</v>
      </c>
      <c r="JA7" s="116">
        <f>+MAX(DK7:DM7)</f>
        <v>109.5</v>
      </c>
      <c r="JB7" s="116">
        <f>+MAX(DN7:DP7)</f>
        <v>107.15</v>
      </c>
      <c r="JC7" s="116">
        <f>+MAX(DQ7:DS7)</f>
        <v>144.94999999999999</v>
      </c>
      <c r="JD7" s="116">
        <f>+MAX(DT7:DV7)</f>
        <v>207.8</v>
      </c>
      <c r="JE7" s="116">
        <f>+MAX(DW7:DY7)</f>
        <v>238</v>
      </c>
      <c r="JF7" s="116">
        <f>+MAX(DZ7:EB7)</f>
        <v>216.85</v>
      </c>
      <c r="JG7" s="116">
        <f>+MAX(EC7:EE7)</f>
        <v>299.95</v>
      </c>
      <c r="JH7" s="116">
        <f>+MAX(EF7:EH7)</f>
        <v>491.5</v>
      </c>
      <c r="JI7" s="116">
        <f>+MAX(EI7:EK7)</f>
        <v>494.9</v>
      </c>
      <c r="JJ7" s="116">
        <f>+MAX(EL7:EN7)</f>
        <v>561</v>
      </c>
      <c r="JK7" s="116">
        <f>MAX(EO7:EQ7)</f>
        <v>690</v>
      </c>
      <c r="JL7" s="116">
        <f>MAX(ER7:ET7)</f>
        <v>716.75</v>
      </c>
      <c r="JM7" s="116">
        <f>MAX(EU7:EW7)</f>
        <v>739.1</v>
      </c>
      <c r="JN7" s="116">
        <f>MAX(EX7:EZ7)</f>
        <v>643.5</v>
      </c>
      <c r="JO7" s="116">
        <f>MAX(FA7:FC7)</f>
        <v>716.25</v>
      </c>
      <c r="JP7" s="116">
        <f>MAX(FD7:FF7)</f>
        <v>683</v>
      </c>
      <c r="JQ7" s="116">
        <f>MAX(FG7:FI7)</f>
        <v>626</v>
      </c>
      <c r="JR7" s="116">
        <f>MAX(FJ7:FL7)</f>
        <v>533.20000000000005</v>
      </c>
      <c r="JS7" s="116">
        <f>MAX(FM7:FO7)</f>
        <v>579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25.9</v>
      </c>
      <c r="D8" s="116" cm="1">
        <f t="array" ref="D8">_xll.EQNXTDZ($A$1,$B8,D$1)</f>
        <v>25.324999999999999</v>
      </c>
      <c r="E8" s="116" cm="1">
        <f t="array" ref="E8">_xll.EQNXTDZ($A$1,$B8,E$1)</f>
        <v>19.899999999999999</v>
      </c>
      <c r="F8" s="116" cm="1">
        <f t="array" ref="F8">_xll.EQNXTDZ($A$1,$B8,F$1)</f>
        <v>20.65</v>
      </c>
      <c r="G8" s="116" cm="1">
        <f t="array" ref="G8">_xll.EQNXTDZ($A$1,$B8,G$1)</f>
        <v>23.4</v>
      </c>
      <c r="H8" s="116" cm="1">
        <f t="array" ref="H8">_xll.EQNXTDZ($A$1,$B8,H$1)</f>
        <v>23.6</v>
      </c>
      <c r="I8" s="116" cm="1">
        <f t="array" ref="I8">_xll.EQNXTDZ($A$1,$B8,I$1)</f>
        <v>23</v>
      </c>
      <c r="J8" s="116" cm="1">
        <f t="array" ref="J8">_xll.EQNXTDZ($A$1,$B8,J$1)</f>
        <v>20.324999999999999</v>
      </c>
      <c r="K8" s="116" cm="1">
        <f t="array" ref="K8">_xll.EQNXTDZ($A$1,$B8,K$1)</f>
        <v>16.975000000000001</v>
      </c>
      <c r="L8" s="116" cm="1">
        <f t="array" ref="L8">_xll.EQNXTDZ($A$1,$B8,L$1)</f>
        <v>15.15</v>
      </c>
      <c r="M8" s="116" cm="1">
        <f t="array" ref="M8">_xll.EQNXTDZ($A$1,$B8,M$1)</f>
        <v>15.4</v>
      </c>
      <c r="N8" s="116" cm="1">
        <f t="array" ref="N8">_xll.EQNXTDZ($A$1,$B8,N$1)</f>
        <v>15.9</v>
      </c>
      <c r="O8" s="116" cm="1">
        <f t="array" ref="O8">_xll.EQNXTDZ($A$1,$B8,O$1)</f>
        <v>13.574999999999999</v>
      </c>
      <c r="P8" s="116" cm="1">
        <f t="array" ref="P8">_xll.EQNXTDZ($A$1,$B8,P$1)</f>
        <v>10.4</v>
      </c>
      <c r="Q8" s="116" cm="1">
        <f t="array" ref="Q8">_xll.EQNXTDZ($A$1,$B8,Q$1)</f>
        <v>9.1999999999999993</v>
      </c>
      <c r="R8" s="116" cm="1">
        <f t="array" ref="R8">_xll.EQNXTDZ($A$1,$B8,R$1)</f>
        <v>10.824999999999999</v>
      </c>
      <c r="S8" s="116" cm="1">
        <f t="array" ref="S8">_xll.EQNXTDZ($A$1,$B8,S$1)</f>
        <v>12.55</v>
      </c>
      <c r="T8" s="116" cm="1">
        <f t="array" ref="T8">_xll.EQNXTDZ($A$1,$B8,T$1)</f>
        <v>14.4</v>
      </c>
      <c r="U8" s="116" cm="1">
        <f t="array" ref="U8">_xll.EQNXTDZ($A$1,$B8,U$1)</f>
        <v>14.175000000000001</v>
      </c>
      <c r="V8" s="116" cm="1">
        <f t="array" ref="V8">_xll.EQNXTDZ($A$1,$B8,V$1)</f>
        <v>14.375</v>
      </c>
      <c r="W8" s="116" cm="1">
        <f t="array" ref="W8">_xll.EQNXTDZ($A$1,$B8,W$1)</f>
        <v>11.7</v>
      </c>
      <c r="X8" s="116" cm="1">
        <f t="array" ref="X8">_xll.EQNXTDZ($A$1,$B8,X$1)</f>
        <v>12.45</v>
      </c>
      <c r="Y8" s="116" cm="1">
        <f t="array" ref="Y8">_xll.EQNXTDZ($A$1,$B8,Y$1)</f>
        <v>16.649999999999999</v>
      </c>
      <c r="Z8" s="116" cm="1">
        <f t="array" ref="Z8">_xll.EQNXTDZ($A$1,$B8,Z$1)</f>
        <v>17.95</v>
      </c>
      <c r="AA8" s="116" cm="1">
        <f t="array" ref="AA8">_xll.EQNXTDZ($A$1,$B8,AA$1)</f>
        <v>30.5</v>
      </c>
      <c r="AB8" s="116" cm="1">
        <f t="array" ref="AB8">_xll.EQNXTDZ($A$1,$B8,AB$1)</f>
        <v>25.9</v>
      </c>
      <c r="AC8" s="116" cm="1">
        <f t="array" ref="AC8">_xll.EQNXTDZ($A$1,$B8,AC$1)</f>
        <v>21.574999999999999</v>
      </c>
      <c r="AD8" s="116" cm="1">
        <f t="array" ref="AD8">_xll.EQNXTDZ($A$1,$B8,AD$1)</f>
        <v>21.55</v>
      </c>
      <c r="AE8" s="116" cm="1">
        <f t="array" ref="AE8">_xll.EQNXTDZ($A$1,$B8,AE$1)</f>
        <v>22.55</v>
      </c>
      <c r="AF8" s="116" cm="1">
        <f t="array" ref="AF8">_xll.EQNXTDZ($A$1,$B8,AF$1)</f>
        <v>24</v>
      </c>
      <c r="AG8" s="116" cm="1">
        <f t="array" ref="AG8">_xll.EQNXTDZ($A$1,$B8,AG$1)</f>
        <v>22.074999999999999</v>
      </c>
      <c r="AH8" s="116" cm="1">
        <f t="array" ref="AH8">_xll.EQNXTDZ($A$1,$B8,AH$1)</f>
        <v>25</v>
      </c>
      <c r="AI8" s="116" cm="1">
        <f t="array" ref="AI8">_xll.EQNXTDZ($A$1,$B8,AI$1)</f>
        <v>23.9</v>
      </c>
      <c r="AJ8" s="116" cm="1">
        <f t="array" ref="AJ8">_xll.EQNXTDZ($A$1,$B8,AJ$1)</f>
        <v>25.225000000000001</v>
      </c>
      <c r="AK8" s="116" cm="1">
        <f t="array" ref="AK8">_xll.EQNXTDZ($A$1,$B8,AK$1)</f>
        <v>30.4</v>
      </c>
      <c r="AL8" s="116" cm="1">
        <f t="array" ref="AL8">_xll.EQNXTDZ($A$1,$B8,AL$1)</f>
        <v>30.574999999999999</v>
      </c>
      <c r="AM8" s="116" cm="1">
        <f t="array" ref="AM8">_xll.EQNXTDZ($A$1,$B8,AM$1)</f>
        <v>29.25</v>
      </c>
      <c r="AN8" s="116" cm="1">
        <f t="array" ref="AN8">_xll.EQNXTDZ($A$1,$B8,AN$1)</f>
        <v>37.5</v>
      </c>
      <c r="AO8" s="116" cm="1">
        <f t="array" ref="AO8">_xll.EQNXTDZ($A$1,$B8,AO$1)</f>
        <v>31.074999999999999</v>
      </c>
      <c r="AP8" s="116" cm="1">
        <f t="array" ref="AP8">_xll.EQNXTDZ($A$1,$B8,AP$1)</f>
        <v>31</v>
      </c>
      <c r="AQ8" s="116" cm="1">
        <f t="array" ref="AQ8">_xll.EQNXTDZ($A$1,$B8,AQ$1)</f>
        <v>35.65</v>
      </c>
      <c r="AR8" s="116" cm="1">
        <f t="array" ref="AR8">_xll.EQNXTDZ($A$1,$B8,AR$1)</f>
        <v>36.774999999999999</v>
      </c>
      <c r="AS8" s="116" cm="1">
        <f t="array" ref="AS8">_xll.EQNXTDZ($A$1,$B8,AS$1)</f>
        <v>40.200000000000003</v>
      </c>
      <c r="AT8" s="116" cm="1">
        <f t="array" ref="AT8">_xll.EQNXTDZ($A$1,$B8,AT$1)</f>
        <v>30.5</v>
      </c>
      <c r="AU8" s="116" cm="1">
        <f t="array" ref="AU8">_xll.EQNXTDZ($A$1,$B8,AU$1)</f>
        <v>21.274999999999999</v>
      </c>
      <c r="AV8" s="116" cm="1">
        <f t="array" ref="AV8">_xll.EQNXTDZ($A$1,$B8,AV$1)</f>
        <v>21.725000000000001</v>
      </c>
      <c r="AW8" s="116" cm="1">
        <f t="array" ref="AW8">_xll.EQNXTDZ($A$1,$B8,AW$1)</f>
        <v>27</v>
      </c>
      <c r="AX8" s="116" cm="1">
        <f t="array" ref="AX8">_xll.EQNXTDZ($A$1,$B8,AX$1)</f>
        <v>28.625</v>
      </c>
      <c r="AY8" s="116" cm="1">
        <f t="array" ref="AY8">_xll.EQNXTDZ($A$1,$B8,AY$1)</f>
        <v>28.5</v>
      </c>
      <c r="AZ8" s="116" cm="1">
        <f t="array" ref="AZ8">_xll.EQNXTDZ($A$1,$B8,AZ$1)</f>
        <v>29.3</v>
      </c>
      <c r="BA8" s="116" cm="1">
        <f t="array" ref="BA8">_xll.EQNXTDZ($A$1,$B8,BA$1)</f>
        <v>27.25</v>
      </c>
      <c r="BB8" s="116" cm="1">
        <f t="array" ref="BB8">_xll.EQNXTDZ($A$1,$B8,BB$1)</f>
        <v>27.5</v>
      </c>
      <c r="BC8" s="116" cm="1">
        <f t="array" ref="BC8">_xll.EQNXTDZ($A$1,$B8,BC$1)</f>
        <v>29.05</v>
      </c>
      <c r="BD8" s="116" cm="1">
        <f t="array" ref="BD8">_xll.EQNXTDZ($A$1,$B8,BD$1)</f>
        <v>22.675000000000001</v>
      </c>
      <c r="BE8" s="116" cm="1">
        <f t="array" ref="BE8">_xll.EQNXTDZ($A$1,$B8,BE$1)</f>
        <v>25.5</v>
      </c>
      <c r="BF8" s="116" cm="1">
        <f t="array" ref="BF8">_xll.EQNXTDZ($A$1,$B8,BF$1)</f>
        <v>27.85</v>
      </c>
      <c r="BG8" s="116" cm="1">
        <f t="array" ref="BG8">_xll.EQNXTDZ($A$1,$B8,BG$1)</f>
        <v>26.05</v>
      </c>
      <c r="BH8" s="116" cm="1">
        <f t="array" ref="BH8">_xll.EQNXTDZ($A$1,$B8,BH$1)</f>
        <v>25.475000000000001</v>
      </c>
      <c r="BI8" s="116" cm="1">
        <f t="array" ref="BI8">_xll.EQNXTDZ($A$1,$B8,BI$1)</f>
        <v>27.25</v>
      </c>
      <c r="BJ8" s="116" cm="1">
        <f t="array" ref="BJ8">_xll.EQNXTDZ($A$1,$B8,BJ$1)</f>
        <v>28.5</v>
      </c>
      <c r="BK8" s="116" cm="1">
        <f t="array" ref="BK8">_xll.EQNXTDZ($A$1,$B8,BK$1)</f>
        <v>27.55</v>
      </c>
      <c r="BL8" s="116" cm="1">
        <f t="array" ref="BL8">_xll.EQNXTDZ($A$1,$B8,BL$1)</f>
        <v>28.45</v>
      </c>
      <c r="BM8" s="116" cm="1">
        <f t="array" ref="BM8">_xll.EQNXTDZ($A$1,$B8,BM$1)</f>
        <v>22.5</v>
      </c>
      <c r="BN8" s="116" cm="1">
        <f t="array" ref="BN8">_xll.EQNXTDZ($A$1,$B8,BN$1)</f>
        <v>23.8</v>
      </c>
      <c r="BO8" s="116" cm="1">
        <f t="array" ref="BO8">_xll.EQNXTDZ($A$1,$B8,BO$1)</f>
        <v>27.6</v>
      </c>
      <c r="BP8" s="116" cm="1">
        <f t="array" ref="BP8">_xll.EQNXTDZ($A$1,$B8,BP$1)</f>
        <v>33</v>
      </c>
      <c r="BQ8" s="116" cm="1">
        <f t="array" ref="BQ8">_xll.EQNXTDZ($A$1,$B8,BQ$1)</f>
        <v>40.375</v>
      </c>
      <c r="BR8" s="116" cm="1">
        <f t="array" ref="BR8">_xll.EQNXTDZ($A$1,$B8,BR$1)</f>
        <v>43.3</v>
      </c>
      <c r="BS8" s="116" cm="1">
        <f t="array" ref="BS8">_xll.EQNXTDZ($A$1,$B8,BS$1)</f>
        <v>37.65</v>
      </c>
      <c r="BT8" s="116" cm="1">
        <f t="array" ref="BT8">_xll.EQNXTDZ($A$1,$B8,BT$1)</f>
        <v>34.700000000000003</v>
      </c>
      <c r="BU8" s="116" cm="1">
        <f t="array" ref="BU8">_xll.EQNXTDZ($A$1,$B8,BU$1)</f>
        <v>37.975000000000001</v>
      </c>
      <c r="BV8" s="116" cm="1">
        <f t="array" ref="BV8">_xll.EQNXTDZ($A$1,$B8,BV$1)</f>
        <v>30.25</v>
      </c>
      <c r="BW8" s="116" cm="1">
        <f t="array" ref="BW8">_xll.EQNXTDZ($A$1,$B8,BW$1)</f>
        <v>28.375</v>
      </c>
      <c r="BX8" s="116" cm="1">
        <f t="array" ref="BX8">_xll.EQNXTDZ($A$1,$B8,BX$1)</f>
        <v>27.25</v>
      </c>
      <c r="BY8" s="116" cm="1">
        <f t="array" ref="BY8">_xll.EQNXTDZ($A$1,$B8,BY$1)</f>
        <v>31</v>
      </c>
      <c r="BZ8" s="116" cm="1">
        <f t="array" ref="BZ8">_xll.EQNXTDZ($A$1,$B8,BZ$1)</f>
        <v>26.1</v>
      </c>
      <c r="CA8" s="116" cm="1">
        <f t="array" ref="CA8">_xll.EQNXTDZ($A$1,$B8,CA$1)</f>
        <v>24.15</v>
      </c>
      <c r="CB8" s="116" cm="1">
        <f t="array" ref="CB8">_xll.EQNXTDZ($A$1,$B8,CB$1)</f>
        <v>26.7</v>
      </c>
      <c r="CC8" s="116" cm="1">
        <f t="array" ref="CC8">_xll.EQNXTDZ($A$1,$B8,CC$1)</f>
        <v>26.925000000000001</v>
      </c>
      <c r="CD8" s="116" cm="1">
        <f t="array" ref="CD8">_xll.EQNXTDZ($A$1,$B8,CD$1)</f>
        <v>29.675000000000001</v>
      </c>
      <c r="CE8" s="116" cm="1">
        <f t="array" ref="CE8">_xll.EQNXTDZ($A$1,$B8,CE$1)</f>
        <v>26.15</v>
      </c>
      <c r="CF8" s="116" cm="1">
        <f t="array" ref="CF8">_xll.EQNXTDZ($A$1,$B8,CF$1)</f>
        <v>28.675000000000001</v>
      </c>
      <c r="CG8" s="116" cm="1">
        <f t="array" ref="CG8">_xll.EQNXTDZ($A$1,$B8,CG$1)</f>
        <v>28.75</v>
      </c>
      <c r="CH8" s="116" cm="1">
        <f t="array" ref="CH8">_xll.EQNXTDZ($A$1,$B8,CH$1)</f>
        <v>24</v>
      </c>
      <c r="CI8" s="116" cm="1">
        <f t="array" ref="CI8">_xll.EQNXTDZ($A$1,$B8,CI$1)</f>
        <v>22</v>
      </c>
      <c r="CJ8" s="116" cm="1">
        <f t="array" ref="CJ8">_xll.EQNXTDZ($A$1,$B8,CJ$1)</f>
        <v>14.9</v>
      </c>
      <c r="CK8" s="116" cm="1">
        <f t="array" ref="CK8">_xll.EQNXTDZ($A$1,$B8,CK$1)</f>
        <v>12.275</v>
      </c>
      <c r="CL8" s="116" cm="1">
        <f t="array" ref="CL8">_xll.EQNXTDZ($A$1,$B8,CL$1)</f>
        <v>14.775</v>
      </c>
      <c r="CM8" s="116" cm="1">
        <f t="array" ref="CM8">_xll.EQNXTDZ($A$1,$B8,CM$1)</f>
        <v>14.05</v>
      </c>
      <c r="CN8" s="116" cm="1">
        <f t="array" ref="CN8">_xll.EQNXTDZ($A$1,$B8,CN$1)</f>
        <v>16</v>
      </c>
      <c r="CO8" s="116" cm="1">
        <f t="array" ref="CO8">_xll.EQNXTDZ($A$1,$B8,CO$1)</f>
        <v>14.324999999999999</v>
      </c>
      <c r="CP8" s="116" cm="1">
        <f t="array" ref="CP8">_xll.EQNXTDZ($A$1,$B8,CP$1)</f>
        <v>16.5</v>
      </c>
      <c r="CQ8" s="116" cm="1">
        <f t="array" ref="CQ8">_xll.EQNXTDZ($A$1,$B8,CQ$1)</f>
        <v>13.55</v>
      </c>
      <c r="CR8" s="116" cm="1">
        <f t="array" ref="CR8">_xll.EQNXTDZ($A$1,$B8,CR$1)</f>
        <v>8.1</v>
      </c>
      <c r="CS8" s="116" cm="1">
        <f t="array" ref="CS8">_xll.EQNXTDZ($A$1,$B8,CS$1)</f>
        <v>8.85</v>
      </c>
      <c r="CT8" s="116" cm="1">
        <f t="array" ref="CT8">_xll.EQNXTDZ($A$1,$B8,CT$1)</f>
        <v>9.15</v>
      </c>
      <c r="CU8" s="116" cm="1">
        <f t="array" ref="CU8">_xll.EQNXTDZ($A$1,$B8,CU$1)</f>
        <v>9.625</v>
      </c>
      <c r="CV8" s="116" cm="1">
        <f t="array" ref="CV8">_xll.EQNXTDZ($A$1,$B8,CV$1)</f>
        <v>11.65</v>
      </c>
      <c r="CW8" s="116" cm="1">
        <f t="array" ref="CW8">_xll.EQNXTDZ($A$1,$B8,CW$1)</f>
        <v>12</v>
      </c>
      <c r="CX8" s="116" cm="1">
        <f t="array" ref="CX8">_xll.EQNXTDZ($A$1,$B8,CX$1)</f>
        <v>12.125</v>
      </c>
      <c r="CY8" s="116" cm="1">
        <f t="array" ref="CY8">_xll.EQNXTDZ($A$1,$B8,CY$1)</f>
        <v>11.175000000000001</v>
      </c>
      <c r="CZ8" s="116" cm="1">
        <f t="array" ref="CZ8">_xll.EQNXTDZ($A$1,$B8,CZ$1)</f>
        <v>10.725</v>
      </c>
      <c r="DA8" s="116" cm="1">
        <f t="array" ref="DA8">_xll.EQNXTDZ($A$1,$B8,DA$1)</f>
        <v>15.025</v>
      </c>
      <c r="DB8" s="116" cm="1">
        <f t="array" ref="DB8">_xll.EQNXTDZ($A$1,$B8,DB$1)</f>
        <v>20.55</v>
      </c>
      <c r="DC8" s="116" cm="1">
        <f t="array" ref="DC8">_xll.EQNXTDZ($A$1,$B8,DC$1)</f>
        <v>22.574999999999999</v>
      </c>
      <c r="DD8" s="116" cm="1">
        <f t="array" ref="DD8">_xll.EQNXTDZ($A$1,$B8,DD$1)</f>
        <v>26.774999999999999</v>
      </c>
      <c r="DE8" s="116" cm="1">
        <f t="array" ref="DE8">_xll.EQNXTDZ($A$1,$B8,DE$1)</f>
        <v>30.75</v>
      </c>
      <c r="DF8" s="116" cm="1">
        <f t="array" ref="DF8">_xll.EQNXTDZ($A$1,$B8,DF$1)</f>
        <v>42.174999999999997</v>
      </c>
      <c r="DG8" s="116" cm="1">
        <f t="array" ref="DG8">_xll.EQNXTDZ($A$1,$B8,DG$1)</f>
        <v>54.674999999999997</v>
      </c>
      <c r="DH8" s="116" cm="1">
        <f t="array" ref="DH8">_xll.EQNXTDZ($A$1,$B8,DH$1)</f>
        <v>62.05</v>
      </c>
      <c r="DI8" s="116" cm="1">
        <f t="array" ref="DI8">_xll.EQNXTDZ($A$1,$B8,DI$1)</f>
        <v>68.3</v>
      </c>
      <c r="DJ8" s="116" cm="1">
        <f t="array" ref="DJ8">_xll.EQNXTDZ($A$1,$B8,DJ$1)</f>
        <v>79.05</v>
      </c>
      <c r="DK8" s="116" cm="1">
        <f t="array" ref="DK8">_xll.EQNXTDZ($A$1,$B8,DK$1)</f>
        <v>71.125</v>
      </c>
      <c r="DL8" s="116" cm="1">
        <f t="array" ref="DL8">_xll.EQNXTDZ($A$1,$B8,DL$1)</f>
        <v>81.25</v>
      </c>
      <c r="DM8" s="116" cm="1">
        <f t="array" ref="DM8">_xll.EQNXTDZ($A$1,$B8,DM$1)</f>
        <v>81.8</v>
      </c>
      <c r="DN8" s="116" cm="1">
        <f t="array" ref="DN8">_xll.EQNXTDZ($A$1,$B8,DN$1)</f>
        <v>83</v>
      </c>
      <c r="DO8" s="116" cm="1">
        <f t="array" ref="DO8">_xll.EQNXTDZ($A$1,$B8,DO$1)</f>
        <v>64.025000000000006</v>
      </c>
      <c r="DP8" s="116" cm="1">
        <f t="array" ref="DP8">_xll.EQNXTDZ($A$1,$B8,DP$1)</f>
        <v>68.375</v>
      </c>
      <c r="DQ8" s="116" cm="1">
        <f t="array" ref="DQ8">_xll.EQNXTDZ($A$1,$B8,DQ$1)</f>
        <v>71.55</v>
      </c>
      <c r="DR8" s="116" cm="1">
        <f t="array" ref="DR8">_xll.EQNXTDZ($A$1,$B8,DR$1)</f>
        <v>78.674999999999997</v>
      </c>
      <c r="DS8" s="116" cm="1">
        <f t="array" ref="DS8">_xll.EQNXTDZ($A$1,$B8,DS$1)</f>
        <v>98.625</v>
      </c>
      <c r="DT8" s="116" cm="1">
        <f t="array" ref="DT8">_xll.EQNXTDZ($A$1,$B8,DT$1)</f>
        <v>127</v>
      </c>
      <c r="DU8" s="116" cm="1">
        <f t="array" ref="DU8">_xll.EQNXTDZ($A$1,$B8,DU$1)</f>
        <v>165.97499999999999</v>
      </c>
      <c r="DV8" s="116" cm="1">
        <f t="array" ref="DV8">_xll.EQNXTDZ($A$1,$B8,DV$1)</f>
        <v>159</v>
      </c>
      <c r="DW8" s="116" cm="1">
        <f t="array" ref="DW8">_xll.EQNXTDZ($A$1,$B8,DW$1)</f>
        <v>158.69999999999999</v>
      </c>
      <c r="DX8" s="116" cm="1">
        <f t="array" ref="DX8">_xll.EQNXTDZ($A$1,$B8,DX$1)</f>
        <v>172.97499999999999</v>
      </c>
      <c r="DY8" s="116" cm="1">
        <f t="array" ref="DY8">_xll.EQNXTDZ($A$1,$B8,DY$1)</f>
        <v>167.5</v>
      </c>
      <c r="DZ8" s="116" cm="1">
        <f t="array" ref="DZ8">_xll.EQNXTDZ($A$1,$B8,DZ$1)</f>
        <v>177.22499999999999</v>
      </c>
      <c r="EA8" s="116" cm="1">
        <f t="array" ref="EA8">_xll.EQNXTDZ($A$1,$B8,EA$1)</f>
        <v>179.82499999999999</v>
      </c>
      <c r="EB8" s="116" cm="1">
        <f t="array" ref="EB8">_xll.EQNXTDZ($A$1,$B8,EB$1)</f>
        <v>174.92500000000001</v>
      </c>
      <c r="EC8" s="116" cm="1">
        <f t="array" ref="EC8">_xll.EQNXTDZ($A$1,$B8,EC$1)</f>
        <v>190.42500000000001</v>
      </c>
      <c r="ED8" s="116" cm="1">
        <f t="array" ref="ED8">_xll.EQNXTDZ($A$1,$B8,ED$1)</f>
        <v>214.5</v>
      </c>
      <c r="EE8" s="116" cm="1">
        <f t="array" ref="EE8">_xll.EQNXTDZ($A$1,$B8,EE$1)</f>
        <v>264.5</v>
      </c>
      <c r="EF8" s="116" cm="1">
        <f t="array" ref="EF8">_xll.EQNXTDZ($A$1,$B8,EF$1)</f>
        <v>293.67500000000001</v>
      </c>
      <c r="EG8" s="116" cm="1">
        <f t="array" ref="EG8">_xll.EQNXTDZ($A$1,$B8,EG$1)</f>
        <v>378</v>
      </c>
      <c r="EH8" s="116" cm="1">
        <f t="array" ref="EH8">_xll.EQNXTDZ($A$1,$B8,EH$1)</f>
        <v>346.07499999999999</v>
      </c>
      <c r="EI8" s="116" cm="1">
        <f t="array" ref="EI8">_xll.EQNXTDZ($A$1,$B8,EI$1)</f>
        <v>356.625</v>
      </c>
      <c r="EJ8" s="116" cm="1">
        <f t="array" ref="EJ8">_xll.EQNXTDZ($A$1,$B8,EJ$1)</f>
        <v>425.4</v>
      </c>
      <c r="EK8" s="116" cm="1">
        <f t="array" ref="EK8">_xll.EQNXTDZ($A$1,$B8,EK$1)</f>
        <v>428.77499999999998</v>
      </c>
      <c r="EL8" s="116" cm="1">
        <f t="array" ref="EL8">_xll.EQNXTDZ($A$1,$B8,EL$1)</f>
        <v>452.5</v>
      </c>
      <c r="EM8" s="116" cm="1">
        <f t="array" ref="EM8">_xll.EQNXTDZ($A$1,$B8,EM$1)</f>
        <v>455.5</v>
      </c>
      <c r="EN8" s="116" cm="1">
        <f t="array" ref="EN8">_xll.EQNXTDZ($A$1,$B8,EN$1)</f>
        <v>395.15</v>
      </c>
      <c r="EO8" s="116" cm="1">
        <f t="array" ref="EO8">_xll.EQNXTDZ($A$1,$B8,EO$1)</f>
        <v>477.375</v>
      </c>
      <c r="EP8" s="116" cm="1">
        <f t="array" ref="EP8">_xll.EQNXTDZ($A$1,$B8,EP$1)</f>
        <v>460.02499999999998</v>
      </c>
      <c r="EQ8" s="116" cm="1">
        <f t="array" ref="EQ8">_xll.EQNXTDZ($A$1,$B8,EQ$1)</f>
        <v>477</v>
      </c>
      <c r="ER8" s="116" cm="1">
        <f t="array" ref="ER8">_xll.EQNXTDZ($A$1,$B8,ER$1)</f>
        <v>546.02499999999998</v>
      </c>
      <c r="ES8" s="116" cm="1">
        <f t="array" ref="ES8">_xll.EQNXTDZ($A$1,$B8,ES$1)</f>
        <v>562</v>
      </c>
      <c r="ET8" s="116" cm="1">
        <f t="array" ref="ET8">_xll.EQNXTDZ($A$1,$B8,ET$1)</f>
        <v>604.20000000000005</v>
      </c>
      <c r="EU8" s="116" cm="1">
        <f t="array" ref="EU8">_xll.EQNXTDZ($A$1,$B8,EU$1)</f>
        <v>527.54999999999995</v>
      </c>
      <c r="EV8" s="116" cm="1">
        <f t="array" ref="EV8">_xll.EQNXTDZ($A$1,$B8,EV$1)</f>
        <v>530.15</v>
      </c>
      <c r="EW8" s="116" cm="1">
        <f t="array" ref="EW8">_xll.EQNXTDZ($A$1,$B8,EW$1)</f>
        <v>578.35</v>
      </c>
      <c r="EX8" s="116" cm="1">
        <f t="array" ref="EX8">_xll.EQNXTDZ($A$1,$B8,EX$1)</f>
        <v>502.05</v>
      </c>
      <c r="EY8" s="116" cm="1">
        <f t="array" ref="EY8">_xll.EQNXTDZ($A$1,$B8,EY$1)</f>
        <v>410.95</v>
      </c>
      <c r="EZ8" s="116" cm="1">
        <f t="array" ref="EZ8">_xll.EQNXTDZ($A$1,$B8,EZ$1)</f>
        <v>376.95</v>
      </c>
      <c r="FA8" s="116" cm="1">
        <f t="array" ref="FA8">_xll.EQNXTDZ($A$1,$B8,FA$1)</f>
        <v>387</v>
      </c>
      <c r="FB8" s="116" cm="1">
        <f t="array" ref="FB8">_xll.EQNXTDZ($A$1,$B8,FB$1)</f>
        <v>542.54999999999995</v>
      </c>
      <c r="FC8" s="116" cm="1">
        <f t="array" ref="FC8">_xll.EQNXTDZ($A$1,$B8,FC$1)</f>
        <v>624.1</v>
      </c>
      <c r="FD8" s="116" cm="1">
        <f t="array" ref="FD8">_xll.EQNXTDZ($A$1,$B8,FD$1)</f>
        <v>560</v>
      </c>
      <c r="FE8" s="116" cm="1">
        <f t="array" ref="FE8">_xll.EQNXTDZ($A$1,$B8,FE$1)</f>
        <v>535</v>
      </c>
      <c r="FF8" s="116" cm="1">
        <f t="array" ref="FF8">_xll.EQNXTDZ($A$1,$B8,FF$1)</f>
        <v>549.6</v>
      </c>
      <c r="FG8" s="116" cm="1">
        <f t="array" ref="FG8">_xll.EQNXTDZ($A$1,$B8,FG$1)</f>
        <v>527.9</v>
      </c>
      <c r="FH8" s="116" cm="1">
        <f t="array" ref="FH8">_xll.EQNXTDZ($A$1,$B8,FH$1)</f>
        <v>486</v>
      </c>
      <c r="FI8" s="116" cm="1">
        <f t="array" ref="FI8">_xll.EQNXTDZ($A$1,$B8,FI$1)</f>
        <v>461</v>
      </c>
      <c r="FJ8" s="116" cm="1">
        <f t="array" ref="FJ8">_xll.EQNXTDZ($A$1,$B8,FJ$1)</f>
        <v>361.5</v>
      </c>
      <c r="FK8" s="116" cm="1">
        <f t="array" ref="FK8">_xll.EQNXTDZ($A$1,$B8,FK$1)</f>
        <v>384.1</v>
      </c>
      <c r="FL8" s="116" cm="1">
        <f t="array" ref="FL8">_xll.EQNXTDZ($A$1,$B8,FL$1)</f>
        <v>352</v>
      </c>
      <c r="FM8" s="116" cm="1">
        <f t="array" ref="FM8">_xll.EQNXTDZ($A$1,$B8,FM$1)</f>
        <v>367.15</v>
      </c>
      <c r="FN8" s="116" cm="1">
        <f t="array" ref="FN8">_xll.EQNXTDZ($A$1,$B8,FN$1)</f>
        <v>469.65</v>
      </c>
      <c r="FO8" s="116" cm="1">
        <f t="array" ref="FO8">_xll.EQNXTDZ($A$1,$B8,FO$1)</f>
        <v>495.5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19.899999999999999</v>
      </c>
      <c r="HQ8" s="116">
        <f>+MIN(G8:I8)</f>
        <v>23</v>
      </c>
      <c r="HR8" s="116">
        <f>+MIN(J8:L8)</f>
        <v>15.15</v>
      </c>
      <c r="HS8" s="116">
        <f>+MIN(M8:O8)</f>
        <v>13.574999999999999</v>
      </c>
      <c r="HT8" s="116">
        <f>+MIN(P8:R8)</f>
        <v>9.1999999999999993</v>
      </c>
      <c r="HU8" s="116">
        <f>+MIN(S8:U8)</f>
        <v>12.55</v>
      </c>
      <c r="HV8" s="116">
        <f>+MIN(V8:X8)</f>
        <v>11.7</v>
      </c>
      <c r="HW8" s="116">
        <f>+MIN(Y8:AA8)</f>
        <v>16.649999999999999</v>
      </c>
      <c r="HX8" s="116">
        <f>+MIN(AB8:AD8)</f>
        <v>21.55</v>
      </c>
      <c r="HY8" s="116">
        <f>+MIN(AE8:AG8)</f>
        <v>22.074999999999999</v>
      </c>
      <c r="HZ8" s="116">
        <f>+MIN(AH8:AJ8)</f>
        <v>23.9</v>
      </c>
      <c r="IA8" s="116">
        <f>+MIN(AK8:AM8)</f>
        <v>29.25</v>
      </c>
      <c r="IB8" s="116">
        <f>+MIN(AN8:AP8)</f>
        <v>31</v>
      </c>
      <c r="IC8" s="116">
        <f>+MIN(AQ8:AS8)</f>
        <v>35.65</v>
      </c>
      <c r="ID8" s="116">
        <f>+MIN(AT8:AV8)</f>
        <v>21.274999999999999</v>
      </c>
      <c r="IE8" s="116">
        <f>+MIN(AW8:AY8)</f>
        <v>27</v>
      </c>
      <c r="IF8" s="116">
        <f>+MIN(AZ8:BB8)</f>
        <v>27.25</v>
      </c>
      <c r="IG8" s="116">
        <f>+MIN(BC8:BE8)</f>
        <v>22.675000000000001</v>
      </c>
      <c r="IH8" s="116">
        <f>+MIN(BF8:BH8)</f>
        <v>25.475000000000001</v>
      </c>
      <c r="II8" s="116">
        <f>+MIN(BI8:BK8)</f>
        <v>27.25</v>
      </c>
      <c r="IJ8" s="116">
        <f>+MIN(BL8:BN8)</f>
        <v>22.5</v>
      </c>
      <c r="IK8" s="116">
        <f>+MIN(BO8:BQ8)</f>
        <v>27.6</v>
      </c>
      <c r="IL8" s="116">
        <f>+MIN(BR8:BT8)</f>
        <v>34.700000000000003</v>
      </c>
      <c r="IM8" s="116">
        <f>+MIN(BU8:BW8)</f>
        <v>28.375</v>
      </c>
      <c r="IN8" s="116">
        <f>+MIN(BX8:BZ8)</f>
        <v>26.1</v>
      </c>
      <c r="IO8" s="116">
        <f>+MIN(CA8:CC8)</f>
        <v>24.15</v>
      </c>
      <c r="IP8" s="116">
        <f>+MIN(CD8:CF8)</f>
        <v>26.15</v>
      </c>
      <c r="IQ8" s="116">
        <f>+MIN(CG8:CI8)</f>
        <v>22</v>
      </c>
      <c r="IR8" s="116">
        <f>+MIN(CJ8:CL8)</f>
        <v>12.275</v>
      </c>
      <c r="IS8" s="116">
        <f>+MIN(CM8:CO8)</f>
        <v>14.05</v>
      </c>
      <c r="IT8" s="116">
        <f>+MIN(CP8:CR8)</f>
        <v>8.1</v>
      </c>
      <c r="IU8" s="116">
        <f>+MIN(CS8:CU8)</f>
        <v>8.85</v>
      </c>
      <c r="IV8" s="116">
        <f>+MIN(CV8:CX8)</f>
        <v>11.65</v>
      </c>
      <c r="IW8" s="116">
        <f>+MIN(CY8:DA8)</f>
        <v>10.725</v>
      </c>
      <c r="IX8" s="116">
        <f>+MIN(DB8:DD8)</f>
        <v>20.55</v>
      </c>
      <c r="IY8" s="116">
        <f>+MIN(DE8:DG8)</f>
        <v>30.75</v>
      </c>
      <c r="IZ8" s="116">
        <f>+MIN(DH8:DJ8)</f>
        <v>62.05</v>
      </c>
      <c r="JA8" s="116">
        <f>+MIN(DK8:DM8)</f>
        <v>71.125</v>
      </c>
      <c r="JB8" s="116">
        <f>+MIN(DN8:DP8)</f>
        <v>64.025000000000006</v>
      </c>
      <c r="JC8" s="116">
        <f>+MIN(DQ8:DS8)</f>
        <v>71.55</v>
      </c>
      <c r="JD8" s="116">
        <f>+MIN(DT8:DV8)</f>
        <v>127</v>
      </c>
      <c r="JE8" s="116">
        <f>+MIN(DW8:DY8)</f>
        <v>158.69999999999999</v>
      </c>
      <c r="JF8" s="116">
        <f>+MIN(DZ8:EB8)</f>
        <v>174.92500000000001</v>
      </c>
      <c r="JG8" s="116">
        <f>+MIN(EC8:EE8)</f>
        <v>190.42500000000001</v>
      </c>
      <c r="JH8" s="116">
        <f>+MIN(EF8:EH8)</f>
        <v>293.67500000000001</v>
      </c>
      <c r="JI8" s="116">
        <f>+MIN(EI8:EK8)</f>
        <v>356.625</v>
      </c>
      <c r="JJ8" s="116">
        <f>+MIN(EL8:EN8)</f>
        <v>395.15</v>
      </c>
      <c r="JK8" s="116">
        <f>MIN(EO8:EQ8)</f>
        <v>460.02499999999998</v>
      </c>
      <c r="JL8" s="116">
        <f>MIN(ER8:ET8)</f>
        <v>546.02499999999998</v>
      </c>
      <c r="JM8" s="116">
        <f>MIN(EU8:EW8)</f>
        <v>527.54999999999995</v>
      </c>
      <c r="JN8" s="116">
        <f>MIN(EX8:EZ8)</f>
        <v>376.95</v>
      </c>
      <c r="JO8" s="116">
        <f>MIN(FA8:FC8)</f>
        <v>387</v>
      </c>
      <c r="JP8" s="116">
        <f>MIN(FD8:FF8)</f>
        <v>535</v>
      </c>
      <c r="JQ8" s="116">
        <f>MIN(FG8:FI8)</f>
        <v>461</v>
      </c>
      <c r="JR8" s="116">
        <f>MIN(FJ8:FL8)</f>
        <v>352</v>
      </c>
      <c r="JS8" s="116">
        <f>MIN(FM8:FO8)</f>
        <v>367.15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26.8</v>
      </c>
      <c r="D9" s="116" cm="1">
        <f t="array" ref="D9">_xll.EQNXTDZ($A$1,$B9,D$1)</f>
        <v>26.15</v>
      </c>
      <c r="E9" s="116" cm="1">
        <f t="array" ref="E9">_xll.EQNXTDZ($A$1,$B9,E$1)</f>
        <v>20.95</v>
      </c>
      <c r="F9" s="116" cm="1">
        <f t="array" ref="F9">_xll.EQNXTDZ($A$1,$B9,F$1)</f>
        <v>24.725000000000001</v>
      </c>
      <c r="G9" s="116" cm="1">
        <f t="array" ref="G9">_xll.EQNXTDZ($A$1,$B9,G$1)</f>
        <v>23.675000000000001</v>
      </c>
      <c r="H9" s="116" cm="1">
        <f t="array" ref="H9">_xll.EQNXTDZ($A$1,$B9,H$1)</f>
        <v>23.925000000000001</v>
      </c>
      <c r="I9" s="116" cm="1">
        <f t="array" ref="I9">_xll.EQNXTDZ($A$1,$B9,I$1)</f>
        <v>23.425000000000001</v>
      </c>
      <c r="J9" s="116" cm="1">
        <f t="array" ref="J9">_xll.EQNXTDZ($A$1,$B9,J$1)</f>
        <v>20.675000000000001</v>
      </c>
      <c r="K9" s="116" cm="1">
        <f t="array" ref="K9">_xll.EQNXTDZ($A$1,$B9,K$1)</f>
        <v>17.149999999999999</v>
      </c>
      <c r="L9" s="116" cm="1">
        <f t="array" ref="L9">_xll.EQNXTDZ($A$1,$B9,L$1)</f>
        <v>15.375</v>
      </c>
      <c r="M9" s="116" cm="1">
        <f t="array" ref="M9">_xll.EQNXTDZ($A$1,$B9,M$1)</f>
        <v>16.774999999999999</v>
      </c>
      <c r="N9" s="116" cm="1">
        <f t="array" ref="N9">_xll.EQNXTDZ($A$1,$B9,N$1)</f>
        <v>16</v>
      </c>
      <c r="O9" s="116" cm="1">
        <f t="array" ref="O9">_xll.EQNXTDZ($A$1,$B9,O$1)</f>
        <v>14.025</v>
      </c>
      <c r="P9" s="116" cm="1">
        <f t="array" ref="P9">_xll.EQNXTDZ($A$1,$B9,P$1)</f>
        <v>10.875</v>
      </c>
      <c r="Q9" s="116" cm="1">
        <f t="array" ref="Q9">_xll.EQNXTDZ($A$1,$B9,Q$1)</f>
        <v>11.275</v>
      </c>
      <c r="R9" s="116" cm="1">
        <f t="array" ref="R9">_xll.EQNXTDZ($A$1,$B9,R$1)</f>
        <v>13.3</v>
      </c>
      <c r="S9" s="116" cm="1">
        <f t="array" ref="S9">_xll.EQNXTDZ($A$1,$B9,S$1)</f>
        <v>15.55</v>
      </c>
      <c r="T9" s="116" cm="1">
        <f t="array" ref="T9">_xll.EQNXTDZ($A$1,$B9,T$1)</f>
        <v>14.95</v>
      </c>
      <c r="U9" s="116" cm="1">
        <f t="array" ref="U9">_xll.EQNXTDZ($A$1,$B9,U$1)</f>
        <v>16.2</v>
      </c>
      <c r="V9" s="116" cm="1">
        <f t="array" ref="V9">_xll.EQNXTDZ($A$1,$B9,V$1)</f>
        <v>15</v>
      </c>
      <c r="W9" s="116" cm="1">
        <f t="array" ref="W9">_xll.EQNXTDZ($A$1,$B9,W$1)</f>
        <v>14.15</v>
      </c>
      <c r="X9" s="116" cm="1">
        <f t="array" ref="X9">_xll.EQNXTDZ($A$1,$B9,X$1)</f>
        <v>16.875</v>
      </c>
      <c r="Y9" s="116" cm="1">
        <f t="array" ref="Y9">_xll.EQNXTDZ($A$1,$B9,Y$1)</f>
        <v>18.675000000000001</v>
      </c>
      <c r="Z9" s="116" cm="1">
        <f t="array" ref="Z9">_xll.EQNXTDZ($A$1,$B9,Z$1)</f>
        <v>33.225000000000001</v>
      </c>
      <c r="AA9" s="116" cm="1">
        <f t="array" ref="AA9">_xll.EQNXTDZ($A$1,$B9,AA$1)</f>
        <v>32.35</v>
      </c>
      <c r="AB9" s="116" cm="1">
        <f t="array" ref="AB9">_xll.EQNXTDZ($A$1,$B9,AB$1)</f>
        <v>28.324999999999999</v>
      </c>
      <c r="AC9" s="116" cm="1">
        <f t="array" ref="AC9">_xll.EQNXTDZ($A$1,$B9,AC$1)</f>
        <v>21.975000000000001</v>
      </c>
      <c r="AD9" s="116" cm="1">
        <f t="array" ref="AD9">_xll.EQNXTDZ($A$1,$B9,AD$1)</f>
        <v>23.375</v>
      </c>
      <c r="AE9" s="116" cm="1">
        <f t="array" ref="AE9">_xll.EQNXTDZ($A$1,$B9,AE$1)</f>
        <v>26.7</v>
      </c>
      <c r="AF9" s="116" cm="1">
        <f t="array" ref="AF9">_xll.EQNXTDZ($A$1,$B9,AF$1)</f>
        <v>25.9</v>
      </c>
      <c r="AG9" s="116" cm="1">
        <f t="array" ref="AG9">_xll.EQNXTDZ($A$1,$B9,AG$1)</f>
        <v>26.35</v>
      </c>
      <c r="AH9" s="116" cm="1">
        <f t="array" ref="AH9">_xll.EQNXTDZ($A$1,$B9,AH$1)</f>
        <v>25.65</v>
      </c>
      <c r="AI9" s="116" cm="1">
        <f t="array" ref="AI9">_xll.EQNXTDZ($A$1,$B9,AI$1)</f>
        <v>26.2</v>
      </c>
      <c r="AJ9" s="116" cm="1">
        <f t="array" ref="AJ9">_xll.EQNXTDZ($A$1,$B9,AJ$1)</f>
        <v>33.325000000000003</v>
      </c>
      <c r="AK9" s="116" cm="1">
        <f t="array" ref="AK9">_xll.EQNXTDZ($A$1,$B9,AK$1)</f>
        <v>34.15</v>
      </c>
      <c r="AL9" s="116" cm="1">
        <f t="array" ref="AL9">_xll.EQNXTDZ($A$1,$B9,AL$1)</f>
        <v>33.25</v>
      </c>
      <c r="AM9" s="116" cm="1">
        <f t="array" ref="AM9">_xll.EQNXTDZ($A$1,$B9,AM$1)</f>
        <v>39.725000000000001</v>
      </c>
      <c r="AN9" s="116" cm="1">
        <f t="array" ref="AN9">_xll.EQNXTDZ($A$1,$B9,AN$1)</f>
        <v>43.725000000000001</v>
      </c>
      <c r="AO9" s="116" cm="1">
        <f t="array" ref="AO9">_xll.EQNXTDZ($A$1,$B9,AO$1)</f>
        <v>34.75</v>
      </c>
      <c r="AP9" s="116" cm="1">
        <f t="array" ref="AP9">_xll.EQNXTDZ($A$1,$B9,AP$1)</f>
        <v>35.875</v>
      </c>
      <c r="AQ9" s="116" cm="1">
        <f t="array" ref="AQ9">_xll.EQNXTDZ($A$1,$B9,AQ$1)</f>
        <v>38.5</v>
      </c>
      <c r="AR9" s="116" cm="1">
        <f t="array" ref="AR9">_xll.EQNXTDZ($A$1,$B9,AR$1)</f>
        <v>43.475000000000001</v>
      </c>
      <c r="AS9" s="116" cm="1">
        <f t="array" ref="AS9">_xll.EQNXTDZ($A$1,$B9,AS$1)</f>
        <v>42.1</v>
      </c>
      <c r="AT9" s="116" cm="1">
        <f t="array" ref="AT9">_xll.EQNXTDZ($A$1,$B9,AT$1)</f>
        <v>32.65</v>
      </c>
      <c r="AU9" s="116" cm="1">
        <f t="array" ref="AU9">_xll.EQNXTDZ($A$1,$B9,AU$1)</f>
        <v>21.475000000000001</v>
      </c>
      <c r="AV9" s="116" cm="1">
        <f t="array" ref="AV9">_xll.EQNXTDZ($A$1,$B9,AV$1)</f>
        <v>27.3</v>
      </c>
      <c r="AW9" s="116" cm="1">
        <f t="array" ref="AW9">_xll.EQNXTDZ($A$1,$B9,AW$1)</f>
        <v>31.175000000000001</v>
      </c>
      <c r="AX9" s="116" cm="1">
        <f t="array" ref="AX9">_xll.EQNXTDZ($A$1,$B9,AX$1)</f>
        <v>29</v>
      </c>
      <c r="AY9" s="116" cm="1">
        <f t="array" ref="AY9">_xll.EQNXTDZ($A$1,$B9,AY$1)</f>
        <v>32.35</v>
      </c>
      <c r="AZ9" s="116" cm="1">
        <f t="array" ref="AZ9">_xll.EQNXTDZ($A$1,$B9,AZ$1)</f>
        <v>29.75</v>
      </c>
      <c r="BA9" s="116" cm="1">
        <f t="array" ref="BA9">_xll.EQNXTDZ($A$1,$B9,BA$1)</f>
        <v>28.65</v>
      </c>
      <c r="BB9" s="116" cm="1">
        <f t="array" ref="BB9">_xll.EQNXTDZ($A$1,$B9,BB$1)</f>
        <v>28.975000000000001</v>
      </c>
      <c r="BC9" s="116" cm="1">
        <f t="array" ref="BC9">_xll.EQNXTDZ($A$1,$B9,BC$1)</f>
        <v>33.424999999999997</v>
      </c>
      <c r="BD9" s="116" cm="1">
        <f t="array" ref="BD9">_xll.EQNXTDZ($A$1,$B9,BD$1)</f>
        <v>26.15</v>
      </c>
      <c r="BE9" s="116" cm="1">
        <f t="array" ref="BE9">_xll.EQNXTDZ($A$1,$B9,BE$1)</f>
        <v>28.45</v>
      </c>
      <c r="BF9" s="116" cm="1">
        <f t="array" ref="BF9">_xll.EQNXTDZ($A$1,$B9,BF$1)</f>
        <v>28.074999999999999</v>
      </c>
      <c r="BG9" s="116" cm="1">
        <f t="array" ref="BG9">_xll.EQNXTDZ($A$1,$B9,BG$1)</f>
        <v>26.824999999999999</v>
      </c>
      <c r="BH9" s="116" cm="1">
        <f t="array" ref="BH9">_xll.EQNXTDZ($A$1,$B9,BH$1)</f>
        <v>26.375</v>
      </c>
      <c r="BI9" s="116" cm="1">
        <f t="array" ref="BI9">_xll.EQNXTDZ($A$1,$B9,BI$1)</f>
        <v>30.324999999999999</v>
      </c>
      <c r="BJ9" s="116" cm="1">
        <f t="array" ref="BJ9">_xll.EQNXTDZ($A$1,$B9,BJ$1)</f>
        <v>32</v>
      </c>
      <c r="BK9" s="116" cm="1">
        <f t="array" ref="BK9">_xll.EQNXTDZ($A$1,$B9,BK$1)</f>
        <v>28.524999999999999</v>
      </c>
      <c r="BL9" s="116" cm="1">
        <f t="array" ref="BL9">_xll.EQNXTDZ($A$1,$B9,BL$1)</f>
        <v>31.625</v>
      </c>
      <c r="BM9" s="116" cm="1">
        <f t="array" ref="BM9">_xll.EQNXTDZ($A$1,$B9,BM$1)</f>
        <v>24.324999999999999</v>
      </c>
      <c r="BN9" s="116" cm="1">
        <f t="array" ref="BN9">_xll.EQNXTDZ($A$1,$B9,BN$1)</f>
        <v>28.8</v>
      </c>
      <c r="BO9" s="116" cm="1">
        <f t="array" ref="BO9">_xll.EQNXTDZ($A$1,$B9,BO$1)</f>
        <v>37.35</v>
      </c>
      <c r="BP9" s="116" cm="1">
        <f t="array" ref="BP9">_xll.EQNXTDZ($A$1,$B9,BP$1)</f>
        <v>40.024999999999999</v>
      </c>
      <c r="BQ9" s="116" cm="1">
        <f t="array" ref="BQ9">_xll.EQNXTDZ($A$1,$B9,BQ$1)</f>
        <v>51.45</v>
      </c>
      <c r="BR9" s="116" cm="1">
        <f t="array" ref="BR9">_xll.EQNXTDZ($A$1,$B9,BR$1)</f>
        <v>45</v>
      </c>
      <c r="BS9" s="116" cm="1">
        <f t="array" ref="BS9">_xll.EQNXTDZ($A$1,$B9,BS$1)</f>
        <v>44.25</v>
      </c>
      <c r="BT9" s="116" cm="1">
        <f t="array" ref="BT9">_xll.EQNXTDZ($A$1,$B9,BT$1)</f>
        <v>38.799999999999997</v>
      </c>
      <c r="BU9" s="116" cm="1">
        <f t="array" ref="BU9">_xll.EQNXTDZ($A$1,$B9,BU$1)</f>
        <v>41.875</v>
      </c>
      <c r="BV9" s="116" cm="1">
        <f t="array" ref="BV9">_xll.EQNXTDZ($A$1,$B9,BV$1)</f>
        <v>34.4</v>
      </c>
      <c r="BW9" s="116" cm="1">
        <f t="array" ref="BW9">_xll.EQNXTDZ($A$1,$B9,BW$1)</f>
        <v>28.8</v>
      </c>
      <c r="BX9" s="116" cm="1">
        <f t="array" ref="BX9">_xll.EQNXTDZ($A$1,$B9,BX$1)</f>
        <v>31.824999999999999</v>
      </c>
      <c r="BY9" s="116" cm="1">
        <f t="array" ref="BY9">_xll.EQNXTDZ($A$1,$B9,BY$1)</f>
        <v>32.125</v>
      </c>
      <c r="BZ9" s="116" cm="1">
        <f t="array" ref="BZ9">_xll.EQNXTDZ($A$1,$B9,BZ$1)</f>
        <v>26.8</v>
      </c>
      <c r="CA9" s="116" cm="1">
        <f t="array" ref="CA9">_xll.EQNXTDZ($A$1,$B9,CA$1)</f>
        <v>27.175000000000001</v>
      </c>
      <c r="CB9" s="116" cm="1">
        <f t="array" ref="CB9">_xll.EQNXTDZ($A$1,$B9,CB$1)</f>
        <v>28.824999999999999</v>
      </c>
      <c r="CC9" s="116" cm="1">
        <f t="array" ref="CC9">_xll.EQNXTDZ($A$1,$B9,CC$1)</f>
        <v>35.049999999999997</v>
      </c>
      <c r="CD9" s="116" cm="1">
        <f t="array" ref="CD9">_xll.EQNXTDZ($A$1,$B9,CD$1)</f>
        <v>32.9</v>
      </c>
      <c r="CE9" s="116" cm="1">
        <f t="array" ref="CE9">_xll.EQNXTDZ($A$1,$B9,CE$1)</f>
        <v>28.75</v>
      </c>
      <c r="CF9" s="116" cm="1">
        <f t="array" ref="CF9">_xll.EQNXTDZ($A$1,$B9,CF$1)</f>
        <v>31.5</v>
      </c>
      <c r="CG9" s="116" cm="1">
        <f t="array" ref="CG9">_xll.EQNXTDZ($A$1,$B9,CG$1)</f>
        <v>29.05</v>
      </c>
      <c r="CH9" s="116" cm="1">
        <f t="array" ref="CH9">_xll.EQNXTDZ($A$1,$B9,CH$1)</f>
        <v>26.574999999999999</v>
      </c>
      <c r="CI9" s="116" cm="1">
        <f t="array" ref="CI9">_xll.EQNXTDZ($A$1,$B9,CI$1)</f>
        <v>23.15</v>
      </c>
      <c r="CJ9" s="116" cm="1">
        <f t="array" ref="CJ9">_xll.EQNXTDZ($A$1,$B9,CJ$1)</f>
        <v>15.525</v>
      </c>
      <c r="CK9" s="116" cm="1">
        <f t="array" ref="CK9">_xll.EQNXTDZ($A$1,$B9,CK$1)</f>
        <v>14.95</v>
      </c>
      <c r="CL9" s="116" cm="1">
        <f t="array" ref="CL9">_xll.EQNXTDZ($A$1,$B9,CL$1)</f>
        <v>16.95</v>
      </c>
      <c r="CM9" s="116" cm="1">
        <f t="array" ref="CM9">_xll.EQNXTDZ($A$1,$B9,CM$1)</f>
        <v>16.875</v>
      </c>
      <c r="CN9" s="116" cm="1">
        <f t="array" ref="CN9">_xll.EQNXTDZ($A$1,$B9,CN$1)</f>
        <v>17.2</v>
      </c>
      <c r="CO9" s="116" cm="1">
        <f t="array" ref="CO9">_xll.EQNXTDZ($A$1,$B9,CO$1)</f>
        <v>18.350000000000001</v>
      </c>
      <c r="CP9" s="116" cm="1">
        <f t="array" ref="CP9">_xll.EQNXTDZ($A$1,$B9,CP$1)</f>
        <v>20.024999999999999</v>
      </c>
      <c r="CQ9" s="116" cm="1">
        <f t="array" ref="CQ9">_xll.EQNXTDZ($A$1,$B9,CQ$1)</f>
        <v>14.3</v>
      </c>
      <c r="CR9" s="116" cm="1">
        <f t="array" ref="CR9">_xll.EQNXTDZ($A$1,$B9,CR$1)</f>
        <v>9.4749999999999996</v>
      </c>
      <c r="CS9" s="116" cm="1">
        <f t="array" ref="CS9">_xll.EQNXTDZ($A$1,$B9,CS$1)</f>
        <v>10.9</v>
      </c>
      <c r="CT9" s="116" cm="1">
        <f t="array" ref="CT9">_xll.EQNXTDZ($A$1,$B9,CT$1)</f>
        <v>9.6750000000000007</v>
      </c>
      <c r="CU9" s="116" cm="1">
        <f t="array" ref="CU9">_xll.EQNXTDZ($A$1,$B9,CU$1)</f>
        <v>13.05</v>
      </c>
      <c r="CV9" s="116" cm="1">
        <f t="array" ref="CV9">_xll.EQNXTDZ($A$1,$B9,CV$1)</f>
        <v>12.324999999999999</v>
      </c>
      <c r="CW9" s="116" cm="1">
        <f t="array" ref="CW9">_xll.EQNXTDZ($A$1,$B9,CW$1)</f>
        <v>14.95</v>
      </c>
      <c r="CX9" s="116" cm="1">
        <f t="array" ref="CX9">_xll.EQNXTDZ($A$1,$B9,CX$1)</f>
        <v>12.75</v>
      </c>
      <c r="CY9" s="116" cm="1">
        <f t="array" ref="CY9">_xll.EQNXTDZ($A$1,$B9,CY$1)</f>
        <v>11.3</v>
      </c>
      <c r="CZ9" s="116" cm="1">
        <f t="array" ref="CZ9">_xll.EQNXTDZ($A$1,$B9,CZ$1)</f>
        <v>17.925000000000001</v>
      </c>
      <c r="DA9" s="116" cm="1">
        <f t="array" ref="DA9">_xll.EQNXTDZ($A$1,$B9,DA$1)</f>
        <v>21.3</v>
      </c>
      <c r="DB9" s="116" cm="1">
        <f t="array" ref="DB9">_xll.EQNXTDZ($A$1,$B9,DB$1)</f>
        <v>22.9</v>
      </c>
      <c r="DC9" s="116" cm="1">
        <f t="array" ref="DC9">_xll.EQNXTDZ($A$1,$B9,DC$1)</f>
        <v>28.5</v>
      </c>
      <c r="DD9" s="116" cm="1">
        <f t="array" ref="DD9">_xll.EQNXTDZ($A$1,$B9,DD$1)</f>
        <v>31.75</v>
      </c>
      <c r="DE9" s="116" cm="1">
        <f t="array" ref="DE9">_xll.EQNXTDZ($A$1,$B9,DE$1)</f>
        <v>45.924999999999997</v>
      </c>
      <c r="DF9" s="116" cm="1">
        <f t="array" ref="DF9">_xll.EQNXTDZ($A$1,$B9,DF$1)</f>
        <v>58.75</v>
      </c>
      <c r="DG9" s="116" cm="1">
        <f t="array" ref="DG9">_xll.EQNXTDZ($A$1,$B9,DG$1)</f>
        <v>68.400000000000006</v>
      </c>
      <c r="DH9" s="116" cm="1">
        <f t="array" ref="DH9">_xll.EQNXTDZ($A$1,$B9,DH$1)</f>
        <v>68.95</v>
      </c>
      <c r="DI9" s="116" cm="1">
        <f t="array" ref="DI9">_xll.EQNXTDZ($A$1,$B9,DI$1)</f>
        <v>82.25</v>
      </c>
      <c r="DJ9" s="116" cm="1">
        <f t="array" ref="DJ9">_xll.EQNXTDZ($A$1,$B9,DJ$1)</f>
        <v>83.8</v>
      </c>
      <c r="DK9" s="116" cm="1">
        <f t="array" ref="DK9">_xll.EQNXTDZ($A$1,$B9,DK$1)</f>
        <v>85.8</v>
      </c>
      <c r="DL9" s="116" cm="1">
        <f t="array" ref="DL9">_xll.EQNXTDZ($A$1,$B9,DL$1)</f>
        <v>103.47499999999999</v>
      </c>
      <c r="DM9" s="116" cm="1">
        <f t="array" ref="DM9">_xll.EQNXTDZ($A$1,$B9,DM$1)</f>
        <v>92.15</v>
      </c>
      <c r="DN9" s="116" cm="1">
        <f t="array" ref="DN9">_xll.EQNXTDZ($A$1,$B9,DN$1)</f>
        <v>89.1</v>
      </c>
      <c r="DO9" s="116" cm="1">
        <f t="array" ref="DO9">_xll.EQNXTDZ($A$1,$B9,DO$1)</f>
        <v>74.2</v>
      </c>
      <c r="DP9" s="116" cm="1">
        <f t="array" ref="DP9">_xll.EQNXTDZ($A$1,$B9,DP$1)</f>
        <v>71.900000000000006</v>
      </c>
      <c r="DQ9" s="116" cm="1">
        <f t="array" ref="DQ9">_xll.EQNXTDZ($A$1,$B9,DQ$1)</f>
        <v>94.1</v>
      </c>
      <c r="DR9" s="116" cm="1">
        <f t="array" ref="DR9">_xll.EQNXTDZ($A$1,$B9,DR$1)</f>
        <v>98.3</v>
      </c>
      <c r="DS9" s="116" cm="1">
        <f t="array" ref="DS9">_xll.EQNXTDZ($A$1,$B9,DS$1)</f>
        <v>130.57499999999999</v>
      </c>
      <c r="DT9" s="116" cm="1">
        <f t="array" ref="DT9">_xll.EQNXTDZ($A$1,$B9,DT$1)</f>
        <v>181.1</v>
      </c>
      <c r="DU9" s="116" cm="1">
        <f t="array" ref="DU9">_xll.EQNXTDZ($A$1,$B9,DU$1)</f>
        <v>187.67500000000001</v>
      </c>
      <c r="DV9" s="116" cm="1">
        <f t="array" ref="DV9">_xll.EQNXTDZ($A$1,$B9,DV$1)</f>
        <v>170.95</v>
      </c>
      <c r="DW9" s="116" cm="1">
        <f t="array" ref="DW9">_xll.EQNXTDZ($A$1,$B9,DW$1)</f>
        <v>188.55</v>
      </c>
      <c r="DX9" s="116" cm="1">
        <f t="array" ref="DX9">_xll.EQNXTDZ($A$1,$B9,DX$1)</f>
        <v>229.45</v>
      </c>
      <c r="DY9" s="116" cm="1">
        <f t="array" ref="DY9">_xll.EQNXTDZ($A$1,$B9,DY$1)</f>
        <v>182.3</v>
      </c>
      <c r="DZ9" s="116" cm="1">
        <f t="array" ref="DZ9">_xll.EQNXTDZ($A$1,$B9,DZ$1)</f>
        <v>193.3</v>
      </c>
      <c r="EA9" s="116" cm="1">
        <f t="array" ref="EA9">_xll.EQNXTDZ($A$1,$B9,EA$1)</f>
        <v>197.17500000000001</v>
      </c>
      <c r="EB9" s="116" cm="1">
        <f t="array" ref="EB9">_xll.EQNXTDZ($A$1,$B9,EB$1)</f>
        <v>191.07499999999999</v>
      </c>
      <c r="EC9" s="116" cm="1">
        <f t="array" ref="EC9">_xll.EQNXTDZ($A$1,$B9,EC$1)</f>
        <v>217.07499999999999</v>
      </c>
      <c r="ED9" s="116" cm="1">
        <f t="array" ref="ED9">_xll.EQNXTDZ($A$1,$B9,ED$1)</f>
        <v>264.39999999999998</v>
      </c>
      <c r="EE9" s="116" cm="1">
        <f t="array" ref="EE9">_xll.EQNXTDZ($A$1,$B9,EE$1)</f>
        <v>292.17500000000001</v>
      </c>
      <c r="EF9" s="116" cm="1">
        <f t="array" ref="EF9">_xll.EQNXTDZ($A$1,$B9,EF$1)</f>
        <v>378.8</v>
      </c>
      <c r="EG9" s="116" cm="1">
        <f t="array" ref="EG9">_xll.EQNXTDZ($A$1,$B9,EG$1)</f>
        <v>441.5</v>
      </c>
      <c r="EH9" s="116" cm="1">
        <f t="array" ref="EH9">_xll.EQNXTDZ($A$1,$B9,EH$1)</f>
        <v>386.67500000000001</v>
      </c>
      <c r="EI9" s="116" cm="1">
        <f t="array" ref="EI9">_xll.EQNXTDZ($A$1,$B9,EI$1)</f>
        <v>422</v>
      </c>
      <c r="EJ9" s="116" cm="1">
        <f t="array" ref="EJ9">_xll.EQNXTDZ($A$1,$B9,EJ$1)</f>
        <v>471.45</v>
      </c>
      <c r="EK9" s="116" cm="1">
        <f t="array" ref="EK9">_xll.EQNXTDZ($A$1,$B9,EK$1)</f>
        <v>463.47500000000002</v>
      </c>
      <c r="EL9" s="116" cm="1">
        <f t="array" ref="EL9">_xll.EQNXTDZ($A$1,$B9,EL$1)</f>
        <v>550.29999999999995</v>
      </c>
      <c r="EM9" s="116" cm="1">
        <f t="array" ref="EM9">_xll.EQNXTDZ($A$1,$B9,EM$1)</f>
        <v>501.07499999999999</v>
      </c>
      <c r="EN9" s="116" cm="1">
        <f t="array" ref="EN9">_xll.EQNXTDZ($A$1,$B9,EN$1)</f>
        <v>474.375</v>
      </c>
      <c r="EO9" s="116" cm="1">
        <f t="array" ref="EO9">_xll.EQNXTDZ($A$1,$B9,EO$1)</f>
        <v>567.17499999999995</v>
      </c>
      <c r="EP9" s="116" cm="1">
        <f t="array" ref="EP9">_xll.EQNXTDZ($A$1,$B9,EP$1)</f>
        <v>554.54999999999995</v>
      </c>
      <c r="EQ9" s="116" cm="1">
        <f t="array" ref="EQ9">_xll.EQNXTDZ($A$1,$B9,EQ$1)</f>
        <v>661.05</v>
      </c>
      <c r="ER9" s="116" cm="1">
        <f t="array" ref="ER9">_xll.EQNXTDZ($A$1,$B9,ER$1)</f>
        <v>630.1</v>
      </c>
      <c r="ES9" s="116" cm="1">
        <f t="array" ref="ES9">_xll.EQNXTDZ($A$1,$B9,ES$1)</f>
        <v>621.45000000000005</v>
      </c>
      <c r="ET9" s="116" cm="1">
        <f t="array" ref="ET9">_xll.EQNXTDZ($A$1,$B9,ET$1)</f>
        <v>700.05</v>
      </c>
      <c r="EU9" s="116" cm="1">
        <f t="array" ref="EU9">_xll.EQNXTDZ($A$1,$B9,EU$1)</f>
        <v>574.70000000000005</v>
      </c>
      <c r="EV9" s="116" cm="1">
        <f t="array" ref="EV9">_xll.EQNXTDZ($A$1,$B9,EV$1)</f>
        <v>584.75</v>
      </c>
      <c r="EW9" s="116" cm="1">
        <f t="array" ref="EW9">_xll.EQNXTDZ($A$1,$B9,EW$1)</f>
        <v>634.5</v>
      </c>
      <c r="EX9" s="116" cm="1">
        <f t="array" ref="EX9">_xll.EQNXTDZ($A$1,$B9,EX$1)</f>
        <v>532.4</v>
      </c>
      <c r="EY9" s="116" cm="1">
        <f t="array" ref="EY9">_xll.EQNXTDZ($A$1,$B9,EY$1)</f>
        <v>414.2</v>
      </c>
      <c r="EZ9" s="116" cm="1">
        <f t="array" ref="EZ9">_xll.EQNXTDZ($A$1,$B9,EZ$1)</f>
        <v>449.15</v>
      </c>
      <c r="FA9" s="116" cm="1">
        <f t="array" ref="FA9">_xll.EQNXTDZ($A$1,$B9,FA$1)</f>
        <v>544.85</v>
      </c>
      <c r="FB9" s="116" cm="1">
        <f t="array" ref="FB9">_xll.EQNXTDZ($A$1,$B9,FB$1)</f>
        <v>664</v>
      </c>
      <c r="FC9" s="116" cm="1">
        <f t="array" ref="FC9">_xll.EQNXTDZ($A$1,$B9,FC$1)</f>
        <v>654.70000000000005</v>
      </c>
      <c r="FD9" s="116" cm="1">
        <f t="array" ref="FD9">_xll.EQNXTDZ($A$1,$B9,FD$1)</f>
        <v>570.25</v>
      </c>
      <c r="FE9" s="116" cm="1">
        <f t="array" ref="FE9">_xll.EQNXTDZ($A$1,$B9,FE$1)</f>
        <v>552.29999999999995</v>
      </c>
      <c r="FF9" s="116" cm="1">
        <f t="array" ref="FF9">_xll.EQNXTDZ($A$1,$B9,FF$1)</f>
        <v>567.9</v>
      </c>
      <c r="FG9" s="116" cm="1">
        <f t="array" ref="FG9">_xll.EQNXTDZ($A$1,$B9,FG$1)</f>
        <v>561.45000000000005</v>
      </c>
      <c r="FH9" s="116" cm="1">
        <f t="array" ref="FH9">_xll.EQNXTDZ($A$1,$B9,FH$1)</f>
        <v>504.45</v>
      </c>
      <c r="FI9" s="116" cm="1">
        <f t="array" ref="FI9">_xll.EQNXTDZ($A$1,$B9,FI$1)</f>
        <v>481.45</v>
      </c>
      <c r="FJ9" s="116" cm="1">
        <f t="array" ref="FJ9">_xll.EQNXTDZ($A$1,$B9,FJ$1)</f>
        <v>408.1</v>
      </c>
      <c r="FK9" s="116" cm="1">
        <f t="array" ref="FK9">_xll.EQNXTDZ($A$1,$B9,FK$1)</f>
        <v>415.85</v>
      </c>
      <c r="FL9" s="116" cm="1">
        <f t="array" ref="FL9">_xll.EQNXTDZ($A$1,$B9,FL$1)</f>
        <v>354.75</v>
      </c>
      <c r="FM9" s="116" cm="1">
        <f t="array" ref="FM9">_xll.EQNXTDZ($A$1,$B9,FM$1)</f>
        <v>506.65</v>
      </c>
      <c r="FN9" s="116" cm="1">
        <f t="array" ref="FN9">_xll.EQNXTDZ($A$1,$B9,FN$1)</f>
        <v>510</v>
      </c>
      <c r="FO9" s="116" cm="1">
        <f t="array" ref="FO9">_xll.EQNXTDZ($A$1,$B9,FO$1)</f>
        <v>556.4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24.725000000000001</v>
      </c>
      <c r="HQ9" s="116">
        <f>+I9</f>
        <v>23.425000000000001</v>
      </c>
      <c r="HR9" s="116">
        <f>+L9</f>
        <v>15.375</v>
      </c>
      <c r="HS9" s="116">
        <f>+O9</f>
        <v>14.025</v>
      </c>
      <c r="HT9" s="116">
        <f>+R9</f>
        <v>13.3</v>
      </c>
      <c r="HU9" s="116">
        <f>+U9</f>
        <v>16.2</v>
      </c>
      <c r="HV9" s="116">
        <f>+X9</f>
        <v>16.875</v>
      </c>
      <c r="HW9" s="116">
        <f>+AA9</f>
        <v>32.35</v>
      </c>
      <c r="HX9" s="116">
        <f>+AD9</f>
        <v>23.375</v>
      </c>
      <c r="HY9" s="116">
        <f>+AG9</f>
        <v>26.35</v>
      </c>
      <c r="HZ9" s="116">
        <f>+AJ9</f>
        <v>33.325000000000003</v>
      </c>
      <c r="IA9" s="116">
        <f>+AM9</f>
        <v>39.725000000000001</v>
      </c>
      <c r="IB9" s="116">
        <f>+AP9</f>
        <v>35.875</v>
      </c>
      <c r="IC9" s="116">
        <f>+AS9</f>
        <v>42.1</v>
      </c>
      <c r="ID9" s="116">
        <f>+AV9</f>
        <v>27.3</v>
      </c>
      <c r="IE9" s="116">
        <f>+AY9</f>
        <v>32.35</v>
      </c>
      <c r="IF9" s="116">
        <f>+BB9</f>
        <v>28.975000000000001</v>
      </c>
      <c r="IG9" s="116">
        <f>+BE9</f>
        <v>28.45</v>
      </c>
      <c r="IH9" s="116">
        <f>+BH9</f>
        <v>26.375</v>
      </c>
      <c r="II9" s="116">
        <f>+BK9</f>
        <v>28.524999999999999</v>
      </c>
      <c r="IJ9" s="116">
        <f>+BN9</f>
        <v>28.8</v>
      </c>
      <c r="IK9" s="116">
        <f>+BQ9</f>
        <v>51.45</v>
      </c>
      <c r="IL9" s="116">
        <f>+BT9</f>
        <v>38.799999999999997</v>
      </c>
      <c r="IM9" s="116">
        <f>+BW9</f>
        <v>28.8</v>
      </c>
      <c r="IN9" s="116">
        <f>+BZ9</f>
        <v>26.8</v>
      </c>
      <c r="IO9" s="116">
        <f>+CC9</f>
        <v>35.049999999999997</v>
      </c>
      <c r="IP9" s="116">
        <f>+CF9</f>
        <v>31.5</v>
      </c>
      <c r="IQ9" s="116">
        <f>+CI9</f>
        <v>23.15</v>
      </c>
      <c r="IR9" s="116">
        <f>+CL9</f>
        <v>16.95</v>
      </c>
      <c r="IS9" s="116">
        <f>+CO9</f>
        <v>18.350000000000001</v>
      </c>
      <c r="IT9" s="116">
        <f>+CR9</f>
        <v>9.4749999999999996</v>
      </c>
      <c r="IU9" s="116">
        <f>+CU9</f>
        <v>13.05</v>
      </c>
      <c r="IV9" s="116">
        <f>+CX9</f>
        <v>12.75</v>
      </c>
      <c r="IW9" s="116">
        <f>+DA9</f>
        <v>21.3</v>
      </c>
      <c r="IX9" s="116">
        <f>+DD9</f>
        <v>31.75</v>
      </c>
      <c r="IY9" s="116">
        <f>+DG9</f>
        <v>68.400000000000006</v>
      </c>
      <c r="IZ9" s="116">
        <f>+DJ9</f>
        <v>83.8</v>
      </c>
      <c r="JA9" s="116">
        <f>+DM9</f>
        <v>92.15</v>
      </c>
      <c r="JB9" s="116">
        <f>+DP9</f>
        <v>71.900000000000006</v>
      </c>
      <c r="JC9" s="116">
        <f>+DS9</f>
        <v>130.57499999999999</v>
      </c>
      <c r="JD9" s="116">
        <f>+DV9</f>
        <v>170.95</v>
      </c>
      <c r="JE9" s="116">
        <f>+DY9</f>
        <v>182.3</v>
      </c>
      <c r="JF9" s="116">
        <f>+EB9</f>
        <v>191.07499999999999</v>
      </c>
      <c r="JG9" s="116">
        <f>+EE9</f>
        <v>292.17500000000001</v>
      </c>
      <c r="JH9" s="116">
        <f>+EH9</f>
        <v>386.67500000000001</v>
      </c>
      <c r="JI9" s="116">
        <f>+EK9</f>
        <v>463.47500000000002</v>
      </c>
      <c r="JJ9" s="116">
        <f>+EN9</f>
        <v>474.375</v>
      </c>
      <c r="JK9" s="116">
        <f>EQ9</f>
        <v>661.05</v>
      </c>
      <c r="JL9" s="116">
        <f>ET9</f>
        <v>700.05</v>
      </c>
      <c r="JM9" s="116">
        <f>EW9</f>
        <v>634.5</v>
      </c>
      <c r="JN9" s="116">
        <f>EZ9</f>
        <v>449.15</v>
      </c>
      <c r="JO9" s="116">
        <f>FC9</f>
        <v>654.70000000000005</v>
      </c>
      <c r="JP9" s="116">
        <f>FF9</f>
        <v>567.9</v>
      </c>
      <c r="JQ9" s="116">
        <f>FI9</f>
        <v>481.45</v>
      </c>
      <c r="JR9" s="116">
        <f>FL9</f>
        <v>354.75</v>
      </c>
      <c r="JS9" s="116">
        <f>FO9</f>
        <v>556.4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26.5</v>
      </c>
      <c r="D13" cm="1">
        <f t="array" ref="D13">_xll.EQNXTDZ($A$1,$B13,D$1)</f>
        <v>26.774999999999999</v>
      </c>
      <c r="E13" cm="1">
        <f t="array" ref="E13">_xll.EQNXTDZ($A$1,$B13,E$1)</f>
        <v>25.574999999999999</v>
      </c>
      <c r="F13" cm="1">
        <f t="array" ref="F13">_xll.EQNXTDZ($A$1,$B13,F$1)</f>
        <v>21.45</v>
      </c>
      <c r="G13" cm="1">
        <f t="array" ref="G13">_xll.EQNXTDZ($A$1,$B13,G$1)</f>
        <v>25.3</v>
      </c>
      <c r="H13" cm="1">
        <f t="array" ref="H13">_xll.EQNXTDZ($A$1,$B13,H$1)</f>
        <v>23.75</v>
      </c>
      <c r="I13" cm="1">
        <f t="array" ref="I13">_xll.EQNXTDZ($A$1,$B13,I$1)</f>
        <v>24</v>
      </c>
      <c r="J13" cm="1">
        <f t="array" ref="J13">_xll.EQNXTDZ($A$1,$B13,J$1)</f>
        <v>23.8</v>
      </c>
      <c r="K13" cm="1">
        <f t="array" ref="K13">_xll.EQNXTDZ($A$1,$B13,K$1)</f>
        <v>20.875</v>
      </c>
      <c r="L13" cm="1">
        <f t="array" ref="L13">_xll.EQNXTDZ($A$1,$B13,L$1)</f>
        <v>17.3</v>
      </c>
      <c r="M13" cm="1">
        <f t="array" ref="M13">_xll.EQNXTDZ($A$1,$B13,M$1)</f>
        <v>15.6</v>
      </c>
      <c r="N13" cm="1">
        <f t="array" ref="N13">_xll.EQNXTDZ($A$1,$B13,N$1)</f>
        <v>16.925000000000001</v>
      </c>
      <c r="O13" cm="1">
        <f t="array" ref="O13">_xll.EQNXTDZ($A$1,$B13,O$1)</f>
        <v>15.9</v>
      </c>
      <c r="P13" cm="1">
        <f t="array" ref="P13">_xll.EQNXTDZ($A$1,$B13,P$1)</f>
        <v>14.1</v>
      </c>
      <c r="Q13" cm="1">
        <f t="array" ref="Q13">_xll.EQNXTDZ($A$1,$B13,Q$1)</f>
        <v>11.074999999999999</v>
      </c>
      <c r="R13" cm="1">
        <f t="array" ref="R13">_xll.EQNXTDZ($A$1,$B13,R$1)</f>
        <v>11.3</v>
      </c>
      <c r="S13" cm="1">
        <f t="array" ref="S13">_xll.EQNXTDZ($A$1,$B13,S$1)</f>
        <v>13.1</v>
      </c>
      <c r="T13" cm="1">
        <f t="array" ref="T13">_xll.EQNXTDZ($A$1,$B13,T$1)</f>
        <v>15.7</v>
      </c>
      <c r="U13" cm="1">
        <f t="array" ref="U13">_xll.EQNXTDZ($A$1,$B13,U$1)</f>
        <v>15.15</v>
      </c>
      <c r="V13" cm="1">
        <f t="array" ref="V13">_xll.EQNXTDZ($A$1,$B13,V$1)</f>
        <v>16.350000000000001</v>
      </c>
      <c r="W13" cm="1">
        <f t="array" ref="W13">_xll.EQNXTDZ($A$1,$B13,W$1)</f>
        <v>15</v>
      </c>
      <c r="X13" cm="1">
        <f t="array" ref="X13">_xll.EQNXTDZ($A$1,$B13,X$1)</f>
        <v>14.05</v>
      </c>
      <c r="Y13" cm="1">
        <f t="array" ref="Y13">_xll.EQNXTDZ($A$1,$B13,Y$1)</f>
        <v>17.225000000000001</v>
      </c>
      <c r="Z13" cm="1">
        <f t="array" ref="Z13">_xll.EQNXTDZ($A$1,$B13,Z$1)</f>
        <v>18.850000000000001</v>
      </c>
      <c r="AA13" cm="1">
        <f t="array" ref="AA13">_xll.EQNXTDZ($A$1,$B13,AA$1)</f>
        <v>34.325000000000003</v>
      </c>
      <c r="AB13" cm="1">
        <f t="array" ref="AB13">_xll.EQNXTDZ($A$1,$B13,AB$1)</f>
        <v>32.25</v>
      </c>
      <c r="AC13" cm="1">
        <f t="array" ref="AC13">_xll.EQNXTDZ($A$1,$B13,AC$1)</f>
        <v>28</v>
      </c>
      <c r="AD13" cm="1">
        <f t="array" ref="AD13">_xll.EQNXTDZ($A$1,$B13,AD$1)</f>
        <v>22.425000000000001</v>
      </c>
      <c r="AE13" cm="1">
        <f t="array" ref="AE13">_xll.EQNXTDZ($A$1,$B13,AE$1)</f>
        <v>23.25</v>
      </c>
      <c r="AF13" cm="1">
        <f t="array" ref="AF13">_xll.EQNXTDZ($A$1,$B13,AF$1)</f>
        <v>27</v>
      </c>
      <c r="AG13" cm="1">
        <f t="array" ref="AG13">_xll.EQNXTDZ($A$1,$B13,AG$1)</f>
        <v>25.9</v>
      </c>
      <c r="AH13" cm="1">
        <f t="array" ref="AH13">_xll.EQNXTDZ($A$1,$B13,AH$1)</f>
        <v>26.1</v>
      </c>
      <c r="AI13" cm="1">
        <f t="array" ref="AI13">_xll.EQNXTDZ($A$1,$B13,AI$1)</f>
        <v>25.675000000000001</v>
      </c>
      <c r="AJ13" cm="1">
        <f t="array" ref="AJ13">_xll.EQNXTDZ($A$1,$B13,AJ$1)</f>
        <v>26.45</v>
      </c>
      <c r="AK13" cm="1">
        <f t="array" ref="AK13">_xll.EQNXTDZ($A$1,$B13,AK$1)</f>
        <v>33.25</v>
      </c>
      <c r="AL13" cm="1">
        <f t="array" ref="AL13">_xll.EQNXTDZ($A$1,$B13,AL$1)</f>
        <v>35.5</v>
      </c>
      <c r="AM13" cm="1">
        <f t="array" ref="AM13">_xll.EQNXTDZ($A$1,$B13,AM$1)</f>
        <v>33.475000000000001</v>
      </c>
      <c r="AN13" cm="1">
        <f t="array" ref="AN13">_xll.EQNXTDZ($A$1,$B13,AN$1)</f>
        <v>40</v>
      </c>
      <c r="AO13" cm="1">
        <f t="array" ref="AO13">_xll.EQNXTDZ($A$1,$B13,AO$1)</f>
        <v>44</v>
      </c>
      <c r="AP13" cm="1">
        <f t="array" ref="AP13">_xll.EQNXTDZ($A$1,$B13,AP$1)</f>
        <v>34.75</v>
      </c>
      <c r="AQ13" cm="1">
        <f t="array" ref="AQ13">_xll.EQNXTDZ($A$1,$B13,AQ$1)</f>
        <v>36.25</v>
      </c>
      <c r="AR13" cm="1">
        <f t="array" ref="AR13">_xll.EQNXTDZ($A$1,$B13,AR$1)</f>
        <v>38.5</v>
      </c>
      <c r="AS13" cm="1">
        <f t="array" ref="AS13">_xll.EQNXTDZ($A$1,$B13,AS$1)</f>
        <v>43.674999999999997</v>
      </c>
      <c r="AT13" cm="1">
        <f t="array" ref="AT13">_xll.EQNXTDZ($A$1,$B13,AT$1)</f>
        <v>42.375</v>
      </c>
      <c r="AU13" cm="1">
        <f t="array" ref="AU13">_xll.EQNXTDZ($A$1,$B13,AU$1)</f>
        <v>34.25</v>
      </c>
      <c r="AV13" cm="1">
        <f t="array" ref="AV13">_xll.EQNXTDZ($A$1,$B13,AV$1)</f>
        <v>21.8</v>
      </c>
      <c r="AW13" cm="1">
        <f t="array" ref="AW13">_xll.EQNXTDZ($A$1,$B13,AW$1)</f>
        <v>27.125</v>
      </c>
      <c r="AX13" cm="1">
        <f t="array" ref="AX13">_xll.EQNXTDZ($A$1,$B13,AX$1)</f>
        <v>31</v>
      </c>
      <c r="AY13" cm="1">
        <f t="array" ref="AY13">_xll.EQNXTDZ($A$1,$B13,AY$1)</f>
        <v>29</v>
      </c>
      <c r="AZ13" cm="1">
        <f t="array" ref="AZ13">_xll.EQNXTDZ($A$1,$B13,AZ$1)</f>
        <v>33.225000000000001</v>
      </c>
      <c r="BA13" cm="1">
        <f t="array" ref="BA13">_xll.EQNXTDZ($A$1,$B13,BA$1)</f>
        <v>29.8</v>
      </c>
      <c r="BB13" cm="1">
        <f t="array" ref="BB13">_xll.EQNXTDZ($A$1,$B13,BB$1)</f>
        <v>28.8</v>
      </c>
      <c r="BC13" cm="1">
        <f t="array" ref="BC13">_xll.EQNXTDZ($A$1,$B13,BC$1)</f>
        <v>29.475000000000001</v>
      </c>
      <c r="BD13" cm="1">
        <f t="array" ref="BD13">_xll.EQNXTDZ($A$1,$B13,BD$1)</f>
        <v>33.674999999999997</v>
      </c>
      <c r="BE13" cm="1">
        <f t="array" ref="BE13">_xll.EQNXTDZ($A$1,$B13,BE$1)</f>
        <v>26.25</v>
      </c>
      <c r="BF13" cm="1">
        <f t="array" ref="BF13">_xll.EQNXTDZ($A$1,$B13,BF$1)</f>
        <v>28.75</v>
      </c>
      <c r="BG13" cm="1">
        <f t="array" ref="BG13">_xll.EQNXTDZ($A$1,$B13,BG$1)</f>
        <v>28.1</v>
      </c>
      <c r="BH13" cm="1">
        <f t="array" ref="BH13">_xll.EQNXTDZ($A$1,$B13,BH$1)</f>
        <v>27.15</v>
      </c>
      <c r="BI13" cm="1">
        <f t="array" ref="BI13">_xll.EQNXTDZ($A$1,$B13,BI$1)</f>
        <v>27.5</v>
      </c>
      <c r="BJ13" cm="1">
        <f t="array" ref="BJ13">_xll.EQNXTDZ($A$1,$B13,BJ$1)</f>
        <v>30.5</v>
      </c>
      <c r="BK13" cm="1">
        <f t="array" ref="BK13">_xll.EQNXTDZ($A$1,$B13,BK$1)</f>
        <v>31.725000000000001</v>
      </c>
      <c r="BL13" cm="1">
        <f t="array" ref="BL13">_xll.EQNXTDZ($A$1,$B13,BL$1)</f>
        <v>28.6</v>
      </c>
      <c r="BM13" cm="1">
        <f t="array" ref="BM13">_xll.EQNXTDZ($A$1,$B13,BM$1)</f>
        <v>31.5</v>
      </c>
      <c r="BN13" cm="1">
        <f t="array" ref="BN13">_xll.EQNXTDZ($A$1,$B13,BN$1)</f>
        <v>24.375</v>
      </c>
      <c r="BO13" cm="1">
        <f t="array" ref="BO13">_xll.EQNXTDZ($A$1,$B13,BO$1)</f>
        <v>28.95</v>
      </c>
      <c r="BP13" cm="1">
        <f t="array" ref="BP13">_xll.EQNXTDZ($A$1,$B13,BP$1)</f>
        <v>37.75</v>
      </c>
      <c r="BQ13" cm="1">
        <f t="array" ref="BQ13">_xll.EQNXTDZ($A$1,$B13,BQ$1)</f>
        <v>40.375</v>
      </c>
      <c r="BR13" cm="1">
        <f t="array" ref="BR13">_xll.EQNXTDZ($A$1,$B13,BR$1)</f>
        <v>51.7</v>
      </c>
      <c r="BS13" cm="1">
        <f t="array" ref="BS13">_xll.EQNXTDZ($A$1,$B13,BS$1)</f>
        <v>45.225000000000001</v>
      </c>
      <c r="BT13" cm="1">
        <f t="array" ref="BT13">_xll.EQNXTDZ($A$1,$B13,BT$1)</f>
        <v>44.325000000000003</v>
      </c>
      <c r="BU13" cm="1">
        <f t="array" ref="BU13">_xll.EQNXTDZ($A$1,$B13,BU$1)</f>
        <v>38.575000000000003</v>
      </c>
      <c r="BV13" cm="1">
        <f t="array" ref="BV13">_xll.EQNXTDZ($A$1,$B13,BV$1)</f>
        <v>42.375</v>
      </c>
      <c r="BW13" cm="1">
        <f t="array" ref="BW13">_xll.EQNXTDZ($A$1,$B13,BW$1)</f>
        <v>34.5</v>
      </c>
      <c r="BX13" cm="1">
        <f t="array" ref="BX13">_xll.EQNXTDZ($A$1,$B13,BX$1)</f>
        <v>28.8</v>
      </c>
      <c r="BY13" cm="1">
        <f t="array" ref="BY13">_xll.EQNXTDZ($A$1,$B13,BY$1)</f>
        <v>31.75</v>
      </c>
      <c r="BZ13" cm="1">
        <f t="array" ref="BZ13">_xll.EQNXTDZ($A$1,$B13,BZ$1)</f>
        <v>32.875</v>
      </c>
      <c r="CA13" cm="1">
        <f t="array" ref="CA13">_xll.EQNXTDZ($A$1,$B13,CA$1)</f>
        <v>26.15</v>
      </c>
      <c r="CB13" cm="1">
        <f t="array" ref="CB13">_xll.EQNXTDZ($A$1,$B13,CB$1)</f>
        <v>27.074999999999999</v>
      </c>
      <c r="CC13" cm="1">
        <f t="array" ref="CC13">_xll.EQNXTDZ($A$1,$B13,CC$1)</f>
        <v>28.5</v>
      </c>
      <c r="CD13" cm="1">
        <f t="array" ref="CD13">_xll.EQNXTDZ($A$1,$B13,CD$1)</f>
        <v>34.774999999999999</v>
      </c>
      <c r="CE13" cm="1">
        <f t="array" ref="CE13">_xll.EQNXTDZ($A$1,$B13,CE$1)</f>
        <v>32.5</v>
      </c>
      <c r="CF13" cm="1">
        <f t="array" ref="CF13">_xll.EQNXTDZ($A$1,$B13,CF$1)</f>
        <v>29.05</v>
      </c>
      <c r="CG13" cm="1">
        <f t="array" ref="CG13">_xll.EQNXTDZ($A$1,$B13,CG$1)</f>
        <v>31.975000000000001</v>
      </c>
      <c r="CH13" cm="1">
        <f t="array" ref="CH13">_xll.EQNXTDZ($A$1,$B13,CH$1)</f>
        <v>29.125</v>
      </c>
      <c r="CI13" cm="1">
        <f t="array" ref="CI13">_xll.EQNXTDZ($A$1,$B13,CI$1)</f>
        <v>26.425000000000001</v>
      </c>
      <c r="CJ13" cm="1">
        <f t="array" ref="CJ13">_xll.EQNXTDZ($A$1,$B13,CJ$1)</f>
        <v>23.225000000000001</v>
      </c>
      <c r="CK13" cm="1">
        <f t="array" ref="CK13">_xll.EQNXTDZ($A$1,$B13,CK$1)</f>
        <v>15.4</v>
      </c>
      <c r="CL13" cm="1">
        <f t="array" ref="CL13">_xll.EQNXTDZ($A$1,$B13,CL$1)</f>
        <v>15</v>
      </c>
      <c r="CM13" cm="1">
        <f t="array" ref="CM13">_xll.EQNXTDZ($A$1,$B13,CM$1)</f>
        <v>17.05</v>
      </c>
      <c r="CN13" cm="1">
        <f t="array" ref="CN13">_xll.EQNXTDZ($A$1,$B13,CN$1)</f>
        <v>16.95</v>
      </c>
      <c r="CO13" cm="1">
        <f t="array" ref="CO13">_xll.EQNXTDZ($A$1,$B13,CO$1)</f>
        <v>17.45</v>
      </c>
      <c r="CP13" cm="1">
        <f t="array" ref="CP13">_xll.EQNXTDZ($A$1,$B13,CP$1)</f>
        <v>18.5</v>
      </c>
      <c r="CQ13" cm="1">
        <f t="array" ref="CQ13">_xll.EQNXTDZ($A$1,$B13,CQ$1)</f>
        <v>20.100000000000001</v>
      </c>
      <c r="CR13" cm="1">
        <f t="array" ref="CR13">_xll.EQNXTDZ($A$1,$B13,CR$1)</f>
        <v>14.55</v>
      </c>
      <c r="CS13" cm="1">
        <f t="array" ref="CS13">_xll.EQNXTDZ($A$1,$B13,CS$1)</f>
        <v>9.7750000000000004</v>
      </c>
      <c r="CT13" cm="1">
        <f t="array" ref="CT13">_xll.EQNXTDZ($A$1,$B13,CT$1)</f>
        <v>10.45</v>
      </c>
      <c r="CU13" cm="1">
        <f t="array" ref="CU13">_xll.EQNXTDZ($A$1,$B13,CU$1)</f>
        <v>9.5</v>
      </c>
      <c r="CV13" cm="1">
        <f t="array" ref="CV13">_xll.EQNXTDZ($A$1,$B13,CV$1)</f>
        <v>12.6</v>
      </c>
      <c r="CW13" cm="1">
        <f t="array" ref="CW13">_xll.EQNXTDZ($A$1,$B13,CW$1)</f>
        <v>12.025</v>
      </c>
      <c r="CX13" cm="1">
        <f t="array" ref="CX13">_xll.EQNXTDZ($A$1,$B13,CX$1)</f>
        <v>14.75</v>
      </c>
      <c r="CY13" cm="1">
        <f t="array" ref="CY13">_xll.EQNXTDZ($A$1,$B13,CY$1)</f>
        <v>12.9</v>
      </c>
      <c r="CZ13" cm="1">
        <f t="array" ref="CZ13">_xll.EQNXTDZ($A$1,$B13,CZ$1)</f>
        <v>11.2</v>
      </c>
      <c r="DA13" cm="1">
        <f t="array" ref="DA13">_xll.EQNXTDZ($A$1,$B13,DA$1)</f>
        <v>18.2</v>
      </c>
      <c r="DB13" cm="1">
        <f t="array" ref="DB13">_xll.EQNXTDZ($A$1,$B13,DB$1)</f>
        <v>21.3</v>
      </c>
      <c r="DC13" cm="1">
        <f t="array" ref="DC13">_xll.EQNXTDZ($A$1,$B13,DC$1)</f>
        <v>22.85</v>
      </c>
      <c r="DD13" cm="1">
        <f t="array" ref="DD13">_xll.EQNXTDZ($A$1,$B13,DD$1)</f>
        <v>29.074999999999999</v>
      </c>
      <c r="DE13" cm="1">
        <f t="array" ref="DE13">_xll.EQNXTDZ($A$1,$B13,DE$1)</f>
        <v>32.950000000000003</v>
      </c>
      <c r="DF13" cm="1">
        <f t="array" ref="DF13">_xll.EQNXTDZ($A$1,$B13,DF$1)</f>
        <v>46</v>
      </c>
      <c r="DG13" cm="1">
        <f t="array" ref="DG13">_xll.EQNXTDZ($A$1,$B13,DG$1)</f>
        <v>59.375</v>
      </c>
      <c r="DH13" cm="1">
        <f t="array" ref="DH13">_xll.EQNXTDZ($A$1,$B13,DH$1)</f>
        <v>69</v>
      </c>
      <c r="DI13" cm="1">
        <f t="array" ref="DI13">_xll.EQNXTDZ($A$1,$B13,DI$1)</f>
        <v>69.45</v>
      </c>
      <c r="DJ13" cm="1">
        <f t="array" ref="DJ13">_xll.EQNXTDZ($A$1,$B13,DJ$1)</f>
        <v>84.25</v>
      </c>
      <c r="DK13" cm="1">
        <f t="array" ref="DK13">_xll.EQNXTDZ($A$1,$B13,DK$1)</f>
        <v>84.224999999999994</v>
      </c>
      <c r="DL13" cm="1">
        <f t="array" ref="DL13">_xll.EQNXTDZ($A$1,$B13,DL$1)</f>
        <v>87</v>
      </c>
      <c r="DM13" cm="1">
        <f t="array" ref="DM13">_xll.EQNXTDZ($A$1,$B13,DM$1)</f>
        <v>106.4</v>
      </c>
      <c r="DN13" cm="1">
        <f t="array" ref="DN13">_xll.EQNXTDZ($A$1,$B13,DN$1)</f>
        <v>92.7</v>
      </c>
      <c r="DO13" cm="1">
        <f t="array" ref="DO13">_xll.EQNXTDZ($A$1,$B13,DO$1)</f>
        <v>91</v>
      </c>
      <c r="DP13" cm="1">
        <f t="array" ref="DP13">_xll.EQNXTDZ($A$1,$B13,DP$1)</f>
        <v>73.099999999999994</v>
      </c>
      <c r="DQ13" cm="1">
        <f t="array" ref="DQ13">_xll.EQNXTDZ($A$1,$B13,DQ$1)</f>
        <v>71.55</v>
      </c>
      <c r="DR13" cm="1">
        <f t="array" ref="DR13">_xll.EQNXTDZ($A$1,$B13,DR$1)</f>
        <v>91</v>
      </c>
      <c r="DS13" cm="1">
        <f t="array" ref="DS13">_xll.EQNXTDZ($A$1,$B13,DS$1)</f>
        <v>97.375</v>
      </c>
      <c r="DT13" cm="1">
        <f t="array" ref="DT13">_xll.EQNXTDZ($A$1,$B13,DT$1)</f>
        <v>128.30000000000001</v>
      </c>
      <c r="DU13" cm="1">
        <f t="array" ref="DU13">_xll.EQNXTDZ($A$1,$B13,DU$1)</f>
        <v>180.07499999999999</v>
      </c>
      <c r="DV13" cm="1">
        <f t="array" ref="DV13">_xll.EQNXTDZ($A$1,$B13,DV$1)</f>
        <v>187.85</v>
      </c>
      <c r="DW13" cm="1">
        <f t="array" ref="DW13">_xll.EQNXTDZ($A$1,$B13,DW$1)</f>
        <v>170.75</v>
      </c>
      <c r="DX13" cm="1">
        <f t="array" ref="DX13">_xll.EQNXTDZ($A$1,$B13,DX$1)</f>
        <v>188.9</v>
      </c>
      <c r="DY13" cm="1">
        <f t="array" ref="DY13">_xll.EQNXTDZ($A$1,$B13,DY$1)</f>
        <v>232.47499999999999</v>
      </c>
      <c r="DZ13" cm="1">
        <f t="array" ref="DZ13">_xll.EQNXTDZ($A$1,$B13,DZ$1)</f>
        <v>182.85</v>
      </c>
      <c r="EA13" cm="1">
        <f t="array" ref="EA13">_xll.EQNXTDZ($A$1,$B13,EA$1)</f>
        <v>192.9</v>
      </c>
      <c r="EB13" cm="1">
        <f t="array" ref="EB13">_xll.EQNXTDZ($A$1,$B13,EB$1)</f>
        <v>198</v>
      </c>
      <c r="EC13" cm="1">
        <f t="array" ref="EC13">_xll.EQNXTDZ($A$1,$B13,EC$1)</f>
        <v>190.02500000000001</v>
      </c>
      <c r="ED13" cm="1">
        <f t="array" ref="ED13">_xll.EQNXTDZ($A$1,$B13,ED$1)</f>
        <v>221.8</v>
      </c>
      <c r="EE13" cm="1">
        <f t="array" ref="EE13">_xll.EQNXTDZ($A$1,$B13,EE$1)</f>
        <v>265.47500000000002</v>
      </c>
      <c r="EF13" cm="1">
        <f t="array" ref="EF13">_xll.EQNXTDZ($A$1,$B13,EF$1)</f>
        <v>293.52499999999998</v>
      </c>
      <c r="EG13" cm="1">
        <f t="array" ref="EG13">_xll.EQNXTDZ($A$1,$B13,EG$1)</f>
        <v>380.47500000000002</v>
      </c>
      <c r="EH13" cm="1">
        <f t="array" ref="EH13">_xll.EQNXTDZ($A$1,$B13,EH$1)</f>
        <v>442.97500000000002</v>
      </c>
      <c r="EI13" cm="1">
        <f t="array" ref="EI13">_xll.EQNXTDZ($A$1,$B13,EI$1)</f>
        <v>387.25</v>
      </c>
      <c r="EJ13" cm="1">
        <f t="array" ref="EJ13">_xll.EQNXTDZ($A$1,$B13,EJ$1)</f>
        <v>425</v>
      </c>
      <c r="EK13" cm="1">
        <f t="array" ref="EK13">_xll.EQNXTDZ($A$1,$B13,EK$1)</f>
        <v>474</v>
      </c>
      <c r="EL13" cm="1">
        <f t="array" ref="EL13">_xll.EQNXTDZ($A$1,$B13,EL$1)</f>
        <v>476.47500000000002</v>
      </c>
      <c r="EM13" cm="1">
        <f t="array" ref="EM13">_xll.EQNXTDZ($A$1,$B13,EM$1)</f>
        <v>553.77499999999998</v>
      </c>
      <c r="EN13" cm="1">
        <f t="array" ref="EN13">_xll.EQNXTDZ($A$1,$B13,EN$1)</f>
        <v>498.02499999999998</v>
      </c>
      <c r="EO13" cm="1">
        <f t="array" ref="EO13">_xll.EQNXTDZ($A$1,$B13,EO$1)</f>
        <v>476.27499999999998</v>
      </c>
      <c r="EP13" cm="1">
        <f t="array" ref="EP13">_xll.EQNXTDZ($A$1,$B13,EP$1)</f>
        <v>569.625</v>
      </c>
      <c r="EQ13" cm="1">
        <f t="array" ref="EQ13">_xll.EQNXTDZ($A$1,$B13,EQ$1)</f>
        <v>583.02499999999998</v>
      </c>
      <c r="ER13" cm="1">
        <f t="array" ref="ER13">_xll.EQNXTDZ($A$1,$B13,ER$1)</f>
        <v>650.17499999999995</v>
      </c>
      <c r="ES13" cm="1">
        <f t="array" ref="ES13">_xll.EQNXTDZ($A$1,$B13,ES$1)</f>
        <v>629.5</v>
      </c>
      <c r="ET13" cm="1">
        <f t="array" ref="ET13">_xll.EQNXTDZ($A$1,$B13,ET$1)</f>
        <v>629.95000000000005</v>
      </c>
      <c r="EU13" cm="1">
        <f t="array" ref="EU13">_xll.EQNXTDZ($A$1,$B13,EU$1)</f>
        <v>706</v>
      </c>
      <c r="EV13" cm="1">
        <f t="array" ref="EV13">_xll.EQNXTDZ($A$1,$B13,EV$1)</f>
        <v>586.20000000000005</v>
      </c>
      <c r="EW13" cm="1">
        <f t="array" ref="EW13">_xll.EQNXTDZ($A$1,$B13,EW$1)</f>
        <v>586.04999999999995</v>
      </c>
      <c r="EX13" cm="1">
        <f t="array" ref="EX13">_xll.EQNXTDZ($A$1,$B13,EX$1)</f>
        <v>633.5</v>
      </c>
      <c r="EY13" cm="1">
        <f t="array" ref="EY13">_xll.EQNXTDZ($A$1,$B13,EY$1)</f>
        <v>533.04999999999995</v>
      </c>
      <c r="EZ13" cm="1">
        <f t="array" ref="EZ13">_xll.EQNXTDZ($A$1,$B13,EZ$1)</f>
        <v>424.45</v>
      </c>
      <c r="FA13" cm="1">
        <f t="array" ref="FA13">_xll.EQNXTDZ($A$1,$B13,FA$1)</f>
        <v>454.75</v>
      </c>
      <c r="FB13" cm="1">
        <f t="array" ref="FB13">_xll.EQNXTDZ($A$1,$B13,FB$1)</f>
        <v>538</v>
      </c>
      <c r="FC13" cm="1">
        <f t="array" ref="FC13">_xll.EQNXTDZ($A$1,$B13,FC$1)</f>
        <v>662.15</v>
      </c>
      <c r="FD13" cm="1">
        <f t="array" ref="FD13">_xll.EQNXTDZ($A$1,$B13,FD$1)</f>
        <v>661.75</v>
      </c>
      <c r="FE13" cm="1">
        <f t="array" ref="FE13">_xll.EQNXTDZ($A$1,$B13,FE$1)</f>
        <v>566.79999999999995</v>
      </c>
      <c r="FF13" cm="1">
        <f t="array" ref="FF13">_xll.EQNXTDZ($A$1,$B13,FF$1)</f>
        <v>557.04999999999995</v>
      </c>
      <c r="FG13" cm="1">
        <f t="array" ref="FG13">_xll.EQNXTDZ($A$1,$B13,FG$1)</f>
        <v>567.04999999999995</v>
      </c>
      <c r="FH13" cm="1">
        <f t="array" ref="FH13">_xll.EQNXTDZ($A$1,$B13,FH$1)</f>
        <v>559.75</v>
      </c>
      <c r="FI13" cm="1">
        <f t="array" ref="FI13">_xll.EQNXTDZ($A$1,$B13,FI$1)</f>
        <v>502.1</v>
      </c>
      <c r="FJ13" cm="1">
        <f t="array" ref="FJ13">_xll.EQNXTDZ($A$1,$B13,FJ$1)</f>
        <v>484</v>
      </c>
      <c r="FK13" cm="1">
        <f t="array" ref="FK13">_xll.EQNXTDZ($A$1,$B13,FK$1)</f>
        <v>409.45</v>
      </c>
      <c r="FL13" cm="1">
        <f t="array" ref="FL13">_xll.EQNXTDZ($A$1,$B13,FL$1)</f>
        <v>391.95</v>
      </c>
      <c r="FM13" cm="1">
        <f t="array" ref="FM13">_xll.EQNXTDZ($A$1,$B13,FM$1)</f>
        <v>367.7</v>
      </c>
      <c r="FN13" cm="1">
        <f t="array" ref="FN13">_xll.EQNXTDZ($A$1,$B13,FN$1)</f>
        <v>507.75</v>
      </c>
      <c r="FO13" cm="1">
        <f t="array" ref="FO13">_xll.EQNXTDZ($A$1,$B13,FO$1)</f>
        <v>511.2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27.975000000000001</v>
      </c>
      <c r="D14" s="116" cm="1">
        <f t="array" ref="D14">_xll.EQNXTDZ($A$1,$B14,D$1)</f>
        <v>30.9</v>
      </c>
      <c r="E14" s="116" cm="1">
        <f t="array" ref="E14">_xll.EQNXTDZ($A$1,$B14,E$1)</f>
        <v>25.824999999999999</v>
      </c>
      <c r="F14" s="116" cm="1">
        <f t="array" ref="F14">_xll.EQNXTDZ($A$1,$B14,F$1)</f>
        <v>25.9</v>
      </c>
      <c r="G14" s="116" cm="1">
        <f t="array" ref="G14">_xll.EQNXTDZ($A$1,$B14,G$1)</f>
        <v>26.175000000000001</v>
      </c>
      <c r="H14" s="116" cm="1">
        <f t="array" ref="H14">_xll.EQNXTDZ($A$1,$B14,H$1)</f>
        <v>27.125</v>
      </c>
      <c r="I14" s="116" cm="1">
        <f t="array" ref="I14">_xll.EQNXTDZ($A$1,$B14,I$1)</f>
        <v>25.75</v>
      </c>
      <c r="J14" s="116" cm="1">
        <f t="array" ref="J14">_xll.EQNXTDZ($A$1,$B14,J$1)</f>
        <v>24.85</v>
      </c>
      <c r="K14" s="116" cm="1">
        <f t="array" ref="K14">_xll.EQNXTDZ($A$1,$B14,K$1)</f>
        <v>21.074999999999999</v>
      </c>
      <c r="L14" s="116" cm="1">
        <f t="array" ref="L14">_xll.EQNXTDZ($A$1,$B14,L$1)</f>
        <v>19.375</v>
      </c>
      <c r="M14" s="116" cm="1">
        <f t="array" ref="M14">_xll.EQNXTDZ($A$1,$B14,M$1)</f>
        <v>17.95</v>
      </c>
      <c r="N14" s="116" cm="1">
        <f t="array" ref="N14">_xll.EQNXTDZ($A$1,$B14,N$1)</f>
        <v>19.149999999999999</v>
      </c>
      <c r="O14" s="116" cm="1">
        <f t="array" ref="O14">_xll.EQNXTDZ($A$1,$B14,O$1)</f>
        <v>15.9</v>
      </c>
      <c r="P14" s="116" cm="1">
        <f t="array" ref="P14">_xll.EQNXTDZ($A$1,$B14,P$1)</f>
        <v>14.75</v>
      </c>
      <c r="Q14" s="116" cm="1">
        <f t="array" ref="Q14">_xll.EQNXTDZ($A$1,$B14,Q$1)</f>
        <v>14</v>
      </c>
      <c r="R14" s="116" cm="1">
        <f t="array" ref="R14">_xll.EQNXTDZ($A$1,$B14,R$1)</f>
        <v>14.375</v>
      </c>
      <c r="S14" s="116" cm="1">
        <f t="array" ref="S14">_xll.EQNXTDZ($A$1,$B14,S$1)</f>
        <v>16.95</v>
      </c>
      <c r="T14" s="116" cm="1">
        <f t="array" ref="T14">_xll.EQNXTDZ($A$1,$B14,T$1)</f>
        <v>17.149999999999999</v>
      </c>
      <c r="U14" s="116" cm="1">
        <f t="array" ref="U14">_xll.EQNXTDZ($A$1,$B14,U$1)</f>
        <v>17</v>
      </c>
      <c r="V14" s="116" cm="1">
        <f t="array" ref="V14">_xll.EQNXTDZ($A$1,$B14,V$1)</f>
        <v>18.05</v>
      </c>
      <c r="W14" s="116" cm="1">
        <f t="array" ref="W14">_xll.EQNXTDZ($A$1,$B14,W$1)</f>
        <v>15.2</v>
      </c>
      <c r="X14" s="116" cm="1">
        <f t="array" ref="X14">_xll.EQNXTDZ($A$1,$B14,X$1)</f>
        <v>17.225000000000001</v>
      </c>
      <c r="Y14" s="116" cm="1">
        <f t="array" ref="Y14">_xll.EQNXTDZ($A$1,$B14,Y$1)</f>
        <v>21.4</v>
      </c>
      <c r="Z14" s="116" cm="1">
        <f t="array" ref="Z14">_xll.EQNXTDZ($A$1,$B14,Z$1)</f>
        <v>34.15</v>
      </c>
      <c r="AA14" s="116" cm="1">
        <f t="array" ref="AA14">_xll.EQNXTDZ($A$1,$B14,AA$1)</f>
        <v>35.200000000000003</v>
      </c>
      <c r="AB14" s="116" cm="1">
        <f t="array" ref="AB14">_xll.EQNXTDZ($A$1,$B14,AB$1)</f>
        <v>34.274999999999999</v>
      </c>
      <c r="AC14" s="116" cm="1">
        <f t="array" ref="AC14">_xll.EQNXTDZ($A$1,$B14,AC$1)</f>
        <v>28.85</v>
      </c>
      <c r="AD14" s="116" cm="1">
        <f t="array" ref="AD14">_xll.EQNXTDZ($A$1,$B14,AD$1)</f>
        <v>28.675000000000001</v>
      </c>
      <c r="AE14" s="116" cm="1">
        <f t="array" ref="AE14">_xll.EQNXTDZ($A$1,$B14,AE$1)</f>
        <v>27.5</v>
      </c>
      <c r="AF14" s="116" cm="1">
        <f t="array" ref="AF14">_xll.EQNXTDZ($A$1,$B14,AF$1)</f>
        <v>29.15</v>
      </c>
      <c r="AG14" s="116" cm="1">
        <f t="array" ref="AG14">_xll.EQNXTDZ($A$1,$B14,AG$1)</f>
        <v>27.375</v>
      </c>
      <c r="AH14" s="116" cm="1">
        <f t="array" ref="AH14">_xll.EQNXTDZ($A$1,$B14,AH$1)</f>
        <v>28.1</v>
      </c>
      <c r="AI14" s="116" cm="1">
        <f t="array" ref="AI14">_xll.EQNXTDZ($A$1,$B14,AI$1)</f>
        <v>29.4</v>
      </c>
      <c r="AJ14" s="116" cm="1">
        <f t="array" ref="AJ14">_xll.EQNXTDZ($A$1,$B14,AJ$1)</f>
        <v>35.9</v>
      </c>
      <c r="AK14" s="116" cm="1">
        <f t="array" ref="AK14">_xll.EQNXTDZ($A$1,$B14,AK$1)</f>
        <v>40.1</v>
      </c>
      <c r="AL14" s="116" cm="1">
        <f t="array" ref="AL14">_xll.EQNXTDZ($A$1,$B14,AL$1)</f>
        <v>35.85</v>
      </c>
      <c r="AM14" s="116" cm="1">
        <f t="array" ref="AM14">_xll.EQNXTDZ($A$1,$B14,AM$1)</f>
        <v>42.125</v>
      </c>
      <c r="AN14" s="116" cm="1">
        <f t="array" ref="AN14">_xll.EQNXTDZ($A$1,$B14,AN$1)</f>
        <v>47.7</v>
      </c>
      <c r="AO14" s="116" cm="1">
        <f t="array" ref="AO14">_xll.EQNXTDZ($A$1,$B14,AO$1)</f>
        <v>48.5</v>
      </c>
      <c r="AP14" s="116" cm="1">
        <f t="array" ref="AP14">_xll.EQNXTDZ($A$1,$B14,AP$1)</f>
        <v>37.549999999999997</v>
      </c>
      <c r="AQ14" s="116" cm="1">
        <f t="array" ref="AQ14">_xll.EQNXTDZ($A$1,$B14,AQ$1)</f>
        <v>42.05</v>
      </c>
      <c r="AR14" s="116" cm="1">
        <f t="array" ref="AR14">_xll.EQNXTDZ($A$1,$B14,AR$1)</f>
        <v>45.3</v>
      </c>
      <c r="AS14" s="116" cm="1">
        <f t="array" ref="AS14">_xll.EQNXTDZ($A$1,$B14,AS$1)</f>
        <v>46.375</v>
      </c>
      <c r="AT14" s="116" cm="1">
        <f t="array" ref="AT14">_xll.EQNXTDZ($A$1,$B14,AT$1)</f>
        <v>42.875</v>
      </c>
      <c r="AU14" s="116" cm="1">
        <f t="array" ref="AU14">_xll.EQNXTDZ($A$1,$B14,AU$1)</f>
        <v>35.549999999999997</v>
      </c>
      <c r="AV14" s="116" cm="1">
        <f t="array" ref="AV14">_xll.EQNXTDZ($A$1,$B14,AV$1)</f>
        <v>29.574999999999999</v>
      </c>
      <c r="AW14" s="116" cm="1">
        <f t="array" ref="AW14">_xll.EQNXTDZ($A$1,$B14,AW$1)</f>
        <v>33.299999999999997</v>
      </c>
      <c r="AX14" s="116" cm="1">
        <f t="array" ref="AX14">_xll.EQNXTDZ($A$1,$B14,AX$1)</f>
        <v>32.5</v>
      </c>
      <c r="AY14" s="116" cm="1">
        <f t="array" ref="AY14">_xll.EQNXTDZ($A$1,$B14,AY$1)</f>
        <v>33.024999999999999</v>
      </c>
      <c r="AZ14" s="116" cm="1">
        <f t="array" ref="AZ14">_xll.EQNXTDZ($A$1,$B14,AZ$1)</f>
        <v>33.450000000000003</v>
      </c>
      <c r="BA14" s="116" cm="1">
        <f t="array" ref="BA14">_xll.EQNXTDZ($A$1,$B14,BA$1)</f>
        <v>30.7</v>
      </c>
      <c r="BB14" s="116" cm="1">
        <f t="array" ref="BB14">_xll.EQNXTDZ($A$1,$B14,BB$1)</f>
        <v>32.024999999999999</v>
      </c>
      <c r="BC14" s="116" cm="1">
        <f t="array" ref="BC14">_xll.EQNXTDZ($A$1,$B14,BC$1)</f>
        <v>37</v>
      </c>
      <c r="BD14" s="116" cm="1">
        <f t="array" ref="BD14">_xll.EQNXTDZ($A$1,$B14,BD$1)</f>
        <v>33.75</v>
      </c>
      <c r="BE14" s="116" cm="1">
        <f t="array" ref="BE14">_xll.EQNXTDZ($A$1,$B14,BE$1)</f>
        <v>31.7</v>
      </c>
      <c r="BF14" s="116" cm="1">
        <f t="array" ref="BF14">_xll.EQNXTDZ($A$1,$B14,BF$1)</f>
        <v>30.45</v>
      </c>
      <c r="BG14" s="116" cm="1">
        <f t="array" ref="BG14">_xll.EQNXTDZ($A$1,$B14,BG$1)</f>
        <v>30.2</v>
      </c>
      <c r="BH14" s="116" cm="1">
        <f t="array" ref="BH14">_xll.EQNXTDZ($A$1,$B14,BH$1)</f>
        <v>27.625</v>
      </c>
      <c r="BI14" s="116" cm="1">
        <f t="array" ref="BI14">_xll.EQNXTDZ($A$1,$B14,BI$1)</f>
        <v>32.299999999999997</v>
      </c>
      <c r="BJ14" s="116" cm="1">
        <f t="array" ref="BJ14">_xll.EQNXTDZ($A$1,$B14,BJ$1)</f>
        <v>32.9</v>
      </c>
      <c r="BK14" s="116" cm="1">
        <f t="array" ref="BK14">_xll.EQNXTDZ($A$1,$B14,BK$1)</f>
        <v>32.65</v>
      </c>
      <c r="BL14" s="116" cm="1">
        <f t="array" ref="BL14">_xll.EQNXTDZ($A$1,$B14,BL$1)</f>
        <v>32.25</v>
      </c>
      <c r="BM14" s="116" cm="1">
        <f t="array" ref="BM14">_xll.EQNXTDZ($A$1,$B14,BM$1)</f>
        <v>32</v>
      </c>
      <c r="BN14" s="116" cm="1">
        <f t="array" ref="BN14">_xll.EQNXTDZ($A$1,$B14,BN$1)</f>
        <v>29.75</v>
      </c>
      <c r="BO14" s="116" cm="1">
        <f t="array" ref="BO14">_xll.EQNXTDZ($A$1,$B14,BO$1)</f>
        <v>37.875</v>
      </c>
      <c r="BP14" s="116" cm="1">
        <f t="array" ref="BP14">_xll.EQNXTDZ($A$1,$B14,BP$1)</f>
        <v>42.524999999999999</v>
      </c>
      <c r="BQ14" s="116" cm="1">
        <f t="array" ref="BQ14">_xll.EQNXTDZ($A$1,$B14,BQ$1)</f>
        <v>56.75</v>
      </c>
      <c r="BR14" s="116" cm="1">
        <f t="array" ref="BR14">_xll.EQNXTDZ($A$1,$B14,BR$1)</f>
        <v>54.9</v>
      </c>
      <c r="BS14" s="116" cm="1">
        <f t="array" ref="BS14">_xll.EQNXTDZ($A$1,$B14,BS$1)</f>
        <v>45.774999999999999</v>
      </c>
      <c r="BT14" s="116" cm="1">
        <f t="array" ref="BT14">_xll.EQNXTDZ($A$1,$B14,BT$1)</f>
        <v>46.4</v>
      </c>
      <c r="BU14" s="116" cm="1">
        <f t="array" ref="BU14">_xll.EQNXTDZ($A$1,$B14,BU$1)</f>
        <v>44.35</v>
      </c>
      <c r="BV14" s="116" cm="1">
        <f t="array" ref="BV14">_xll.EQNXTDZ($A$1,$B14,BV$1)</f>
        <v>42.75</v>
      </c>
      <c r="BW14" s="116" cm="1">
        <f t="array" ref="BW14">_xll.EQNXTDZ($A$1,$B14,BW$1)</f>
        <v>34.975000000000001</v>
      </c>
      <c r="BX14" s="116" cm="1">
        <f t="array" ref="BX14">_xll.EQNXTDZ($A$1,$B14,BX$1)</f>
        <v>32.424999999999997</v>
      </c>
      <c r="BY14" s="116" cm="1">
        <f t="array" ref="BY14">_xll.EQNXTDZ($A$1,$B14,BY$1)</f>
        <v>36.825000000000003</v>
      </c>
      <c r="BZ14" s="116" cm="1">
        <f t="array" ref="BZ14">_xll.EQNXTDZ($A$1,$B14,BZ$1)</f>
        <v>32.875</v>
      </c>
      <c r="CA14" s="116" cm="1">
        <f t="array" ref="CA14">_xll.EQNXTDZ($A$1,$B14,CA$1)</f>
        <v>27.9</v>
      </c>
      <c r="CB14" s="116" cm="1">
        <f t="array" ref="CB14">_xll.EQNXTDZ($A$1,$B14,CB$1)</f>
        <v>32.774999999999999</v>
      </c>
      <c r="CC14" s="116" cm="1">
        <f t="array" ref="CC14">_xll.EQNXTDZ($A$1,$B14,CC$1)</f>
        <v>35.625</v>
      </c>
      <c r="CD14" s="116" cm="1">
        <f t="array" ref="CD14">_xll.EQNXTDZ($A$1,$B14,CD$1)</f>
        <v>37.4</v>
      </c>
      <c r="CE14" s="116" cm="1">
        <f t="array" ref="CE14">_xll.EQNXTDZ($A$1,$B14,CE$1)</f>
        <v>33.75</v>
      </c>
      <c r="CF14" s="116" cm="1">
        <f t="array" ref="CF14">_xll.EQNXTDZ($A$1,$B14,CF$1)</f>
        <v>34.75</v>
      </c>
      <c r="CG14" s="116" cm="1">
        <f t="array" ref="CG14">_xll.EQNXTDZ($A$1,$B14,CG$1)</f>
        <v>33.200000000000003</v>
      </c>
      <c r="CH14" s="116" cm="1">
        <f t="array" ref="CH14">_xll.EQNXTDZ($A$1,$B14,CH$1)</f>
        <v>29.25</v>
      </c>
      <c r="CI14" s="116" cm="1">
        <f t="array" ref="CI14">_xll.EQNXTDZ($A$1,$B14,CI$1)</f>
        <v>26.65</v>
      </c>
      <c r="CJ14" s="116" cm="1">
        <f t="array" ref="CJ14">_xll.EQNXTDZ($A$1,$B14,CJ$1)</f>
        <v>24</v>
      </c>
      <c r="CK14" s="116" cm="1">
        <f t="array" ref="CK14">_xll.EQNXTDZ($A$1,$B14,CK$1)</f>
        <v>15.725</v>
      </c>
      <c r="CL14" s="116" cm="1">
        <f t="array" ref="CL14">_xll.EQNXTDZ($A$1,$B14,CL$1)</f>
        <v>18.925000000000001</v>
      </c>
      <c r="CM14" s="116" cm="1">
        <f t="array" ref="CM14">_xll.EQNXTDZ($A$1,$B14,CM$1)</f>
        <v>17.149999999999999</v>
      </c>
      <c r="CN14" s="116" cm="1">
        <f t="array" ref="CN14">_xll.EQNXTDZ($A$1,$B14,CN$1)</f>
        <v>20.125</v>
      </c>
      <c r="CO14" s="116" cm="1">
        <f t="array" ref="CO14">_xll.EQNXTDZ($A$1,$B14,CO$1)</f>
        <v>18.975000000000001</v>
      </c>
      <c r="CP14" s="116" cm="1">
        <f t="array" ref="CP14">_xll.EQNXTDZ($A$1,$B14,CP$1)</f>
        <v>21.824999999999999</v>
      </c>
      <c r="CQ14" s="116" cm="1">
        <f t="array" ref="CQ14">_xll.EQNXTDZ($A$1,$B14,CQ$1)</f>
        <v>20.274999999999999</v>
      </c>
      <c r="CR14" s="116" cm="1">
        <f t="array" ref="CR14">_xll.EQNXTDZ($A$1,$B14,CR$1)</f>
        <v>14.7</v>
      </c>
      <c r="CS14" s="116" cm="1">
        <f t="array" ref="CS14">_xll.EQNXTDZ($A$1,$B14,CS$1)</f>
        <v>12.7</v>
      </c>
      <c r="CT14" s="116" cm="1">
        <f t="array" ref="CT14">_xll.EQNXTDZ($A$1,$B14,CT$1)</f>
        <v>11.074999999999999</v>
      </c>
      <c r="CU14" s="116" cm="1">
        <f t="array" ref="CU14">_xll.EQNXTDZ($A$1,$B14,CU$1)</f>
        <v>15.4</v>
      </c>
      <c r="CV14" s="116" cm="1">
        <f t="array" ref="CV14">_xll.EQNXTDZ($A$1,$B14,CV$1)</f>
        <v>15.425000000000001</v>
      </c>
      <c r="CW14" s="116" cm="1">
        <f t="array" ref="CW14">_xll.EQNXTDZ($A$1,$B14,CW$1)</f>
        <v>18.3</v>
      </c>
      <c r="CX14" s="116" cm="1">
        <f t="array" ref="CX14">_xll.EQNXTDZ($A$1,$B14,CX$1)</f>
        <v>15.65</v>
      </c>
      <c r="CY14" s="116" cm="1">
        <f t="array" ref="CY14">_xll.EQNXTDZ($A$1,$B14,CY$1)</f>
        <v>13.125</v>
      </c>
      <c r="CZ14" s="116" cm="1">
        <f t="array" ref="CZ14">_xll.EQNXTDZ($A$1,$B14,CZ$1)</f>
        <v>18.274999999999999</v>
      </c>
      <c r="DA14" s="116" cm="1">
        <f t="array" ref="DA14">_xll.EQNXTDZ($A$1,$B14,DA$1)</f>
        <v>22.25</v>
      </c>
      <c r="DB14" s="116" cm="1">
        <f t="array" ref="DB14">_xll.EQNXTDZ($A$1,$B14,DB$1)</f>
        <v>28.35</v>
      </c>
      <c r="DC14" s="116" cm="1">
        <f t="array" ref="DC14">_xll.EQNXTDZ($A$1,$B14,DC$1)</f>
        <v>30.1</v>
      </c>
      <c r="DD14" s="116" cm="1">
        <f t="array" ref="DD14">_xll.EQNXTDZ($A$1,$B14,DD$1)</f>
        <v>34.75</v>
      </c>
      <c r="DE14" s="116" cm="1">
        <f t="array" ref="DE14">_xll.EQNXTDZ($A$1,$B14,DE$1)</f>
        <v>49.375</v>
      </c>
      <c r="DF14" s="116" cm="1">
        <f t="array" ref="DF14">_xll.EQNXTDZ($A$1,$B14,DF$1)</f>
        <v>60.35</v>
      </c>
      <c r="DG14" s="116" cm="1">
        <f t="array" ref="DG14">_xll.EQNXTDZ($A$1,$B14,DG$1)</f>
        <v>71.400000000000006</v>
      </c>
      <c r="DH14" s="116" cm="1">
        <f t="array" ref="DH14">_xll.EQNXTDZ($A$1,$B14,DH$1)</f>
        <v>74.875</v>
      </c>
      <c r="DI14" s="116" cm="1">
        <f t="array" ref="DI14">_xll.EQNXTDZ($A$1,$B14,DI$1)</f>
        <v>91.8</v>
      </c>
      <c r="DJ14" s="116" cm="1">
        <f t="array" ref="DJ14">_xll.EQNXTDZ($A$1,$B14,DJ$1)</f>
        <v>92.974999999999994</v>
      </c>
      <c r="DK14" s="116" cm="1">
        <f t="array" ref="DK14">_xll.EQNXTDZ($A$1,$B14,DK$1)</f>
        <v>89.9</v>
      </c>
      <c r="DL14" s="116" cm="1">
        <f t="array" ref="DL14">_xll.EQNXTDZ($A$1,$B14,DL$1)</f>
        <v>109.5</v>
      </c>
      <c r="DM14" s="116" cm="1">
        <f t="array" ref="DM14">_xll.EQNXTDZ($A$1,$B14,DM$1)</f>
        <v>106.4</v>
      </c>
      <c r="DN14" s="116" cm="1">
        <f t="array" ref="DN14">_xll.EQNXTDZ($A$1,$B14,DN$1)</f>
        <v>107.075</v>
      </c>
      <c r="DO14" s="116" cm="1">
        <f t="array" ref="DO14">_xll.EQNXTDZ($A$1,$B14,DO$1)</f>
        <v>91.7</v>
      </c>
      <c r="DP14" s="116" cm="1">
        <f t="array" ref="DP14">_xll.EQNXTDZ($A$1,$B14,DP$1)</f>
        <v>81.625</v>
      </c>
      <c r="DQ14" s="116" cm="1">
        <f t="array" ref="DQ14">_xll.EQNXTDZ($A$1,$B14,DQ$1)</f>
        <v>99.775000000000006</v>
      </c>
      <c r="DR14" s="116" cm="1">
        <f t="array" ref="DR14">_xll.EQNXTDZ($A$1,$B14,DR$1)</f>
        <v>106</v>
      </c>
      <c r="DS14" s="116" cm="1">
        <f t="array" ref="DS14">_xll.EQNXTDZ($A$1,$B14,DS$1)</f>
        <v>144.94999999999999</v>
      </c>
      <c r="DT14" s="116" cm="1">
        <f t="array" ref="DT14">_xll.EQNXTDZ($A$1,$B14,DT$1)</f>
        <v>197.02500000000001</v>
      </c>
      <c r="DU14" s="116" cm="1">
        <f t="array" ref="DU14">_xll.EQNXTDZ($A$1,$B14,DU$1)</f>
        <v>197.25</v>
      </c>
      <c r="DV14" s="116" cm="1">
        <f t="array" ref="DV14">_xll.EQNXTDZ($A$1,$B14,DV$1)</f>
        <v>207.5</v>
      </c>
      <c r="DW14" s="116" cm="1">
        <f t="array" ref="DW14">_xll.EQNXTDZ($A$1,$B14,DW$1)</f>
        <v>195</v>
      </c>
      <c r="DX14" s="116" cm="1">
        <f t="array" ref="DX14">_xll.EQNXTDZ($A$1,$B14,DX$1)</f>
        <v>232.5</v>
      </c>
      <c r="DY14" s="116" cm="1">
        <f t="array" ref="DY14">_xll.EQNXTDZ($A$1,$B14,DY$1)</f>
        <v>237.875</v>
      </c>
      <c r="DZ14" s="116" cm="1">
        <f t="array" ref="DZ14">_xll.EQNXTDZ($A$1,$B14,DZ$1)</f>
        <v>203</v>
      </c>
      <c r="EA14" s="116" cm="1">
        <f t="array" ref="EA14">_xll.EQNXTDZ($A$1,$B14,EA$1)</f>
        <v>216.67500000000001</v>
      </c>
      <c r="EB14" s="116" cm="1">
        <f t="array" ref="EB14">_xll.EQNXTDZ($A$1,$B14,EB$1)</f>
        <v>203.125</v>
      </c>
      <c r="EC14" s="116" cm="1">
        <f t="array" ref="EC14">_xll.EQNXTDZ($A$1,$B14,EC$1)</f>
        <v>236.75</v>
      </c>
      <c r="ED14" s="116" cm="1">
        <f t="array" ref="ED14">_xll.EQNXTDZ($A$1,$B14,ED$1)</f>
        <v>299.97500000000002</v>
      </c>
      <c r="EE14" s="116" cm="1">
        <f t="array" ref="EE14">_xll.EQNXTDZ($A$1,$B14,EE$1)</f>
        <v>298.17500000000001</v>
      </c>
      <c r="EF14" s="116" cm="1">
        <f t="array" ref="EF14">_xll.EQNXTDZ($A$1,$B14,EF$1)</f>
        <v>390.85</v>
      </c>
      <c r="EG14" s="116" cm="1">
        <f t="array" ref="EG14">_xll.EQNXTDZ($A$1,$B14,EG$1)</f>
        <v>443</v>
      </c>
      <c r="EH14" s="116" cm="1">
        <f t="array" ref="EH14">_xll.EQNXTDZ($A$1,$B14,EH$1)</f>
        <v>491.7</v>
      </c>
      <c r="EI14" s="116" cm="1">
        <f t="array" ref="EI14">_xll.EQNXTDZ($A$1,$B14,EI$1)</f>
        <v>424.75</v>
      </c>
      <c r="EJ14" s="116" cm="1">
        <f t="array" ref="EJ14">_xll.EQNXTDZ($A$1,$B14,EJ$1)</f>
        <v>493.77499999999998</v>
      </c>
      <c r="EK14" s="116" cm="1">
        <f t="array" ref="EK14">_xll.EQNXTDZ($A$1,$B14,EK$1)</f>
        <v>492.15</v>
      </c>
      <c r="EL14" s="116" cm="1">
        <f t="array" ref="EL14">_xll.EQNXTDZ($A$1,$B14,EL$1)</f>
        <v>560.25</v>
      </c>
      <c r="EM14" s="116" cm="1">
        <f t="array" ref="EM14">_xll.EQNXTDZ($A$1,$B14,EM$1)</f>
        <v>554.125</v>
      </c>
      <c r="EN14" s="116" cm="1">
        <f t="array" ref="EN14">_xll.EQNXTDZ($A$1,$B14,EN$1)</f>
        <v>504.875</v>
      </c>
      <c r="EO14" s="116" cm="1">
        <f t="array" ref="EO14">_xll.EQNXTDZ($A$1,$B14,EO$1)</f>
        <v>622.47500000000002</v>
      </c>
      <c r="EP14" s="116" cm="1">
        <f t="array" ref="EP14">_xll.EQNXTDZ($A$1,$B14,EP$1)</f>
        <v>594.6</v>
      </c>
      <c r="EQ14" s="116" cm="1">
        <f t="array" ref="EQ14">_xll.EQNXTDZ($A$1,$B14,EQ$1)</f>
        <v>690</v>
      </c>
      <c r="ER14" s="116" cm="1">
        <f t="array" ref="ER14">_xll.EQNXTDZ($A$1,$B14,ER$1)</f>
        <v>715</v>
      </c>
      <c r="ES14" s="116" cm="1">
        <f t="array" ref="ES14">_xll.EQNXTDZ($A$1,$B14,ES$1)</f>
        <v>641.85</v>
      </c>
      <c r="ET14" s="116" cm="1">
        <f t="array" ref="ET14">_xll.EQNXTDZ($A$1,$B14,ET$1)</f>
        <v>710</v>
      </c>
      <c r="EU14" s="116" cm="1">
        <f t="array" ref="EU14">_xll.EQNXTDZ($A$1,$B14,EU$1)</f>
        <v>738.85</v>
      </c>
      <c r="EV14" s="116" cm="1">
        <f t="array" ref="EV14">_xll.EQNXTDZ($A$1,$B14,EV$1)</f>
        <v>613.15</v>
      </c>
      <c r="EW14" s="116" cm="1">
        <f t="array" ref="EW14">_xll.EQNXTDZ($A$1,$B14,EW$1)</f>
        <v>672.4</v>
      </c>
      <c r="EX14" s="116" cm="1">
        <f t="array" ref="EX14">_xll.EQNXTDZ($A$1,$B14,EX$1)</f>
        <v>643.70000000000005</v>
      </c>
      <c r="EY14" s="116" cm="1">
        <f t="array" ref="EY14">_xll.EQNXTDZ($A$1,$B14,EY$1)</f>
        <v>542.35</v>
      </c>
      <c r="EZ14" s="116" cm="1">
        <f t="array" ref="EZ14">_xll.EQNXTDZ($A$1,$B14,EZ$1)</f>
        <v>493.85</v>
      </c>
      <c r="FA14" s="116" cm="1">
        <f t="array" ref="FA14">_xll.EQNXTDZ($A$1,$B14,FA$1)</f>
        <v>572</v>
      </c>
      <c r="FB14" s="116" cm="1">
        <f t="array" ref="FB14">_xll.EQNXTDZ($A$1,$B14,FB$1)</f>
        <v>700.9</v>
      </c>
      <c r="FC14" s="116" cm="1">
        <f t="array" ref="FC14">_xll.EQNXTDZ($A$1,$B14,FC$1)</f>
        <v>716.55</v>
      </c>
      <c r="FD14" s="116" cm="1">
        <f t="array" ref="FD14">_xll.EQNXTDZ($A$1,$B14,FD$1)</f>
        <v>682.9</v>
      </c>
      <c r="FE14" s="116" cm="1">
        <f t="array" ref="FE14">_xll.EQNXTDZ($A$1,$B14,FE$1)</f>
        <v>583</v>
      </c>
      <c r="FF14" s="116" cm="1">
        <f t="array" ref="FF14">_xll.EQNXTDZ($A$1,$B14,FF$1)</f>
        <v>634.95000000000005</v>
      </c>
      <c r="FG14" s="116" cm="1">
        <f t="array" ref="FG14">_xll.EQNXTDZ($A$1,$B14,FG$1)</f>
        <v>625.45000000000005</v>
      </c>
      <c r="FH14" s="116" cm="1">
        <f t="array" ref="FH14">_xll.EQNXTDZ($A$1,$B14,FH$1)</f>
        <v>570.85</v>
      </c>
      <c r="FI14" s="116" cm="1">
        <f t="array" ref="FI14">_xll.EQNXTDZ($A$1,$B14,FI$1)</f>
        <v>505.4</v>
      </c>
      <c r="FJ14" s="116" cm="1">
        <f t="array" ref="FJ14">_xll.EQNXTDZ($A$1,$B14,FJ$1)</f>
        <v>531.65</v>
      </c>
      <c r="FK14" s="116" cm="1">
        <f t="array" ref="FK14">_xll.EQNXTDZ($A$1,$B14,FK$1)</f>
        <v>493.95</v>
      </c>
      <c r="FL14" s="116" cm="1">
        <f t="array" ref="FL14">_xll.EQNXTDZ($A$1,$B14,FL$1)</f>
        <v>435.55</v>
      </c>
      <c r="FM14" s="116" cm="1">
        <f t="array" ref="FM14">_xll.EQNXTDZ($A$1,$B14,FM$1)</f>
        <v>524.4</v>
      </c>
      <c r="FN14" s="116" cm="1">
        <f t="array" ref="FN14">_xll.EQNXTDZ($A$1,$B14,FN$1)</f>
        <v>579.25</v>
      </c>
      <c r="FO14" s="116" cm="1">
        <f t="array" ref="FO14">_xll.EQNXTDZ($A$1,$B14,FO$1)</f>
        <v>576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30.9</v>
      </c>
      <c r="HQ14" s="116">
        <f>+MAX(G14:I14)</f>
        <v>27.125</v>
      </c>
      <c r="HR14" s="116">
        <f>+MAX(J14:L14)</f>
        <v>24.85</v>
      </c>
      <c r="HS14" s="116">
        <f>+MAX(M14:O14)</f>
        <v>19.149999999999999</v>
      </c>
      <c r="HT14" s="116">
        <f>+MAX(P14:R14)</f>
        <v>14.75</v>
      </c>
      <c r="HU14" s="116">
        <f>+MAX(S14:U14)</f>
        <v>17.149999999999999</v>
      </c>
      <c r="HV14" s="116">
        <f>+MAX(V14:X14)</f>
        <v>18.05</v>
      </c>
      <c r="HW14" s="116">
        <f>+MAX(Y14:AA14)</f>
        <v>35.200000000000003</v>
      </c>
      <c r="HX14" s="116">
        <f>+MAX(AB14:AD14)</f>
        <v>34.274999999999999</v>
      </c>
      <c r="HY14" s="116">
        <f>+MAX(AE14:AG14)</f>
        <v>29.15</v>
      </c>
      <c r="HZ14" s="116">
        <f>+MAX(AH14:AJ14)</f>
        <v>35.9</v>
      </c>
      <c r="IA14" s="116">
        <f>+MAX(AK14:AM14)</f>
        <v>42.125</v>
      </c>
      <c r="IB14" s="116">
        <f>+MAX(AN14:AP14)</f>
        <v>48.5</v>
      </c>
      <c r="IC14" s="116">
        <f>+MAX(AQ14:AS14)</f>
        <v>46.375</v>
      </c>
      <c r="ID14" s="116">
        <f>+MAX(AT14:AV14)</f>
        <v>42.875</v>
      </c>
      <c r="IE14" s="116">
        <f>+MAX(AW14:AY14)</f>
        <v>33.299999999999997</v>
      </c>
      <c r="IF14" s="116">
        <f>+MAX(AZ14:BB14)</f>
        <v>33.450000000000003</v>
      </c>
      <c r="IG14" s="116">
        <f>+MAX(BC14:BE14)</f>
        <v>37</v>
      </c>
      <c r="IH14" s="116">
        <f>+MAX(BF14:BH14)</f>
        <v>30.45</v>
      </c>
      <c r="II14" s="116">
        <f>+MAX(BI14:BK14)</f>
        <v>32.9</v>
      </c>
      <c r="IJ14" s="116">
        <f>+MAX(BL14:BN14)</f>
        <v>32.25</v>
      </c>
      <c r="IK14" s="116">
        <f>+MAX(BO14:BQ14)</f>
        <v>56.75</v>
      </c>
      <c r="IL14" s="116">
        <f>+MAX(BR14:BT14)</f>
        <v>54.9</v>
      </c>
      <c r="IM14" s="116">
        <f>+MAX(BU14:BW14)</f>
        <v>44.35</v>
      </c>
      <c r="IN14" s="116">
        <f>+MAX(BX14:BZ14)</f>
        <v>36.825000000000003</v>
      </c>
      <c r="IO14" s="116">
        <f>+MAX(CA14:CC14)</f>
        <v>35.625</v>
      </c>
      <c r="IP14" s="116">
        <f>+MAX(CD14:CF14)</f>
        <v>37.4</v>
      </c>
      <c r="IQ14" s="116">
        <f>+MAX(CG14:CI14)</f>
        <v>33.200000000000003</v>
      </c>
      <c r="IR14" s="116">
        <f>+MAX(CJ14:CL14)</f>
        <v>24</v>
      </c>
      <c r="IS14" s="116">
        <f>+MAX(CM14:CO14)</f>
        <v>20.125</v>
      </c>
      <c r="IT14" s="116">
        <f>+MAX(CP14:CR14)</f>
        <v>21.824999999999999</v>
      </c>
      <c r="IU14" s="116">
        <f>+MAX(CS14:CU14)</f>
        <v>15.4</v>
      </c>
      <c r="IV14" s="116">
        <f>+MAX(CV14:CX14)</f>
        <v>18.3</v>
      </c>
      <c r="IW14" s="116">
        <f>+MAX(CY14:DA14)</f>
        <v>22.25</v>
      </c>
      <c r="IX14" s="116">
        <f>+MAX(DB14:DD14)</f>
        <v>34.75</v>
      </c>
      <c r="IY14" s="116">
        <f>+MAX(DE14:DG14)</f>
        <v>71.400000000000006</v>
      </c>
      <c r="IZ14" s="116">
        <f>+MAX(DH14:DJ14)</f>
        <v>92.974999999999994</v>
      </c>
      <c r="JA14" s="116">
        <f>+MAX(DK14:DM14)</f>
        <v>109.5</v>
      </c>
      <c r="JB14" s="116">
        <f>+MAX(DN14:DP14)</f>
        <v>107.075</v>
      </c>
      <c r="JC14" s="116">
        <f>+MAX(DQ14:DS14)</f>
        <v>144.94999999999999</v>
      </c>
      <c r="JD14" s="116">
        <f>+MAX(DT14:DV14)</f>
        <v>207.5</v>
      </c>
      <c r="JE14" s="116">
        <f>+MAX(DW14:DY14)</f>
        <v>237.875</v>
      </c>
      <c r="JF14" s="116">
        <f>+MAX(DZ14:EB14)</f>
        <v>216.67500000000001</v>
      </c>
      <c r="JG14" s="116">
        <f>+MAX(EC14:EE14)</f>
        <v>299.97500000000002</v>
      </c>
      <c r="JH14" s="116">
        <f>+MAX(EF14:EH14)</f>
        <v>491.7</v>
      </c>
      <c r="JI14" s="116">
        <f>+MAX(EI14:EK14)</f>
        <v>493.77499999999998</v>
      </c>
      <c r="JJ14" s="116">
        <f>+MAX(EL14:EN14)</f>
        <v>560.25</v>
      </c>
      <c r="JK14" s="116">
        <f>MAX(EO14:EQ14)</f>
        <v>690</v>
      </c>
      <c r="JL14" s="116">
        <f>MAX(ER14:ET14)</f>
        <v>715</v>
      </c>
      <c r="JM14" s="116">
        <f>MAX(EU14:EW14)</f>
        <v>738.85</v>
      </c>
      <c r="JN14" s="116">
        <f>MAX(EX14:EZ14)</f>
        <v>643.70000000000005</v>
      </c>
      <c r="JO14" s="116">
        <f>MAX(FA14:FC14)</f>
        <v>716.55</v>
      </c>
      <c r="JP14" s="116">
        <f>MAX(FD14:FF14)</f>
        <v>682.9</v>
      </c>
      <c r="JQ14" s="116">
        <f>MAX(FG14:FI14)</f>
        <v>625.45000000000005</v>
      </c>
      <c r="JR14" s="116">
        <f>MAX(FJ14:FL14)</f>
        <v>531.65</v>
      </c>
      <c r="JS14" s="116">
        <f>MAX(FM14:FO14)</f>
        <v>579.25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26.024999999999999</v>
      </c>
      <c r="D15" s="116" cm="1">
        <f t="array" ref="D15">_xll.EQNXTDZ($A$1,$B15,D$1)</f>
        <v>25.4</v>
      </c>
      <c r="E15" s="116" cm="1">
        <f t="array" ref="E15">_xll.EQNXTDZ($A$1,$B15,E$1)</f>
        <v>19.875</v>
      </c>
      <c r="F15" s="116" cm="1">
        <f t="array" ref="F15">_xll.EQNXTDZ($A$1,$B15,F$1)</f>
        <v>20.7</v>
      </c>
      <c r="G15" s="116" cm="1">
        <f t="array" ref="G15">_xll.EQNXTDZ($A$1,$B15,G$1)</f>
        <v>23.45</v>
      </c>
      <c r="H15" s="116" cm="1">
        <f t="array" ref="H15">_xll.EQNXTDZ($A$1,$B15,H$1)</f>
        <v>23.75</v>
      </c>
      <c r="I15" s="116" cm="1">
        <f t="array" ref="I15">_xll.EQNXTDZ($A$1,$B15,I$1)</f>
        <v>23.324999999999999</v>
      </c>
      <c r="J15" s="116" cm="1">
        <f t="array" ref="J15">_xll.EQNXTDZ($A$1,$B15,J$1)</f>
        <v>20.350000000000001</v>
      </c>
      <c r="K15" s="116" cm="1">
        <f t="array" ref="K15">_xll.EQNXTDZ($A$1,$B15,K$1)</f>
        <v>17</v>
      </c>
      <c r="L15" s="116" cm="1">
        <f t="array" ref="L15">_xll.EQNXTDZ($A$1,$B15,L$1)</f>
        <v>15.15</v>
      </c>
      <c r="M15" s="116" cm="1">
        <f t="array" ref="M15">_xll.EQNXTDZ($A$1,$B15,M$1)</f>
        <v>15.5</v>
      </c>
      <c r="N15" s="116" cm="1">
        <f t="array" ref="N15">_xll.EQNXTDZ($A$1,$B15,N$1)</f>
        <v>15.925000000000001</v>
      </c>
      <c r="O15" s="116" cm="1">
        <f t="array" ref="O15">_xll.EQNXTDZ($A$1,$B15,O$1)</f>
        <v>13.574999999999999</v>
      </c>
      <c r="P15" s="116" cm="1">
        <f t="array" ref="P15">_xll.EQNXTDZ($A$1,$B15,P$1)</f>
        <v>10.5</v>
      </c>
      <c r="Q15" s="116" cm="1">
        <f t="array" ref="Q15">_xll.EQNXTDZ($A$1,$B15,Q$1)</f>
        <v>9.3000000000000007</v>
      </c>
      <c r="R15" s="116" cm="1">
        <f t="array" ref="R15">_xll.EQNXTDZ($A$1,$B15,R$1)</f>
        <v>11.1</v>
      </c>
      <c r="S15" s="116" cm="1">
        <f t="array" ref="S15">_xll.EQNXTDZ($A$1,$B15,S$1)</f>
        <v>12.7</v>
      </c>
      <c r="T15" s="116" cm="1">
        <f t="array" ref="T15">_xll.EQNXTDZ($A$1,$B15,T$1)</f>
        <v>14.4</v>
      </c>
      <c r="U15" s="116" cm="1">
        <f t="array" ref="U15">_xll.EQNXTDZ($A$1,$B15,U$1)</f>
        <v>14.15</v>
      </c>
      <c r="V15" s="116" cm="1">
        <f t="array" ref="V15">_xll.EQNXTDZ($A$1,$B15,V$1)</f>
        <v>14.425000000000001</v>
      </c>
      <c r="W15" s="116" cm="1">
        <f t="array" ref="W15">_xll.EQNXTDZ($A$1,$B15,W$1)</f>
        <v>11.75</v>
      </c>
      <c r="X15" s="116" cm="1">
        <f t="array" ref="X15">_xll.EQNXTDZ($A$1,$B15,X$1)</f>
        <v>12.475</v>
      </c>
      <c r="Y15" s="116" cm="1">
        <f t="array" ref="Y15">_xll.EQNXTDZ($A$1,$B15,Y$1)</f>
        <v>16.625</v>
      </c>
      <c r="Z15" s="116" cm="1">
        <f t="array" ref="Z15">_xll.EQNXTDZ($A$1,$B15,Z$1)</f>
        <v>18.05</v>
      </c>
      <c r="AA15" s="116" cm="1">
        <f t="array" ref="AA15">_xll.EQNXTDZ($A$1,$B15,AA$1)</f>
        <v>30.7</v>
      </c>
      <c r="AB15" s="116" cm="1">
        <f t="array" ref="AB15">_xll.EQNXTDZ($A$1,$B15,AB$1)</f>
        <v>26.3</v>
      </c>
      <c r="AC15" s="116" cm="1">
        <f t="array" ref="AC15">_xll.EQNXTDZ($A$1,$B15,AC$1)</f>
        <v>21.65</v>
      </c>
      <c r="AD15" s="116" cm="1">
        <f t="array" ref="AD15">_xll.EQNXTDZ($A$1,$B15,AD$1)</f>
        <v>21.6</v>
      </c>
      <c r="AE15" s="116" cm="1">
        <f t="array" ref="AE15">_xll.EQNXTDZ($A$1,$B15,AE$1)</f>
        <v>22.6</v>
      </c>
      <c r="AF15" s="116" cm="1">
        <f t="array" ref="AF15">_xll.EQNXTDZ($A$1,$B15,AF$1)</f>
        <v>24.2</v>
      </c>
      <c r="AG15" s="116" cm="1">
        <f t="array" ref="AG15">_xll.EQNXTDZ($A$1,$B15,AG$1)</f>
        <v>22.3</v>
      </c>
      <c r="AH15" s="116" cm="1">
        <f t="array" ref="AH15">_xll.EQNXTDZ($A$1,$B15,AH$1)</f>
        <v>25.024999999999999</v>
      </c>
      <c r="AI15" s="116" cm="1">
        <f t="array" ref="AI15">_xll.EQNXTDZ($A$1,$B15,AI$1)</f>
        <v>23.95</v>
      </c>
      <c r="AJ15" s="116" cm="1">
        <f t="array" ref="AJ15">_xll.EQNXTDZ($A$1,$B15,AJ$1)</f>
        <v>26.15</v>
      </c>
      <c r="AK15" s="116" cm="1">
        <f t="array" ref="AK15">_xll.EQNXTDZ($A$1,$B15,AK$1)</f>
        <v>30.375</v>
      </c>
      <c r="AL15" s="116" cm="1">
        <f t="array" ref="AL15">_xll.EQNXTDZ($A$1,$B15,AL$1)</f>
        <v>30.524999999999999</v>
      </c>
      <c r="AM15" s="116" cm="1">
        <f t="array" ref="AM15">_xll.EQNXTDZ($A$1,$B15,AM$1)</f>
        <v>29.125</v>
      </c>
      <c r="AN15" s="116" cm="1">
        <f t="array" ref="AN15">_xll.EQNXTDZ($A$1,$B15,AN$1)</f>
        <v>37.549999999999997</v>
      </c>
      <c r="AO15" s="116" cm="1">
        <f t="array" ref="AO15">_xll.EQNXTDZ($A$1,$B15,AO$1)</f>
        <v>31.25</v>
      </c>
      <c r="AP15" s="116" cm="1">
        <f t="array" ref="AP15">_xll.EQNXTDZ($A$1,$B15,AP$1)</f>
        <v>30.9</v>
      </c>
      <c r="AQ15" s="116" cm="1">
        <f t="array" ref="AQ15">_xll.EQNXTDZ($A$1,$B15,AQ$1)</f>
        <v>35.700000000000003</v>
      </c>
      <c r="AR15" s="116" cm="1">
        <f t="array" ref="AR15">_xll.EQNXTDZ($A$1,$B15,AR$1)</f>
        <v>36.774999999999999</v>
      </c>
      <c r="AS15" s="116" cm="1">
        <f t="array" ref="AS15">_xll.EQNXTDZ($A$1,$B15,AS$1)</f>
        <v>40.024999999999999</v>
      </c>
      <c r="AT15" s="116" cm="1">
        <f t="array" ref="AT15">_xll.EQNXTDZ($A$1,$B15,AT$1)</f>
        <v>30.6</v>
      </c>
      <c r="AU15" s="116" cm="1">
        <f t="array" ref="AU15">_xll.EQNXTDZ($A$1,$B15,AU$1)</f>
        <v>21.35</v>
      </c>
      <c r="AV15" s="116" cm="1">
        <f t="array" ref="AV15">_xll.EQNXTDZ($A$1,$B15,AV$1)</f>
        <v>21.774999999999999</v>
      </c>
      <c r="AW15" s="116" cm="1">
        <f t="array" ref="AW15">_xll.EQNXTDZ($A$1,$B15,AW$1)</f>
        <v>27.1</v>
      </c>
      <c r="AX15" s="116" cm="1">
        <f t="array" ref="AX15">_xll.EQNXTDZ($A$1,$B15,AX$1)</f>
        <v>28.9</v>
      </c>
      <c r="AY15" s="116" cm="1">
        <f t="array" ref="AY15">_xll.EQNXTDZ($A$1,$B15,AY$1)</f>
        <v>28.7</v>
      </c>
      <c r="AZ15" s="116" cm="1">
        <f t="array" ref="AZ15">_xll.EQNXTDZ($A$1,$B15,AZ$1)</f>
        <v>29.4</v>
      </c>
      <c r="BA15" s="116" cm="1">
        <f t="array" ref="BA15">_xll.EQNXTDZ($A$1,$B15,BA$1)</f>
        <v>27.4</v>
      </c>
      <c r="BB15" s="116" cm="1">
        <f t="array" ref="BB15">_xll.EQNXTDZ($A$1,$B15,BB$1)</f>
        <v>27.95</v>
      </c>
      <c r="BC15" s="116" cm="1">
        <f t="array" ref="BC15">_xll.EQNXTDZ($A$1,$B15,BC$1)</f>
        <v>28.6</v>
      </c>
      <c r="BD15" s="116" cm="1">
        <f t="array" ref="BD15">_xll.EQNXTDZ($A$1,$B15,BD$1)</f>
        <v>22.7</v>
      </c>
      <c r="BE15" s="116" cm="1">
        <f t="array" ref="BE15">_xll.EQNXTDZ($A$1,$B15,BE$1)</f>
        <v>25.6</v>
      </c>
      <c r="BF15" s="116" cm="1">
        <f t="array" ref="BF15">_xll.EQNXTDZ($A$1,$B15,BF$1)</f>
        <v>27.5</v>
      </c>
      <c r="BG15" s="116" cm="1">
        <f t="array" ref="BG15">_xll.EQNXTDZ($A$1,$B15,BG$1)</f>
        <v>26.1</v>
      </c>
      <c r="BH15" s="116" cm="1">
        <f t="array" ref="BH15">_xll.EQNXTDZ($A$1,$B15,BH$1)</f>
        <v>25.5</v>
      </c>
      <c r="BI15" s="116" cm="1">
        <f t="array" ref="BI15">_xll.EQNXTDZ($A$1,$B15,BI$1)</f>
        <v>27.274999999999999</v>
      </c>
      <c r="BJ15" s="116" cm="1">
        <f t="array" ref="BJ15">_xll.EQNXTDZ($A$1,$B15,BJ$1)</f>
        <v>28.7</v>
      </c>
      <c r="BK15" s="116" cm="1">
        <f t="array" ref="BK15">_xll.EQNXTDZ($A$1,$B15,BK$1)</f>
        <v>27.65</v>
      </c>
      <c r="BL15" s="116" cm="1">
        <f t="array" ref="BL15">_xll.EQNXTDZ($A$1,$B15,BL$1)</f>
        <v>28.475000000000001</v>
      </c>
      <c r="BM15" s="116" cm="1">
        <f t="array" ref="BM15">_xll.EQNXTDZ($A$1,$B15,BM$1)</f>
        <v>22.5</v>
      </c>
      <c r="BN15" s="116" cm="1">
        <f t="array" ref="BN15">_xll.EQNXTDZ($A$1,$B15,BN$1)</f>
        <v>23.725000000000001</v>
      </c>
      <c r="BO15" s="116" cm="1">
        <f t="array" ref="BO15">_xll.EQNXTDZ($A$1,$B15,BO$1)</f>
        <v>27.725000000000001</v>
      </c>
      <c r="BP15" s="116" cm="1">
        <f t="array" ref="BP15">_xll.EQNXTDZ($A$1,$B15,BP$1)</f>
        <v>33.1</v>
      </c>
      <c r="BQ15" s="116" cm="1">
        <f t="array" ref="BQ15">_xll.EQNXTDZ($A$1,$B15,BQ$1)</f>
        <v>40.375</v>
      </c>
      <c r="BR15" s="116" cm="1">
        <f t="array" ref="BR15">_xll.EQNXTDZ($A$1,$B15,BR$1)</f>
        <v>43.325000000000003</v>
      </c>
      <c r="BS15" s="116" cm="1">
        <f t="array" ref="BS15">_xll.EQNXTDZ($A$1,$B15,BS$1)</f>
        <v>37.450000000000003</v>
      </c>
      <c r="BT15" s="116" cm="1">
        <f t="array" ref="BT15">_xll.EQNXTDZ($A$1,$B15,BT$1)</f>
        <v>34.575000000000003</v>
      </c>
      <c r="BU15" s="116" cm="1">
        <f t="array" ref="BU15">_xll.EQNXTDZ($A$1,$B15,BU$1)</f>
        <v>38.5</v>
      </c>
      <c r="BV15" s="116" cm="1">
        <f t="array" ref="BV15">_xll.EQNXTDZ($A$1,$B15,BV$1)</f>
        <v>30.375</v>
      </c>
      <c r="BW15" s="116" cm="1">
        <f t="array" ref="BW15">_xll.EQNXTDZ($A$1,$B15,BW$1)</f>
        <v>28.425000000000001</v>
      </c>
      <c r="BX15" s="116" cm="1">
        <f t="array" ref="BX15">_xll.EQNXTDZ($A$1,$B15,BX$1)</f>
        <v>27.225000000000001</v>
      </c>
      <c r="BY15" s="116" cm="1">
        <f t="array" ref="BY15">_xll.EQNXTDZ($A$1,$B15,BY$1)</f>
        <v>31.274999999999999</v>
      </c>
      <c r="BZ15" s="116" cm="1">
        <f t="array" ref="BZ15">_xll.EQNXTDZ($A$1,$B15,BZ$1)</f>
        <v>26.125</v>
      </c>
      <c r="CA15" s="116" cm="1">
        <f t="array" ref="CA15">_xll.EQNXTDZ($A$1,$B15,CA$1)</f>
        <v>24.225000000000001</v>
      </c>
      <c r="CB15" s="116" cm="1">
        <f t="array" ref="CB15">_xll.EQNXTDZ($A$1,$B15,CB$1)</f>
        <v>26.824999999999999</v>
      </c>
      <c r="CC15" s="116" cm="1">
        <f t="array" ref="CC15">_xll.EQNXTDZ($A$1,$B15,CC$1)</f>
        <v>27</v>
      </c>
      <c r="CD15" s="116" cm="1">
        <f t="array" ref="CD15">_xll.EQNXTDZ($A$1,$B15,CD$1)</f>
        <v>29.675000000000001</v>
      </c>
      <c r="CE15" s="116" cm="1">
        <f t="array" ref="CE15">_xll.EQNXTDZ($A$1,$B15,CE$1)</f>
        <v>26.35</v>
      </c>
      <c r="CF15" s="116" cm="1">
        <f t="array" ref="CF15">_xll.EQNXTDZ($A$1,$B15,CF$1)</f>
        <v>28.8</v>
      </c>
      <c r="CG15" s="116" cm="1">
        <f t="array" ref="CG15">_xll.EQNXTDZ($A$1,$B15,CG$1)</f>
        <v>28.8</v>
      </c>
      <c r="CH15" s="116" cm="1">
        <f t="array" ref="CH15">_xll.EQNXTDZ($A$1,$B15,CH$1)</f>
        <v>24.1</v>
      </c>
      <c r="CI15" s="116" cm="1">
        <f t="array" ref="CI15">_xll.EQNXTDZ($A$1,$B15,CI$1)</f>
        <v>21.625</v>
      </c>
      <c r="CJ15" s="116" cm="1">
        <f t="array" ref="CJ15">_xll.EQNXTDZ($A$1,$B15,CJ$1)</f>
        <v>14.975</v>
      </c>
      <c r="CK15" s="116" cm="1">
        <f t="array" ref="CK15">_xll.EQNXTDZ($A$1,$B15,CK$1)</f>
        <v>12.475</v>
      </c>
      <c r="CL15" s="116" cm="1">
        <f t="array" ref="CL15">_xll.EQNXTDZ($A$1,$B15,CL$1)</f>
        <v>14.875</v>
      </c>
      <c r="CM15" s="116" cm="1">
        <f t="array" ref="CM15">_xll.EQNXTDZ($A$1,$B15,CM$1)</f>
        <v>14.25</v>
      </c>
      <c r="CN15" s="116" cm="1">
        <f t="array" ref="CN15">_xll.EQNXTDZ($A$1,$B15,CN$1)</f>
        <v>16.024999999999999</v>
      </c>
      <c r="CO15" s="116" cm="1">
        <f t="array" ref="CO15">_xll.EQNXTDZ($A$1,$B15,CO$1)</f>
        <v>14.45</v>
      </c>
      <c r="CP15" s="116" cm="1">
        <f t="array" ref="CP15">_xll.EQNXTDZ($A$1,$B15,CP$1)</f>
        <v>16.649999999999999</v>
      </c>
      <c r="CQ15" s="116" cm="1">
        <f t="array" ref="CQ15">_xll.EQNXTDZ($A$1,$B15,CQ$1)</f>
        <v>13.75</v>
      </c>
      <c r="CR15" s="116" cm="1">
        <f t="array" ref="CR15">_xll.EQNXTDZ($A$1,$B15,CR$1)</f>
        <v>6.875</v>
      </c>
      <c r="CS15" s="116" cm="1">
        <f t="array" ref="CS15">_xll.EQNXTDZ($A$1,$B15,CS$1)</f>
        <v>8.6999999999999993</v>
      </c>
      <c r="CT15" s="116" cm="1">
        <f t="array" ref="CT15">_xll.EQNXTDZ($A$1,$B15,CT$1)</f>
        <v>9.1999999999999993</v>
      </c>
      <c r="CU15" s="116" cm="1">
        <f t="array" ref="CU15">_xll.EQNXTDZ($A$1,$B15,CU$1)</f>
        <v>9.5</v>
      </c>
      <c r="CV15" s="116" cm="1">
        <f t="array" ref="CV15">_xll.EQNXTDZ($A$1,$B15,CV$1)</f>
        <v>11.95</v>
      </c>
      <c r="CW15" s="116" cm="1">
        <f t="array" ref="CW15">_xll.EQNXTDZ($A$1,$B15,CW$1)</f>
        <v>12.025</v>
      </c>
      <c r="CX15" s="116" cm="1">
        <f t="array" ref="CX15">_xll.EQNXTDZ($A$1,$B15,CX$1)</f>
        <v>12.2</v>
      </c>
      <c r="CY15" s="116" cm="1">
        <f t="array" ref="CY15">_xll.EQNXTDZ($A$1,$B15,CY$1)</f>
        <v>10.975</v>
      </c>
      <c r="CZ15" s="116" cm="1">
        <f t="array" ref="CZ15">_xll.EQNXTDZ($A$1,$B15,CZ$1)</f>
        <v>10.75</v>
      </c>
      <c r="DA15" s="116" cm="1">
        <f t="array" ref="DA15">_xll.EQNXTDZ($A$1,$B15,DA$1)</f>
        <v>16</v>
      </c>
      <c r="DB15" s="116" cm="1">
        <f t="array" ref="DB15">_xll.EQNXTDZ($A$1,$B15,DB$1)</f>
        <v>20.524999999999999</v>
      </c>
      <c r="DC15" s="116" cm="1">
        <f t="array" ref="DC15">_xll.EQNXTDZ($A$1,$B15,DC$1)</f>
        <v>22.7</v>
      </c>
      <c r="DD15" s="116" cm="1">
        <f t="array" ref="DD15">_xll.EQNXTDZ($A$1,$B15,DD$1)</f>
        <v>26.824999999999999</v>
      </c>
      <c r="DE15" s="116" cm="1">
        <f t="array" ref="DE15">_xll.EQNXTDZ($A$1,$B15,DE$1)</f>
        <v>30.725000000000001</v>
      </c>
      <c r="DF15" s="116" cm="1">
        <f t="array" ref="DF15">_xll.EQNXTDZ($A$1,$B15,DF$1)</f>
        <v>41.9</v>
      </c>
      <c r="DG15" s="116" cm="1">
        <f t="array" ref="DG15">_xll.EQNXTDZ($A$1,$B15,DG$1)</f>
        <v>54.65</v>
      </c>
      <c r="DH15" s="116" cm="1">
        <f t="array" ref="DH15">_xll.EQNXTDZ($A$1,$B15,DH$1)</f>
        <v>62.125</v>
      </c>
      <c r="DI15" s="116" cm="1">
        <f t="array" ref="DI15">_xll.EQNXTDZ($A$1,$B15,DI$1)</f>
        <v>68.3</v>
      </c>
      <c r="DJ15" s="116" cm="1">
        <f t="array" ref="DJ15">_xll.EQNXTDZ($A$1,$B15,DJ$1)</f>
        <v>79</v>
      </c>
      <c r="DK15" s="116" cm="1">
        <f t="array" ref="DK15">_xll.EQNXTDZ($A$1,$B15,DK$1)</f>
        <v>71.2</v>
      </c>
      <c r="DL15" s="116" cm="1">
        <f t="array" ref="DL15">_xll.EQNXTDZ($A$1,$B15,DL$1)</f>
        <v>81.224999999999994</v>
      </c>
      <c r="DM15" s="116" cm="1">
        <f t="array" ref="DM15">_xll.EQNXTDZ($A$1,$B15,DM$1)</f>
        <v>81.775000000000006</v>
      </c>
      <c r="DN15" s="116" cm="1">
        <f t="array" ref="DN15">_xll.EQNXTDZ($A$1,$B15,DN$1)</f>
        <v>83.025000000000006</v>
      </c>
      <c r="DO15" s="116" cm="1">
        <f t="array" ref="DO15">_xll.EQNXTDZ($A$1,$B15,DO$1)</f>
        <v>64.650000000000006</v>
      </c>
      <c r="DP15" s="116" cm="1">
        <f t="array" ref="DP15">_xll.EQNXTDZ($A$1,$B15,DP$1)</f>
        <v>68.375</v>
      </c>
      <c r="DQ15" s="116" cm="1">
        <f t="array" ref="DQ15">_xll.EQNXTDZ($A$1,$B15,DQ$1)</f>
        <v>71.5</v>
      </c>
      <c r="DR15" s="116" cm="1">
        <f t="array" ref="DR15">_xll.EQNXTDZ($A$1,$B15,DR$1)</f>
        <v>79.400000000000006</v>
      </c>
      <c r="DS15" s="116" cm="1">
        <f t="array" ref="DS15">_xll.EQNXTDZ($A$1,$B15,DS$1)</f>
        <v>97.375</v>
      </c>
      <c r="DT15" s="116" cm="1">
        <f t="array" ref="DT15">_xll.EQNXTDZ($A$1,$B15,DT$1)</f>
        <v>127</v>
      </c>
      <c r="DU15" s="116" cm="1">
        <f t="array" ref="DU15">_xll.EQNXTDZ($A$1,$B15,DU$1)</f>
        <v>166</v>
      </c>
      <c r="DV15" s="116" cm="1">
        <f t="array" ref="DV15">_xll.EQNXTDZ($A$1,$B15,DV$1)</f>
        <v>159.07499999999999</v>
      </c>
      <c r="DW15" s="116" cm="1">
        <f t="array" ref="DW15">_xll.EQNXTDZ($A$1,$B15,DW$1)</f>
        <v>159.125</v>
      </c>
      <c r="DX15" s="116" cm="1">
        <f t="array" ref="DX15">_xll.EQNXTDZ($A$1,$B15,DX$1)</f>
        <v>173.15</v>
      </c>
      <c r="DY15" s="116" cm="1">
        <f t="array" ref="DY15">_xll.EQNXTDZ($A$1,$B15,DY$1)</f>
        <v>165.625</v>
      </c>
      <c r="DZ15" s="116" cm="1">
        <f t="array" ref="DZ15">_xll.EQNXTDZ($A$1,$B15,DZ$1)</f>
        <v>177.25</v>
      </c>
      <c r="EA15" s="116" cm="1">
        <f t="array" ref="EA15">_xll.EQNXTDZ($A$1,$B15,EA$1)</f>
        <v>179.92500000000001</v>
      </c>
      <c r="EB15" s="116" cm="1">
        <f t="array" ref="EB15">_xll.EQNXTDZ($A$1,$B15,EB$1)</f>
        <v>174.95</v>
      </c>
      <c r="EC15" s="116" cm="1">
        <f t="array" ref="EC15">_xll.EQNXTDZ($A$1,$B15,EC$1)</f>
        <v>190.02500000000001</v>
      </c>
      <c r="ED15" s="116" cm="1">
        <f t="array" ref="ED15">_xll.EQNXTDZ($A$1,$B15,ED$1)</f>
        <v>214.65</v>
      </c>
      <c r="EE15" s="116" cm="1">
        <f t="array" ref="EE15">_xll.EQNXTDZ($A$1,$B15,EE$1)</f>
        <v>261.89999999999998</v>
      </c>
      <c r="EF15" s="116" cm="1">
        <f t="array" ref="EF15">_xll.EQNXTDZ($A$1,$B15,EF$1)</f>
        <v>293.52499999999998</v>
      </c>
      <c r="EG15" s="116" cm="1">
        <f t="array" ref="EG15">_xll.EQNXTDZ($A$1,$B15,EG$1)</f>
        <v>378.72500000000002</v>
      </c>
      <c r="EH15" s="116" cm="1">
        <f t="array" ref="EH15">_xll.EQNXTDZ($A$1,$B15,EH$1)</f>
        <v>346.67500000000001</v>
      </c>
      <c r="EI15" s="116" cm="1">
        <f t="array" ref="EI15">_xll.EQNXTDZ($A$1,$B15,EI$1)</f>
        <v>357</v>
      </c>
      <c r="EJ15" s="116" cm="1">
        <f t="array" ref="EJ15">_xll.EQNXTDZ($A$1,$B15,EJ$1)</f>
        <v>425</v>
      </c>
      <c r="EK15" s="116" cm="1">
        <f t="array" ref="EK15">_xll.EQNXTDZ($A$1,$B15,EK$1)</f>
        <v>429.5</v>
      </c>
      <c r="EL15" s="116" cm="1">
        <f t="array" ref="EL15">_xll.EQNXTDZ($A$1,$B15,EL$1)</f>
        <v>451.9</v>
      </c>
      <c r="EM15" s="116" cm="1">
        <f t="array" ref="EM15">_xll.EQNXTDZ($A$1,$B15,EM$1)</f>
        <v>455.5</v>
      </c>
      <c r="EN15" s="116" cm="1">
        <f t="array" ref="EN15">_xll.EQNXTDZ($A$1,$B15,EN$1)</f>
        <v>395.05</v>
      </c>
      <c r="EO15" s="116" cm="1">
        <f t="array" ref="EO15">_xll.EQNXTDZ($A$1,$B15,EO$1)</f>
        <v>452.02499999999998</v>
      </c>
      <c r="EP15" s="116" cm="1">
        <f t="array" ref="EP15">_xll.EQNXTDZ($A$1,$B15,EP$1)</f>
        <v>460.22500000000002</v>
      </c>
      <c r="EQ15" s="116" cm="1">
        <f t="array" ref="EQ15">_xll.EQNXTDZ($A$1,$B15,EQ$1)</f>
        <v>478.7</v>
      </c>
      <c r="ER15" s="116" cm="1">
        <f t="array" ref="ER15">_xll.EQNXTDZ($A$1,$B15,ER$1)</f>
        <v>556.5</v>
      </c>
      <c r="ES15" s="116" cm="1">
        <f t="array" ref="ES15">_xll.EQNXTDZ($A$1,$B15,ES$1)</f>
        <v>562</v>
      </c>
      <c r="ET15" s="116" cm="1">
        <f t="array" ref="ET15">_xll.EQNXTDZ($A$1,$B15,ET$1)</f>
        <v>605.20000000000005</v>
      </c>
      <c r="EU15" s="116" cm="1">
        <f t="array" ref="EU15">_xll.EQNXTDZ($A$1,$B15,EU$1)</f>
        <v>528.85</v>
      </c>
      <c r="EV15" s="116" cm="1">
        <f t="array" ref="EV15">_xll.EQNXTDZ($A$1,$B15,EV$1)</f>
        <v>530.54999999999995</v>
      </c>
      <c r="EW15" s="116" cm="1">
        <f t="array" ref="EW15">_xll.EQNXTDZ($A$1,$B15,EW$1)</f>
        <v>577.79999999999995</v>
      </c>
      <c r="EX15" s="116" cm="1">
        <f t="array" ref="EX15">_xll.EQNXTDZ($A$1,$B15,EX$1)</f>
        <v>503</v>
      </c>
      <c r="EY15" s="116" cm="1">
        <f t="array" ref="EY15">_xll.EQNXTDZ($A$1,$B15,EY$1)</f>
        <v>408.4</v>
      </c>
      <c r="EZ15" s="116" cm="1">
        <f t="array" ref="EZ15">_xll.EQNXTDZ($A$1,$B15,EZ$1)</f>
        <v>378.35</v>
      </c>
      <c r="FA15" s="116" cm="1">
        <f t="array" ref="FA15">_xll.EQNXTDZ($A$1,$B15,FA$1)</f>
        <v>348.05</v>
      </c>
      <c r="FB15" s="116" cm="1">
        <f t="array" ref="FB15">_xll.EQNXTDZ($A$1,$B15,FB$1)</f>
        <v>538</v>
      </c>
      <c r="FC15" s="116" cm="1">
        <f t="array" ref="FC15">_xll.EQNXTDZ($A$1,$B15,FC$1)</f>
        <v>624.45000000000005</v>
      </c>
      <c r="FD15" s="116" cm="1">
        <f t="array" ref="FD15">_xll.EQNXTDZ($A$1,$B15,FD$1)</f>
        <v>560.4</v>
      </c>
      <c r="FE15" s="116" cm="1">
        <f t="array" ref="FE15">_xll.EQNXTDZ($A$1,$B15,FE$1)</f>
        <v>531.54999999999995</v>
      </c>
      <c r="FF15" s="116" cm="1">
        <f t="array" ref="FF15">_xll.EQNXTDZ($A$1,$B15,FF$1)</f>
        <v>549.79999999999995</v>
      </c>
      <c r="FG15" s="116" cm="1">
        <f t="array" ref="FG15">_xll.EQNXTDZ($A$1,$B15,FG$1)</f>
        <v>528.1</v>
      </c>
      <c r="FH15" s="116" cm="1">
        <f t="array" ref="FH15">_xll.EQNXTDZ($A$1,$B15,FH$1)</f>
        <v>486.6</v>
      </c>
      <c r="FI15" s="116" cm="1">
        <f t="array" ref="FI15">_xll.EQNXTDZ($A$1,$B15,FI$1)</f>
        <v>461.1</v>
      </c>
      <c r="FJ15" s="116" cm="1">
        <f t="array" ref="FJ15">_xll.EQNXTDZ($A$1,$B15,FJ$1)</f>
        <v>361.85</v>
      </c>
      <c r="FK15" s="116" cm="1">
        <f t="array" ref="FK15">_xll.EQNXTDZ($A$1,$B15,FK$1)</f>
        <v>385</v>
      </c>
      <c r="FL15" s="116" cm="1">
        <f t="array" ref="FL15">_xll.EQNXTDZ($A$1,$B15,FL$1)</f>
        <v>352</v>
      </c>
      <c r="FM15" s="116" cm="1">
        <f t="array" ref="FM15">_xll.EQNXTDZ($A$1,$B15,FM$1)</f>
        <v>367.3</v>
      </c>
      <c r="FN15" s="116" cm="1">
        <f t="array" ref="FN15">_xll.EQNXTDZ($A$1,$B15,FN$1)</f>
        <v>470</v>
      </c>
      <c r="FO15" s="116" cm="1">
        <f t="array" ref="FO15">_xll.EQNXTDZ($A$1,$B15,FO$1)</f>
        <v>495.15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19.875</v>
      </c>
      <c r="HQ15" s="116">
        <f>+MIN(G15:I15)</f>
        <v>23.324999999999999</v>
      </c>
      <c r="HR15" s="116">
        <f>+MIN(J15:L15)</f>
        <v>15.15</v>
      </c>
      <c r="HS15" s="116">
        <f>+MIN(M15:O15)</f>
        <v>13.574999999999999</v>
      </c>
      <c r="HT15" s="116">
        <f>+MIN(P15:R15)</f>
        <v>9.3000000000000007</v>
      </c>
      <c r="HU15" s="116">
        <f>+MIN(S15:U15)</f>
        <v>12.7</v>
      </c>
      <c r="HV15" s="116">
        <f>+MIN(V15:X15)</f>
        <v>11.75</v>
      </c>
      <c r="HW15" s="116">
        <f>+MIN(Y15:AA15)</f>
        <v>16.625</v>
      </c>
      <c r="HX15" s="116">
        <f>+MIN(AB15:AD15)</f>
        <v>21.6</v>
      </c>
      <c r="HY15" s="116">
        <f>+MIN(AE15:AG15)</f>
        <v>22.3</v>
      </c>
      <c r="HZ15" s="116">
        <f>+MIN(AH15:AJ15)</f>
        <v>23.95</v>
      </c>
      <c r="IA15" s="116">
        <f>+MIN(AK15:AM15)</f>
        <v>29.125</v>
      </c>
      <c r="IB15" s="116">
        <f>+MIN(AN15:AP15)</f>
        <v>30.9</v>
      </c>
      <c r="IC15" s="116">
        <f>+MIN(AQ15:AS15)</f>
        <v>35.700000000000003</v>
      </c>
      <c r="ID15" s="116">
        <f>+MIN(AT15:AV15)</f>
        <v>21.35</v>
      </c>
      <c r="IE15" s="116">
        <f>+MIN(AW15:AY15)</f>
        <v>27.1</v>
      </c>
      <c r="IF15" s="116">
        <f>+MIN(AZ15:BB15)</f>
        <v>27.4</v>
      </c>
      <c r="IG15" s="116">
        <f>+MIN(BC15:BE15)</f>
        <v>22.7</v>
      </c>
      <c r="IH15" s="116">
        <f>+MIN(BF15:BH15)</f>
        <v>25.5</v>
      </c>
      <c r="II15" s="116">
        <f>+MIN(BI15:BK15)</f>
        <v>27.274999999999999</v>
      </c>
      <c r="IJ15" s="116">
        <f>+MIN(BL15:BN15)</f>
        <v>22.5</v>
      </c>
      <c r="IK15" s="116">
        <f>+MIN(BO15:BQ15)</f>
        <v>27.725000000000001</v>
      </c>
      <c r="IL15" s="116">
        <f>+MIN(BR15:BT15)</f>
        <v>34.575000000000003</v>
      </c>
      <c r="IM15" s="116">
        <f>+MIN(BU15:BW15)</f>
        <v>28.425000000000001</v>
      </c>
      <c r="IN15" s="116">
        <f>+MIN(BX15:BZ15)</f>
        <v>26.125</v>
      </c>
      <c r="IO15" s="116">
        <f>+MIN(CA15:CC15)</f>
        <v>24.225000000000001</v>
      </c>
      <c r="IP15" s="116">
        <f>+MIN(CD15:CF15)</f>
        <v>26.35</v>
      </c>
      <c r="IQ15" s="116">
        <f>+MIN(CG15:CI15)</f>
        <v>21.625</v>
      </c>
      <c r="IR15" s="116">
        <f>+MIN(CJ15:CL15)</f>
        <v>12.475</v>
      </c>
      <c r="IS15" s="116">
        <f>+MIN(CM15:CO15)</f>
        <v>14.25</v>
      </c>
      <c r="IT15" s="116">
        <f>+MIN(CP15:CR15)</f>
        <v>6.875</v>
      </c>
      <c r="IU15" s="116">
        <f>+MIN(CS15:CU15)</f>
        <v>8.6999999999999993</v>
      </c>
      <c r="IV15" s="116">
        <f>+MIN(CV15:CX15)</f>
        <v>11.95</v>
      </c>
      <c r="IW15" s="116">
        <f>+MIN(CY15:DA15)</f>
        <v>10.75</v>
      </c>
      <c r="IX15" s="116">
        <f>+MIN(DB15:DD15)</f>
        <v>20.524999999999999</v>
      </c>
      <c r="IY15" s="116">
        <f>+MIN(DE15:DG15)</f>
        <v>30.725000000000001</v>
      </c>
      <c r="IZ15" s="116">
        <f>+MIN(DH15:DJ15)</f>
        <v>62.125</v>
      </c>
      <c r="JA15" s="116">
        <f>+MIN(DK15:DM15)</f>
        <v>71.2</v>
      </c>
      <c r="JB15" s="116">
        <f>+MIN(DN15:DP15)</f>
        <v>64.650000000000006</v>
      </c>
      <c r="JC15" s="116">
        <f>+MIN(DQ15:DS15)</f>
        <v>71.5</v>
      </c>
      <c r="JD15" s="116">
        <f>+MIN(DT15:DV15)</f>
        <v>127</v>
      </c>
      <c r="JE15" s="116">
        <f>+MIN(DW15:DY15)</f>
        <v>159.125</v>
      </c>
      <c r="JF15" s="116">
        <f>+MIN(DZ15:EB15)</f>
        <v>174.95</v>
      </c>
      <c r="JG15" s="116">
        <f>+MIN(EC15:EE15)</f>
        <v>190.02500000000001</v>
      </c>
      <c r="JH15" s="116">
        <f>+MIN(EF15:EH15)</f>
        <v>293.52499999999998</v>
      </c>
      <c r="JI15" s="116">
        <f>+MIN(EI15:EK15)</f>
        <v>357</v>
      </c>
      <c r="JJ15" s="116">
        <f>+MIN(EL15:EN15)</f>
        <v>395.05</v>
      </c>
      <c r="JK15" s="116">
        <f>MIN(EO15:EQ15)</f>
        <v>452.02499999999998</v>
      </c>
      <c r="JL15" s="116">
        <f>MIN(ER15:ET15)</f>
        <v>556.5</v>
      </c>
      <c r="JM15" s="116">
        <f>MIN(EU15:EW15)</f>
        <v>528.85</v>
      </c>
      <c r="JN15" s="116">
        <f>MIN(EX15:EZ15)</f>
        <v>378.35</v>
      </c>
      <c r="JO15" s="116">
        <f>MIN(FA15:FC15)</f>
        <v>348.05</v>
      </c>
      <c r="JP15" s="116">
        <f>MIN(FD15:FF15)</f>
        <v>531.54999999999995</v>
      </c>
      <c r="JQ15" s="116">
        <f>MIN(FG15:FI15)</f>
        <v>461.1</v>
      </c>
      <c r="JR15" s="116">
        <f>MIN(FJ15:FL15)</f>
        <v>352</v>
      </c>
      <c r="JS15" s="116">
        <f>MIN(FM15:FO15)</f>
        <v>367.3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26.8</v>
      </c>
      <c r="D16" s="116" cm="1">
        <f t="array" ref="D16">_xll.EQNXTDZ($A$1,$B16,D$1)</f>
        <v>26.225000000000001</v>
      </c>
      <c r="E16" s="116" cm="1">
        <f t="array" ref="E16">_xll.EQNXTDZ($A$1,$B16,E$1)</f>
        <v>20.95</v>
      </c>
      <c r="F16" s="116" cm="1">
        <f t="array" ref="F16">_xll.EQNXTDZ($A$1,$B16,F$1)</f>
        <v>24.725000000000001</v>
      </c>
      <c r="G16" s="116" cm="1">
        <f t="array" ref="G16">_xll.EQNXTDZ($A$1,$B16,G$1)</f>
        <v>23.574999999999999</v>
      </c>
      <c r="H16" s="116" cm="1">
        <f t="array" ref="H16">_xll.EQNXTDZ($A$1,$B16,H$1)</f>
        <v>23.925000000000001</v>
      </c>
      <c r="I16" s="116" cm="1">
        <f t="array" ref="I16">_xll.EQNXTDZ($A$1,$B16,I$1)</f>
        <v>23.425000000000001</v>
      </c>
      <c r="J16" s="116" cm="1">
        <f t="array" ref="J16">_xll.EQNXTDZ($A$1,$B16,J$1)</f>
        <v>20.75</v>
      </c>
      <c r="K16" s="116" cm="1">
        <f t="array" ref="K16">_xll.EQNXTDZ($A$1,$B16,K$1)</f>
        <v>17.149999999999999</v>
      </c>
      <c r="L16" s="116" cm="1">
        <f t="array" ref="L16">_xll.EQNXTDZ($A$1,$B16,L$1)</f>
        <v>15.45</v>
      </c>
      <c r="M16" s="116" cm="1">
        <f t="array" ref="M16">_xll.EQNXTDZ($A$1,$B16,M$1)</f>
        <v>16.75</v>
      </c>
      <c r="N16" s="116" cm="1">
        <f t="array" ref="N16">_xll.EQNXTDZ($A$1,$B16,N$1)</f>
        <v>15.975</v>
      </c>
      <c r="O16" s="116" cm="1">
        <f t="array" ref="O16">_xll.EQNXTDZ($A$1,$B16,O$1)</f>
        <v>14.1</v>
      </c>
      <c r="P16" s="116" cm="1">
        <f t="array" ref="P16">_xll.EQNXTDZ($A$1,$B16,P$1)</f>
        <v>10.95</v>
      </c>
      <c r="Q16" s="116" cm="1">
        <f t="array" ref="Q16">_xll.EQNXTDZ($A$1,$B16,Q$1)</f>
        <v>11.275</v>
      </c>
      <c r="R16" s="116" cm="1">
        <f t="array" ref="R16">_xll.EQNXTDZ($A$1,$B16,R$1)</f>
        <v>13.3</v>
      </c>
      <c r="S16" s="116" cm="1">
        <f t="array" ref="S16">_xll.EQNXTDZ($A$1,$B16,S$1)</f>
        <v>15.574999999999999</v>
      </c>
      <c r="T16" s="116" cm="1">
        <f t="array" ref="T16">_xll.EQNXTDZ($A$1,$B16,T$1)</f>
        <v>14.975</v>
      </c>
      <c r="U16" s="116" cm="1">
        <f t="array" ref="U16">_xll.EQNXTDZ($A$1,$B16,U$1)</f>
        <v>16.175000000000001</v>
      </c>
      <c r="V16" s="116" cm="1">
        <f t="array" ref="V16">_xll.EQNXTDZ($A$1,$B16,V$1)</f>
        <v>14.975</v>
      </c>
      <c r="W16" s="116" cm="1">
        <f t="array" ref="W16">_xll.EQNXTDZ($A$1,$B16,W$1)</f>
        <v>14.05</v>
      </c>
      <c r="X16" s="116" cm="1">
        <f t="array" ref="X16">_xll.EQNXTDZ($A$1,$B16,X$1)</f>
        <v>16.899999999999999</v>
      </c>
      <c r="Y16" s="116" cm="1">
        <f t="array" ref="Y16">_xll.EQNXTDZ($A$1,$B16,Y$1)</f>
        <v>18.600000000000001</v>
      </c>
      <c r="Z16" s="116" cm="1">
        <f t="array" ref="Z16">_xll.EQNXTDZ($A$1,$B16,Z$1)</f>
        <v>33.225000000000001</v>
      </c>
      <c r="AA16" s="116" cm="1">
        <f t="array" ref="AA16">_xll.EQNXTDZ($A$1,$B16,AA$1)</f>
        <v>32.325000000000003</v>
      </c>
      <c r="AB16" s="116" cm="1">
        <f t="array" ref="AB16">_xll.EQNXTDZ($A$1,$B16,AB$1)</f>
        <v>28.35</v>
      </c>
      <c r="AC16" s="116" cm="1">
        <f t="array" ref="AC16">_xll.EQNXTDZ($A$1,$B16,AC$1)</f>
        <v>22.024999999999999</v>
      </c>
      <c r="AD16" s="116" cm="1">
        <f t="array" ref="AD16">_xll.EQNXTDZ($A$1,$B16,AD$1)</f>
        <v>23.4</v>
      </c>
      <c r="AE16" s="116" cm="1">
        <f t="array" ref="AE16">_xll.EQNXTDZ($A$1,$B16,AE$1)</f>
        <v>26.774999999999999</v>
      </c>
      <c r="AF16" s="116" cm="1">
        <f t="array" ref="AF16">_xll.EQNXTDZ($A$1,$B16,AF$1)</f>
        <v>25.85</v>
      </c>
      <c r="AG16" s="116" cm="1">
        <f t="array" ref="AG16">_xll.EQNXTDZ($A$1,$B16,AG$1)</f>
        <v>26.3</v>
      </c>
      <c r="AH16" s="116" cm="1">
        <f t="array" ref="AH16">_xll.EQNXTDZ($A$1,$B16,AH$1)</f>
        <v>25.7</v>
      </c>
      <c r="AI16" s="116" cm="1">
        <f t="array" ref="AI16">_xll.EQNXTDZ($A$1,$B16,AI$1)</f>
        <v>26.225000000000001</v>
      </c>
      <c r="AJ16" s="116" cm="1">
        <f t="array" ref="AJ16">_xll.EQNXTDZ($A$1,$B16,AJ$1)</f>
        <v>33.35</v>
      </c>
      <c r="AK16" s="116" cm="1">
        <f t="array" ref="AK16">_xll.EQNXTDZ($A$1,$B16,AK$1)</f>
        <v>34.1</v>
      </c>
      <c r="AL16" s="116" cm="1">
        <f t="array" ref="AL16">_xll.EQNXTDZ($A$1,$B16,AL$1)</f>
        <v>33.325000000000003</v>
      </c>
      <c r="AM16" s="116" cm="1">
        <f t="array" ref="AM16">_xll.EQNXTDZ($A$1,$B16,AM$1)</f>
        <v>39.725000000000001</v>
      </c>
      <c r="AN16" s="116" cm="1">
        <f t="array" ref="AN16">_xll.EQNXTDZ($A$1,$B16,AN$1)</f>
        <v>43.75</v>
      </c>
      <c r="AO16" s="116" cm="1">
        <f t="array" ref="AO16">_xll.EQNXTDZ($A$1,$B16,AO$1)</f>
        <v>34.825000000000003</v>
      </c>
      <c r="AP16" s="116" cm="1">
        <f t="array" ref="AP16">_xll.EQNXTDZ($A$1,$B16,AP$1)</f>
        <v>35.825000000000003</v>
      </c>
      <c r="AQ16" s="116" cm="1">
        <f t="array" ref="AQ16">_xll.EQNXTDZ($A$1,$B16,AQ$1)</f>
        <v>38.475000000000001</v>
      </c>
      <c r="AR16" s="116" cm="1">
        <f t="array" ref="AR16">_xll.EQNXTDZ($A$1,$B16,AR$1)</f>
        <v>43.575000000000003</v>
      </c>
      <c r="AS16" s="116" cm="1">
        <f t="array" ref="AS16">_xll.EQNXTDZ($A$1,$B16,AS$1)</f>
        <v>42.125</v>
      </c>
      <c r="AT16" s="116" cm="1">
        <f t="array" ref="AT16">_xll.EQNXTDZ($A$1,$B16,AT$1)</f>
        <v>32.674999999999997</v>
      </c>
      <c r="AU16" s="116" cm="1">
        <f t="array" ref="AU16">_xll.EQNXTDZ($A$1,$B16,AU$1)</f>
        <v>21.475000000000001</v>
      </c>
      <c r="AV16" s="116" cm="1">
        <f t="array" ref="AV16">_xll.EQNXTDZ($A$1,$B16,AV$1)</f>
        <v>27.25</v>
      </c>
      <c r="AW16" s="116" cm="1">
        <f t="array" ref="AW16">_xll.EQNXTDZ($A$1,$B16,AW$1)</f>
        <v>31.15</v>
      </c>
      <c r="AX16" s="116" cm="1">
        <f t="array" ref="AX16">_xll.EQNXTDZ($A$1,$B16,AX$1)</f>
        <v>29.024999999999999</v>
      </c>
      <c r="AY16" s="116" cm="1">
        <f t="array" ref="AY16">_xll.EQNXTDZ($A$1,$B16,AY$1)</f>
        <v>32.375</v>
      </c>
      <c r="AZ16" s="116" cm="1">
        <f t="array" ref="AZ16">_xll.EQNXTDZ($A$1,$B16,AZ$1)</f>
        <v>29.774999999999999</v>
      </c>
      <c r="BA16" s="116" cm="1">
        <f t="array" ref="BA16">_xll.EQNXTDZ($A$1,$B16,BA$1)</f>
        <v>28.7</v>
      </c>
      <c r="BB16" s="116" cm="1">
        <f t="array" ref="BB16">_xll.EQNXTDZ($A$1,$B16,BB$1)</f>
        <v>28.925000000000001</v>
      </c>
      <c r="BC16" s="116" cm="1">
        <f t="array" ref="BC16">_xll.EQNXTDZ($A$1,$B16,BC$1)</f>
        <v>33.35</v>
      </c>
      <c r="BD16" s="116" cm="1">
        <f t="array" ref="BD16">_xll.EQNXTDZ($A$1,$B16,BD$1)</f>
        <v>26.175000000000001</v>
      </c>
      <c r="BE16" s="116" cm="1">
        <f t="array" ref="BE16">_xll.EQNXTDZ($A$1,$B16,BE$1)</f>
        <v>28.5</v>
      </c>
      <c r="BF16" s="116" cm="1">
        <f t="array" ref="BF16">_xll.EQNXTDZ($A$1,$B16,BF$1)</f>
        <v>28.125</v>
      </c>
      <c r="BG16" s="116" cm="1">
        <f t="array" ref="BG16">_xll.EQNXTDZ($A$1,$B16,BG$1)</f>
        <v>26.85</v>
      </c>
      <c r="BH16" s="116" cm="1">
        <f t="array" ref="BH16">_xll.EQNXTDZ($A$1,$B16,BH$1)</f>
        <v>26.425000000000001</v>
      </c>
      <c r="BI16" s="116" cm="1">
        <f t="array" ref="BI16">_xll.EQNXTDZ($A$1,$B16,BI$1)</f>
        <v>30.225000000000001</v>
      </c>
      <c r="BJ16" s="116" cm="1">
        <f t="array" ref="BJ16">_xll.EQNXTDZ($A$1,$B16,BJ$1)</f>
        <v>32</v>
      </c>
      <c r="BK16" s="116" cm="1">
        <f t="array" ref="BK16">_xll.EQNXTDZ($A$1,$B16,BK$1)</f>
        <v>28.6</v>
      </c>
      <c r="BL16" s="116" cm="1">
        <f t="array" ref="BL16">_xll.EQNXTDZ($A$1,$B16,BL$1)</f>
        <v>31.5</v>
      </c>
      <c r="BM16" s="116" cm="1">
        <f t="array" ref="BM16">_xll.EQNXTDZ($A$1,$B16,BM$1)</f>
        <v>24.524999999999999</v>
      </c>
      <c r="BN16" s="116" cm="1">
        <f t="array" ref="BN16">_xll.EQNXTDZ($A$1,$B16,BN$1)</f>
        <v>28.774999999999999</v>
      </c>
      <c r="BO16" s="116" cm="1">
        <f t="array" ref="BO16">_xll.EQNXTDZ($A$1,$B16,BO$1)</f>
        <v>37.299999999999997</v>
      </c>
      <c r="BP16" s="116" cm="1">
        <f t="array" ref="BP16">_xll.EQNXTDZ($A$1,$B16,BP$1)</f>
        <v>40</v>
      </c>
      <c r="BQ16" s="116" cm="1">
        <f t="array" ref="BQ16">_xll.EQNXTDZ($A$1,$B16,BQ$1)</f>
        <v>51.475000000000001</v>
      </c>
      <c r="BR16" s="116" cm="1">
        <f t="array" ref="BR16">_xll.EQNXTDZ($A$1,$B16,BR$1)</f>
        <v>45</v>
      </c>
      <c r="BS16" s="116" cm="1">
        <f t="array" ref="BS16">_xll.EQNXTDZ($A$1,$B16,BS$1)</f>
        <v>44.225000000000001</v>
      </c>
      <c r="BT16" s="116" cm="1">
        <f t="array" ref="BT16">_xll.EQNXTDZ($A$1,$B16,BT$1)</f>
        <v>38.475000000000001</v>
      </c>
      <c r="BU16" s="116" cm="1">
        <f t="array" ref="BU16">_xll.EQNXTDZ($A$1,$B16,BU$1)</f>
        <v>41.825000000000003</v>
      </c>
      <c r="BV16" s="116" cm="1">
        <f t="array" ref="BV16">_xll.EQNXTDZ($A$1,$B16,BV$1)</f>
        <v>34.35</v>
      </c>
      <c r="BW16" s="116" cm="1">
        <f t="array" ref="BW16">_xll.EQNXTDZ($A$1,$B16,BW$1)</f>
        <v>28.85</v>
      </c>
      <c r="BX16" s="116" cm="1">
        <f t="array" ref="BX16">_xll.EQNXTDZ($A$1,$B16,BX$1)</f>
        <v>31.75</v>
      </c>
      <c r="BY16" s="116" cm="1">
        <f t="array" ref="BY16">_xll.EQNXTDZ($A$1,$B16,BY$1)</f>
        <v>32.049999999999997</v>
      </c>
      <c r="BZ16" s="116" cm="1">
        <f t="array" ref="BZ16">_xll.EQNXTDZ($A$1,$B16,BZ$1)</f>
        <v>26.925000000000001</v>
      </c>
      <c r="CA16" s="116" cm="1">
        <f t="array" ref="CA16">_xll.EQNXTDZ($A$1,$B16,CA$1)</f>
        <v>27.375</v>
      </c>
      <c r="CB16" s="116" cm="1">
        <f t="array" ref="CB16">_xll.EQNXTDZ($A$1,$B16,CB$1)</f>
        <v>28.85</v>
      </c>
      <c r="CC16" s="116" cm="1">
        <f t="array" ref="CC16">_xll.EQNXTDZ($A$1,$B16,CC$1)</f>
        <v>35.174999999999997</v>
      </c>
      <c r="CD16" s="116" cm="1">
        <f t="array" ref="CD16">_xll.EQNXTDZ($A$1,$B16,CD$1)</f>
        <v>32.75</v>
      </c>
      <c r="CE16" s="116" cm="1">
        <f t="array" ref="CE16">_xll.EQNXTDZ($A$1,$B16,CE$1)</f>
        <v>28.8</v>
      </c>
      <c r="CF16" s="116" cm="1">
        <f t="array" ref="CF16">_xll.EQNXTDZ($A$1,$B16,CF$1)</f>
        <v>31.625</v>
      </c>
      <c r="CG16" s="116" cm="1">
        <f t="array" ref="CG16">_xll.EQNXTDZ($A$1,$B16,CG$1)</f>
        <v>29.05</v>
      </c>
      <c r="CH16" s="116" cm="1">
        <f t="array" ref="CH16">_xll.EQNXTDZ($A$1,$B16,CH$1)</f>
        <v>26.574999999999999</v>
      </c>
      <c r="CI16" s="116" cm="1">
        <f t="array" ref="CI16">_xll.EQNXTDZ($A$1,$B16,CI$1)</f>
        <v>23.1</v>
      </c>
      <c r="CJ16" s="116" cm="1">
        <f t="array" ref="CJ16">_xll.EQNXTDZ($A$1,$B16,CJ$1)</f>
        <v>15.525</v>
      </c>
      <c r="CK16" s="116" cm="1">
        <f t="array" ref="CK16">_xll.EQNXTDZ($A$1,$B16,CK$1)</f>
        <v>14.95</v>
      </c>
      <c r="CL16" s="116" cm="1">
        <f t="array" ref="CL16">_xll.EQNXTDZ($A$1,$B16,CL$1)</f>
        <v>17.074999999999999</v>
      </c>
      <c r="CM16" s="116" cm="1">
        <f t="array" ref="CM16">_xll.EQNXTDZ($A$1,$B16,CM$1)</f>
        <v>16.8</v>
      </c>
      <c r="CN16" s="116" cm="1">
        <f t="array" ref="CN16">_xll.EQNXTDZ($A$1,$B16,CN$1)</f>
        <v>17.175000000000001</v>
      </c>
      <c r="CO16" s="116" cm="1">
        <f t="array" ref="CO16">_xll.EQNXTDZ($A$1,$B16,CO$1)</f>
        <v>18.350000000000001</v>
      </c>
      <c r="CP16" s="116" cm="1">
        <f t="array" ref="CP16">_xll.EQNXTDZ($A$1,$B16,CP$1)</f>
        <v>20</v>
      </c>
      <c r="CQ16" s="116" cm="1">
        <f t="array" ref="CQ16">_xll.EQNXTDZ($A$1,$B16,CQ$1)</f>
        <v>14.225</v>
      </c>
      <c r="CR16" s="116" cm="1">
        <f t="array" ref="CR16">_xll.EQNXTDZ($A$1,$B16,CR$1)</f>
        <v>9.5250000000000004</v>
      </c>
      <c r="CS16" s="116" cm="1">
        <f t="array" ref="CS16">_xll.EQNXTDZ($A$1,$B16,CS$1)</f>
        <v>10.9</v>
      </c>
      <c r="CT16" s="116" cm="1">
        <f t="array" ref="CT16">_xll.EQNXTDZ($A$1,$B16,CT$1)</f>
        <v>9.6750000000000007</v>
      </c>
      <c r="CU16" s="116" cm="1">
        <f t="array" ref="CU16">_xll.EQNXTDZ($A$1,$B16,CU$1)</f>
        <v>13.175000000000001</v>
      </c>
      <c r="CV16" s="116" cm="1">
        <f t="array" ref="CV16">_xll.EQNXTDZ($A$1,$B16,CV$1)</f>
        <v>12.3</v>
      </c>
      <c r="CW16" s="116" cm="1">
        <f t="array" ref="CW16">_xll.EQNXTDZ($A$1,$B16,CW$1)</f>
        <v>14.95</v>
      </c>
      <c r="CX16" s="116" cm="1">
        <f t="array" ref="CX16">_xll.EQNXTDZ($A$1,$B16,CX$1)</f>
        <v>12.7</v>
      </c>
      <c r="CY16" s="116" cm="1">
        <f t="array" ref="CY16">_xll.EQNXTDZ($A$1,$B16,CY$1)</f>
        <v>11.25</v>
      </c>
      <c r="CZ16" s="116" cm="1">
        <f t="array" ref="CZ16">_xll.EQNXTDZ($A$1,$B16,CZ$1)</f>
        <v>17.95</v>
      </c>
      <c r="DA16" s="116" cm="1">
        <f t="array" ref="DA16">_xll.EQNXTDZ($A$1,$B16,DA$1)</f>
        <v>21.3</v>
      </c>
      <c r="DB16" s="116" cm="1">
        <f t="array" ref="DB16">_xll.EQNXTDZ($A$1,$B16,DB$1)</f>
        <v>23</v>
      </c>
      <c r="DC16" s="116" cm="1">
        <f t="array" ref="DC16">_xll.EQNXTDZ($A$1,$B16,DC$1)</f>
        <v>28.45</v>
      </c>
      <c r="DD16" s="116" cm="1">
        <f t="array" ref="DD16">_xll.EQNXTDZ($A$1,$B16,DD$1)</f>
        <v>31.675000000000001</v>
      </c>
      <c r="DE16" s="116" cm="1">
        <f t="array" ref="DE16">_xll.EQNXTDZ($A$1,$B16,DE$1)</f>
        <v>45.95</v>
      </c>
      <c r="DF16" s="116" cm="1">
        <f t="array" ref="DF16">_xll.EQNXTDZ($A$1,$B16,DF$1)</f>
        <v>59.05</v>
      </c>
      <c r="DG16" s="116" cm="1">
        <f t="array" ref="DG16">_xll.EQNXTDZ($A$1,$B16,DG$1)</f>
        <v>68.424999999999997</v>
      </c>
      <c r="DH16" s="116" cm="1">
        <f t="array" ref="DH16">_xll.EQNXTDZ($A$1,$B16,DH$1)</f>
        <v>69</v>
      </c>
      <c r="DI16" s="116" cm="1">
        <f t="array" ref="DI16">_xll.EQNXTDZ($A$1,$B16,DI$1)</f>
        <v>82.224999999999994</v>
      </c>
      <c r="DJ16" s="116" cm="1">
        <f t="array" ref="DJ16">_xll.EQNXTDZ($A$1,$B16,DJ$1)</f>
        <v>83.9</v>
      </c>
      <c r="DK16" s="116" cm="1">
        <f t="array" ref="DK16">_xll.EQNXTDZ($A$1,$B16,DK$1)</f>
        <v>85.875</v>
      </c>
      <c r="DL16" s="116" cm="1">
        <f t="array" ref="DL16">_xll.EQNXTDZ($A$1,$B16,DL$1)</f>
        <v>103.5</v>
      </c>
      <c r="DM16" s="116" cm="1">
        <f t="array" ref="DM16">_xll.EQNXTDZ($A$1,$B16,DM$1)</f>
        <v>92.224999999999994</v>
      </c>
      <c r="DN16" s="116" cm="1">
        <f t="array" ref="DN16">_xll.EQNXTDZ($A$1,$B16,DN$1)</f>
        <v>89.1</v>
      </c>
      <c r="DO16" s="116" cm="1">
        <f t="array" ref="DO16">_xll.EQNXTDZ($A$1,$B16,DO$1)</f>
        <v>74.224999999999994</v>
      </c>
      <c r="DP16" s="116" cm="1">
        <f t="array" ref="DP16">_xll.EQNXTDZ($A$1,$B16,DP$1)</f>
        <v>71.924999999999997</v>
      </c>
      <c r="DQ16" s="116" cm="1">
        <f t="array" ref="DQ16">_xll.EQNXTDZ($A$1,$B16,DQ$1)</f>
        <v>93.9</v>
      </c>
      <c r="DR16" s="116" cm="1">
        <f t="array" ref="DR16">_xll.EQNXTDZ($A$1,$B16,DR$1)</f>
        <v>98.3</v>
      </c>
      <c r="DS16" s="116" cm="1">
        <f t="array" ref="DS16">_xll.EQNXTDZ($A$1,$B16,DS$1)</f>
        <v>130.42500000000001</v>
      </c>
      <c r="DT16" s="116" cm="1">
        <f t="array" ref="DT16">_xll.EQNXTDZ($A$1,$B16,DT$1)</f>
        <v>181.125</v>
      </c>
      <c r="DU16" s="116" cm="1">
        <f t="array" ref="DU16">_xll.EQNXTDZ($A$1,$B16,DU$1)</f>
        <v>187.625</v>
      </c>
      <c r="DV16" s="116" cm="1">
        <f t="array" ref="DV16">_xll.EQNXTDZ($A$1,$B16,DV$1)</f>
        <v>170.77500000000001</v>
      </c>
      <c r="DW16" s="116" cm="1">
        <f t="array" ref="DW16">_xll.EQNXTDZ($A$1,$B16,DW$1)</f>
        <v>188.55</v>
      </c>
      <c r="DX16" s="116" cm="1">
        <f t="array" ref="DX16">_xll.EQNXTDZ($A$1,$B16,DX$1)</f>
        <v>228.97499999999999</v>
      </c>
      <c r="DY16" s="116" cm="1">
        <f t="array" ref="DY16">_xll.EQNXTDZ($A$1,$B16,DY$1)</f>
        <v>182.27500000000001</v>
      </c>
      <c r="DZ16" s="116" cm="1">
        <f t="array" ref="DZ16">_xll.EQNXTDZ($A$1,$B16,DZ$1)</f>
        <v>192.9</v>
      </c>
      <c r="EA16" s="116" cm="1">
        <f t="array" ref="EA16">_xll.EQNXTDZ($A$1,$B16,EA$1)</f>
        <v>197.35</v>
      </c>
      <c r="EB16" s="116" cm="1">
        <f t="array" ref="EB16">_xll.EQNXTDZ($A$1,$B16,EB$1)</f>
        <v>190.95</v>
      </c>
      <c r="EC16" s="116" cm="1">
        <f t="array" ref="EC16">_xll.EQNXTDZ($A$1,$B16,EC$1)</f>
        <v>216.7</v>
      </c>
      <c r="ED16" s="116" cm="1">
        <f t="array" ref="ED16">_xll.EQNXTDZ($A$1,$B16,ED$1)</f>
        <v>264.82499999999999</v>
      </c>
      <c r="EE16" s="116" cm="1">
        <f t="array" ref="EE16">_xll.EQNXTDZ($A$1,$B16,EE$1)</f>
        <v>292.3</v>
      </c>
      <c r="EF16" s="116" cm="1">
        <f t="array" ref="EF16">_xll.EQNXTDZ($A$1,$B16,EF$1)</f>
        <v>378.9</v>
      </c>
      <c r="EG16" s="116" cm="1">
        <f t="array" ref="EG16">_xll.EQNXTDZ($A$1,$B16,EG$1)</f>
        <v>441.97500000000002</v>
      </c>
      <c r="EH16" s="116" cm="1">
        <f t="array" ref="EH16">_xll.EQNXTDZ($A$1,$B16,EH$1)</f>
        <v>387.25</v>
      </c>
      <c r="EI16" s="116" cm="1">
        <f t="array" ref="EI16">_xll.EQNXTDZ($A$1,$B16,EI$1)</f>
        <v>422.27499999999998</v>
      </c>
      <c r="EJ16" s="116" cm="1">
        <f t="array" ref="EJ16">_xll.EQNXTDZ($A$1,$B16,EJ$1)</f>
        <v>471.22500000000002</v>
      </c>
      <c r="EK16" s="116" cm="1">
        <f t="array" ref="EK16">_xll.EQNXTDZ($A$1,$B16,EK$1)</f>
        <v>463.45</v>
      </c>
      <c r="EL16" s="116" cm="1">
        <f t="array" ref="EL16">_xll.EQNXTDZ($A$1,$B16,EL$1)</f>
        <v>550.4</v>
      </c>
      <c r="EM16" s="116" cm="1">
        <f t="array" ref="EM16">_xll.EQNXTDZ($A$1,$B16,EM$1)</f>
        <v>502.7</v>
      </c>
      <c r="EN16" s="116" cm="1">
        <f t="array" ref="EN16">_xll.EQNXTDZ($A$1,$B16,EN$1)</f>
        <v>474.92500000000001</v>
      </c>
      <c r="EO16" s="116" cm="1">
        <f t="array" ref="EO16">_xll.EQNXTDZ($A$1,$B16,EO$1)</f>
        <v>566.72500000000002</v>
      </c>
      <c r="EP16" s="116" cm="1">
        <f t="array" ref="EP16">_xll.EQNXTDZ($A$1,$B16,EP$1)</f>
        <v>554.375</v>
      </c>
      <c r="EQ16" s="116" cm="1">
        <f t="array" ref="EQ16">_xll.EQNXTDZ($A$1,$B16,EQ$1)</f>
        <v>660.625</v>
      </c>
      <c r="ER16" s="116" cm="1">
        <f t="array" ref="ER16">_xll.EQNXTDZ($A$1,$B16,ER$1)</f>
        <v>629.65</v>
      </c>
      <c r="ES16" s="116" cm="1">
        <f t="array" ref="ES16">_xll.EQNXTDZ($A$1,$B16,ES$1)</f>
        <v>620.54999999999995</v>
      </c>
      <c r="ET16" s="116" cm="1">
        <f t="array" ref="ET16">_xll.EQNXTDZ($A$1,$B16,ET$1)</f>
        <v>700</v>
      </c>
      <c r="EU16" s="116" cm="1">
        <f t="array" ref="EU16">_xll.EQNXTDZ($A$1,$B16,EU$1)</f>
        <v>574.70000000000005</v>
      </c>
      <c r="EV16" s="116" cm="1">
        <f t="array" ref="EV16">_xll.EQNXTDZ($A$1,$B16,EV$1)</f>
        <v>585.65</v>
      </c>
      <c r="EW16" s="116" cm="1">
        <f t="array" ref="EW16">_xll.EQNXTDZ($A$1,$B16,EW$1)</f>
        <v>634.75</v>
      </c>
      <c r="EX16" s="116" cm="1">
        <f t="array" ref="EX16">_xll.EQNXTDZ($A$1,$B16,EX$1)</f>
        <v>531.79999999999995</v>
      </c>
      <c r="EY16" s="116" cm="1">
        <f t="array" ref="EY16">_xll.EQNXTDZ($A$1,$B16,EY$1)</f>
        <v>412.45</v>
      </c>
      <c r="EZ16" s="116" cm="1">
        <f t="array" ref="EZ16">_xll.EQNXTDZ($A$1,$B16,EZ$1)</f>
        <v>449.1</v>
      </c>
      <c r="FA16" s="116" cm="1">
        <f t="array" ref="FA16">_xll.EQNXTDZ($A$1,$B16,FA$1)</f>
        <v>545.1</v>
      </c>
      <c r="FB16" s="116" cm="1">
        <f t="array" ref="FB16">_xll.EQNXTDZ($A$1,$B16,FB$1)</f>
        <v>664</v>
      </c>
      <c r="FC16" s="116" cm="1">
        <f t="array" ref="FC16">_xll.EQNXTDZ($A$1,$B16,FC$1)</f>
        <v>655</v>
      </c>
      <c r="FD16" s="116" cm="1">
        <f t="array" ref="FD16">_xll.EQNXTDZ($A$1,$B16,FD$1)</f>
        <v>570.20000000000005</v>
      </c>
      <c r="FE16" s="116" cm="1">
        <f t="array" ref="FE16">_xll.EQNXTDZ($A$1,$B16,FE$1)</f>
        <v>552.04999999999995</v>
      </c>
      <c r="FF16" s="116" cm="1">
        <f t="array" ref="FF16">_xll.EQNXTDZ($A$1,$B16,FF$1)</f>
        <v>567.95000000000005</v>
      </c>
      <c r="FG16" s="116" cm="1">
        <f t="array" ref="FG16">_xll.EQNXTDZ($A$1,$B16,FG$1)</f>
        <v>561.54999999999995</v>
      </c>
      <c r="FH16" s="116" cm="1">
        <f t="array" ref="FH16">_xll.EQNXTDZ($A$1,$B16,FH$1)</f>
        <v>504.55</v>
      </c>
      <c r="FI16" s="116" cm="1">
        <f t="array" ref="FI16">_xll.EQNXTDZ($A$1,$B16,FI$1)</f>
        <v>481.35</v>
      </c>
      <c r="FJ16" s="116" cm="1">
        <f t="array" ref="FJ16">_xll.EQNXTDZ($A$1,$B16,FJ$1)</f>
        <v>408</v>
      </c>
      <c r="FK16" s="116" cm="1">
        <f t="array" ref="FK16">_xll.EQNXTDZ($A$1,$B16,FK$1)</f>
        <v>416.05</v>
      </c>
      <c r="FL16" s="116" cm="1">
        <f t="array" ref="FL16">_xll.EQNXTDZ($A$1,$B16,FL$1)</f>
        <v>354.75</v>
      </c>
      <c r="FM16" s="116" cm="1">
        <f t="array" ref="FM16">_xll.EQNXTDZ($A$1,$B16,FM$1)</f>
        <v>507.05</v>
      </c>
      <c r="FN16" s="116" cm="1">
        <f t="array" ref="FN16">_xll.EQNXTDZ($A$1,$B16,FN$1)</f>
        <v>510.2</v>
      </c>
      <c r="FO16" s="116" cm="1">
        <f t="array" ref="FO16">_xll.EQNXTDZ($A$1,$B16,FO$1)</f>
        <v>556.65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24.725000000000001</v>
      </c>
      <c r="HQ16" s="116">
        <f>+I16</f>
        <v>23.425000000000001</v>
      </c>
      <c r="HR16" s="116">
        <f>+L16</f>
        <v>15.45</v>
      </c>
      <c r="HS16" s="116">
        <f>+O16</f>
        <v>14.1</v>
      </c>
      <c r="HT16" s="116">
        <f>+R16</f>
        <v>13.3</v>
      </c>
      <c r="HU16" s="116">
        <f>+U16</f>
        <v>16.175000000000001</v>
      </c>
      <c r="HV16" s="116">
        <f>+X16</f>
        <v>16.899999999999999</v>
      </c>
      <c r="HW16" s="116">
        <f>+AA16</f>
        <v>32.325000000000003</v>
      </c>
      <c r="HX16" s="116">
        <f>+AD16</f>
        <v>23.4</v>
      </c>
      <c r="HY16" s="116">
        <f>+AG16</f>
        <v>26.3</v>
      </c>
      <c r="HZ16" s="116">
        <f>+AJ16</f>
        <v>33.35</v>
      </c>
      <c r="IA16" s="116">
        <f>+AM16</f>
        <v>39.725000000000001</v>
      </c>
      <c r="IB16" s="116">
        <f>+AP16</f>
        <v>35.825000000000003</v>
      </c>
      <c r="IC16" s="116">
        <f>+AS16</f>
        <v>42.125</v>
      </c>
      <c r="ID16" s="116">
        <f>+AV16</f>
        <v>27.25</v>
      </c>
      <c r="IE16" s="116">
        <f>+AY16</f>
        <v>32.375</v>
      </c>
      <c r="IF16" s="116">
        <f>+BB16</f>
        <v>28.925000000000001</v>
      </c>
      <c r="IG16" s="116">
        <f>+BE16</f>
        <v>28.5</v>
      </c>
      <c r="IH16" s="116">
        <f>+BH16</f>
        <v>26.425000000000001</v>
      </c>
      <c r="II16" s="116">
        <f>+BK16</f>
        <v>28.6</v>
      </c>
      <c r="IJ16" s="116">
        <f>+BN16</f>
        <v>28.774999999999999</v>
      </c>
      <c r="IK16" s="116">
        <f>+BQ16</f>
        <v>51.475000000000001</v>
      </c>
      <c r="IL16" s="116">
        <f>+BT16</f>
        <v>38.475000000000001</v>
      </c>
      <c r="IM16" s="116">
        <f>+BW16</f>
        <v>28.85</v>
      </c>
      <c r="IN16" s="116">
        <f>+BZ16</f>
        <v>26.925000000000001</v>
      </c>
      <c r="IO16" s="116">
        <f>+CC16</f>
        <v>35.174999999999997</v>
      </c>
      <c r="IP16" s="116">
        <f>+CF16</f>
        <v>31.625</v>
      </c>
      <c r="IQ16" s="116">
        <f>+CI16</f>
        <v>23.1</v>
      </c>
      <c r="IR16" s="116">
        <f>+CL16</f>
        <v>17.074999999999999</v>
      </c>
      <c r="IS16" s="116">
        <f>+CO16</f>
        <v>18.350000000000001</v>
      </c>
      <c r="IT16" s="116">
        <f>+CR16</f>
        <v>9.5250000000000004</v>
      </c>
      <c r="IU16" s="116">
        <f>+CU16</f>
        <v>13.175000000000001</v>
      </c>
      <c r="IV16" s="116">
        <f>+CX16</f>
        <v>12.7</v>
      </c>
      <c r="IW16" s="116">
        <f>+DA16</f>
        <v>21.3</v>
      </c>
      <c r="IX16" s="116">
        <f>+DD16</f>
        <v>31.675000000000001</v>
      </c>
      <c r="IY16" s="116">
        <f>+DG16</f>
        <v>68.424999999999997</v>
      </c>
      <c r="IZ16" s="116">
        <f>+DJ16</f>
        <v>83.9</v>
      </c>
      <c r="JA16" s="116">
        <f>+DM16</f>
        <v>92.224999999999994</v>
      </c>
      <c r="JB16" s="116">
        <f>+DP16</f>
        <v>71.924999999999997</v>
      </c>
      <c r="JC16" s="116">
        <f>+DS16</f>
        <v>130.42500000000001</v>
      </c>
      <c r="JD16" s="116">
        <f>+DV16</f>
        <v>170.77500000000001</v>
      </c>
      <c r="JE16" s="116">
        <f>+DY16</f>
        <v>182.27500000000001</v>
      </c>
      <c r="JF16" s="116">
        <f>+EB16</f>
        <v>190.95</v>
      </c>
      <c r="JG16" s="116">
        <f>+EE16</f>
        <v>292.3</v>
      </c>
      <c r="JH16" s="116">
        <f>+EH16</f>
        <v>387.25</v>
      </c>
      <c r="JI16" s="116">
        <f>+EK16</f>
        <v>463.45</v>
      </c>
      <c r="JJ16" s="116">
        <f>+EN16</f>
        <v>474.92500000000001</v>
      </c>
      <c r="JK16" s="116">
        <f>EQ16</f>
        <v>660.625</v>
      </c>
      <c r="JL16" s="116">
        <f>ET16</f>
        <v>700</v>
      </c>
      <c r="JM16" s="116">
        <f>EW16</f>
        <v>634.75</v>
      </c>
      <c r="JN16" s="116">
        <f>EZ16</f>
        <v>449.1</v>
      </c>
      <c r="JO16" s="116">
        <f>FC16</f>
        <v>655</v>
      </c>
      <c r="JP16" s="116">
        <f>FF16</f>
        <v>567.95000000000005</v>
      </c>
      <c r="JQ16" s="116">
        <f>FI16</f>
        <v>481.35</v>
      </c>
      <c r="JR16" s="116">
        <f>FL16</f>
        <v>354.75</v>
      </c>
      <c r="JS16" s="116">
        <f>FO16</f>
        <v>556.65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30.9</v>
      </c>
      <c r="HQ19" s="116">
        <f t="shared" ref="HQ19:JI21" si="1">+IF(HQ14=0,HQ7,HQ14)</f>
        <v>27.125</v>
      </c>
      <c r="HR19" s="116">
        <f t="shared" si="1"/>
        <v>24.85</v>
      </c>
      <c r="HS19" s="116">
        <f t="shared" si="1"/>
        <v>19.149999999999999</v>
      </c>
      <c r="HT19" s="116">
        <f t="shared" si="1"/>
        <v>14.75</v>
      </c>
      <c r="HU19" s="116">
        <f t="shared" si="1"/>
        <v>17.149999999999999</v>
      </c>
      <c r="HV19" s="116">
        <f t="shared" si="1"/>
        <v>18.05</v>
      </c>
      <c r="HW19" s="116">
        <f t="shared" si="1"/>
        <v>35.200000000000003</v>
      </c>
      <c r="HX19" s="116">
        <f t="shared" si="1"/>
        <v>34.274999999999999</v>
      </c>
      <c r="HY19" s="116">
        <f t="shared" si="1"/>
        <v>29.15</v>
      </c>
      <c r="HZ19" s="116">
        <f t="shared" si="1"/>
        <v>35.9</v>
      </c>
      <c r="IA19" s="116">
        <f t="shared" si="1"/>
        <v>42.125</v>
      </c>
      <c r="IB19" s="116">
        <f t="shared" si="1"/>
        <v>48.5</v>
      </c>
      <c r="IC19" s="116">
        <f t="shared" si="1"/>
        <v>46.375</v>
      </c>
      <c r="ID19" s="116">
        <f t="shared" si="1"/>
        <v>42.875</v>
      </c>
      <c r="IE19" s="116">
        <f t="shared" si="1"/>
        <v>33.299999999999997</v>
      </c>
      <c r="IF19" s="116">
        <f t="shared" si="1"/>
        <v>33.450000000000003</v>
      </c>
      <c r="IG19" s="116">
        <f t="shared" si="1"/>
        <v>37</v>
      </c>
      <c r="IH19" s="116">
        <f t="shared" si="1"/>
        <v>30.45</v>
      </c>
      <c r="II19" s="116">
        <f t="shared" si="1"/>
        <v>32.9</v>
      </c>
      <c r="IJ19" s="116">
        <f t="shared" si="1"/>
        <v>32.25</v>
      </c>
      <c r="IK19" s="116">
        <f t="shared" si="1"/>
        <v>56.75</v>
      </c>
      <c r="IL19" s="116">
        <f t="shared" si="1"/>
        <v>54.9</v>
      </c>
      <c r="IM19" s="116">
        <f t="shared" si="1"/>
        <v>44.35</v>
      </c>
      <c r="IN19" s="116">
        <f t="shared" si="1"/>
        <v>36.825000000000003</v>
      </c>
      <c r="IO19" s="116">
        <f t="shared" si="1"/>
        <v>35.625</v>
      </c>
      <c r="IP19" s="116">
        <f t="shared" si="1"/>
        <v>37.4</v>
      </c>
      <c r="IQ19" s="116">
        <f t="shared" si="1"/>
        <v>33.200000000000003</v>
      </c>
      <c r="IR19" s="116">
        <f t="shared" si="1"/>
        <v>24</v>
      </c>
      <c r="IS19" s="116">
        <f t="shared" si="1"/>
        <v>20.125</v>
      </c>
      <c r="IT19" s="116">
        <f t="shared" si="1"/>
        <v>21.824999999999999</v>
      </c>
      <c r="IU19" s="116">
        <f t="shared" si="1"/>
        <v>15.4</v>
      </c>
      <c r="IV19" s="116">
        <f t="shared" si="1"/>
        <v>18.3</v>
      </c>
      <c r="IW19" s="116">
        <f t="shared" si="1"/>
        <v>22.25</v>
      </c>
      <c r="IX19" s="116">
        <f t="shared" si="1"/>
        <v>34.75</v>
      </c>
      <c r="IY19" s="116">
        <f t="shared" si="1"/>
        <v>71.400000000000006</v>
      </c>
      <c r="IZ19" s="116">
        <f t="shared" si="1"/>
        <v>92.974999999999994</v>
      </c>
      <c r="JA19" s="116">
        <f t="shared" si="1"/>
        <v>109.5</v>
      </c>
      <c r="JB19" s="116">
        <f t="shared" si="1"/>
        <v>107.075</v>
      </c>
      <c r="JC19" s="116">
        <f t="shared" si="1"/>
        <v>144.94999999999999</v>
      </c>
      <c r="JD19" s="116">
        <f t="shared" si="1"/>
        <v>207.5</v>
      </c>
      <c r="JE19" s="116">
        <f t="shared" si="1"/>
        <v>237.875</v>
      </c>
      <c r="JF19" s="116">
        <f t="shared" si="1"/>
        <v>216.67500000000001</v>
      </c>
      <c r="JG19" s="116">
        <f t="shared" si="1"/>
        <v>299.97500000000002</v>
      </c>
      <c r="JH19" s="116">
        <f t="shared" si="1"/>
        <v>491.7</v>
      </c>
      <c r="JI19" s="116">
        <f t="shared" si="1"/>
        <v>493.77499999999998</v>
      </c>
      <c r="JJ19" s="116">
        <f t="shared" ref="JJ19:JJ21" si="2">+IF(JJ14=0,JJ7,JJ14)</f>
        <v>560.25</v>
      </c>
      <c r="JK19" s="116">
        <f t="shared" ref="JK19" si="3">+IF(JK14=0,JK7,JK14)</f>
        <v>690</v>
      </c>
      <c r="JL19" s="116">
        <f t="shared" ref="JL19:JM19" si="4">+IF(JL14=0,JL7,JL14)</f>
        <v>715</v>
      </c>
      <c r="JM19" s="116">
        <f t="shared" si="4"/>
        <v>738.85</v>
      </c>
      <c r="JN19" s="116">
        <f t="shared" ref="JN19:JO19" si="5">+IF(JN14=0,JN7,JN14)</f>
        <v>643.70000000000005</v>
      </c>
      <c r="JO19" s="116">
        <f t="shared" si="5"/>
        <v>716.55</v>
      </c>
      <c r="JP19" s="116">
        <f t="shared" ref="JP19" si="6">+IF(JP14=0,JP7,JP14)</f>
        <v>682.9</v>
      </c>
      <c r="JQ19" s="116">
        <f t="shared" ref="JQ19:KH19" si="7">+IF(JQ14=0,JQ7,JQ14)</f>
        <v>625.45000000000005</v>
      </c>
      <c r="JR19" s="116">
        <f t="shared" si="7"/>
        <v>531.65</v>
      </c>
      <c r="JS19" s="116">
        <f t="shared" si="7"/>
        <v>579.25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19.875</v>
      </c>
      <c r="HQ20" s="116">
        <f t="shared" si="8"/>
        <v>23.324999999999999</v>
      </c>
      <c r="HR20" s="116">
        <f t="shared" si="8"/>
        <v>15.15</v>
      </c>
      <c r="HS20" s="116">
        <f t="shared" si="8"/>
        <v>13.574999999999999</v>
      </c>
      <c r="HT20" s="116">
        <f t="shared" si="8"/>
        <v>9.3000000000000007</v>
      </c>
      <c r="HU20" s="116">
        <f t="shared" si="8"/>
        <v>12.7</v>
      </c>
      <c r="HV20" s="116">
        <f t="shared" si="8"/>
        <v>11.75</v>
      </c>
      <c r="HW20" s="116">
        <f t="shared" si="8"/>
        <v>16.625</v>
      </c>
      <c r="HX20" s="116">
        <f t="shared" si="8"/>
        <v>21.6</v>
      </c>
      <c r="HY20" s="116">
        <f t="shared" si="8"/>
        <v>22.3</v>
      </c>
      <c r="HZ20" s="116">
        <f t="shared" si="8"/>
        <v>23.95</v>
      </c>
      <c r="IA20" s="116">
        <f t="shared" si="8"/>
        <v>29.125</v>
      </c>
      <c r="IB20" s="116">
        <f t="shared" si="8"/>
        <v>30.9</v>
      </c>
      <c r="IC20" s="116">
        <f t="shared" si="8"/>
        <v>35.700000000000003</v>
      </c>
      <c r="ID20" s="116">
        <f t="shared" si="8"/>
        <v>21.35</v>
      </c>
      <c r="IE20" s="116">
        <f t="shared" si="8"/>
        <v>27.1</v>
      </c>
      <c r="IF20" s="116">
        <f t="shared" si="1"/>
        <v>27.4</v>
      </c>
      <c r="IG20" s="116">
        <f t="shared" si="1"/>
        <v>22.7</v>
      </c>
      <c r="IH20" s="116">
        <f t="shared" si="1"/>
        <v>25.5</v>
      </c>
      <c r="II20" s="116">
        <f t="shared" si="1"/>
        <v>27.274999999999999</v>
      </c>
      <c r="IJ20" s="116">
        <f t="shared" si="1"/>
        <v>22.5</v>
      </c>
      <c r="IK20" s="116">
        <f t="shared" si="1"/>
        <v>27.725000000000001</v>
      </c>
      <c r="IL20" s="116">
        <f t="shared" si="1"/>
        <v>34.575000000000003</v>
      </c>
      <c r="IM20" s="116">
        <f t="shared" si="1"/>
        <v>28.425000000000001</v>
      </c>
      <c r="IN20" s="116">
        <f t="shared" si="1"/>
        <v>26.125</v>
      </c>
      <c r="IO20" s="116">
        <f t="shared" si="1"/>
        <v>24.225000000000001</v>
      </c>
      <c r="IP20" s="116">
        <f t="shared" si="1"/>
        <v>26.35</v>
      </c>
      <c r="IQ20" s="116">
        <f t="shared" si="1"/>
        <v>21.625</v>
      </c>
      <c r="IR20" s="116">
        <f t="shared" si="1"/>
        <v>12.475</v>
      </c>
      <c r="IS20" s="116">
        <f t="shared" si="1"/>
        <v>14.25</v>
      </c>
      <c r="IT20" s="116">
        <f t="shared" si="1"/>
        <v>6.875</v>
      </c>
      <c r="IU20" s="116">
        <f t="shared" si="1"/>
        <v>8.6999999999999993</v>
      </c>
      <c r="IV20" s="116">
        <f t="shared" si="1"/>
        <v>11.95</v>
      </c>
      <c r="IW20" s="116">
        <f t="shared" si="1"/>
        <v>10.75</v>
      </c>
      <c r="IX20" s="116">
        <f t="shared" si="1"/>
        <v>20.524999999999999</v>
      </c>
      <c r="IY20" s="116">
        <f t="shared" si="1"/>
        <v>30.725000000000001</v>
      </c>
      <c r="IZ20" s="116">
        <f t="shared" si="1"/>
        <v>62.125</v>
      </c>
      <c r="JA20" s="116">
        <f t="shared" si="1"/>
        <v>71.2</v>
      </c>
      <c r="JB20" s="116">
        <f t="shared" si="1"/>
        <v>64.650000000000006</v>
      </c>
      <c r="JC20" s="116">
        <f t="shared" si="1"/>
        <v>71.5</v>
      </c>
      <c r="JD20" s="116">
        <f t="shared" si="1"/>
        <v>127</v>
      </c>
      <c r="JE20" s="116">
        <f t="shared" si="1"/>
        <v>159.125</v>
      </c>
      <c r="JF20" s="116">
        <f t="shared" si="1"/>
        <v>174.95</v>
      </c>
      <c r="JG20" s="116">
        <f t="shared" si="1"/>
        <v>190.02500000000001</v>
      </c>
      <c r="JH20" s="116">
        <f t="shared" si="1"/>
        <v>293.52499999999998</v>
      </c>
      <c r="JI20" s="116">
        <f t="shared" si="1"/>
        <v>357</v>
      </c>
      <c r="JJ20" s="116">
        <f t="shared" si="2"/>
        <v>395.05</v>
      </c>
      <c r="JK20" s="116">
        <f t="shared" ref="JK20" si="9">+IF(JK15=0,JK8,JK15)</f>
        <v>452.02499999999998</v>
      </c>
      <c r="JL20" s="116">
        <f t="shared" ref="JL20:JM20" si="10">+IF(JL15=0,JL8,JL15)</f>
        <v>556.5</v>
      </c>
      <c r="JM20" s="116">
        <f t="shared" si="10"/>
        <v>528.85</v>
      </c>
      <c r="JN20" s="116">
        <f t="shared" ref="JN20:JO20" si="11">+IF(JN15=0,JN8,JN15)</f>
        <v>378.35</v>
      </c>
      <c r="JO20" s="116">
        <f t="shared" si="11"/>
        <v>348.05</v>
      </c>
      <c r="JP20" s="116">
        <f t="shared" ref="JP20" si="12">+IF(JP15=0,JP8,JP15)</f>
        <v>531.54999999999995</v>
      </c>
      <c r="JQ20" s="116">
        <f t="shared" ref="JQ20:KH20" si="13">+IF(JQ15=0,JQ8,JQ15)</f>
        <v>461.1</v>
      </c>
      <c r="JR20" s="116">
        <f t="shared" si="13"/>
        <v>352</v>
      </c>
      <c r="JS20" s="116">
        <f t="shared" si="13"/>
        <v>367.3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24.725000000000001</v>
      </c>
      <c r="HQ21" s="116">
        <f t="shared" si="1"/>
        <v>23.425000000000001</v>
      </c>
      <c r="HR21" s="116">
        <f t="shared" si="1"/>
        <v>15.45</v>
      </c>
      <c r="HS21" s="116">
        <f t="shared" si="1"/>
        <v>14.1</v>
      </c>
      <c r="HT21" s="116">
        <f t="shared" si="1"/>
        <v>13.3</v>
      </c>
      <c r="HU21" s="116">
        <f t="shared" si="1"/>
        <v>16.175000000000001</v>
      </c>
      <c r="HV21" s="116">
        <f t="shared" si="1"/>
        <v>16.899999999999999</v>
      </c>
      <c r="HW21" s="116">
        <f t="shared" si="1"/>
        <v>32.325000000000003</v>
      </c>
      <c r="HX21" s="116">
        <f t="shared" si="1"/>
        <v>23.4</v>
      </c>
      <c r="HY21" s="116">
        <f t="shared" si="1"/>
        <v>26.3</v>
      </c>
      <c r="HZ21" s="116">
        <f t="shared" si="1"/>
        <v>33.35</v>
      </c>
      <c r="IA21" s="116">
        <f t="shared" si="1"/>
        <v>39.725000000000001</v>
      </c>
      <c r="IB21" s="116">
        <f t="shared" si="1"/>
        <v>35.825000000000003</v>
      </c>
      <c r="IC21" s="116">
        <f t="shared" si="1"/>
        <v>42.125</v>
      </c>
      <c r="ID21" s="116">
        <f t="shared" si="1"/>
        <v>27.25</v>
      </c>
      <c r="IE21" s="116">
        <f t="shared" si="1"/>
        <v>32.375</v>
      </c>
      <c r="IF21" s="116">
        <f t="shared" si="1"/>
        <v>28.925000000000001</v>
      </c>
      <c r="IG21" s="116">
        <f t="shared" si="1"/>
        <v>28.5</v>
      </c>
      <c r="IH21" s="116">
        <f t="shared" si="1"/>
        <v>26.425000000000001</v>
      </c>
      <c r="II21" s="116">
        <f t="shared" si="1"/>
        <v>28.6</v>
      </c>
      <c r="IJ21" s="116">
        <f t="shared" si="1"/>
        <v>28.774999999999999</v>
      </c>
      <c r="IK21" s="116">
        <f t="shared" si="1"/>
        <v>51.475000000000001</v>
      </c>
      <c r="IL21" s="116">
        <f t="shared" si="1"/>
        <v>38.475000000000001</v>
      </c>
      <c r="IM21" s="116">
        <f t="shared" si="1"/>
        <v>28.85</v>
      </c>
      <c r="IN21" s="116">
        <f t="shared" si="1"/>
        <v>26.925000000000001</v>
      </c>
      <c r="IO21" s="116">
        <f t="shared" si="1"/>
        <v>35.174999999999997</v>
      </c>
      <c r="IP21" s="116">
        <f t="shared" si="1"/>
        <v>31.625</v>
      </c>
      <c r="IQ21" s="116">
        <f t="shared" si="1"/>
        <v>23.1</v>
      </c>
      <c r="IR21" s="116">
        <f t="shared" si="1"/>
        <v>17.074999999999999</v>
      </c>
      <c r="IS21" s="116">
        <f t="shared" si="1"/>
        <v>18.350000000000001</v>
      </c>
      <c r="IT21" s="116">
        <f t="shared" si="1"/>
        <v>9.5250000000000004</v>
      </c>
      <c r="IU21" s="116">
        <f t="shared" si="1"/>
        <v>13.175000000000001</v>
      </c>
      <c r="IV21" s="116">
        <f t="shared" si="1"/>
        <v>12.7</v>
      </c>
      <c r="IW21" s="116">
        <f t="shared" si="1"/>
        <v>21.3</v>
      </c>
      <c r="IX21" s="116">
        <f t="shared" si="1"/>
        <v>31.675000000000001</v>
      </c>
      <c r="IY21" s="116">
        <f t="shared" si="1"/>
        <v>68.424999999999997</v>
      </c>
      <c r="IZ21" s="116">
        <f t="shared" si="1"/>
        <v>83.9</v>
      </c>
      <c r="JA21" s="116">
        <f t="shared" si="1"/>
        <v>92.224999999999994</v>
      </c>
      <c r="JB21" s="116">
        <f t="shared" si="1"/>
        <v>71.924999999999997</v>
      </c>
      <c r="JC21" s="116">
        <f t="shared" si="1"/>
        <v>130.42500000000001</v>
      </c>
      <c r="JD21" s="116">
        <f t="shared" si="1"/>
        <v>170.77500000000001</v>
      </c>
      <c r="JE21" s="116">
        <f t="shared" si="1"/>
        <v>182.27500000000001</v>
      </c>
      <c r="JF21" s="116">
        <f t="shared" si="1"/>
        <v>190.95</v>
      </c>
      <c r="JG21" s="116">
        <f t="shared" si="1"/>
        <v>292.3</v>
      </c>
      <c r="JH21" s="116">
        <f t="shared" si="1"/>
        <v>387.25</v>
      </c>
      <c r="JI21" s="116">
        <f t="shared" si="1"/>
        <v>463.45</v>
      </c>
      <c r="JJ21" s="116">
        <f t="shared" si="2"/>
        <v>474.92500000000001</v>
      </c>
      <c r="JK21" s="116">
        <f t="shared" ref="JK21" si="14">+IF(JK16=0,JK9,JK16)</f>
        <v>660.625</v>
      </c>
      <c r="JL21" s="116">
        <f t="shared" ref="JL21:JM21" si="15">+IF(JL16=0,JL9,JL16)</f>
        <v>700</v>
      </c>
      <c r="JM21" s="116">
        <f t="shared" si="15"/>
        <v>634.75</v>
      </c>
      <c r="JN21" s="116">
        <f t="shared" ref="JN21:JO21" si="16">+IF(JN16=0,JN9,JN16)</f>
        <v>449.1</v>
      </c>
      <c r="JO21" s="116">
        <f t="shared" si="16"/>
        <v>655</v>
      </c>
      <c r="JP21" s="116">
        <f t="shared" ref="JP21" si="17">+IF(JP16=0,JP9,JP16)</f>
        <v>567.95000000000005</v>
      </c>
      <c r="JQ21" s="116">
        <f t="shared" ref="JQ21:KH21" si="18">+IF(JQ16=0,JQ9,JQ16)</f>
        <v>481.35</v>
      </c>
      <c r="JR21" s="116">
        <f t="shared" si="18"/>
        <v>354.75</v>
      </c>
      <c r="JS21" s="116">
        <f t="shared" si="18"/>
        <v>556.65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105700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92861510</v>
      </c>
      <c r="D6" cm="1">
        <f t="array" ref="D6">_xll.EQNXTDZ($A$1,$B6,D$1)</f>
        <v>92861510</v>
      </c>
      <c r="E6" cm="1">
        <f t="array" ref="E6">_xll.EQNXTDZ($A$1,$B6,E$1)</f>
        <v>92861510</v>
      </c>
      <c r="F6" cm="1">
        <f t="array" ref="F6">_xll.EQNXTDZ($A$1,$B6,F$1)</f>
        <v>92861510</v>
      </c>
      <c r="G6" cm="1">
        <f t="array" ref="G6">_xll.EQNXTDZ($A$1,$B6,G$1)</f>
        <v>108935843</v>
      </c>
      <c r="H6" cm="1">
        <f t="array" ref="H6">_xll.EQNXTDZ($A$1,$B6,H$1)</f>
        <v>108935843</v>
      </c>
      <c r="I6" cm="1">
        <f t="array" ref="I6">_xll.EQNXTDZ($A$1,$B6,I$1)</f>
        <v>108935843</v>
      </c>
      <c r="J6" cm="1">
        <f t="array" ref="J6">_xll.EQNXTDZ($A$1,$B6,J$1)</f>
        <v>108935843</v>
      </c>
      <c r="K6" cm="1">
        <f t="array" ref="K6">_xll.EQNXTDZ($A$1,$B6,K$1)</f>
        <v>108935843</v>
      </c>
      <c r="L6" cm="1">
        <f t="array" ref="L6">_xll.EQNXTDZ($A$1,$B6,L$1)</f>
        <v>108935843</v>
      </c>
      <c r="M6" cm="1">
        <f t="array" ref="M6">_xll.EQNXTDZ($A$1,$B6,M$1)</f>
        <v>108935843</v>
      </c>
      <c r="N6" cm="1">
        <f t="array" ref="N6">_xll.EQNXTDZ($A$1,$B6,N$1)</f>
        <v>108935843</v>
      </c>
      <c r="O6" cm="1">
        <f t="array" ref="O6">_xll.EQNXTDZ($A$1,$B6,O$1)</f>
        <v>108935843</v>
      </c>
      <c r="P6" cm="1">
        <f t="array" ref="P6">_xll.EQNXTDZ($A$1,$B6,P$1)</f>
        <v>108935843</v>
      </c>
      <c r="Q6" cm="1">
        <f t="array" ref="Q6">_xll.EQNXTDZ($A$1,$B6,Q$1)</f>
        <v>108935843</v>
      </c>
      <c r="R6" cm="1">
        <f t="array" ref="R6">_xll.EQNXTDZ($A$1,$B6,R$1)</f>
        <v>108935843</v>
      </c>
      <c r="S6" cm="1">
        <f t="array" ref="S6">_xll.EQNXTDZ($A$1,$B6,S$1)</f>
        <v>108935843</v>
      </c>
      <c r="T6" cm="1">
        <f t="array" ref="T6">_xll.EQNXTDZ($A$1,$B6,T$1)</f>
        <v>108935843</v>
      </c>
      <c r="U6" cm="1">
        <f t="array" ref="U6">_xll.EQNXTDZ($A$1,$B6,U$1)</f>
        <v>112199965</v>
      </c>
      <c r="V6" cm="1">
        <f t="array" ref="V6">_xll.EQNXTDZ($A$1,$B6,V$1)</f>
        <v>112199965</v>
      </c>
      <c r="W6" cm="1">
        <f t="array" ref="W6">_xll.EQNXTDZ($A$1,$B6,W$1)</f>
        <v>112199965</v>
      </c>
      <c r="X6" cm="1">
        <f t="array" ref="X6">_xll.EQNXTDZ($A$1,$B6,X$1)</f>
        <v>112199965</v>
      </c>
      <c r="Y6" cm="1">
        <f t="array" ref="Y6">_xll.EQNXTDZ($A$1,$B6,Y$1)</f>
        <v>112199965</v>
      </c>
      <c r="Z6" cm="1">
        <f t="array" ref="Z6">_xll.EQNXTDZ($A$1,$B6,Z$1)</f>
        <v>112199965</v>
      </c>
      <c r="AA6" cm="1">
        <f t="array" ref="AA6">_xll.EQNXTDZ($A$1,$B6,AA$1)</f>
        <v>112199965</v>
      </c>
      <c r="AB6" cm="1">
        <f t="array" ref="AB6">_xll.EQNXTDZ($A$1,$B6,AB$1)</f>
        <v>112199965</v>
      </c>
      <c r="AC6" cm="1">
        <f t="array" ref="AC6">_xll.EQNXTDZ($A$1,$B6,AC$1)</f>
        <v>112199965</v>
      </c>
      <c r="AD6" cm="1">
        <f t="array" ref="AD6">_xll.EQNXTDZ($A$1,$B6,AD$1)</f>
        <v>112199965</v>
      </c>
      <c r="AE6" cm="1">
        <f t="array" ref="AE6">_xll.EQNXTDZ($A$1,$B6,AE$1)</f>
        <v>112199965</v>
      </c>
      <c r="AF6" cm="1">
        <f t="array" ref="AF6">_xll.EQNXTDZ($A$1,$B6,AF$1)</f>
        <v>112199965</v>
      </c>
      <c r="AG6" cm="1">
        <f t="array" ref="AG6">_xll.EQNXTDZ($A$1,$B6,AG$1)</f>
        <v>112199965</v>
      </c>
      <c r="AH6" cm="1">
        <f t="array" ref="AH6">_xll.EQNXTDZ($A$1,$B6,AH$1)</f>
        <v>112199965</v>
      </c>
      <c r="AI6" cm="1">
        <f t="array" ref="AI6">_xll.EQNXTDZ($A$1,$B6,AI$1)</f>
        <v>112199965</v>
      </c>
      <c r="AJ6" cm="1">
        <f t="array" ref="AJ6">_xll.EQNXTDZ($A$1,$B6,AJ$1)</f>
        <v>112199965</v>
      </c>
      <c r="AK6" cm="1">
        <f t="array" ref="AK6">_xll.EQNXTDZ($A$1,$B6,AK$1)</f>
        <v>112199965</v>
      </c>
      <c r="AL6" cm="1">
        <f t="array" ref="AL6">_xll.EQNXTDZ($A$1,$B6,AL$1)</f>
        <v>112199965</v>
      </c>
      <c r="AM6" cm="1">
        <f t="array" ref="AM6">_xll.EQNXTDZ($A$1,$B6,AM$1)</f>
        <v>112199965</v>
      </c>
      <c r="AN6" cm="1">
        <f t="array" ref="AN6">_xll.EQNXTDZ($A$1,$B6,AN$1)</f>
        <v>112199965</v>
      </c>
      <c r="AO6" cm="1">
        <f t="array" ref="AO6">_xll.EQNXTDZ($A$1,$B6,AO$1)</f>
        <v>112199965</v>
      </c>
      <c r="AP6" cm="1">
        <f t="array" ref="AP6">_xll.EQNXTDZ($A$1,$B6,AP$1)</f>
        <v>112199965</v>
      </c>
      <c r="AQ6" cm="1">
        <f t="array" ref="AQ6">_xll.EQNXTDZ($A$1,$B6,AQ$1)</f>
        <v>112199965</v>
      </c>
      <c r="AR6" cm="1">
        <f t="array" ref="AR6">_xll.EQNXTDZ($A$1,$B6,AR$1)</f>
        <v>112199965</v>
      </c>
      <c r="AS6" cm="1">
        <f t="array" ref="AS6">_xll.EQNXTDZ($A$1,$B6,AS$1)</f>
        <v>112199965</v>
      </c>
      <c r="AT6" cm="1">
        <f t="array" ref="AT6">_xll.EQNXTDZ($A$1,$B6,AT$1)</f>
        <v>112199965</v>
      </c>
      <c r="AU6" cm="1">
        <f t="array" ref="AU6">_xll.EQNXTDZ($A$1,$B6,AU$1)</f>
        <v>112199965</v>
      </c>
      <c r="AV6" cm="1">
        <f t="array" ref="AV6">_xll.EQNXTDZ($A$1,$B6,AV$1)</f>
        <v>112199965</v>
      </c>
      <c r="AW6" cm="1">
        <f t="array" ref="AW6">_xll.EQNXTDZ($A$1,$B6,AW$1)</f>
        <v>112199965</v>
      </c>
      <c r="AX6" cm="1">
        <f t="array" ref="AX6">_xll.EQNXTDZ($A$1,$B6,AX$1)</f>
        <v>112199965</v>
      </c>
      <c r="AY6" cm="1">
        <f t="array" ref="AY6">_xll.EQNXTDZ($A$1,$B6,AY$1)</f>
        <v>112199965</v>
      </c>
    </row>
    <row r="7" spans="1:51" x14ac:dyDescent="0.25">
      <c r="B7" t="s">
        <v>429</v>
      </c>
      <c r="C7" s="100">
        <f>+C6/10^7</f>
        <v>9.2861510000000003</v>
      </c>
      <c r="D7" s="100">
        <f t="shared" ref="D7:X7" si="0">+D6/10^7</f>
        <v>9.2861510000000003</v>
      </c>
      <c r="E7" s="100">
        <f t="shared" si="0"/>
        <v>9.2861510000000003</v>
      </c>
      <c r="F7" s="100">
        <f t="shared" si="0"/>
        <v>9.2861510000000003</v>
      </c>
      <c r="G7" s="100">
        <f t="shared" si="0"/>
        <v>10.893584300000001</v>
      </c>
      <c r="H7" s="100">
        <f t="shared" si="0"/>
        <v>10.893584300000001</v>
      </c>
      <c r="I7" s="100">
        <f t="shared" si="0"/>
        <v>10.893584300000001</v>
      </c>
      <c r="J7" s="100">
        <f t="shared" si="0"/>
        <v>10.893584300000001</v>
      </c>
      <c r="K7" s="100">
        <f t="shared" si="0"/>
        <v>10.893584300000001</v>
      </c>
      <c r="L7" s="100">
        <f t="shared" si="0"/>
        <v>10.893584300000001</v>
      </c>
      <c r="M7" s="100">
        <f t="shared" si="0"/>
        <v>10.893584300000001</v>
      </c>
      <c r="N7" s="100">
        <f t="shared" si="0"/>
        <v>10.893584300000001</v>
      </c>
      <c r="O7" s="100">
        <f t="shared" si="0"/>
        <v>10.893584300000001</v>
      </c>
      <c r="P7" s="100">
        <f t="shared" si="0"/>
        <v>10.893584300000001</v>
      </c>
      <c r="Q7" s="100">
        <f t="shared" si="0"/>
        <v>10.893584300000001</v>
      </c>
      <c r="R7" s="100">
        <f t="shared" si="0"/>
        <v>10.893584300000001</v>
      </c>
      <c r="S7" s="100">
        <f t="shared" si="0"/>
        <v>10.893584300000001</v>
      </c>
      <c r="T7" s="100">
        <f t="shared" si="0"/>
        <v>10.893584300000001</v>
      </c>
      <c r="U7" s="100">
        <f t="shared" si="0"/>
        <v>11.219996500000001</v>
      </c>
      <c r="V7" s="100">
        <f t="shared" si="0"/>
        <v>11.219996500000001</v>
      </c>
      <c r="W7" s="100">
        <f t="shared" si="0"/>
        <v>11.219996500000001</v>
      </c>
      <c r="X7" s="100">
        <f t="shared" si="0"/>
        <v>11.219996500000001</v>
      </c>
      <c r="Y7" s="100">
        <f t="shared" ref="Y7:AS7" si="1">+Y6/10^7</f>
        <v>11.219996500000001</v>
      </c>
      <c r="Z7" s="100">
        <f t="shared" si="1"/>
        <v>11.219996500000001</v>
      </c>
      <c r="AA7" s="100">
        <f t="shared" si="1"/>
        <v>11.219996500000001</v>
      </c>
      <c r="AB7" s="100">
        <f t="shared" si="1"/>
        <v>11.219996500000001</v>
      </c>
      <c r="AC7" s="100">
        <f t="shared" si="1"/>
        <v>11.219996500000001</v>
      </c>
      <c r="AD7" s="100">
        <f t="shared" si="1"/>
        <v>11.219996500000001</v>
      </c>
      <c r="AE7" s="100">
        <f t="shared" si="1"/>
        <v>11.219996500000001</v>
      </c>
      <c r="AF7" s="100">
        <f t="shared" si="1"/>
        <v>11.219996500000001</v>
      </c>
      <c r="AG7" s="100">
        <f t="shared" si="1"/>
        <v>11.219996500000001</v>
      </c>
      <c r="AH7" s="100">
        <f t="shared" si="1"/>
        <v>11.219996500000001</v>
      </c>
      <c r="AI7" s="100">
        <f t="shared" si="1"/>
        <v>11.219996500000001</v>
      </c>
      <c r="AJ7" s="100">
        <f t="shared" si="1"/>
        <v>11.219996500000001</v>
      </c>
      <c r="AK7" s="100">
        <f t="shared" si="1"/>
        <v>11.219996500000001</v>
      </c>
      <c r="AL7" s="100">
        <f t="shared" si="1"/>
        <v>11.219996500000001</v>
      </c>
      <c r="AM7" s="100">
        <f t="shared" si="1"/>
        <v>11.219996500000001</v>
      </c>
      <c r="AN7" s="100">
        <f t="shared" si="1"/>
        <v>11.219996500000001</v>
      </c>
      <c r="AO7" s="100">
        <f t="shared" si="1"/>
        <v>11.219996500000001</v>
      </c>
      <c r="AP7" s="100">
        <f t="shared" si="1"/>
        <v>11.219996500000001</v>
      </c>
      <c r="AQ7" s="100">
        <f t="shared" si="1"/>
        <v>11.219996500000001</v>
      </c>
      <c r="AR7" s="100">
        <f t="shared" si="1"/>
        <v>11.219996500000001</v>
      </c>
      <c r="AS7" s="100">
        <f t="shared" si="1"/>
        <v>11.219996500000001</v>
      </c>
      <c r="AT7" s="100">
        <f t="shared" ref="AT7:AX7" si="2">+AT6/10^7</f>
        <v>11.219996500000001</v>
      </c>
      <c r="AU7" s="100">
        <f t="shared" si="2"/>
        <v>11.219996500000001</v>
      </c>
      <c r="AV7" s="100">
        <f t="shared" si="2"/>
        <v>11.219996500000001</v>
      </c>
      <c r="AW7" s="100">
        <f t="shared" si="2"/>
        <v>11.219996500000001</v>
      </c>
      <c r="AX7" s="100">
        <f t="shared" si="2"/>
        <v>11.219996500000001</v>
      </c>
      <c r="AY7" s="100">
        <f t="shared" ref="AY7" si="3">+AY6/10^7</f>
        <v>11.219996500000001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105700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6" t="s">
        <v>515</v>
      </c>
      <c r="L2" s="166" t="s">
        <v>515</v>
      </c>
    </row>
    <row r="3" spans="1:18" x14ac:dyDescent="0.25">
      <c r="A3" s="167" t="s">
        <v>516</v>
      </c>
      <c r="B3" s="168" t="s">
        <v>518</v>
      </c>
      <c r="C3" s="168" t="s">
        <v>517</v>
      </c>
      <c r="D3" s="168" t="s">
        <v>519</v>
      </c>
      <c r="E3" s="168" t="s">
        <v>520</v>
      </c>
      <c r="F3" s="168" t="s">
        <v>521</v>
      </c>
      <c r="G3" s="168" t="s">
        <v>522</v>
      </c>
      <c r="H3" s="168"/>
      <c r="I3" s="168"/>
      <c r="J3" s="168"/>
      <c r="K3" s="168"/>
      <c r="L3" s="167" t="s">
        <v>516</v>
      </c>
      <c r="M3" s="169" t="s">
        <v>517</v>
      </c>
      <c r="N3" s="169" t="s">
        <v>518</v>
      </c>
      <c r="O3" s="169" t="s">
        <v>519</v>
      </c>
      <c r="P3" s="169" t="s">
        <v>520</v>
      </c>
      <c r="Q3" s="169" t="s">
        <v>521</v>
      </c>
      <c r="R3" s="168" t="s">
        <v>522</v>
      </c>
    </row>
    <row r="4" spans="1:18" x14ac:dyDescent="0.25">
      <c r="A4" s="166">
        <v>42005</v>
      </c>
      <c r="B4" s="116">
        <v>27.6</v>
      </c>
      <c r="C4" s="116">
        <v>26.85</v>
      </c>
      <c r="D4" s="116">
        <v>25.75</v>
      </c>
      <c r="E4" s="116">
        <v>26.1</v>
      </c>
      <c r="F4" s="116">
        <v>53.7</v>
      </c>
      <c r="G4">
        <v>217807</v>
      </c>
      <c r="H4" s="116"/>
      <c r="I4" s="116"/>
      <c r="L4" s="166">
        <v>42005</v>
      </c>
      <c r="M4" s="116">
        <v>26.95</v>
      </c>
      <c r="N4" s="116">
        <v>27.65</v>
      </c>
      <c r="O4" s="116">
        <v>25.8</v>
      </c>
      <c r="P4" s="116">
        <v>26.5</v>
      </c>
      <c r="Q4" s="116">
        <v>53.9</v>
      </c>
      <c r="R4">
        <v>863873</v>
      </c>
    </row>
    <row r="5" spans="1:18" x14ac:dyDescent="0.25">
      <c r="A5" s="166">
        <v>42006</v>
      </c>
      <c r="B5" s="116">
        <v>28.1</v>
      </c>
      <c r="C5" s="116">
        <v>26.975000000000001</v>
      </c>
      <c r="D5" s="116">
        <v>26.524999999999999</v>
      </c>
      <c r="E5" s="116">
        <v>27</v>
      </c>
      <c r="F5" s="116">
        <v>53.95</v>
      </c>
      <c r="G5">
        <v>245840</v>
      </c>
      <c r="H5" s="116"/>
      <c r="I5" s="116"/>
      <c r="L5" s="166">
        <v>42006</v>
      </c>
      <c r="M5" s="116">
        <v>26.975000000000001</v>
      </c>
      <c r="N5" s="116">
        <v>28.074999999999999</v>
      </c>
      <c r="O5" s="116">
        <v>26.625</v>
      </c>
      <c r="P5" s="116">
        <v>27.1</v>
      </c>
      <c r="Q5" s="116">
        <v>53.95</v>
      </c>
      <c r="R5">
        <v>1383634</v>
      </c>
    </row>
    <row r="6" spans="1:18" x14ac:dyDescent="0.25">
      <c r="A6" s="166">
        <v>42009</v>
      </c>
      <c r="B6" s="116">
        <v>27.7</v>
      </c>
      <c r="C6" s="116">
        <v>27.475000000000001</v>
      </c>
      <c r="D6" s="116">
        <v>26.675000000000001</v>
      </c>
      <c r="E6" s="116">
        <v>27</v>
      </c>
      <c r="F6" s="116">
        <v>54.95</v>
      </c>
      <c r="G6">
        <v>157195</v>
      </c>
      <c r="H6" s="116"/>
      <c r="I6" s="116"/>
      <c r="L6" s="166">
        <v>42009</v>
      </c>
      <c r="M6" s="116">
        <v>27.475000000000001</v>
      </c>
      <c r="N6" s="116">
        <v>27.65</v>
      </c>
      <c r="O6" s="116">
        <v>26.725000000000001</v>
      </c>
      <c r="P6" s="116">
        <v>27</v>
      </c>
      <c r="Q6" s="116">
        <v>54.95</v>
      </c>
      <c r="R6">
        <v>604516</v>
      </c>
    </row>
    <row r="7" spans="1:18" x14ac:dyDescent="0.25">
      <c r="A7" s="166">
        <v>42010</v>
      </c>
      <c r="B7" s="116">
        <v>27</v>
      </c>
      <c r="C7" s="116">
        <v>25.824999999999999</v>
      </c>
      <c r="D7" s="116">
        <v>25.65</v>
      </c>
      <c r="E7" s="116">
        <v>26.75</v>
      </c>
      <c r="F7" s="116">
        <v>51.65</v>
      </c>
      <c r="G7">
        <v>175296</v>
      </c>
      <c r="H7" s="116"/>
      <c r="I7" s="116"/>
      <c r="L7" s="166">
        <v>42010</v>
      </c>
      <c r="M7" s="116">
        <v>25.75</v>
      </c>
      <c r="N7" s="116">
        <v>27</v>
      </c>
      <c r="O7" s="116">
        <v>25.5</v>
      </c>
      <c r="P7" s="116">
        <v>27</v>
      </c>
      <c r="Q7" s="116">
        <v>51.5</v>
      </c>
      <c r="R7">
        <v>326258</v>
      </c>
    </row>
    <row r="8" spans="1:18" x14ac:dyDescent="0.25">
      <c r="A8" s="166">
        <v>42011</v>
      </c>
      <c r="B8" s="116">
        <v>26.3</v>
      </c>
      <c r="C8" s="116">
        <v>25.524999999999999</v>
      </c>
      <c r="D8" s="116">
        <v>25.024999999999999</v>
      </c>
      <c r="E8" s="116">
        <v>25.824999999999999</v>
      </c>
      <c r="F8" s="116">
        <v>51.05</v>
      </c>
      <c r="G8">
        <v>103802</v>
      </c>
      <c r="H8" s="116"/>
      <c r="I8" s="116"/>
      <c r="L8" s="166">
        <v>42011</v>
      </c>
      <c r="M8" s="116">
        <v>25.425000000000001</v>
      </c>
      <c r="N8" s="116">
        <v>26.3</v>
      </c>
      <c r="O8" s="116">
        <v>25</v>
      </c>
      <c r="P8" s="116">
        <v>25.375</v>
      </c>
      <c r="Q8" s="116">
        <v>50.85</v>
      </c>
      <c r="R8">
        <v>256207</v>
      </c>
    </row>
    <row r="9" spans="1:18" x14ac:dyDescent="0.25">
      <c r="A9" s="166">
        <v>42012</v>
      </c>
      <c r="B9" s="116">
        <v>26.65</v>
      </c>
      <c r="C9" s="116">
        <v>26.024999999999999</v>
      </c>
      <c r="D9" s="116">
        <v>25.774999999999999</v>
      </c>
      <c r="E9" s="116">
        <v>26</v>
      </c>
      <c r="F9" s="116">
        <v>52.05</v>
      </c>
      <c r="G9">
        <v>117578</v>
      </c>
      <c r="H9" s="116"/>
      <c r="I9" s="116"/>
      <c r="L9" s="166">
        <v>42012</v>
      </c>
      <c r="M9" s="116">
        <v>26.05</v>
      </c>
      <c r="N9" s="116">
        <v>26.675000000000001</v>
      </c>
      <c r="O9" s="116">
        <v>25.75</v>
      </c>
      <c r="P9" s="116">
        <v>26</v>
      </c>
      <c r="Q9" s="116">
        <v>52.1</v>
      </c>
      <c r="R9">
        <v>376361</v>
      </c>
    </row>
    <row r="10" spans="1:18" x14ac:dyDescent="0.25">
      <c r="A10" s="166">
        <v>42013</v>
      </c>
      <c r="B10" s="116">
        <v>26.4</v>
      </c>
      <c r="C10" s="116">
        <v>25.875</v>
      </c>
      <c r="D10" s="116">
        <v>25.7</v>
      </c>
      <c r="E10" s="116">
        <v>26.324999999999999</v>
      </c>
      <c r="F10" s="116">
        <v>51.75</v>
      </c>
      <c r="G10">
        <v>51386</v>
      </c>
      <c r="H10" s="116"/>
      <c r="I10" s="116"/>
      <c r="L10" s="166">
        <v>42013</v>
      </c>
      <c r="M10" s="116">
        <v>25.9</v>
      </c>
      <c r="N10" s="116">
        <v>26.475000000000001</v>
      </c>
      <c r="O10" s="116">
        <v>25.625</v>
      </c>
      <c r="P10" s="116">
        <v>26.35</v>
      </c>
      <c r="Q10" s="116">
        <v>51.8</v>
      </c>
      <c r="R10">
        <v>168586</v>
      </c>
    </row>
    <row r="11" spans="1:18" x14ac:dyDescent="0.25">
      <c r="A11" s="166">
        <v>42016</v>
      </c>
      <c r="B11" s="116">
        <v>26.8</v>
      </c>
      <c r="C11" s="116">
        <v>26.5</v>
      </c>
      <c r="D11" s="116">
        <v>26</v>
      </c>
      <c r="E11" s="116">
        <v>26</v>
      </c>
      <c r="F11" s="116">
        <v>53</v>
      </c>
      <c r="G11">
        <v>89020</v>
      </c>
      <c r="H11" s="116"/>
      <c r="I11" s="116"/>
      <c r="L11" s="166">
        <v>42016</v>
      </c>
      <c r="M11" s="116">
        <v>26.375</v>
      </c>
      <c r="N11" s="116">
        <v>26.774999999999999</v>
      </c>
      <c r="O11" s="116">
        <v>25.925000000000001</v>
      </c>
      <c r="P11" s="116">
        <v>25.925000000000001</v>
      </c>
      <c r="Q11" s="116">
        <v>52.75</v>
      </c>
      <c r="R11">
        <v>308958</v>
      </c>
    </row>
    <row r="12" spans="1:18" x14ac:dyDescent="0.25">
      <c r="A12" s="166">
        <v>42017</v>
      </c>
      <c r="B12" s="116">
        <v>27.05</v>
      </c>
      <c r="C12" s="116">
        <v>25.85</v>
      </c>
      <c r="D12" s="116">
        <v>25.6</v>
      </c>
      <c r="E12" s="116">
        <v>26.3</v>
      </c>
      <c r="F12" s="116">
        <v>51.7</v>
      </c>
      <c r="G12">
        <v>88600</v>
      </c>
      <c r="H12" s="116"/>
      <c r="I12" s="116"/>
      <c r="L12" s="166">
        <v>42017</v>
      </c>
      <c r="M12" s="116">
        <v>25.774999999999999</v>
      </c>
      <c r="N12" s="116">
        <v>27.1</v>
      </c>
      <c r="O12" s="116">
        <v>25.55</v>
      </c>
      <c r="P12" s="116">
        <v>26.25</v>
      </c>
      <c r="Q12" s="116">
        <v>51.55</v>
      </c>
      <c r="R12">
        <v>268157</v>
      </c>
    </row>
    <row r="13" spans="1:18" x14ac:dyDescent="0.25">
      <c r="A13" s="166">
        <v>42018</v>
      </c>
      <c r="B13" s="116">
        <v>26.425000000000001</v>
      </c>
      <c r="C13" s="116">
        <v>25.7</v>
      </c>
      <c r="D13" s="116">
        <v>25.574999999999999</v>
      </c>
      <c r="E13" s="116">
        <v>26.25</v>
      </c>
      <c r="F13" s="116">
        <v>51.4</v>
      </c>
      <c r="G13">
        <v>59915</v>
      </c>
      <c r="H13" s="116"/>
      <c r="I13" s="116"/>
      <c r="L13" s="166">
        <v>42018</v>
      </c>
      <c r="M13" s="116">
        <v>25.75</v>
      </c>
      <c r="N13" s="116">
        <v>26.45</v>
      </c>
      <c r="O13" s="116">
        <v>25.574999999999999</v>
      </c>
      <c r="P13" s="116">
        <v>26</v>
      </c>
      <c r="Q13" s="116">
        <v>51.5</v>
      </c>
      <c r="R13">
        <v>188851</v>
      </c>
    </row>
    <row r="14" spans="1:18" x14ac:dyDescent="0.25">
      <c r="A14" s="166">
        <v>42019</v>
      </c>
      <c r="B14" s="116">
        <v>27.324999999999999</v>
      </c>
      <c r="C14" s="116">
        <v>26.425000000000001</v>
      </c>
      <c r="D14" s="116">
        <v>26.024999999999999</v>
      </c>
      <c r="E14" s="116">
        <v>26.175000000000001</v>
      </c>
      <c r="F14" s="116">
        <v>52.85</v>
      </c>
      <c r="G14">
        <v>135762</v>
      </c>
      <c r="H14" s="116"/>
      <c r="I14" s="116"/>
      <c r="L14" s="166">
        <v>42019</v>
      </c>
      <c r="M14" s="116">
        <v>26.475000000000001</v>
      </c>
      <c r="N14" s="116">
        <v>27.35</v>
      </c>
      <c r="O14" s="116">
        <v>26.024999999999999</v>
      </c>
      <c r="P14" s="116">
        <v>26.024999999999999</v>
      </c>
      <c r="Q14" s="116">
        <v>52.95</v>
      </c>
      <c r="R14">
        <v>730177</v>
      </c>
    </row>
    <row r="15" spans="1:18" x14ac:dyDescent="0.25">
      <c r="A15" s="166">
        <v>42020</v>
      </c>
      <c r="B15" s="116">
        <v>27</v>
      </c>
      <c r="C15" s="116">
        <v>26.375</v>
      </c>
      <c r="D15" s="116">
        <v>26.25</v>
      </c>
      <c r="E15" s="116">
        <v>26.3</v>
      </c>
      <c r="F15" s="116">
        <v>52.75</v>
      </c>
      <c r="G15">
        <v>78671</v>
      </c>
      <c r="H15" s="116"/>
      <c r="I15" s="116"/>
      <c r="L15" s="166">
        <v>42020</v>
      </c>
      <c r="M15" s="116">
        <v>26.375</v>
      </c>
      <c r="N15" s="116">
        <v>27</v>
      </c>
      <c r="O15" s="116">
        <v>26.175000000000001</v>
      </c>
      <c r="P15" s="116">
        <v>26.7</v>
      </c>
      <c r="Q15" s="116">
        <v>52.75</v>
      </c>
      <c r="R15">
        <v>223364</v>
      </c>
    </row>
    <row r="16" spans="1:18" x14ac:dyDescent="0.25">
      <c r="A16" s="166">
        <v>42023</v>
      </c>
      <c r="B16" s="116">
        <v>26.875</v>
      </c>
      <c r="C16" s="116">
        <v>26.35</v>
      </c>
      <c r="D16" s="116">
        <v>26.225000000000001</v>
      </c>
      <c r="E16" s="116">
        <v>26.6</v>
      </c>
      <c r="F16" s="116">
        <v>52.7</v>
      </c>
      <c r="G16">
        <v>55306</v>
      </c>
      <c r="H16" s="116"/>
      <c r="I16" s="116"/>
      <c r="L16" s="166">
        <v>42023</v>
      </c>
      <c r="M16" s="116">
        <v>26.35</v>
      </c>
      <c r="N16" s="116">
        <v>26.875</v>
      </c>
      <c r="O16" s="116">
        <v>26.25</v>
      </c>
      <c r="P16" s="116">
        <v>26.375</v>
      </c>
      <c r="Q16" s="116">
        <v>52.7</v>
      </c>
      <c r="R16">
        <v>180647</v>
      </c>
    </row>
    <row r="17" spans="1:18" x14ac:dyDescent="0.25">
      <c r="A17" s="166">
        <v>42024</v>
      </c>
      <c r="B17" s="116">
        <v>27.225000000000001</v>
      </c>
      <c r="C17" s="116">
        <v>26.774999999999999</v>
      </c>
      <c r="D17" s="116">
        <v>26.274999999999999</v>
      </c>
      <c r="E17" s="116">
        <v>26.35</v>
      </c>
      <c r="F17" s="116">
        <v>53.55</v>
      </c>
      <c r="G17">
        <v>136800</v>
      </c>
      <c r="H17" s="116"/>
      <c r="I17" s="116"/>
      <c r="L17" s="166">
        <v>42024</v>
      </c>
      <c r="M17" s="116">
        <v>26.774999999999999</v>
      </c>
      <c r="N17" s="116">
        <v>27.3</v>
      </c>
      <c r="O17" s="116">
        <v>26.225000000000001</v>
      </c>
      <c r="P17" s="116">
        <v>26.375</v>
      </c>
      <c r="Q17" s="116">
        <v>53.55</v>
      </c>
      <c r="R17">
        <v>653333</v>
      </c>
    </row>
    <row r="18" spans="1:18" x14ac:dyDescent="0.25">
      <c r="A18" s="166">
        <v>42025</v>
      </c>
      <c r="B18" s="116">
        <v>27.05</v>
      </c>
      <c r="C18" s="116">
        <v>26.524999999999999</v>
      </c>
      <c r="D18" s="116">
        <v>26.25</v>
      </c>
      <c r="E18" s="116">
        <v>26.9</v>
      </c>
      <c r="F18" s="116">
        <v>53.05</v>
      </c>
      <c r="G18">
        <v>81264</v>
      </c>
      <c r="H18" s="116"/>
      <c r="I18" s="116"/>
      <c r="L18" s="166">
        <v>42025</v>
      </c>
      <c r="M18" s="116">
        <v>26.4</v>
      </c>
      <c r="N18" s="116">
        <v>27.024999999999999</v>
      </c>
      <c r="O18" s="116">
        <v>26.225000000000001</v>
      </c>
      <c r="P18" s="116">
        <v>26.625</v>
      </c>
      <c r="Q18" s="116">
        <v>52.8</v>
      </c>
      <c r="R18">
        <v>230456</v>
      </c>
    </row>
    <row r="19" spans="1:18" x14ac:dyDescent="0.25">
      <c r="A19" s="166">
        <v>42026</v>
      </c>
      <c r="B19" s="116">
        <v>27.175000000000001</v>
      </c>
      <c r="C19" s="116">
        <v>26.274999999999999</v>
      </c>
      <c r="D19" s="116">
        <v>26.074999999999999</v>
      </c>
      <c r="E19" s="116">
        <v>26.5</v>
      </c>
      <c r="F19" s="116">
        <v>52.55</v>
      </c>
      <c r="G19">
        <v>67986</v>
      </c>
      <c r="H19" s="116"/>
      <c r="I19" s="116"/>
      <c r="L19" s="166">
        <v>42026</v>
      </c>
      <c r="M19" s="116">
        <v>26.2</v>
      </c>
      <c r="N19" s="116">
        <v>27.125</v>
      </c>
      <c r="O19" s="116">
        <v>26.05</v>
      </c>
      <c r="P19" s="116">
        <v>26.4</v>
      </c>
      <c r="Q19" s="116">
        <v>52.4</v>
      </c>
      <c r="R19">
        <v>212235</v>
      </c>
    </row>
    <row r="20" spans="1:18" x14ac:dyDescent="0.25">
      <c r="A20" s="166">
        <v>42027</v>
      </c>
      <c r="B20" s="116">
        <v>26.675000000000001</v>
      </c>
      <c r="C20" s="116">
        <v>25.9</v>
      </c>
      <c r="D20" s="116">
        <v>25.75</v>
      </c>
      <c r="E20" s="116">
        <v>26.4</v>
      </c>
      <c r="F20" s="116">
        <v>51.8</v>
      </c>
      <c r="G20">
        <v>68110</v>
      </c>
      <c r="H20" s="116"/>
      <c r="I20" s="116"/>
      <c r="L20" s="166">
        <v>42027</v>
      </c>
      <c r="M20" s="116">
        <v>25.824999999999999</v>
      </c>
      <c r="N20" s="116">
        <v>26.65</v>
      </c>
      <c r="O20" s="116">
        <v>25.7</v>
      </c>
      <c r="P20" s="116">
        <v>26.5</v>
      </c>
      <c r="Q20" s="116">
        <v>51.65</v>
      </c>
      <c r="R20">
        <v>162087</v>
      </c>
    </row>
    <row r="21" spans="1:18" x14ac:dyDescent="0.25">
      <c r="A21" s="166">
        <v>42031</v>
      </c>
      <c r="B21" s="116">
        <v>27</v>
      </c>
      <c r="C21" s="116">
        <v>26.375</v>
      </c>
      <c r="D21" s="116">
        <v>25.75</v>
      </c>
      <c r="E21" s="116">
        <v>25.975000000000001</v>
      </c>
      <c r="F21" s="116">
        <v>52.75</v>
      </c>
      <c r="G21">
        <v>83134</v>
      </c>
      <c r="H21" s="116"/>
      <c r="I21" s="116"/>
      <c r="L21" s="166">
        <v>42031</v>
      </c>
      <c r="M21" s="116">
        <v>26.324999999999999</v>
      </c>
      <c r="N21" s="116">
        <v>27.1</v>
      </c>
      <c r="O21" s="116">
        <v>25.824999999999999</v>
      </c>
      <c r="P21" s="116">
        <v>26.2</v>
      </c>
      <c r="Q21" s="116">
        <v>52.65</v>
      </c>
      <c r="R21">
        <v>247722</v>
      </c>
    </row>
    <row r="22" spans="1:18" x14ac:dyDescent="0.25">
      <c r="A22" s="166">
        <v>42032</v>
      </c>
      <c r="B22" s="116">
        <v>26.725000000000001</v>
      </c>
      <c r="C22" s="116">
        <v>26.024999999999999</v>
      </c>
      <c r="D22" s="116">
        <v>25.75</v>
      </c>
      <c r="E22" s="116">
        <v>26.225000000000001</v>
      </c>
      <c r="F22" s="116">
        <v>52.05</v>
      </c>
      <c r="G22">
        <v>65022</v>
      </c>
      <c r="H22" s="116"/>
      <c r="I22" s="116"/>
      <c r="L22" s="166">
        <v>42032</v>
      </c>
      <c r="M22" s="116">
        <v>26.1</v>
      </c>
      <c r="N22" s="116">
        <v>26.7</v>
      </c>
      <c r="O22" s="116">
        <v>25.75</v>
      </c>
      <c r="P22" s="116">
        <v>26.05</v>
      </c>
      <c r="Q22" s="116">
        <v>52.2</v>
      </c>
      <c r="R22">
        <v>145603</v>
      </c>
    </row>
    <row r="23" spans="1:18" x14ac:dyDescent="0.25">
      <c r="A23" s="166">
        <v>42033</v>
      </c>
      <c r="B23" s="116">
        <v>26.324999999999999</v>
      </c>
      <c r="C23" s="116">
        <v>26.225000000000001</v>
      </c>
      <c r="D23" s="116">
        <v>25.274999999999999</v>
      </c>
      <c r="E23" s="116">
        <v>25.274999999999999</v>
      </c>
      <c r="F23" s="116">
        <v>52.45</v>
      </c>
      <c r="G23">
        <v>47968</v>
      </c>
      <c r="H23" s="116"/>
      <c r="I23" s="116"/>
      <c r="L23" s="166">
        <v>42033</v>
      </c>
      <c r="M23" s="116">
        <v>26.225000000000001</v>
      </c>
      <c r="N23" s="116">
        <v>26.475000000000001</v>
      </c>
      <c r="O23" s="116">
        <v>25.75</v>
      </c>
      <c r="P23" s="116">
        <v>26</v>
      </c>
      <c r="Q23" s="116">
        <v>52.45</v>
      </c>
      <c r="R23">
        <v>111905</v>
      </c>
    </row>
    <row r="24" spans="1:18" x14ac:dyDescent="0.25">
      <c r="A24" s="166">
        <v>42034</v>
      </c>
      <c r="B24" s="116">
        <v>26.425000000000001</v>
      </c>
      <c r="C24" s="116">
        <v>25.7</v>
      </c>
      <c r="D24" s="116">
        <v>25.524999999999999</v>
      </c>
      <c r="E24" s="116">
        <v>26.25</v>
      </c>
      <c r="F24" s="116">
        <v>51.4</v>
      </c>
      <c r="G24">
        <v>59594</v>
      </c>
      <c r="H24" s="116"/>
      <c r="I24" s="116"/>
      <c r="L24" s="166">
        <v>42034</v>
      </c>
      <c r="M24" s="116">
        <v>25.65</v>
      </c>
      <c r="N24" s="116">
        <v>26.425000000000001</v>
      </c>
      <c r="O24" s="116">
        <v>25.55</v>
      </c>
      <c r="P24" s="116">
        <v>26.225000000000001</v>
      </c>
      <c r="Q24" s="116">
        <v>51.3</v>
      </c>
      <c r="R24">
        <v>84882</v>
      </c>
    </row>
    <row r="25" spans="1:18" x14ac:dyDescent="0.25">
      <c r="A25" s="166">
        <v>42037</v>
      </c>
      <c r="B25" s="116">
        <v>26.25</v>
      </c>
      <c r="C25" s="116">
        <v>25.774999999999999</v>
      </c>
      <c r="D25" s="116">
        <v>25.675000000000001</v>
      </c>
      <c r="E25" s="116">
        <v>25.675000000000001</v>
      </c>
      <c r="F25" s="116">
        <v>51.55</v>
      </c>
      <c r="G25">
        <v>57559</v>
      </c>
      <c r="H25" s="116"/>
      <c r="I25" s="116"/>
      <c r="L25" s="166">
        <v>42037</v>
      </c>
      <c r="M25" s="116">
        <v>25.725000000000001</v>
      </c>
      <c r="N25" s="116">
        <v>26.25</v>
      </c>
      <c r="O25" s="116">
        <v>25.425000000000001</v>
      </c>
      <c r="P25" s="116">
        <v>25.425000000000001</v>
      </c>
      <c r="Q25" s="116">
        <v>51.45</v>
      </c>
      <c r="R25">
        <v>166687</v>
      </c>
    </row>
    <row r="26" spans="1:18" x14ac:dyDescent="0.25">
      <c r="A26" s="166">
        <v>42038</v>
      </c>
      <c r="B26" s="116">
        <v>25.925000000000001</v>
      </c>
      <c r="C26" s="116">
        <v>25.274999999999999</v>
      </c>
      <c r="D26" s="116">
        <v>24.6</v>
      </c>
      <c r="E26" s="116">
        <v>25.925000000000001</v>
      </c>
      <c r="F26" s="116">
        <v>50.55</v>
      </c>
      <c r="G26">
        <v>83589</v>
      </c>
      <c r="H26" s="116"/>
      <c r="I26" s="116"/>
      <c r="L26" s="166">
        <v>42038</v>
      </c>
      <c r="M26" s="116">
        <v>25.3</v>
      </c>
      <c r="N26" s="116">
        <v>25.975000000000001</v>
      </c>
      <c r="O26" s="116">
        <v>24.55</v>
      </c>
      <c r="P26" s="116">
        <v>25.975000000000001</v>
      </c>
      <c r="Q26" s="116">
        <v>50.6</v>
      </c>
      <c r="R26">
        <v>188786</v>
      </c>
    </row>
    <row r="27" spans="1:18" x14ac:dyDescent="0.25">
      <c r="A27" s="166">
        <v>42039</v>
      </c>
      <c r="B27" s="116">
        <v>27</v>
      </c>
      <c r="C27" s="116">
        <v>26.4</v>
      </c>
      <c r="D27" s="116">
        <v>25.9</v>
      </c>
      <c r="E27" s="116">
        <v>26.4</v>
      </c>
      <c r="F27" s="116">
        <v>52.8</v>
      </c>
      <c r="G27">
        <v>312207</v>
      </c>
      <c r="H27" s="116"/>
      <c r="I27" s="116"/>
      <c r="L27" s="166">
        <v>42039</v>
      </c>
      <c r="M27" s="116">
        <v>26.324999999999999</v>
      </c>
      <c r="N27" s="116">
        <v>27.125</v>
      </c>
      <c r="O27" s="116">
        <v>25.875</v>
      </c>
      <c r="P27" s="116">
        <v>26</v>
      </c>
      <c r="Q27" s="116">
        <v>52.65</v>
      </c>
      <c r="R27">
        <v>723869</v>
      </c>
    </row>
    <row r="28" spans="1:18" x14ac:dyDescent="0.25">
      <c r="A28" s="166">
        <v>42040</v>
      </c>
      <c r="B28" s="116">
        <v>26.675000000000001</v>
      </c>
      <c r="C28" s="116">
        <v>24.65</v>
      </c>
      <c r="D28" s="116">
        <v>24.25</v>
      </c>
      <c r="E28" s="116">
        <v>26.25</v>
      </c>
      <c r="F28" s="116">
        <v>49.3</v>
      </c>
      <c r="G28">
        <v>117797</v>
      </c>
      <c r="H28" s="116"/>
      <c r="I28" s="116"/>
      <c r="L28" s="166">
        <v>42040</v>
      </c>
      <c r="M28" s="116">
        <v>24.55</v>
      </c>
      <c r="N28" s="116">
        <v>26.625</v>
      </c>
      <c r="O28" s="116">
        <v>24.175000000000001</v>
      </c>
      <c r="P28" s="116">
        <v>26.15</v>
      </c>
      <c r="Q28" s="116">
        <v>49.1</v>
      </c>
      <c r="R28">
        <v>265322</v>
      </c>
    </row>
    <row r="29" spans="1:18" x14ac:dyDescent="0.25">
      <c r="A29" s="166">
        <v>42041</v>
      </c>
      <c r="B29" s="116">
        <v>25.35</v>
      </c>
      <c r="C29" s="116">
        <v>24.625</v>
      </c>
      <c r="D29" s="116">
        <v>24.225000000000001</v>
      </c>
      <c r="E29" s="116">
        <v>25.35</v>
      </c>
      <c r="F29" s="116">
        <v>49.25</v>
      </c>
      <c r="G29">
        <v>78454</v>
      </c>
      <c r="H29" s="116"/>
      <c r="I29" s="116"/>
      <c r="L29" s="166">
        <v>42041</v>
      </c>
      <c r="M29" s="116">
        <v>24.675000000000001</v>
      </c>
      <c r="N29" s="116">
        <v>25.2</v>
      </c>
      <c r="O29" s="116">
        <v>24.175000000000001</v>
      </c>
      <c r="P29" s="116">
        <v>24.9</v>
      </c>
      <c r="Q29" s="116">
        <v>49.35</v>
      </c>
      <c r="R29">
        <v>188485</v>
      </c>
    </row>
    <row r="30" spans="1:18" x14ac:dyDescent="0.25">
      <c r="A30" s="166">
        <v>42044</v>
      </c>
      <c r="B30" s="116">
        <v>24.925000000000001</v>
      </c>
      <c r="C30" s="116">
        <v>24.55</v>
      </c>
      <c r="D30" s="116">
        <v>24.125</v>
      </c>
      <c r="E30" s="116">
        <v>24.65</v>
      </c>
      <c r="F30" s="116">
        <v>49.1</v>
      </c>
      <c r="G30">
        <v>78636</v>
      </c>
      <c r="H30" s="116"/>
      <c r="I30" s="116"/>
      <c r="L30" s="166">
        <v>42044</v>
      </c>
      <c r="M30" s="116">
        <v>24.55</v>
      </c>
      <c r="N30" s="116">
        <v>24.95</v>
      </c>
      <c r="O30" s="116">
        <v>24.25</v>
      </c>
      <c r="P30" s="116">
        <v>24.9</v>
      </c>
      <c r="Q30" s="116">
        <v>49.1</v>
      </c>
      <c r="R30">
        <v>148795</v>
      </c>
    </row>
    <row r="31" spans="1:18" x14ac:dyDescent="0.25">
      <c r="A31" s="166">
        <v>42045</v>
      </c>
      <c r="B31" s="116">
        <v>25.324999999999999</v>
      </c>
      <c r="C31" s="116">
        <v>24.45</v>
      </c>
      <c r="D31" s="116">
        <v>24.074999999999999</v>
      </c>
      <c r="E31" s="116">
        <v>24.5</v>
      </c>
      <c r="F31" s="116">
        <v>48.9</v>
      </c>
      <c r="G31">
        <v>76691</v>
      </c>
      <c r="H31" s="116"/>
      <c r="I31" s="116"/>
      <c r="L31" s="166">
        <v>42045</v>
      </c>
      <c r="M31" s="116">
        <v>24.4</v>
      </c>
      <c r="N31" s="116">
        <v>25.4</v>
      </c>
      <c r="O31" s="116">
        <v>24.125</v>
      </c>
      <c r="P31" s="116">
        <v>24.925000000000001</v>
      </c>
      <c r="Q31" s="116">
        <v>48.8</v>
      </c>
      <c r="R31">
        <v>179420</v>
      </c>
    </row>
    <row r="32" spans="1:18" x14ac:dyDescent="0.25">
      <c r="A32" s="166">
        <v>42046</v>
      </c>
      <c r="B32" s="116">
        <v>24.95</v>
      </c>
      <c r="C32" s="116">
        <v>24.5</v>
      </c>
      <c r="D32" s="116">
        <v>24.25</v>
      </c>
      <c r="E32" s="116">
        <v>24.625</v>
      </c>
      <c r="F32" s="116">
        <v>49</v>
      </c>
      <c r="G32">
        <v>242537</v>
      </c>
      <c r="H32" s="116"/>
      <c r="I32" s="116"/>
      <c r="L32" s="166">
        <v>42046</v>
      </c>
      <c r="M32" s="116">
        <v>24.475000000000001</v>
      </c>
      <c r="N32" s="116">
        <v>24.95</v>
      </c>
      <c r="O32" s="116">
        <v>24.15</v>
      </c>
      <c r="P32" s="116">
        <v>24.15</v>
      </c>
      <c r="Q32" s="116">
        <v>48.95</v>
      </c>
      <c r="R32">
        <v>934939</v>
      </c>
    </row>
    <row r="33" spans="1:18" x14ac:dyDescent="0.25">
      <c r="A33" s="166">
        <v>42047</v>
      </c>
      <c r="B33" s="116">
        <v>24.925000000000001</v>
      </c>
      <c r="C33" s="116">
        <v>24.475000000000001</v>
      </c>
      <c r="D33" s="116">
        <v>24.425000000000001</v>
      </c>
      <c r="E33" s="116">
        <v>24.5</v>
      </c>
      <c r="F33" s="116">
        <v>48.95</v>
      </c>
      <c r="G33">
        <v>65611</v>
      </c>
      <c r="H33" s="116"/>
      <c r="I33" s="116"/>
      <c r="L33" s="166">
        <v>42047</v>
      </c>
      <c r="M33" s="116">
        <v>24.425000000000001</v>
      </c>
      <c r="N33" s="116">
        <v>24.925000000000001</v>
      </c>
      <c r="O33" s="116">
        <v>24.375</v>
      </c>
      <c r="P33" s="116">
        <v>24.7</v>
      </c>
      <c r="Q33" s="116">
        <v>48.85</v>
      </c>
      <c r="R33">
        <v>233058</v>
      </c>
    </row>
    <row r="34" spans="1:18" x14ac:dyDescent="0.25">
      <c r="A34" s="166">
        <v>42048</v>
      </c>
      <c r="B34" s="116">
        <v>24.975000000000001</v>
      </c>
      <c r="C34" s="116">
        <v>24.574999999999999</v>
      </c>
      <c r="D34" s="116">
        <v>24.375</v>
      </c>
      <c r="E34" s="116">
        <v>24.574999999999999</v>
      </c>
      <c r="F34" s="116">
        <v>49.15</v>
      </c>
      <c r="G34">
        <v>64627</v>
      </c>
      <c r="H34" s="116"/>
      <c r="I34" s="116"/>
      <c r="L34" s="166">
        <v>42048</v>
      </c>
      <c r="M34" s="116">
        <v>24.574999999999999</v>
      </c>
      <c r="N34" s="116">
        <v>24.875</v>
      </c>
      <c r="O34" s="116">
        <v>24.425000000000001</v>
      </c>
      <c r="P34" s="116">
        <v>24.625</v>
      </c>
      <c r="Q34" s="116">
        <v>49.15</v>
      </c>
      <c r="R34">
        <v>151899</v>
      </c>
    </row>
    <row r="35" spans="1:18" x14ac:dyDescent="0.25">
      <c r="A35" s="166">
        <v>42051</v>
      </c>
      <c r="B35" s="116">
        <v>24.725000000000001</v>
      </c>
      <c r="C35" s="116">
        <v>24.2</v>
      </c>
      <c r="D35" s="116">
        <v>24.125</v>
      </c>
      <c r="E35" s="116">
        <v>24.625</v>
      </c>
      <c r="F35" s="116">
        <v>48.4</v>
      </c>
      <c r="G35">
        <v>47399</v>
      </c>
      <c r="H35" s="116"/>
      <c r="I35" s="116"/>
      <c r="L35" s="166">
        <v>42051</v>
      </c>
      <c r="M35" s="116">
        <v>24.175000000000001</v>
      </c>
      <c r="N35" s="116">
        <v>24.824999999999999</v>
      </c>
      <c r="O35" s="116">
        <v>24.05</v>
      </c>
      <c r="P35" s="116">
        <v>24.324999999999999</v>
      </c>
      <c r="Q35" s="116">
        <v>48.35</v>
      </c>
      <c r="R35">
        <v>128850</v>
      </c>
    </row>
    <row r="36" spans="1:18" x14ac:dyDescent="0.25">
      <c r="A36" s="166">
        <v>42053</v>
      </c>
      <c r="B36" s="116">
        <v>26.2</v>
      </c>
      <c r="C36" s="116">
        <v>25.6</v>
      </c>
      <c r="D36" s="116">
        <v>23.95</v>
      </c>
      <c r="E36" s="116">
        <v>24.2</v>
      </c>
      <c r="F36" s="116">
        <v>51.2</v>
      </c>
      <c r="G36">
        <v>266540</v>
      </c>
      <c r="H36" s="116"/>
      <c r="I36" s="116"/>
      <c r="L36" s="166">
        <v>42053</v>
      </c>
      <c r="M36" s="116">
        <v>25.6</v>
      </c>
      <c r="N36" s="116">
        <v>26.25</v>
      </c>
      <c r="O36" s="116">
        <v>23.9</v>
      </c>
      <c r="P36" s="116">
        <v>24</v>
      </c>
      <c r="Q36" s="116">
        <v>51.2</v>
      </c>
      <c r="R36">
        <v>822445</v>
      </c>
    </row>
    <row r="37" spans="1:18" x14ac:dyDescent="0.25">
      <c r="A37" s="166">
        <v>42054</v>
      </c>
      <c r="B37" s="116">
        <v>25.975000000000001</v>
      </c>
      <c r="C37" s="116">
        <v>25.225000000000001</v>
      </c>
      <c r="D37" s="116">
        <v>24.9</v>
      </c>
      <c r="E37" s="116">
        <v>25.5</v>
      </c>
      <c r="F37" s="116">
        <v>50.45</v>
      </c>
      <c r="G37">
        <v>92950</v>
      </c>
      <c r="H37" s="116"/>
      <c r="I37" s="116"/>
      <c r="L37" s="166">
        <v>42054</v>
      </c>
      <c r="M37" s="116">
        <v>25.175000000000001</v>
      </c>
      <c r="N37" s="116">
        <v>26</v>
      </c>
      <c r="O37" s="116">
        <v>24.85</v>
      </c>
      <c r="P37" s="116">
        <v>25.65</v>
      </c>
      <c r="Q37" s="116">
        <v>50.35</v>
      </c>
      <c r="R37">
        <v>223696</v>
      </c>
    </row>
    <row r="38" spans="1:18" x14ac:dyDescent="0.25">
      <c r="A38" s="166">
        <v>42055</v>
      </c>
      <c r="B38" s="116">
        <v>25.65</v>
      </c>
      <c r="C38" s="116">
        <v>25.175000000000001</v>
      </c>
      <c r="D38" s="116">
        <v>25.1</v>
      </c>
      <c r="E38" s="116">
        <v>25.1</v>
      </c>
      <c r="F38" s="116">
        <v>50.35</v>
      </c>
      <c r="G38">
        <v>60527</v>
      </c>
      <c r="H38" s="116"/>
      <c r="I38" s="116"/>
      <c r="L38" s="166">
        <v>42055</v>
      </c>
      <c r="M38" s="116">
        <v>25.15</v>
      </c>
      <c r="N38" s="116">
        <v>25.7</v>
      </c>
      <c r="O38" s="116">
        <v>25.05</v>
      </c>
      <c r="P38" s="116">
        <v>25.375</v>
      </c>
      <c r="Q38" s="116">
        <v>50.3</v>
      </c>
      <c r="R38">
        <v>149769</v>
      </c>
    </row>
    <row r="39" spans="1:18" x14ac:dyDescent="0.25">
      <c r="A39" s="166">
        <v>42058</v>
      </c>
      <c r="B39" s="116">
        <v>27.324999999999999</v>
      </c>
      <c r="C39" s="116">
        <v>26.15</v>
      </c>
      <c r="D39" s="116">
        <v>25.2</v>
      </c>
      <c r="E39" s="116">
        <v>25.2</v>
      </c>
      <c r="F39" s="116">
        <v>52.3</v>
      </c>
      <c r="G39">
        <v>426375</v>
      </c>
      <c r="H39" s="116"/>
      <c r="I39" s="116"/>
      <c r="L39" s="166">
        <v>42058</v>
      </c>
      <c r="M39" s="116">
        <v>26.15</v>
      </c>
      <c r="N39" s="116">
        <v>27.35</v>
      </c>
      <c r="O39" s="116">
        <v>25.15</v>
      </c>
      <c r="P39" s="116">
        <v>25.4</v>
      </c>
      <c r="Q39" s="116">
        <v>52.3</v>
      </c>
      <c r="R39">
        <v>1435581</v>
      </c>
    </row>
    <row r="40" spans="1:18" x14ac:dyDescent="0.25">
      <c r="A40" s="166">
        <v>42059</v>
      </c>
      <c r="B40" s="116">
        <v>28.324999999999999</v>
      </c>
      <c r="C40" s="116">
        <v>27.9</v>
      </c>
      <c r="D40" s="116">
        <v>25.875</v>
      </c>
      <c r="E40" s="116">
        <v>26</v>
      </c>
      <c r="F40" s="116">
        <v>55.8</v>
      </c>
      <c r="G40">
        <v>576960</v>
      </c>
      <c r="H40" s="116"/>
      <c r="I40" s="116"/>
      <c r="L40" s="166">
        <v>42059</v>
      </c>
      <c r="M40" s="116">
        <v>27.9</v>
      </c>
      <c r="N40" s="116">
        <v>28.324999999999999</v>
      </c>
      <c r="O40" s="116">
        <v>25.75</v>
      </c>
      <c r="P40" s="116">
        <v>26.2</v>
      </c>
      <c r="Q40" s="116">
        <v>55.8</v>
      </c>
      <c r="R40">
        <v>1942868</v>
      </c>
    </row>
    <row r="41" spans="1:18" x14ac:dyDescent="0.25">
      <c r="A41" s="166">
        <v>42060</v>
      </c>
      <c r="B41" s="116">
        <v>29.4</v>
      </c>
      <c r="C41" s="116">
        <v>27.6</v>
      </c>
      <c r="D41" s="116">
        <v>27.425000000000001</v>
      </c>
      <c r="E41" s="116">
        <v>28.375</v>
      </c>
      <c r="F41" s="116">
        <v>55.2</v>
      </c>
      <c r="G41">
        <v>636811</v>
      </c>
      <c r="H41" s="116"/>
      <c r="I41" s="116"/>
      <c r="L41" s="166">
        <v>42060</v>
      </c>
      <c r="M41" s="116">
        <v>27.55</v>
      </c>
      <c r="N41" s="116">
        <v>29.375</v>
      </c>
      <c r="O41" s="116">
        <v>27.35</v>
      </c>
      <c r="P41" s="116">
        <v>28.45</v>
      </c>
      <c r="Q41" s="116">
        <v>55.1</v>
      </c>
      <c r="R41">
        <v>2084870</v>
      </c>
    </row>
    <row r="42" spans="1:18" x14ac:dyDescent="0.25">
      <c r="A42" s="166">
        <v>42061</v>
      </c>
      <c r="B42" s="116">
        <v>27.65</v>
      </c>
      <c r="C42" s="116">
        <v>26.9</v>
      </c>
      <c r="D42" s="116">
        <v>26.35</v>
      </c>
      <c r="E42" s="116">
        <v>27.5</v>
      </c>
      <c r="F42" s="116">
        <v>53.8</v>
      </c>
      <c r="G42">
        <v>191852</v>
      </c>
      <c r="H42" s="116"/>
      <c r="I42" s="116"/>
      <c r="L42" s="166">
        <v>42061</v>
      </c>
      <c r="M42" s="116">
        <v>26.824999999999999</v>
      </c>
      <c r="N42" s="116">
        <v>27.675000000000001</v>
      </c>
      <c r="O42" s="116">
        <v>26.3</v>
      </c>
      <c r="P42" s="116">
        <v>27.524999999999999</v>
      </c>
      <c r="Q42" s="116">
        <v>53.65</v>
      </c>
      <c r="R42">
        <v>545693</v>
      </c>
    </row>
    <row r="43" spans="1:18" x14ac:dyDescent="0.25">
      <c r="A43" s="166">
        <v>42062</v>
      </c>
      <c r="B43" s="116">
        <v>27.4</v>
      </c>
      <c r="C43" s="116">
        <v>27</v>
      </c>
      <c r="D43" s="116">
        <v>26.75</v>
      </c>
      <c r="E43" s="116">
        <v>27.175000000000001</v>
      </c>
      <c r="F43" s="116">
        <v>54</v>
      </c>
      <c r="G43">
        <v>129492</v>
      </c>
      <c r="H43" s="116"/>
      <c r="I43" s="116"/>
      <c r="L43" s="166">
        <v>42062</v>
      </c>
      <c r="M43" s="116">
        <v>27</v>
      </c>
      <c r="N43" s="116">
        <v>27.45</v>
      </c>
      <c r="O43" s="116">
        <v>26.774999999999999</v>
      </c>
      <c r="P43" s="116">
        <v>27.125</v>
      </c>
      <c r="Q43" s="116">
        <v>54</v>
      </c>
      <c r="R43">
        <v>340828</v>
      </c>
    </row>
    <row r="44" spans="1:18" x14ac:dyDescent="0.25">
      <c r="A44" s="166">
        <v>42063</v>
      </c>
      <c r="B44" s="116">
        <v>27.625</v>
      </c>
      <c r="C44" s="116">
        <v>26.225000000000001</v>
      </c>
      <c r="D44" s="116">
        <v>25.75</v>
      </c>
      <c r="E44" s="116">
        <v>27.074999999999999</v>
      </c>
      <c r="F44" s="116">
        <v>52.45</v>
      </c>
      <c r="G44">
        <v>141983</v>
      </c>
      <c r="H44" s="116"/>
      <c r="I44" s="116"/>
      <c r="L44" s="166">
        <v>42063</v>
      </c>
      <c r="M44" s="116">
        <v>26.2</v>
      </c>
      <c r="N44" s="116">
        <v>27.75</v>
      </c>
      <c r="O44" s="116">
        <v>25.725000000000001</v>
      </c>
      <c r="P44" s="116">
        <v>27.05</v>
      </c>
      <c r="Q44" s="116">
        <v>52.4</v>
      </c>
      <c r="R44">
        <v>430297</v>
      </c>
    </row>
    <row r="45" spans="1:18" x14ac:dyDescent="0.25">
      <c r="A45" s="166">
        <v>42065</v>
      </c>
      <c r="B45" s="116">
        <v>27.35</v>
      </c>
      <c r="C45" s="116">
        <v>26.524999999999999</v>
      </c>
      <c r="D45" s="116">
        <v>26.15</v>
      </c>
      <c r="E45" s="116">
        <v>26.45</v>
      </c>
      <c r="F45" s="116">
        <v>53.05</v>
      </c>
      <c r="G45">
        <v>125318</v>
      </c>
      <c r="H45" s="116"/>
      <c r="I45" s="116"/>
      <c r="L45" s="166">
        <v>42065</v>
      </c>
      <c r="M45" s="116">
        <v>26.475000000000001</v>
      </c>
      <c r="N45" s="116">
        <v>27.375</v>
      </c>
      <c r="O45" s="116">
        <v>26.05</v>
      </c>
      <c r="P45" s="116">
        <v>26.05</v>
      </c>
      <c r="Q45" s="116">
        <v>52.95</v>
      </c>
      <c r="R45">
        <v>356220</v>
      </c>
    </row>
    <row r="46" spans="1:18" x14ac:dyDescent="0.25">
      <c r="A46" s="166">
        <v>42066</v>
      </c>
      <c r="B46" s="116">
        <v>28.975000000000001</v>
      </c>
      <c r="C46" s="116">
        <v>28.375</v>
      </c>
      <c r="D46" s="116">
        <v>26.55</v>
      </c>
      <c r="E46" s="116">
        <v>26.6</v>
      </c>
      <c r="F46" s="116">
        <v>56.75</v>
      </c>
      <c r="G46">
        <v>493071</v>
      </c>
      <c r="H46" s="116"/>
      <c r="I46" s="116"/>
      <c r="L46" s="166">
        <v>42066</v>
      </c>
      <c r="M46" s="116">
        <v>28.4</v>
      </c>
      <c r="N46" s="116">
        <v>29</v>
      </c>
      <c r="O46" s="116">
        <v>26.324999999999999</v>
      </c>
      <c r="P46" s="116">
        <v>26.725000000000001</v>
      </c>
      <c r="Q46" s="116">
        <v>56.8</v>
      </c>
      <c r="R46">
        <v>1552992</v>
      </c>
    </row>
    <row r="47" spans="1:18" x14ac:dyDescent="0.25">
      <c r="A47" s="166">
        <v>42067</v>
      </c>
      <c r="B47" s="116">
        <v>29.85</v>
      </c>
      <c r="C47" s="116">
        <v>27.9</v>
      </c>
      <c r="D47" s="116">
        <v>27.6</v>
      </c>
      <c r="E47" s="116">
        <v>28.875</v>
      </c>
      <c r="F47" s="116">
        <v>55.8</v>
      </c>
      <c r="G47">
        <v>551092</v>
      </c>
      <c r="H47" s="116"/>
      <c r="I47" s="116"/>
      <c r="L47" s="166">
        <v>42067</v>
      </c>
      <c r="M47" s="116">
        <v>27.8</v>
      </c>
      <c r="N47" s="116">
        <v>29.875</v>
      </c>
      <c r="O47" s="116">
        <v>27.5</v>
      </c>
      <c r="P47" s="116">
        <v>28.875</v>
      </c>
      <c r="Q47" s="116">
        <v>55.6</v>
      </c>
      <c r="R47">
        <v>1396656</v>
      </c>
    </row>
    <row r="48" spans="1:18" x14ac:dyDescent="0.25">
      <c r="A48" s="166">
        <v>42068</v>
      </c>
      <c r="B48" s="116">
        <v>28.55</v>
      </c>
      <c r="C48" s="116">
        <v>27.824999999999999</v>
      </c>
      <c r="D48" s="116">
        <v>27.5</v>
      </c>
      <c r="E48" s="116">
        <v>27.824999999999999</v>
      </c>
      <c r="F48" s="116">
        <v>55.65</v>
      </c>
      <c r="G48">
        <v>154291</v>
      </c>
      <c r="H48" s="116"/>
      <c r="I48" s="116"/>
      <c r="L48" s="166">
        <v>42068</v>
      </c>
      <c r="M48" s="116">
        <v>27.875</v>
      </c>
      <c r="N48" s="116">
        <v>28.5</v>
      </c>
      <c r="O48" s="116">
        <v>27.5</v>
      </c>
      <c r="P48" s="116">
        <v>27.6</v>
      </c>
      <c r="Q48" s="116">
        <v>55.75</v>
      </c>
      <c r="R48">
        <v>441051</v>
      </c>
    </row>
    <row r="49" spans="1:18" x14ac:dyDescent="0.25">
      <c r="A49" s="166">
        <v>42072</v>
      </c>
      <c r="B49" s="116">
        <v>27.5</v>
      </c>
      <c r="C49" s="116">
        <v>26.774999999999999</v>
      </c>
      <c r="D49" s="116">
        <v>26.6</v>
      </c>
      <c r="E49" s="116">
        <v>27.15</v>
      </c>
      <c r="F49" s="116">
        <v>53.55</v>
      </c>
      <c r="G49">
        <v>157183</v>
      </c>
      <c r="H49" s="116"/>
      <c r="I49" s="116"/>
      <c r="L49" s="166">
        <v>42072</v>
      </c>
      <c r="M49" s="116">
        <v>26.774999999999999</v>
      </c>
      <c r="N49" s="116">
        <v>27.725000000000001</v>
      </c>
      <c r="O49" s="116">
        <v>26.6</v>
      </c>
      <c r="P49" s="116">
        <v>27.725000000000001</v>
      </c>
      <c r="Q49" s="116">
        <v>53.55</v>
      </c>
      <c r="R49">
        <v>246005</v>
      </c>
    </row>
    <row r="50" spans="1:18" x14ac:dyDescent="0.25">
      <c r="A50" s="166">
        <v>42073</v>
      </c>
      <c r="B50" s="116">
        <v>27.4</v>
      </c>
      <c r="C50" s="116">
        <v>26.7</v>
      </c>
      <c r="D50" s="116">
        <v>26.15</v>
      </c>
      <c r="E50" s="116">
        <v>26.7</v>
      </c>
      <c r="F50" s="116">
        <v>53.4</v>
      </c>
      <c r="G50">
        <v>80530</v>
      </c>
      <c r="H50" s="116"/>
      <c r="I50" s="116"/>
      <c r="L50" s="166">
        <v>42073</v>
      </c>
      <c r="M50" s="116">
        <v>26.7</v>
      </c>
      <c r="N50" s="116">
        <v>27.475000000000001</v>
      </c>
      <c r="O50" s="116">
        <v>25.225000000000001</v>
      </c>
      <c r="P50" s="116">
        <v>26.774999999999999</v>
      </c>
      <c r="Q50" s="116">
        <v>53.4</v>
      </c>
      <c r="R50">
        <v>345578</v>
      </c>
    </row>
    <row r="51" spans="1:18" x14ac:dyDescent="0.25">
      <c r="A51" s="166">
        <v>42074</v>
      </c>
      <c r="B51" s="116">
        <v>27.324999999999999</v>
      </c>
      <c r="C51" s="116">
        <v>26.5</v>
      </c>
      <c r="D51" s="116">
        <v>26.274999999999999</v>
      </c>
      <c r="E51" s="116">
        <v>26.824999999999999</v>
      </c>
      <c r="F51" s="116">
        <v>53</v>
      </c>
      <c r="G51">
        <v>59230</v>
      </c>
      <c r="H51" s="116"/>
      <c r="I51" s="116"/>
      <c r="L51" s="166">
        <v>42074</v>
      </c>
      <c r="M51" s="116">
        <v>26.45</v>
      </c>
      <c r="N51" s="116">
        <v>27.324999999999999</v>
      </c>
      <c r="O51" s="116">
        <v>26.25</v>
      </c>
      <c r="P51" s="116">
        <v>26.85</v>
      </c>
      <c r="Q51" s="116">
        <v>52.9</v>
      </c>
      <c r="R51">
        <v>198598</v>
      </c>
    </row>
    <row r="52" spans="1:18" x14ac:dyDescent="0.25">
      <c r="A52" s="166">
        <v>42075</v>
      </c>
      <c r="B52" s="116">
        <v>29.55</v>
      </c>
      <c r="C52" s="116">
        <v>28.55</v>
      </c>
      <c r="D52" s="116">
        <v>26.875</v>
      </c>
      <c r="E52" s="116">
        <v>26.875</v>
      </c>
      <c r="F52" s="116">
        <v>57.1</v>
      </c>
      <c r="G52">
        <v>696681</v>
      </c>
      <c r="H52" s="116"/>
      <c r="I52" s="116"/>
      <c r="L52" s="166">
        <v>42075</v>
      </c>
      <c r="M52" s="116">
        <v>28.574999999999999</v>
      </c>
      <c r="N52" s="116">
        <v>29.5</v>
      </c>
      <c r="O52" s="116">
        <v>26.65</v>
      </c>
      <c r="P52" s="116">
        <v>26.824999999999999</v>
      </c>
      <c r="Q52" s="116">
        <v>57.15</v>
      </c>
      <c r="R52">
        <v>1672590</v>
      </c>
    </row>
    <row r="53" spans="1:18" x14ac:dyDescent="0.25">
      <c r="A53" s="166">
        <v>42076</v>
      </c>
      <c r="B53" s="116">
        <v>31.45</v>
      </c>
      <c r="C53" s="116">
        <v>29.95</v>
      </c>
      <c r="D53" s="116">
        <v>28.975000000000001</v>
      </c>
      <c r="E53" s="116">
        <v>29</v>
      </c>
      <c r="F53" s="116">
        <v>59.9</v>
      </c>
      <c r="G53">
        <v>1440198</v>
      </c>
      <c r="H53" s="116"/>
      <c r="I53" s="116"/>
      <c r="L53" s="166">
        <v>42076</v>
      </c>
      <c r="M53" s="116">
        <v>29.824999999999999</v>
      </c>
      <c r="N53" s="116">
        <v>31.5</v>
      </c>
      <c r="O53" s="116">
        <v>28.8</v>
      </c>
      <c r="P53" s="116">
        <v>28.85</v>
      </c>
      <c r="Q53" s="116">
        <v>59.65</v>
      </c>
      <c r="R53">
        <v>4471392</v>
      </c>
    </row>
    <row r="54" spans="1:18" x14ac:dyDescent="0.25">
      <c r="A54" s="166">
        <v>42079</v>
      </c>
      <c r="B54" s="116">
        <v>30.95</v>
      </c>
      <c r="C54" s="116">
        <v>28.925000000000001</v>
      </c>
      <c r="D54" s="116">
        <v>28.65</v>
      </c>
      <c r="E54" s="116">
        <v>30.05</v>
      </c>
      <c r="F54" s="116">
        <v>57.85</v>
      </c>
      <c r="G54">
        <v>429571</v>
      </c>
      <c r="H54" s="116"/>
      <c r="I54" s="116"/>
      <c r="L54" s="166">
        <v>42079</v>
      </c>
      <c r="M54" s="116">
        <v>28.925000000000001</v>
      </c>
      <c r="N54" s="116">
        <v>30.95</v>
      </c>
      <c r="O54" s="116">
        <v>28.6</v>
      </c>
      <c r="P54" s="116">
        <v>30.1</v>
      </c>
      <c r="Q54" s="116">
        <v>57.85</v>
      </c>
      <c r="R54">
        <v>977147</v>
      </c>
    </row>
    <row r="55" spans="1:18" x14ac:dyDescent="0.25">
      <c r="A55" s="166">
        <v>42080</v>
      </c>
      <c r="B55" s="116">
        <v>30.6</v>
      </c>
      <c r="C55" s="116">
        <v>29.675000000000001</v>
      </c>
      <c r="D55" s="116">
        <v>28.8</v>
      </c>
      <c r="E55" s="116">
        <v>29.35</v>
      </c>
      <c r="F55" s="116">
        <v>59.35</v>
      </c>
      <c r="G55">
        <v>298450</v>
      </c>
      <c r="H55" s="116"/>
      <c r="I55" s="116"/>
      <c r="L55" s="166">
        <v>42080</v>
      </c>
      <c r="M55" s="116">
        <v>29.65</v>
      </c>
      <c r="N55" s="116">
        <v>30.55</v>
      </c>
      <c r="O55" s="116">
        <v>28.8</v>
      </c>
      <c r="P55" s="116">
        <v>29.35</v>
      </c>
      <c r="Q55" s="116">
        <v>59.3</v>
      </c>
      <c r="R55">
        <v>820345</v>
      </c>
    </row>
    <row r="56" spans="1:18" x14ac:dyDescent="0.25">
      <c r="A56" s="166">
        <v>42081</v>
      </c>
      <c r="B56" s="116">
        <v>34.799999999999997</v>
      </c>
      <c r="C56" s="116">
        <v>34.174999999999997</v>
      </c>
      <c r="D56" s="116">
        <v>29.774999999999999</v>
      </c>
      <c r="E56" s="116">
        <v>30.225000000000001</v>
      </c>
      <c r="F56" s="116">
        <v>68.349999999999994</v>
      </c>
      <c r="G56">
        <v>2365549</v>
      </c>
      <c r="H56" s="116"/>
      <c r="I56" s="116"/>
      <c r="L56" s="166">
        <v>42081</v>
      </c>
      <c r="M56" s="116">
        <v>34.325000000000003</v>
      </c>
      <c r="N56" s="116">
        <v>34.924999999999997</v>
      </c>
      <c r="O56" s="116">
        <v>29.774999999999999</v>
      </c>
      <c r="P56" s="116">
        <v>30.2</v>
      </c>
      <c r="Q56" s="116">
        <v>68.650000000000006</v>
      </c>
      <c r="R56">
        <v>6716018</v>
      </c>
    </row>
    <row r="57" spans="1:18" x14ac:dyDescent="0.25">
      <c r="A57" s="166">
        <v>42082</v>
      </c>
      <c r="B57" s="116">
        <v>35.9</v>
      </c>
      <c r="C57" s="116">
        <v>32.975000000000001</v>
      </c>
      <c r="D57" s="116">
        <v>32.725000000000001</v>
      </c>
      <c r="E57" s="116">
        <v>34.5</v>
      </c>
      <c r="F57" s="116">
        <v>65.95</v>
      </c>
      <c r="G57">
        <v>1366650</v>
      </c>
      <c r="H57" s="116"/>
      <c r="I57" s="116"/>
      <c r="L57" s="166">
        <v>42082</v>
      </c>
      <c r="M57" s="116">
        <v>33</v>
      </c>
      <c r="N57" s="116">
        <v>35.924999999999997</v>
      </c>
      <c r="O57" s="116">
        <v>32.700000000000003</v>
      </c>
      <c r="P57" s="116">
        <v>34.6</v>
      </c>
      <c r="Q57" s="116">
        <v>66</v>
      </c>
      <c r="R57">
        <v>3858263</v>
      </c>
    </row>
    <row r="58" spans="1:18" x14ac:dyDescent="0.25">
      <c r="A58" s="166">
        <v>42083</v>
      </c>
      <c r="B58" s="116">
        <v>34.5</v>
      </c>
      <c r="C58" s="116">
        <v>31.425000000000001</v>
      </c>
      <c r="D58" s="116">
        <v>31.1</v>
      </c>
      <c r="E58" s="116">
        <v>33.450000000000003</v>
      </c>
      <c r="F58" s="116">
        <v>62.85</v>
      </c>
      <c r="G58">
        <v>681976</v>
      </c>
      <c r="H58" s="116"/>
      <c r="I58" s="116"/>
      <c r="L58" s="166">
        <v>42083</v>
      </c>
      <c r="M58" s="116">
        <v>31.425000000000001</v>
      </c>
      <c r="N58" s="116">
        <v>34.549999999999997</v>
      </c>
      <c r="O58" s="116">
        <v>31.074999999999999</v>
      </c>
      <c r="P58" s="116">
        <v>33.4</v>
      </c>
      <c r="Q58" s="116">
        <v>62.85</v>
      </c>
      <c r="R58">
        <v>1753959</v>
      </c>
    </row>
    <row r="59" spans="1:18" x14ac:dyDescent="0.25">
      <c r="A59" s="166">
        <v>42086</v>
      </c>
      <c r="B59" s="116">
        <v>33.674999999999997</v>
      </c>
      <c r="C59" s="116">
        <v>33.024999999999999</v>
      </c>
      <c r="D59" s="116">
        <v>31.524999999999999</v>
      </c>
      <c r="E59" s="116">
        <v>31.524999999999999</v>
      </c>
      <c r="F59" s="116">
        <v>66.05</v>
      </c>
      <c r="G59">
        <v>970695</v>
      </c>
      <c r="H59" s="116"/>
      <c r="I59" s="116"/>
      <c r="L59" s="166">
        <v>42086</v>
      </c>
      <c r="M59" s="116">
        <v>33</v>
      </c>
      <c r="N59" s="116">
        <v>33.700000000000003</v>
      </c>
      <c r="O59" s="116">
        <v>31.625</v>
      </c>
      <c r="P59" s="116">
        <v>31.625</v>
      </c>
      <c r="Q59" s="116">
        <v>66</v>
      </c>
      <c r="R59">
        <v>2982365</v>
      </c>
    </row>
    <row r="60" spans="1:18" x14ac:dyDescent="0.25">
      <c r="A60" s="166">
        <v>42087</v>
      </c>
      <c r="B60" s="116">
        <v>33.15</v>
      </c>
      <c r="C60" s="116">
        <v>31.675000000000001</v>
      </c>
      <c r="D60" s="116">
        <v>31.4</v>
      </c>
      <c r="E60" s="116">
        <v>32.4</v>
      </c>
      <c r="F60" s="116">
        <v>63.35</v>
      </c>
      <c r="G60">
        <v>284261</v>
      </c>
      <c r="H60" s="116"/>
      <c r="I60" s="116"/>
      <c r="L60" s="166">
        <v>42087</v>
      </c>
      <c r="M60" s="116">
        <v>31.65</v>
      </c>
      <c r="N60" s="116">
        <v>33.1</v>
      </c>
      <c r="O60" s="116">
        <v>31.375</v>
      </c>
      <c r="P60" s="116">
        <v>32.35</v>
      </c>
      <c r="Q60" s="116">
        <v>63.3</v>
      </c>
      <c r="R60">
        <v>700310</v>
      </c>
    </row>
    <row r="61" spans="1:18" x14ac:dyDescent="0.25">
      <c r="A61" s="166">
        <v>42088</v>
      </c>
      <c r="B61" s="116">
        <v>32.75</v>
      </c>
      <c r="C61" s="116">
        <v>31.725000000000001</v>
      </c>
      <c r="D61" s="116">
        <v>31.6</v>
      </c>
      <c r="E61" s="116">
        <v>31.9</v>
      </c>
      <c r="F61" s="116">
        <v>63.45</v>
      </c>
      <c r="G61">
        <v>205569</v>
      </c>
      <c r="H61" s="116"/>
      <c r="I61" s="116"/>
      <c r="L61" s="166">
        <v>42088</v>
      </c>
      <c r="M61" s="116">
        <v>31.675000000000001</v>
      </c>
      <c r="N61" s="116">
        <v>32.75</v>
      </c>
      <c r="O61" s="116">
        <v>31.55</v>
      </c>
      <c r="P61" s="116">
        <v>31.85</v>
      </c>
      <c r="Q61" s="116">
        <v>63.35</v>
      </c>
      <c r="R61">
        <v>545756</v>
      </c>
    </row>
    <row r="62" spans="1:18" x14ac:dyDescent="0.25">
      <c r="A62" s="166">
        <v>42089</v>
      </c>
      <c r="B62" s="116">
        <v>31.725000000000001</v>
      </c>
      <c r="C62" s="116">
        <v>31.15</v>
      </c>
      <c r="D62" s="116">
        <v>30.774999999999999</v>
      </c>
      <c r="E62" s="116">
        <v>31.725000000000001</v>
      </c>
      <c r="F62" s="116">
        <v>62.3</v>
      </c>
      <c r="G62">
        <v>128953</v>
      </c>
      <c r="H62" s="116"/>
      <c r="I62" s="116"/>
      <c r="L62" s="166">
        <v>42089</v>
      </c>
      <c r="M62" s="116">
        <v>31.074999999999999</v>
      </c>
      <c r="N62" s="116">
        <v>31.625</v>
      </c>
      <c r="O62" s="116">
        <v>30.8</v>
      </c>
      <c r="P62" s="116">
        <v>31.625</v>
      </c>
      <c r="Q62" s="116">
        <v>62.15</v>
      </c>
      <c r="R62">
        <v>360844</v>
      </c>
    </row>
    <row r="63" spans="1:18" x14ac:dyDescent="0.25">
      <c r="A63" s="166">
        <v>42090</v>
      </c>
      <c r="B63" s="116">
        <v>32</v>
      </c>
      <c r="C63" s="116">
        <v>30.524999999999999</v>
      </c>
      <c r="D63" s="116">
        <v>29.975000000000001</v>
      </c>
      <c r="E63" s="116">
        <v>31.625</v>
      </c>
      <c r="F63" s="116">
        <v>61.05</v>
      </c>
      <c r="G63">
        <v>336170</v>
      </c>
      <c r="H63" s="116"/>
      <c r="I63" s="116"/>
      <c r="L63" s="166">
        <v>42090</v>
      </c>
      <c r="M63" s="116">
        <v>30.574999999999999</v>
      </c>
      <c r="N63" s="116">
        <v>32.024999999999999</v>
      </c>
      <c r="O63" s="116">
        <v>30.05</v>
      </c>
      <c r="P63" s="116">
        <v>31.524999999999999</v>
      </c>
      <c r="Q63" s="116">
        <v>61.15</v>
      </c>
      <c r="R63">
        <v>783223</v>
      </c>
    </row>
    <row r="64" spans="1:18" x14ac:dyDescent="0.25">
      <c r="A64" s="166">
        <v>42093</v>
      </c>
      <c r="B64" s="116">
        <v>34.700000000000003</v>
      </c>
      <c r="C64" s="116">
        <v>34.325000000000003</v>
      </c>
      <c r="D64" s="116">
        <v>30.9</v>
      </c>
      <c r="E64" s="116">
        <v>30.9</v>
      </c>
      <c r="F64" s="116">
        <v>68.650000000000006</v>
      </c>
      <c r="G64">
        <v>752008</v>
      </c>
      <c r="H64" s="116"/>
      <c r="I64" s="116"/>
      <c r="L64" s="166">
        <v>42093</v>
      </c>
      <c r="M64" s="116">
        <v>34.325000000000003</v>
      </c>
      <c r="N64" s="116">
        <v>34.85</v>
      </c>
      <c r="O64" s="116">
        <v>30.75</v>
      </c>
      <c r="P64" s="116">
        <v>30.75</v>
      </c>
      <c r="Q64" s="116">
        <v>68.650000000000006</v>
      </c>
      <c r="R64">
        <v>2174020</v>
      </c>
    </row>
    <row r="65" spans="1:18" x14ac:dyDescent="0.25">
      <c r="A65" s="166">
        <v>42094</v>
      </c>
      <c r="B65" s="116">
        <v>35.125</v>
      </c>
      <c r="C65" s="116">
        <v>33.35</v>
      </c>
      <c r="D65" s="116">
        <v>33.1</v>
      </c>
      <c r="E65" s="116">
        <v>34.5</v>
      </c>
      <c r="F65" s="116">
        <v>66.7</v>
      </c>
      <c r="G65">
        <v>502515</v>
      </c>
      <c r="H65" s="116"/>
      <c r="I65" s="116"/>
      <c r="L65" s="166">
        <v>42094</v>
      </c>
      <c r="M65" s="116">
        <v>33.325000000000003</v>
      </c>
      <c r="N65" s="116">
        <v>35.125</v>
      </c>
      <c r="O65" s="116">
        <v>33.049999999999997</v>
      </c>
      <c r="P65" s="116">
        <v>34.524999999999999</v>
      </c>
      <c r="Q65" s="116">
        <v>66.650000000000006</v>
      </c>
      <c r="R65">
        <v>1228205</v>
      </c>
    </row>
    <row r="66" spans="1:18" x14ac:dyDescent="0.25">
      <c r="A66" s="166">
        <v>42095</v>
      </c>
      <c r="B66" s="116">
        <v>38.200000000000003</v>
      </c>
      <c r="C66" s="116">
        <v>37.25</v>
      </c>
      <c r="D66" s="116">
        <v>33.15</v>
      </c>
      <c r="E66" s="116">
        <v>33.25</v>
      </c>
      <c r="F66" s="116">
        <v>74.5</v>
      </c>
      <c r="G66">
        <v>1874442</v>
      </c>
      <c r="H66" s="116"/>
      <c r="I66" s="116"/>
      <c r="L66" s="166">
        <v>42095</v>
      </c>
      <c r="M66" s="116">
        <v>37.225000000000001</v>
      </c>
      <c r="N66" s="116">
        <v>38.1</v>
      </c>
      <c r="O66" s="116">
        <v>33.125</v>
      </c>
      <c r="P66" s="116">
        <v>33.25</v>
      </c>
      <c r="Q66" s="116">
        <v>74.45</v>
      </c>
      <c r="R66">
        <v>6045416</v>
      </c>
    </row>
    <row r="67" spans="1:18" x14ac:dyDescent="0.25">
      <c r="A67" s="166">
        <v>42100</v>
      </c>
      <c r="B67" s="116">
        <v>38</v>
      </c>
      <c r="C67" s="116">
        <v>36.85</v>
      </c>
      <c r="D67" s="116">
        <v>36.274999999999999</v>
      </c>
      <c r="E67" s="116">
        <v>37.299999999999997</v>
      </c>
      <c r="F67" s="116">
        <v>73.7</v>
      </c>
      <c r="G67">
        <v>578244</v>
      </c>
      <c r="H67" s="116"/>
      <c r="I67" s="116"/>
      <c r="L67" s="166">
        <v>42100</v>
      </c>
      <c r="M67" s="116">
        <v>36.875</v>
      </c>
      <c r="N67" s="116">
        <v>37.9</v>
      </c>
      <c r="O67" s="116">
        <v>36.274999999999999</v>
      </c>
      <c r="P67" s="116">
        <v>37.5</v>
      </c>
      <c r="Q67" s="116">
        <v>73.75</v>
      </c>
      <c r="R67">
        <v>1695331</v>
      </c>
    </row>
    <row r="68" spans="1:18" x14ac:dyDescent="0.25">
      <c r="A68" s="166">
        <v>42101</v>
      </c>
      <c r="B68" s="116">
        <v>40.1</v>
      </c>
      <c r="C68" s="116">
        <v>39.200000000000003</v>
      </c>
      <c r="D68" s="116">
        <v>37</v>
      </c>
      <c r="E68" s="116">
        <v>37</v>
      </c>
      <c r="F68" s="116">
        <v>78.400000000000006</v>
      </c>
      <c r="G68">
        <v>1508291</v>
      </c>
      <c r="H68" s="116"/>
      <c r="I68" s="116"/>
      <c r="L68" s="166">
        <v>42101</v>
      </c>
      <c r="M68" s="116">
        <v>39.200000000000003</v>
      </c>
      <c r="N68" s="116">
        <v>40.225000000000001</v>
      </c>
      <c r="O68" s="116">
        <v>37.125</v>
      </c>
      <c r="P68" s="116">
        <v>37.125</v>
      </c>
      <c r="Q68" s="116">
        <v>78.400000000000006</v>
      </c>
      <c r="R68">
        <v>4747998</v>
      </c>
    </row>
    <row r="69" spans="1:18" x14ac:dyDescent="0.25">
      <c r="A69" s="166">
        <v>42102</v>
      </c>
      <c r="B69" s="116">
        <v>39.725000000000001</v>
      </c>
      <c r="C69" s="116">
        <v>38.325000000000003</v>
      </c>
      <c r="D69" s="116">
        <v>38</v>
      </c>
      <c r="E69" s="116">
        <v>39.25</v>
      </c>
      <c r="F69" s="116">
        <v>76.650000000000006</v>
      </c>
      <c r="G69">
        <v>576645</v>
      </c>
      <c r="H69" s="116"/>
      <c r="I69" s="116"/>
      <c r="L69" s="166">
        <v>42102</v>
      </c>
      <c r="M69" s="116">
        <v>38.299999999999997</v>
      </c>
      <c r="N69" s="116">
        <v>39.65</v>
      </c>
      <c r="O69" s="116">
        <v>37.924999999999997</v>
      </c>
      <c r="P69" s="116">
        <v>39.375</v>
      </c>
      <c r="Q69" s="116">
        <v>76.599999999999994</v>
      </c>
      <c r="R69">
        <v>1683424</v>
      </c>
    </row>
    <row r="70" spans="1:18" x14ac:dyDescent="0.25">
      <c r="A70" s="166">
        <v>42103</v>
      </c>
      <c r="B70" s="116">
        <v>38.799999999999997</v>
      </c>
      <c r="C70" s="116">
        <v>37.200000000000003</v>
      </c>
      <c r="D70" s="116">
        <v>36.950000000000003</v>
      </c>
      <c r="E70" s="116">
        <v>38.625</v>
      </c>
      <c r="F70" s="116">
        <v>74.400000000000006</v>
      </c>
      <c r="G70">
        <v>419183</v>
      </c>
      <c r="H70" s="116"/>
      <c r="I70" s="116"/>
      <c r="L70" s="166">
        <v>42103</v>
      </c>
      <c r="M70" s="116">
        <v>37.200000000000003</v>
      </c>
      <c r="N70" s="116">
        <v>38.774999999999999</v>
      </c>
      <c r="O70" s="116">
        <v>36.975000000000001</v>
      </c>
      <c r="P70" s="116">
        <v>38.549999999999997</v>
      </c>
      <c r="Q70" s="116">
        <v>74.400000000000006</v>
      </c>
      <c r="R70">
        <v>1164191</v>
      </c>
    </row>
    <row r="71" spans="1:18" x14ac:dyDescent="0.25">
      <c r="A71" s="166">
        <v>42104</v>
      </c>
      <c r="B71" s="116">
        <v>38.325000000000003</v>
      </c>
      <c r="C71" s="116">
        <v>37.35</v>
      </c>
      <c r="D71" s="116">
        <v>36.674999999999997</v>
      </c>
      <c r="E71" s="116">
        <v>37.4</v>
      </c>
      <c r="F71" s="116">
        <v>74.7</v>
      </c>
      <c r="G71">
        <v>405727</v>
      </c>
      <c r="H71" s="116"/>
      <c r="I71" s="116"/>
      <c r="L71" s="166">
        <v>42104</v>
      </c>
      <c r="M71" s="116">
        <v>37.25</v>
      </c>
      <c r="N71" s="116">
        <v>38.25</v>
      </c>
      <c r="O71" s="116">
        <v>36.549999999999997</v>
      </c>
      <c r="P71" s="116">
        <v>37.424999999999997</v>
      </c>
      <c r="Q71" s="116">
        <v>74.5</v>
      </c>
      <c r="R71">
        <v>1268522</v>
      </c>
    </row>
    <row r="72" spans="1:18" x14ac:dyDescent="0.25">
      <c r="A72" s="166">
        <v>42107</v>
      </c>
      <c r="B72" s="116">
        <v>38.4</v>
      </c>
      <c r="C72" s="116">
        <v>36.875</v>
      </c>
      <c r="D72" s="116">
        <v>36.799999999999997</v>
      </c>
      <c r="E72" s="116">
        <v>37.4</v>
      </c>
      <c r="F72" s="116">
        <v>73.75</v>
      </c>
      <c r="G72">
        <v>480690</v>
      </c>
      <c r="H72" s="116"/>
      <c r="I72" s="116"/>
      <c r="L72" s="166">
        <v>42107</v>
      </c>
      <c r="M72" s="116">
        <v>36.825000000000003</v>
      </c>
      <c r="N72" s="116">
        <v>38.4</v>
      </c>
      <c r="O72" s="116">
        <v>36.725000000000001</v>
      </c>
      <c r="P72" s="116">
        <v>37.25</v>
      </c>
      <c r="Q72" s="116">
        <v>73.650000000000006</v>
      </c>
      <c r="R72">
        <v>1318503</v>
      </c>
    </row>
    <row r="73" spans="1:18" x14ac:dyDescent="0.25">
      <c r="A73" s="166">
        <v>42109</v>
      </c>
      <c r="B73" s="116">
        <v>37.299999999999997</v>
      </c>
      <c r="C73" s="116">
        <v>35.274999999999999</v>
      </c>
      <c r="D73" s="116">
        <v>34.924999999999997</v>
      </c>
      <c r="E73" s="116">
        <v>36.875</v>
      </c>
      <c r="F73" s="116">
        <v>70.55</v>
      </c>
      <c r="G73">
        <v>447241</v>
      </c>
      <c r="H73" s="116"/>
      <c r="I73" s="116"/>
      <c r="L73" s="166">
        <v>42109</v>
      </c>
      <c r="M73" s="116">
        <v>35.15</v>
      </c>
      <c r="N73" s="116">
        <v>37.25</v>
      </c>
      <c r="O73" s="116">
        <v>34.75</v>
      </c>
      <c r="P73" s="116">
        <v>36.975000000000001</v>
      </c>
      <c r="Q73" s="116">
        <v>70.3</v>
      </c>
      <c r="R73">
        <v>1545860</v>
      </c>
    </row>
    <row r="74" spans="1:18" x14ac:dyDescent="0.25">
      <c r="A74" s="166">
        <v>42110</v>
      </c>
      <c r="B74" s="116">
        <v>35.6</v>
      </c>
      <c r="C74" s="116">
        <v>34.549999999999997</v>
      </c>
      <c r="D74" s="116">
        <v>33.674999999999997</v>
      </c>
      <c r="E74" s="116">
        <v>35.274999999999999</v>
      </c>
      <c r="F74" s="116">
        <v>69.099999999999994</v>
      </c>
      <c r="G74">
        <v>339047</v>
      </c>
      <c r="H74" s="116"/>
      <c r="I74" s="116"/>
      <c r="L74" s="166">
        <v>42110</v>
      </c>
      <c r="M74" s="116">
        <v>34.5</v>
      </c>
      <c r="N74" s="116">
        <v>35.625</v>
      </c>
      <c r="O74" s="116">
        <v>33.700000000000003</v>
      </c>
      <c r="P74" s="116">
        <v>35.200000000000003</v>
      </c>
      <c r="Q74" s="116">
        <v>69</v>
      </c>
      <c r="R74">
        <v>1191594</v>
      </c>
    </row>
    <row r="75" spans="1:18" x14ac:dyDescent="0.25">
      <c r="A75" s="166">
        <v>42111</v>
      </c>
      <c r="B75" s="116">
        <v>36.5</v>
      </c>
      <c r="C75" s="116">
        <v>35.174999999999997</v>
      </c>
      <c r="D75" s="116">
        <v>34.25</v>
      </c>
      <c r="E75" s="116">
        <v>34.85</v>
      </c>
      <c r="F75" s="116">
        <v>70.349999999999994</v>
      </c>
      <c r="G75">
        <v>687919</v>
      </c>
      <c r="H75" s="116"/>
      <c r="I75" s="116"/>
      <c r="L75" s="166">
        <v>42111</v>
      </c>
      <c r="M75" s="116">
        <v>35.15</v>
      </c>
      <c r="N75" s="116">
        <v>36.450000000000003</v>
      </c>
      <c r="O75" s="116">
        <v>34.225000000000001</v>
      </c>
      <c r="P75" s="116">
        <v>34.65</v>
      </c>
      <c r="Q75" s="116">
        <v>70.3</v>
      </c>
      <c r="R75">
        <v>1763740</v>
      </c>
    </row>
    <row r="76" spans="1:18" x14ac:dyDescent="0.25">
      <c r="A76" s="166">
        <v>42114</v>
      </c>
      <c r="B76" s="116">
        <v>36.225000000000001</v>
      </c>
      <c r="C76" s="116">
        <v>33.65</v>
      </c>
      <c r="D76" s="116">
        <v>32.825000000000003</v>
      </c>
      <c r="E76" s="116">
        <v>35.65</v>
      </c>
      <c r="F76" s="116">
        <v>67.3</v>
      </c>
      <c r="G76">
        <v>446985</v>
      </c>
      <c r="H76" s="116"/>
      <c r="I76" s="116"/>
      <c r="L76" s="166">
        <v>42114</v>
      </c>
      <c r="M76" s="116">
        <v>33.625</v>
      </c>
      <c r="N76" s="116">
        <v>36.174999999999997</v>
      </c>
      <c r="O76" s="116">
        <v>32.674999999999997</v>
      </c>
      <c r="P76" s="116">
        <v>35.475000000000001</v>
      </c>
      <c r="Q76" s="116">
        <v>67.25</v>
      </c>
      <c r="R76">
        <v>1203411</v>
      </c>
    </row>
    <row r="77" spans="1:18" x14ac:dyDescent="0.25">
      <c r="A77" s="166">
        <v>42115</v>
      </c>
      <c r="B77" s="116">
        <v>34.125</v>
      </c>
      <c r="C77" s="116">
        <v>33.424999999999997</v>
      </c>
      <c r="D77" s="116">
        <v>32.674999999999997</v>
      </c>
      <c r="E77" s="116">
        <v>33.5</v>
      </c>
      <c r="F77" s="116">
        <v>66.849999999999994</v>
      </c>
      <c r="G77">
        <v>348861</v>
      </c>
      <c r="H77" s="116"/>
      <c r="I77" s="116"/>
      <c r="L77" s="166">
        <v>42115</v>
      </c>
      <c r="M77" s="116">
        <v>33.475000000000001</v>
      </c>
      <c r="N77" s="116">
        <v>34.075000000000003</v>
      </c>
      <c r="O77" s="116">
        <v>32.625</v>
      </c>
      <c r="P77" s="116">
        <v>33.200000000000003</v>
      </c>
      <c r="Q77" s="116">
        <v>66.95</v>
      </c>
      <c r="R77">
        <v>772492</v>
      </c>
    </row>
    <row r="78" spans="1:18" x14ac:dyDescent="0.25">
      <c r="A78" s="166">
        <v>42116</v>
      </c>
      <c r="B78" s="116">
        <v>35.200000000000003</v>
      </c>
      <c r="C78" s="116">
        <v>34.75</v>
      </c>
      <c r="D78" s="116">
        <v>32.875</v>
      </c>
      <c r="E78" s="116">
        <v>33.549999999999997</v>
      </c>
      <c r="F78" s="116">
        <v>69.5</v>
      </c>
      <c r="G78">
        <v>577065</v>
      </c>
      <c r="H78" s="116"/>
      <c r="I78" s="116"/>
      <c r="L78" s="166">
        <v>42116</v>
      </c>
      <c r="M78" s="116">
        <v>34.774999999999999</v>
      </c>
      <c r="N78" s="116">
        <v>35.225000000000001</v>
      </c>
      <c r="O78" s="116">
        <v>32.85</v>
      </c>
      <c r="P78" s="116">
        <v>33.674999999999997</v>
      </c>
      <c r="Q78" s="116">
        <v>69.55</v>
      </c>
      <c r="R78">
        <v>1349657</v>
      </c>
    </row>
    <row r="79" spans="1:18" x14ac:dyDescent="0.25">
      <c r="A79" s="166">
        <v>42117</v>
      </c>
      <c r="B79" s="116">
        <v>35.549999999999997</v>
      </c>
      <c r="C79" s="116">
        <v>34.075000000000003</v>
      </c>
      <c r="D79" s="116">
        <v>33.825000000000003</v>
      </c>
      <c r="E79" s="116">
        <v>35.15</v>
      </c>
      <c r="F79" s="116">
        <v>68.150000000000006</v>
      </c>
      <c r="G79">
        <v>431041</v>
      </c>
      <c r="H79" s="116"/>
      <c r="I79" s="116"/>
      <c r="L79" s="166">
        <v>42117</v>
      </c>
      <c r="M79" s="116">
        <v>34.225000000000001</v>
      </c>
      <c r="N79" s="116">
        <v>35.575000000000003</v>
      </c>
      <c r="O79" s="116">
        <v>34</v>
      </c>
      <c r="P79" s="116">
        <v>35.200000000000003</v>
      </c>
      <c r="Q79" s="116">
        <v>68.45</v>
      </c>
      <c r="R79">
        <v>896212</v>
      </c>
    </row>
    <row r="80" spans="1:18" x14ac:dyDescent="0.25">
      <c r="A80" s="166">
        <v>42118</v>
      </c>
      <c r="B80" s="116">
        <v>34.450000000000003</v>
      </c>
      <c r="C80" s="116">
        <v>32.174999999999997</v>
      </c>
      <c r="D80" s="116">
        <v>31.75</v>
      </c>
      <c r="E80" s="116">
        <v>34.450000000000003</v>
      </c>
      <c r="F80" s="116">
        <v>64.349999999999994</v>
      </c>
      <c r="G80">
        <v>314503</v>
      </c>
      <c r="H80" s="116"/>
      <c r="I80" s="116"/>
      <c r="L80" s="166">
        <v>42118</v>
      </c>
      <c r="M80" s="116">
        <v>32.174999999999997</v>
      </c>
      <c r="N80" s="116">
        <v>34.5</v>
      </c>
      <c r="O80" s="116">
        <v>31.65</v>
      </c>
      <c r="P80" s="116">
        <v>34.299999999999997</v>
      </c>
      <c r="Q80" s="116">
        <v>64.349999999999994</v>
      </c>
      <c r="R80">
        <v>805101</v>
      </c>
    </row>
    <row r="81" spans="1:18" x14ac:dyDescent="0.25">
      <c r="A81" s="166">
        <v>42121</v>
      </c>
      <c r="B81" s="116">
        <v>32.475000000000001</v>
      </c>
      <c r="C81" s="116">
        <v>31.05</v>
      </c>
      <c r="D81" s="116">
        <v>30.375</v>
      </c>
      <c r="E81" s="116">
        <v>32.475000000000001</v>
      </c>
      <c r="F81" s="116">
        <v>62.1</v>
      </c>
      <c r="G81">
        <v>262579</v>
      </c>
      <c r="H81" s="116"/>
      <c r="I81" s="116"/>
      <c r="L81" s="166">
        <v>42121</v>
      </c>
      <c r="M81" s="116">
        <v>31.05</v>
      </c>
      <c r="N81" s="116">
        <v>32.450000000000003</v>
      </c>
      <c r="O81" s="116">
        <v>30.4</v>
      </c>
      <c r="P81" s="116">
        <v>32.25</v>
      </c>
      <c r="Q81" s="116">
        <v>62.1</v>
      </c>
      <c r="R81">
        <v>740503</v>
      </c>
    </row>
    <row r="82" spans="1:18" x14ac:dyDescent="0.25">
      <c r="A82" s="166">
        <v>42122</v>
      </c>
      <c r="B82" s="116">
        <v>32.65</v>
      </c>
      <c r="C82" s="116">
        <v>32.424999999999997</v>
      </c>
      <c r="D82" s="116">
        <v>30.574999999999999</v>
      </c>
      <c r="E82" s="116">
        <v>30.9</v>
      </c>
      <c r="F82" s="116">
        <v>64.849999999999994</v>
      </c>
      <c r="G82">
        <v>238039</v>
      </c>
      <c r="H82" s="116"/>
      <c r="I82" s="116"/>
      <c r="L82" s="166">
        <v>42122</v>
      </c>
      <c r="M82" s="116">
        <v>32.4</v>
      </c>
      <c r="N82" s="116">
        <v>32.674999999999997</v>
      </c>
      <c r="O82" s="116">
        <v>30.6</v>
      </c>
      <c r="P82" s="116">
        <v>30.9</v>
      </c>
      <c r="Q82" s="116">
        <v>64.8</v>
      </c>
      <c r="R82">
        <v>571199</v>
      </c>
    </row>
    <row r="83" spans="1:18" x14ac:dyDescent="0.25">
      <c r="A83" s="166">
        <v>42123</v>
      </c>
      <c r="B83" s="116">
        <v>33.5</v>
      </c>
      <c r="C83" s="116">
        <v>32.924999999999997</v>
      </c>
      <c r="D83" s="116">
        <v>32.1</v>
      </c>
      <c r="E83" s="116">
        <v>32.9</v>
      </c>
      <c r="F83" s="116">
        <v>65.849999999999994</v>
      </c>
      <c r="G83">
        <v>242643</v>
      </c>
      <c r="H83" s="116"/>
      <c r="I83" s="116"/>
      <c r="L83" s="166">
        <v>42123</v>
      </c>
      <c r="M83" s="116">
        <v>32.975000000000001</v>
      </c>
      <c r="N83" s="116">
        <v>33.450000000000003</v>
      </c>
      <c r="O83" s="116">
        <v>32.1</v>
      </c>
      <c r="P83" s="116">
        <v>32.6</v>
      </c>
      <c r="Q83" s="116">
        <v>65.95</v>
      </c>
      <c r="R83">
        <v>645383</v>
      </c>
    </row>
    <row r="84" spans="1:18" x14ac:dyDescent="0.25">
      <c r="A84" s="166">
        <v>42124</v>
      </c>
      <c r="B84" s="116">
        <v>34.6</v>
      </c>
      <c r="C84" s="116">
        <v>34.1</v>
      </c>
      <c r="D84" s="116">
        <v>32.5</v>
      </c>
      <c r="E84" s="116">
        <v>32.5</v>
      </c>
      <c r="F84" s="116">
        <v>68.2</v>
      </c>
      <c r="G84">
        <v>333183</v>
      </c>
      <c r="H84" s="116"/>
      <c r="I84" s="116"/>
      <c r="L84" s="166">
        <v>42124</v>
      </c>
      <c r="M84" s="116">
        <v>34.15</v>
      </c>
      <c r="N84" s="116">
        <v>34.6</v>
      </c>
      <c r="O84" s="116">
        <v>32.5</v>
      </c>
      <c r="P84" s="116">
        <v>32.5</v>
      </c>
      <c r="Q84" s="116">
        <v>68.3</v>
      </c>
      <c r="R84">
        <v>1024204</v>
      </c>
    </row>
    <row r="85" spans="1:18" x14ac:dyDescent="0.25">
      <c r="A85" s="166">
        <v>42128</v>
      </c>
      <c r="B85" s="116">
        <v>35.700000000000003</v>
      </c>
      <c r="C85" s="116">
        <v>34.924999999999997</v>
      </c>
      <c r="D85" s="116">
        <v>33.825000000000003</v>
      </c>
      <c r="E85" s="116">
        <v>35.5</v>
      </c>
      <c r="F85" s="116">
        <v>69.849999999999994</v>
      </c>
      <c r="G85">
        <v>317296</v>
      </c>
      <c r="H85" s="116"/>
      <c r="I85" s="116"/>
      <c r="L85" s="166">
        <v>42128</v>
      </c>
      <c r="M85" s="116">
        <v>34.950000000000003</v>
      </c>
      <c r="N85" s="116">
        <v>35.700000000000003</v>
      </c>
      <c r="O85" s="116">
        <v>33.9</v>
      </c>
      <c r="P85" s="116">
        <v>35.25</v>
      </c>
      <c r="Q85" s="116">
        <v>69.900000000000006</v>
      </c>
      <c r="R85">
        <v>774150</v>
      </c>
    </row>
    <row r="86" spans="1:18" x14ac:dyDescent="0.25">
      <c r="A86" s="166">
        <v>42129</v>
      </c>
      <c r="B86" s="116">
        <v>35.200000000000003</v>
      </c>
      <c r="C86" s="116">
        <v>33.674999999999997</v>
      </c>
      <c r="D86" s="116">
        <v>33.5</v>
      </c>
      <c r="E86" s="116">
        <v>35</v>
      </c>
      <c r="F86" s="116">
        <v>67.349999999999994</v>
      </c>
      <c r="G86">
        <v>271824</v>
      </c>
      <c r="H86" s="116"/>
      <c r="I86" s="116"/>
      <c r="L86" s="166">
        <v>42129</v>
      </c>
      <c r="M86" s="116">
        <v>33.674999999999997</v>
      </c>
      <c r="N86" s="116">
        <v>35.174999999999997</v>
      </c>
      <c r="O86" s="116">
        <v>33.424999999999997</v>
      </c>
      <c r="P86" s="116">
        <v>35.174999999999997</v>
      </c>
      <c r="Q86" s="116">
        <v>67.349999999999994</v>
      </c>
      <c r="R86">
        <v>408130</v>
      </c>
    </row>
    <row r="87" spans="1:18" x14ac:dyDescent="0.25">
      <c r="A87" s="166">
        <v>42130</v>
      </c>
      <c r="B87" s="116">
        <v>34</v>
      </c>
      <c r="C87" s="116">
        <v>31.65</v>
      </c>
      <c r="D87" s="116">
        <v>31.15</v>
      </c>
      <c r="E87" s="116">
        <v>34</v>
      </c>
      <c r="F87" s="116">
        <v>63.3</v>
      </c>
      <c r="G87">
        <v>217523</v>
      </c>
      <c r="H87" s="116"/>
      <c r="I87" s="116"/>
      <c r="L87" s="166">
        <v>42130</v>
      </c>
      <c r="M87" s="116">
        <v>31.625</v>
      </c>
      <c r="N87" s="116">
        <v>33.549999999999997</v>
      </c>
      <c r="O87" s="116">
        <v>31.175000000000001</v>
      </c>
      <c r="P87" s="116">
        <v>33.549999999999997</v>
      </c>
      <c r="Q87" s="116">
        <v>63.25</v>
      </c>
      <c r="R87">
        <v>541399</v>
      </c>
    </row>
    <row r="88" spans="1:18" x14ac:dyDescent="0.25">
      <c r="A88" s="166">
        <v>42131</v>
      </c>
      <c r="B88" s="116">
        <v>32.674999999999997</v>
      </c>
      <c r="C88" s="116">
        <v>31.375</v>
      </c>
      <c r="D88" s="116">
        <v>30.524999999999999</v>
      </c>
      <c r="E88" s="116">
        <v>31.75</v>
      </c>
      <c r="F88" s="116">
        <v>62.75</v>
      </c>
      <c r="G88">
        <v>280816</v>
      </c>
      <c r="H88" s="116"/>
      <c r="I88" s="116"/>
      <c r="L88" s="166">
        <v>42131</v>
      </c>
      <c r="M88" s="116">
        <v>31.274999999999999</v>
      </c>
      <c r="N88" s="116">
        <v>32.65</v>
      </c>
      <c r="O88" s="116">
        <v>30.574999999999999</v>
      </c>
      <c r="P88" s="116">
        <v>31.95</v>
      </c>
      <c r="Q88" s="116">
        <v>62.55</v>
      </c>
      <c r="R88">
        <v>803724</v>
      </c>
    </row>
    <row r="89" spans="1:18" x14ac:dyDescent="0.25">
      <c r="A89" s="166">
        <v>42132</v>
      </c>
      <c r="B89" s="116">
        <v>32.299999999999997</v>
      </c>
      <c r="C89" s="116">
        <v>31.675000000000001</v>
      </c>
      <c r="D89" s="116">
        <v>31.55</v>
      </c>
      <c r="E89" s="116">
        <v>31.625</v>
      </c>
      <c r="F89" s="116">
        <v>63.35</v>
      </c>
      <c r="G89">
        <v>160296</v>
      </c>
      <c r="H89" s="116"/>
      <c r="I89" s="116"/>
      <c r="L89" s="166">
        <v>42132</v>
      </c>
      <c r="M89" s="116">
        <v>31.7</v>
      </c>
      <c r="N89" s="116">
        <v>32.35</v>
      </c>
      <c r="O89" s="116">
        <v>31.524999999999999</v>
      </c>
      <c r="P89" s="116">
        <v>31.6</v>
      </c>
      <c r="Q89" s="116">
        <v>63.4</v>
      </c>
      <c r="R89">
        <v>366320</v>
      </c>
    </row>
    <row r="90" spans="1:18" x14ac:dyDescent="0.25">
      <c r="A90" s="166">
        <v>42135</v>
      </c>
      <c r="B90" s="116">
        <v>33.424999999999997</v>
      </c>
      <c r="C90" s="116">
        <v>33.25</v>
      </c>
      <c r="D90" s="116">
        <v>31.75</v>
      </c>
      <c r="E90" s="116">
        <v>31.75</v>
      </c>
      <c r="F90" s="116">
        <v>66.5</v>
      </c>
      <c r="G90">
        <v>174355</v>
      </c>
      <c r="H90" s="116"/>
      <c r="I90" s="116"/>
      <c r="L90" s="166">
        <v>42135</v>
      </c>
      <c r="M90" s="116">
        <v>33.325000000000003</v>
      </c>
      <c r="N90" s="116">
        <v>33.475000000000001</v>
      </c>
      <c r="O90" s="116">
        <v>31.875</v>
      </c>
      <c r="P90" s="116">
        <v>31.875</v>
      </c>
      <c r="Q90" s="116">
        <v>66.650000000000006</v>
      </c>
      <c r="R90">
        <v>434784</v>
      </c>
    </row>
    <row r="91" spans="1:18" x14ac:dyDescent="0.25">
      <c r="A91" s="166">
        <v>42136</v>
      </c>
      <c r="B91" s="116">
        <v>33.4</v>
      </c>
      <c r="C91" s="116">
        <v>31.375</v>
      </c>
      <c r="D91" s="116">
        <v>31.25</v>
      </c>
      <c r="E91" s="116">
        <v>33.4</v>
      </c>
      <c r="F91" s="116">
        <v>62.75</v>
      </c>
      <c r="G91">
        <v>179211</v>
      </c>
      <c r="H91" s="116"/>
      <c r="I91" s="116"/>
      <c r="L91" s="166">
        <v>42136</v>
      </c>
      <c r="M91" s="116">
        <v>31.3</v>
      </c>
      <c r="N91" s="116">
        <v>33.424999999999997</v>
      </c>
      <c r="O91" s="116">
        <v>31.074999999999999</v>
      </c>
      <c r="P91" s="116">
        <v>33.424999999999997</v>
      </c>
      <c r="Q91" s="116">
        <v>62.6</v>
      </c>
      <c r="R91">
        <v>448656</v>
      </c>
    </row>
    <row r="92" spans="1:18" x14ac:dyDescent="0.25">
      <c r="A92" s="166">
        <v>42137</v>
      </c>
      <c r="B92" s="116">
        <v>32.325000000000003</v>
      </c>
      <c r="C92" s="116">
        <v>31.925000000000001</v>
      </c>
      <c r="D92" s="116">
        <v>31.4</v>
      </c>
      <c r="E92" s="116">
        <v>31.45</v>
      </c>
      <c r="F92" s="116">
        <v>63.85</v>
      </c>
      <c r="G92">
        <v>110399</v>
      </c>
      <c r="H92" s="116"/>
      <c r="I92" s="116"/>
      <c r="L92" s="166">
        <v>42137</v>
      </c>
      <c r="M92" s="116">
        <v>31.925000000000001</v>
      </c>
      <c r="N92" s="116">
        <v>32.299999999999997</v>
      </c>
      <c r="O92" s="116">
        <v>31.375</v>
      </c>
      <c r="P92" s="116">
        <v>31.5</v>
      </c>
      <c r="Q92" s="116">
        <v>63.85</v>
      </c>
      <c r="R92">
        <v>252541</v>
      </c>
    </row>
    <row r="93" spans="1:18" x14ac:dyDescent="0.25">
      <c r="A93" s="166">
        <v>42138</v>
      </c>
      <c r="B93" s="116">
        <v>34.125</v>
      </c>
      <c r="C93" s="116">
        <v>33.524999999999999</v>
      </c>
      <c r="D93" s="116">
        <v>31.5</v>
      </c>
      <c r="E93" s="116">
        <v>31.5</v>
      </c>
      <c r="F93" s="116">
        <v>67.05</v>
      </c>
      <c r="G93">
        <v>318791</v>
      </c>
      <c r="H93" s="116"/>
      <c r="I93" s="116"/>
      <c r="L93" s="166">
        <v>42138</v>
      </c>
      <c r="M93" s="116">
        <v>33.475000000000001</v>
      </c>
      <c r="N93" s="116">
        <v>34.125</v>
      </c>
      <c r="O93" s="116">
        <v>31.524999999999999</v>
      </c>
      <c r="P93" s="116">
        <v>32</v>
      </c>
      <c r="Q93" s="116">
        <v>66.95</v>
      </c>
      <c r="R93">
        <v>803602</v>
      </c>
    </row>
    <row r="94" spans="1:18" x14ac:dyDescent="0.25">
      <c r="A94" s="166">
        <v>42139</v>
      </c>
      <c r="B94" s="116">
        <v>34.225000000000001</v>
      </c>
      <c r="C94" s="116">
        <v>33.799999999999997</v>
      </c>
      <c r="D94" s="116">
        <v>33.15</v>
      </c>
      <c r="E94" s="116">
        <v>33.549999999999997</v>
      </c>
      <c r="F94" s="116">
        <v>67.599999999999994</v>
      </c>
      <c r="G94">
        <v>175550</v>
      </c>
      <c r="H94" s="116"/>
      <c r="I94" s="116"/>
      <c r="L94" s="166">
        <v>42139</v>
      </c>
      <c r="M94" s="116">
        <v>33.85</v>
      </c>
      <c r="N94" s="116">
        <v>34.15</v>
      </c>
      <c r="O94" s="116">
        <v>33.15</v>
      </c>
      <c r="P94" s="116">
        <v>33.6</v>
      </c>
      <c r="Q94" s="116">
        <v>67.7</v>
      </c>
      <c r="R94">
        <v>436186</v>
      </c>
    </row>
    <row r="95" spans="1:18" x14ac:dyDescent="0.25">
      <c r="A95" s="166">
        <v>42142</v>
      </c>
      <c r="B95" s="116">
        <v>34</v>
      </c>
      <c r="C95" s="116">
        <v>32.825000000000003</v>
      </c>
      <c r="D95" s="116">
        <v>32.625</v>
      </c>
      <c r="E95" s="116">
        <v>33.5</v>
      </c>
      <c r="F95" s="116">
        <v>65.650000000000006</v>
      </c>
      <c r="G95">
        <v>167838</v>
      </c>
      <c r="H95" s="116"/>
      <c r="I95" s="116"/>
      <c r="L95" s="166">
        <v>42142</v>
      </c>
      <c r="M95" s="116">
        <v>32.825000000000003</v>
      </c>
      <c r="N95" s="116">
        <v>33.975000000000001</v>
      </c>
      <c r="O95" s="116">
        <v>32.6</v>
      </c>
      <c r="P95" s="116">
        <v>33.5</v>
      </c>
      <c r="Q95" s="116">
        <v>65.650000000000006</v>
      </c>
      <c r="R95">
        <v>717418</v>
      </c>
    </row>
    <row r="96" spans="1:18" x14ac:dyDescent="0.25">
      <c r="A96" s="166">
        <v>42143</v>
      </c>
      <c r="B96" s="116">
        <v>35.375</v>
      </c>
      <c r="C96" s="116">
        <v>34.725000000000001</v>
      </c>
      <c r="D96" s="116">
        <v>32.65</v>
      </c>
      <c r="E96" s="116">
        <v>32.85</v>
      </c>
      <c r="F96" s="116">
        <v>69.45</v>
      </c>
      <c r="G96">
        <v>615977</v>
      </c>
      <c r="H96" s="116"/>
      <c r="I96" s="116"/>
      <c r="L96" s="166">
        <v>42143</v>
      </c>
      <c r="M96" s="116">
        <v>34.799999999999997</v>
      </c>
      <c r="N96" s="116">
        <v>35.424999999999997</v>
      </c>
      <c r="O96" s="116">
        <v>32.6</v>
      </c>
      <c r="P96" s="116">
        <v>32.625</v>
      </c>
      <c r="Q96" s="116">
        <v>69.599999999999994</v>
      </c>
      <c r="R96">
        <v>1506502</v>
      </c>
    </row>
    <row r="97" spans="1:18" x14ac:dyDescent="0.25">
      <c r="A97" s="166">
        <v>42144</v>
      </c>
      <c r="B97" s="116">
        <v>35.85</v>
      </c>
      <c r="C97" s="116">
        <v>34.4</v>
      </c>
      <c r="D97" s="116">
        <v>34.225000000000001</v>
      </c>
      <c r="E97" s="116">
        <v>34.9</v>
      </c>
      <c r="F97" s="116">
        <v>68.8</v>
      </c>
      <c r="G97">
        <v>349093</v>
      </c>
      <c r="H97" s="116"/>
      <c r="I97" s="116"/>
      <c r="L97" s="166">
        <v>42144</v>
      </c>
      <c r="M97" s="116">
        <v>34.5</v>
      </c>
      <c r="N97" s="116">
        <v>35.825000000000003</v>
      </c>
      <c r="O97" s="116">
        <v>34.25</v>
      </c>
      <c r="P97" s="116">
        <v>34.9</v>
      </c>
      <c r="Q97" s="116">
        <v>69</v>
      </c>
      <c r="R97">
        <v>639124</v>
      </c>
    </row>
    <row r="98" spans="1:18" x14ac:dyDescent="0.25">
      <c r="A98" s="166">
        <v>42145</v>
      </c>
      <c r="B98" s="116">
        <v>34.475000000000001</v>
      </c>
      <c r="C98" s="116">
        <v>33.825000000000003</v>
      </c>
      <c r="D98" s="116">
        <v>33.6</v>
      </c>
      <c r="E98" s="116">
        <v>34.475000000000001</v>
      </c>
      <c r="F98" s="116">
        <v>67.650000000000006</v>
      </c>
      <c r="G98">
        <v>113721</v>
      </c>
      <c r="H98" s="116"/>
      <c r="I98" s="116"/>
      <c r="L98" s="166">
        <v>42145</v>
      </c>
      <c r="M98" s="116">
        <v>33.825000000000003</v>
      </c>
      <c r="N98" s="116">
        <v>34.424999999999997</v>
      </c>
      <c r="O98" s="116">
        <v>33.6</v>
      </c>
      <c r="P98" s="116">
        <v>34.4</v>
      </c>
      <c r="Q98" s="116">
        <v>67.650000000000006</v>
      </c>
      <c r="R98">
        <v>238032</v>
      </c>
    </row>
    <row r="99" spans="1:18" x14ac:dyDescent="0.25">
      <c r="A99" s="166">
        <v>42146</v>
      </c>
      <c r="B99" s="116">
        <v>35.5</v>
      </c>
      <c r="C99" s="116">
        <v>34.450000000000003</v>
      </c>
      <c r="D99" s="116">
        <v>34.024999999999999</v>
      </c>
      <c r="E99" s="116">
        <v>34.024999999999999</v>
      </c>
      <c r="F99" s="116">
        <v>68.900000000000006</v>
      </c>
      <c r="G99">
        <v>293579</v>
      </c>
      <c r="H99" s="116"/>
      <c r="I99" s="116"/>
      <c r="L99" s="166">
        <v>42146</v>
      </c>
      <c r="M99" s="116">
        <v>34.5</v>
      </c>
      <c r="N99" s="116">
        <v>35.549999999999997</v>
      </c>
      <c r="O99" s="116">
        <v>33.75</v>
      </c>
      <c r="P99" s="116">
        <v>33.75</v>
      </c>
      <c r="Q99" s="116">
        <v>69</v>
      </c>
      <c r="R99">
        <v>696707</v>
      </c>
    </row>
    <row r="100" spans="1:18" x14ac:dyDescent="0.25">
      <c r="A100" s="166">
        <v>42149</v>
      </c>
      <c r="B100" s="116">
        <v>34.700000000000003</v>
      </c>
      <c r="C100" s="116">
        <v>33.524999999999999</v>
      </c>
      <c r="D100" s="116">
        <v>33.325000000000003</v>
      </c>
      <c r="E100" s="116">
        <v>34.575000000000003</v>
      </c>
      <c r="F100" s="116">
        <v>67.05</v>
      </c>
      <c r="G100">
        <v>140596</v>
      </c>
      <c r="H100" s="116"/>
      <c r="I100" s="116"/>
      <c r="L100" s="166">
        <v>42149</v>
      </c>
      <c r="M100" s="116">
        <v>33.424999999999997</v>
      </c>
      <c r="N100" s="116">
        <v>34.674999999999997</v>
      </c>
      <c r="O100" s="116">
        <v>33.125</v>
      </c>
      <c r="P100" s="116">
        <v>34.65</v>
      </c>
      <c r="Q100" s="116">
        <v>66.849999999999994</v>
      </c>
      <c r="R100">
        <v>260415</v>
      </c>
    </row>
    <row r="101" spans="1:18" x14ac:dyDescent="0.25">
      <c r="A101" s="166">
        <v>42150</v>
      </c>
      <c r="B101" s="116">
        <v>33.700000000000003</v>
      </c>
      <c r="C101" s="116">
        <v>32.875</v>
      </c>
      <c r="D101" s="116">
        <v>32.75</v>
      </c>
      <c r="E101" s="116">
        <v>33.700000000000003</v>
      </c>
      <c r="F101" s="116">
        <v>65.75</v>
      </c>
      <c r="G101">
        <v>93194</v>
      </c>
      <c r="H101" s="116"/>
      <c r="I101" s="116"/>
      <c r="L101" s="166">
        <v>42150</v>
      </c>
      <c r="M101" s="116">
        <v>32.875</v>
      </c>
      <c r="N101" s="116">
        <v>33.75</v>
      </c>
      <c r="O101" s="116">
        <v>32.75</v>
      </c>
      <c r="P101" s="116">
        <v>33.75</v>
      </c>
      <c r="Q101" s="116">
        <v>65.75</v>
      </c>
      <c r="R101">
        <v>204832</v>
      </c>
    </row>
    <row r="102" spans="1:18" x14ac:dyDescent="0.25">
      <c r="A102" s="166">
        <v>42151</v>
      </c>
      <c r="B102" s="116">
        <v>34.125</v>
      </c>
      <c r="C102" s="116">
        <v>33.225000000000001</v>
      </c>
      <c r="D102" s="116">
        <v>32.475000000000001</v>
      </c>
      <c r="E102" s="116">
        <v>32.700000000000003</v>
      </c>
      <c r="F102" s="116">
        <v>66.45</v>
      </c>
      <c r="G102">
        <v>124880</v>
      </c>
      <c r="H102" s="116"/>
      <c r="I102" s="116"/>
      <c r="L102" s="166">
        <v>42151</v>
      </c>
      <c r="M102" s="116">
        <v>33.225000000000001</v>
      </c>
      <c r="N102" s="116">
        <v>34.15</v>
      </c>
      <c r="O102" s="116">
        <v>32.375</v>
      </c>
      <c r="P102" s="116">
        <v>32.65</v>
      </c>
      <c r="Q102" s="116">
        <v>66.45</v>
      </c>
      <c r="R102">
        <v>259008</v>
      </c>
    </row>
    <row r="103" spans="1:18" x14ac:dyDescent="0.25">
      <c r="A103" s="166">
        <v>42152</v>
      </c>
      <c r="B103" s="116">
        <v>33.725000000000001</v>
      </c>
      <c r="C103" s="116">
        <v>33.1</v>
      </c>
      <c r="D103" s="116">
        <v>32.75</v>
      </c>
      <c r="E103" s="116">
        <v>33.375</v>
      </c>
      <c r="F103" s="116">
        <v>66.2</v>
      </c>
      <c r="G103">
        <v>85301</v>
      </c>
      <c r="H103" s="116"/>
      <c r="I103" s="116"/>
      <c r="L103" s="166">
        <v>42152</v>
      </c>
      <c r="M103" s="116">
        <v>33.075000000000003</v>
      </c>
      <c r="N103" s="116">
        <v>33.725000000000001</v>
      </c>
      <c r="O103" s="116">
        <v>32.700000000000003</v>
      </c>
      <c r="P103" s="116">
        <v>33.35</v>
      </c>
      <c r="Q103" s="116">
        <v>66.150000000000006</v>
      </c>
      <c r="R103">
        <v>184552</v>
      </c>
    </row>
    <row r="104" spans="1:18" x14ac:dyDescent="0.25">
      <c r="A104" s="166">
        <v>42153</v>
      </c>
      <c r="B104" s="116">
        <v>34.25</v>
      </c>
      <c r="C104" s="116">
        <v>33.325000000000003</v>
      </c>
      <c r="D104" s="116">
        <v>33.049999999999997</v>
      </c>
      <c r="E104" s="116">
        <v>33.75</v>
      </c>
      <c r="F104" s="116">
        <v>66.650000000000006</v>
      </c>
      <c r="G104">
        <v>70282</v>
      </c>
      <c r="H104" s="116"/>
      <c r="I104" s="116"/>
      <c r="L104" s="166">
        <v>42153</v>
      </c>
      <c r="M104" s="116">
        <v>33.25</v>
      </c>
      <c r="N104" s="116">
        <v>33.799999999999997</v>
      </c>
      <c r="O104" s="116">
        <v>33</v>
      </c>
      <c r="P104" s="116">
        <v>33.25</v>
      </c>
      <c r="Q104" s="116">
        <v>66.5</v>
      </c>
      <c r="R104">
        <v>189803</v>
      </c>
    </row>
    <row r="105" spans="1:18" x14ac:dyDescent="0.25">
      <c r="A105" s="166">
        <v>42156</v>
      </c>
      <c r="B105" s="116">
        <v>34.049999999999997</v>
      </c>
      <c r="C105" s="116">
        <v>33.225000000000001</v>
      </c>
      <c r="D105" s="116">
        <v>32.975000000000001</v>
      </c>
      <c r="E105" s="116">
        <v>33.475000000000001</v>
      </c>
      <c r="F105" s="116">
        <v>66.45</v>
      </c>
      <c r="G105">
        <v>97771</v>
      </c>
      <c r="H105" s="116"/>
      <c r="I105" s="116"/>
      <c r="L105" s="166">
        <v>42156</v>
      </c>
      <c r="M105" s="116">
        <v>33.200000000000003</v>
      </c>
      <c r="N105" s="116">
        <v>34.049999999999997</v>
      </c>
      <c r="O105" s="116">
        <v>33</v>
      </c>
      <c r="P105" s="116">
        <v>33</v>
      </c>
      <c r="Q105" s="116">
        <v>66.400000000000006</v>
      </c>
      <c r="R105">
        <v>248065</v>
      </c>
    </row>
    <row r="106" spans="1:18" x14ac:dyDescent="0.25">
      <c r="A106" s="166">
        <v>42157</v>
      </c>
      <c r="B106" s="116">
        <v>33.15</v>
      </c>
      <c r="C106" s="116">
        <v>31.824999999999999</v>
      </c>
      <c r="D106" s="116">
        <v>31.45</v>
      </c>
      <c r="E106" s="116">
        <v>33.15</v>
      </c>
      <c r="F106" s="116">
        <v>63.65</v>
      </c>
      <c r="G106">
        <v>140146</v>
      </c>
      <c r="H106" s="116"/>
      <c r="I106" s="116"/>
      <c r="L106" s="166">
        <v>42157</v>
      </c>
      <c r="M106" s="116">
        <v>31.774999999999999</v>
      </c>
      <c r="N106" s="116">
        <v>33.200000000000003</v>
      </c>
      <c r="O106" s="116">
        <v>31.3</v>
      </c>
      <c r="P106" s="116">
        <v>33.200000000000003</v>
      </c>
      <c r="Q106" s="116">
        <v>63.55</v>
      </c>
      <c r="R106">
        <v>432195</v>
      </c>
    </row>
    <row r="107" spans="1:18" x14ac:dyDescent="0.25">
      <c r="A107" s="166">
        <v>42158</v>
      </c>
      <c r="B107" s="116">
        <v>31.7</v>
      </c>
      <c r="C107" s="116">
        <v>30.4</v>
      </c>
      <c r="D107" s="116">
        <v>29.3</v>
      </c>
      <c r="E107" s="116">
        <v>31.7</v>
      </c>
      <c r="F107" s="116">
        <v>60.8</v>
      </c>
      <c r="G107">
        <v>235895</v>
      </c>
      <c r="H107" s="116"/>
      <c r="I107" s="116"/>
      <c r="L107" s="166">
        <v>42158</v>
      </c>
      <c r="M107" s="116">
        <v>30.375</v>
      </c>
      <c r="N107" s="116">
        <v>31.75</v>
      </c>
      <c r="O107" s="116">
        <v>29.25</v>
      </c>
      <c r="P107" s="116">
        <v>31.725000000000001</v>
      </c>
      <c r="Q107" s="116">
        <v>60.75</v>
      </c>
      <c r="R107">
        <v>499063</v>
      </c>
    </row>
    <row r="108" spans="1:18" x14ac:dyDescent="0.25">
      <c r="A108" s="166">
        <v>42159</v>
      </c>
      <c r="B108" s="116">
        <v>30.925000000000001</v>
      </c>
      <c r="C108" s="116">
        <v>30.225000000000001</v>
      </c>
      <c r="D108" s="116">
        <v>29.675000000000001</v>
      </c>
      <c r="E108" s="116">
        <v>30.5</v>
      </c>
      <c r="F108" s="116">
        <v>60.45</v>
      </c>
      <c r="G108">
        <v>118692</v>
      </c>
      <c r="H108" s="116"/>
      <c r="I108" s="116"/>
      <c r="L108" s="166">
        <v>42159</v>
      </c>
      <c r="M108" s="116">
        <v>30.2</v>
      </c>
      <c r="N108" s="116">
        <v>30.975000000000001</v>
      </c>
      <c r="O108" s="116">
        <v>29.55</v>
      </c>
      <c r="P108" s="116">
        <v>30.975000000000001</v>
      </c>
      <c r="Q108" s="116">
        <v>60.4</v>
      </c>
      <c r="R108">
        <v>327669</v>
      </c>
    </row>
    <row r="109" spans="1:18" x14ac:dyDescent="0.25">
      <c r="A109" s="166">
        <v>42160</v>
      </c>
      <c r="B109" s="116">
        <v>31.475000000000001</v>
      </c>
      <c r="C109" s="116">
        <v>30.95</v>
      </c>
      <c r="D109" s="116">
        <v>29.524999999999999</v>
      </c>
      <c r="E109" s="116">
        <v>29.524999999999999</v>
      </c>
      <c r="F109" s="116">
        <v>61.9</v>
      </c>
      <c r="G109">
        <v>196489</v>
      </c>
      <c r="H109" s="116"/>
      <c r="I109" s="116"/>
      <c r="L109" s="166">
        <v>42160</v>
      </c>
      <c r="M109" s="116">
        <v>30.875</v>
      </c>
      <c r="N109" s="116">
        <v>31.4</v>
      </c>
      <c r="O109" s="116">
        <v>29.725000000000001</v>
      </c>
      <c r="P109" s="116">
        <v>30.3</v>
      </c>
      <c r="Q109" s="116">
        <v>61.75</v>
      </c>
      <c r="R109">
        <v>383595</v>
      </c>
    </row>
    <row r="110" spans="1:18" x14ac:dyDescent="0.25">
      <c r="A110" s="166">
        <v>42163</v>
      </c>
      <c r="B110" s="116">
        <v>31.25</v>
      </c>
      <c r="C110" s="116">
        <v>29.95</v>
      </c>
      <c r="D110" s="116">
        <v>29.55</v>
      </c>
      <c r="E110" s="116">
        <v>31.25</v>
      </c>
      <c r="F110" s="116">
        <v>59.9</v>
      </c>
      <c r="G110">
        <v>75274</v>
      </c>
      <c r="H110" s="116"/>
      <c r="I110" s="116"/>
      <c r="L110" s="166">
        <v>42163</v>
      </c>
      <c r="M110" s="116">
        <v>30</v>
      </c>
      <c r="N110" s="116">
        <v>31.4</v>
      </c>
      <c r="O110" s="116">
        <v>29.5</v>
      </c>
      <c r="P110" s="116">
        <v>31.4</v>
      </c>
      <c r="Q110" s="116">
        <v>60</v>
      </c>
      <c r="R110">
        <v>219725</v>
      </c>
    </row>
    <row r="111" spans="1:18" x14ac:dyDescent="0.25">
      <c r="A111" s="166">
        <v>42164</v>
      </c>
      <c r="B111" s="116">
        <v>30.35</v>
      </c>
      <c r="C111" s="116">
        <v>29.425000000000001</v>
      </c>
      <c r="D111" s="116">
        <v>29.125</v>
      </c>
      <c r="E111" s="116">
        <v>29.15</v>
      </c>
      <c r="F111" s="116">
        <v>58.85</v>
      </c>
      <c r="G111">
        <v>75308</v>
      </c>
      <c r="H111" s="116"/>
      <c r="I111" s="116"/>
      <c r="L111" s="166">
        <v>42164</v>
      </c>
      <c r="M111" s="116">
        <v>29.475000000000001</v>
      </c>
      <c r="N111" s="116">
        <v>30.3</v>
      </c>
      <c r="O111" s="116">
        <v>29.25</v>
      </c>
      <c r="P111" s="116">
        <v>30</v>
      </c>
      <c r="Q111" s="116">
        <v>58.95</v>
      </c>
      <c r="R111">
        <v>248607</v>
      </c>
    </row>
    <row r="112" spans="1:18" x14ac:dyDescent="0.25">
      <c r="A112" s="166">
        <v>42165</v>
      </c>
      <c r="B112" s="116">
        <v>31.25</v>
      </c>
      <c r="C112" s="116">
        <v>30.75</v>
      </c>
      <c r="D112" s="116">
        <v>29.45</v>
      </c>
      <c r="E112" s="116">
        <v>29.475000000000001</v>
      </c>
      <c r="F112" s="116">
        <v>61.5</v>
      </c>
      <c r="G112">
        <v>131762</v>
      </c>
      <c r="H112" s="116"/>
      <c r="I112" s="116"/>
      <c r="L112" s="166">
        <v>42165</v>
      </c>
      <c r="M112" s="116">
        <v>30.824999999999999</v>
      </c>
      <c r="N112" s="116">
        <v>31.3</v>
      </c>
      <c r="O112" s="116">
        <v>29.425000000000001</v>
      </c>
      <c r="P112" s="116">
        <v>29.425000000000001</v>
      </c>
      <c r="Q112" s="116">
        <v>61.65</v>
      </c>
      <c r="R112">
        <v>360243</v>
      </c>
    </row>
    <row r="113" spans="1:18" x14ac:dyDescent="0.25">
      <c r="A113" s="166">
        <v>42166</v>
      </c>
      <c r="B113" s="116">
        <v>32.1</v>
      </c>
      <c r="C113" s="116">
        <v>31.4</v>
      </c>
      <c r="D113" s="116">
        <v>30.75</v>
      </c>
      <c r="E113" s="116">
        <v>30.75</v>
      </c>
      <c r="F113" s="116">
        <v>62.8</v>
      </c>
      <c r="G113">
        <v>201802</v>
      </c>
      <c r="H113" s="116"/>
      <c r="I113" s="116"/>
      <c r="L113" s="166">
        <v>42166</v>
      </c>
      <c r="M113" s="116">
        <v>31.375</v>
      </c>
      <c r="N113" s="116">
        <v>32.125</v>
      </c>
      <c r="O113" s="116">
        <v>30.9</v>
      </c>
      <c r="P113" s="116">
        <v>31.2</v>
      </c>
      <c r="Q113" s="116">
        <v>62.75</v>
      </c>
      <c r="R113">
        <v>624934</v>
      </c>
    </row>
    <row r="114" spans="1:18" x14ac:dyDescent="0.25">
      <c r="A114" s="166">
        <v>42167</v>
      </c>
      <c r="B114" s="116">
        <v>33.475000000000001</v>
      </c>
      <c r="C114" s="116">
        <v>32.9</v>
      </c>
      <c r="D114" s="116">
        <v>30.75</v>
      </c>
      <c r="E114" s="116">
        <v>30.824999999999999</v>
      </c>
      <c r="F114" s="116">
        <v>65.8</v>
      </c>
      <c r="G114">
        <v>295915</v>
      </c>
      <c r="H114" s="116"/>
      <c r="I114" s="116"/>
      <c r="L114" s="166">
        <v>42167</v>
      </c>
      <c r="M114" s="116">
        <v>32.85</v>
      </c>
      <c r="N114" s="116">
        <v>33.450000000000003</v>
      </c>
      <c r="O114" s="116">
        <v>30.725000000000001</v>
      </c>
      <c r="P114" s="116">
        <v>31</v>
      </c>
      <c r="Q114" s="116">
        <v>65.7</v>
      </c>
      <c r="R114">
        <v>658369</v>
      </c>
    </row>
    <row r="115" spans="1:18" x14ac:dyDescent="0.25">
      <c r="A115" s="166">
        <v>42170</v>
      </c>
      <c r="B115" s="116">
        <v>35.225000000000001</v>
      </c>
      <c r="C115" s="116">
        <v>35</v>
      </c>
      <c r="D115" s="116">
        <v>32.450000000000003</v>
      </c>
      <c r="E115" s="116">
        <v>32.674999999999997</v>
      </c>
      <c r="F115" s="116">
        <v>70</v>
      </c>
      <c r="G115">
        <v>367427</v>
      </c>
      <c r="H115" s="116"/>
      <c r="I115" s="116"/>
      <c r="L115" s="166">
        <v>42170</v>
      </c>
      <c r="M115" s="116">
        <v>35.075000000000003</v>
      </c>
      <c r="N115" s="116">
        <v>35.299999999999997</v>
      </c>
      <c r="O115" s="116">
        <v>32.35</v>
      </c>
      <c r="P115" s="116">
        <v>32.799999999999997</v>
      </c>
      <c r="Q115" s="116">
        <v>70.150000000000006</v>
      </c>
      <c r="R115">
        <v>1230778</v>
      </c>
    </row>
    <row r="116" spans="1:18" x14ac:dyDescent="0.25">
      <c r="A116" s="166">
        <v>42171</v>
      </c>
      <c r="B116" s="116">
        <v>35.75</v>
      </c>
      <c r="C116" s="116">
        <v>34.25</v>
      </c>
      <c r="D116" s="116">
        <v>33.625</v>
      </c>
      <c r="E116" s="116">
        <v>34.875</v>
      </c>
      <c r="F116" s="116">
        <v>68.5</v>
      </c>
      <c r="G116">
        <v>216194</v>
      </c>
      <c r="H116" s="116"/>
      <c r="I116" s="116"/>
      <c r="L116" s="166">
        <v>42171</v>
      </c>
      <c r="M116" s="116">
        <v>34.299999999999997</v>
      </c>
      <c r="N116" s="116">
        <v>35.65</v>
      </c>
      <c r="O116" s="116">
        <v>33.6</v>
      </c>
      <c r="P116" s="116">
        <v>34.875</v>
      </c>
      <c r="Q116" s="116">
        <v>68.599999999999994</v>
      </c>
      <c r="R116">
        <v>581135</v>
      </c>
    </row>
    <row r="117" spans="1:18" x14ac:dyDescent="0.25">
      <c r="A117" s="166">
        <v>42172</v>
      </c>
      <c r="B117" s="116">
        <v>38.274999999999999</v>
      </c>
      <c r="C117" s="116">
        <v>37.625</v>
      </c>
      <c r="D117" s="116">
        <v>33.924999999999997</v>
      </c>
      <c r="E117" s="116">
        <v>34.625</v>
      </c>
      <c r="F117" s="116">
        <v>75.25</v>
      </c>
      <c r="G117">
        <v>1093780</v>
      </c>
      <c r="H117" s="116"/>
      <c r="I117" s="116"/>
      <c r="L117" s="166">
        <v>42172</v>
      </c>
      <c r="M117" s="116">
        <v>37.625</v>
      </c>
      <c r="N117" s="116">
        <v>38.25</v>
      </c>
      <c r="O117" s="116">
        <v>33.85</v>
      </c>
      <c r="P117" s="116">
        <v>34.5</v>
      </c>
      <c r="Q117" s="116">
        <v>75.25</v>
      </c>
      <c r="R117">
        <v>2961421</v>
      </c>
    </row>
    <row r="118" spans="1:18" x14ac:dyDescent="0.25">
      <c r="A118" s="166">
        <v>42173</v>
      </c>
      <c r="B118" s="116">
        <v>39.625</v>
      </c>
      <c r="C118" s="116">
        <v>38.25</v>
      </c>
      <c r="D118" s="116">
        <v>36.799999999999997</v>
      </c>
      <c r="E118" s="116">
        <v>37.725000000000001</v>
      </c>
      <c r="F118" s="116">
        <v>76.5</v>
      </c>
      <c r="G118">
        <v>718210</v>
      </c>
      <c r="H118" s="116"/>
      <c r="I118" s="116"/>
      <c r="L118" s="166">
        <v>42173</v>
      </c>
      <c r="M118" s="116">
        <v>38.325000000000003</v>
      </c>
      <c r="N118" s="116">
        <v>39.6</v>
      </c>
      <c r="O118" s="116">
        <v>36.799999999999997</v>
      </c>
      <c r="P118" s="116">
        <v>37.725000000000001</v>
      </c>
      <c r="Q118" s="116">
        <v>76.650000000000006</v>
      </c>
      <c r="R118">
        <v>2075577</v>
      </c>
    </row>
    <row r="119" spans="1:18" x14ac:dyDescent="0.25">
      <c r="A119" s="166">
        <v>42174</v>
      </c>
      <c r="B119" s="116">
        <v>40.5</v>
      </c>
      <c r="C119" s="116">
        <v>38.475000000000001</v>
      </c>
      <c r="D119" s="116">
        <v>37.5</v>
      </c>
      <c r="E119" s="116">
        <v>38.25</v>
      </c>
      <c r="F119" s="116">
        <v>76.95</v>
      </c>
      <c r="G119">
        <v>704990</v>
      </c>
      <c r="H119" s="116"/>
      <c r="I119" s="116"/>
      <c r="L119" s="166">
        <v>42174</v>
      </c>
      <c r="M119" s="116">
        <v>38.524999999999999</v>
      </c>
      <c r="N119" s="116">
        <v>40.6</v>
      </c>
      <c r="O119" s="116">
        <v>37.4</v>
      </c>
      <c r="P119" s="116">
        <v>38.200000000000003</v>
      </c>
      <c r="Q119" s="116">
        <v>77.05</v>
      </c>
      <c r="R119">
        <v>1689870</v>
      </c>
    </row>
    <row r="120" spans="1:18" x14ac:dyDescent="0.25">
      <c r="A120" s="166">
        <v>42177</v>
      </c>
      <c r="B120" s="116">
        <v>40.450000000000003</v>
      </c>
      <c r="C120" s="116">
        <v>39.450000000000003</v>
      </c>
      <c r="D120" s="116">
        <v>38.524999999999999</v>
      </c>
      <c r="E120" s="116">
        <v>38.85</v>
      </c>
      <c r="F120" s="116">
        <v>78.900000000000006</v>
      </c>
      <c r="G120">
        <v>469991</v>
      </c>
      <c r="H120" s="116"/>
      <c r="I120" s="116"/>
      <c r="L120" s="166">
        <v>42177</v>
      </c>
      <c r="M120" s="116">
        <v>39.450000000000003</v>
      </c>
      <c r="N120" s="116">
        <v>40.5</v>
      </c>
      <c r="O120" s="116">
        <v>38.5</v>
      </c>
      <c r="P120" s="116">
        <v>38.5</v>
      </c>
      <c r="Q120" s="116">
        <v>78.900000000000006</v>
      </c>
      <c r="R120">
        <v>1165409</v>
      </c>
    </row>
    <row r="121" spans="1:18" x14ac:dyDescent="0.25">
      <c r="A121" s="166">
        <v>42178</v>
      </c>
      <c r="B121" s="116">
        <v>41.2</v>
      </c>
      <c r="C121" s="116">
        <v>40.674999999999997</v>
      </c>
      <c r="D121" s="116">
        <v>38.950000000000003</v>
      </c>
      <c r="E121" s="116">
        <v>39.15</v>
      </c>
      <c r="F121" s="116">
        <v>81.349999999999994</v>
      </c>
      <c r="G121">
        <v>834773</v>
      </c>
      <c r="H121" s="116"/>
      <c r="I121" s="116"/>
      <c r="L121" s="166">
        <v>42178</v>
      </c>
      <c r="M121" s="116">
        <v>40.799999999999997</v>
      </c>
      <c r="N121" s="116">
        <v>41.25</v>
      </c>
      <c r="O121" s="116">
        <v>38.9</v>
      </c>
      <c r="P121" s="116">
        <v>39.174999999999997</v>
      </c>
      <c r="Q121" s="116">
        <v>81.599999999999994</v>
      </c>
      <c r="R121">
        <v>2179406</v>
      </c>
    </row>
    <row r="122" spans="1:18" x14ac:dyDescent="0.25">
      <c r="A122" s="166">
        <v>42179</v>
      </c>
      <c r="B122" s="116">
        <v>42.125</v>
      </c>
      <c r="C122" s="116">
        <v>40.200000000000003</v>
      </c>
      <c r="D122" s="116">
        <v>39.674999999999997</v>
      </c>
      <c r="E122" s="116">
        <v>41.2</v>
      </c>
      <c r="F122" s="116">
        <v>80.400000000000006</v>
      </c>
      <c r="G122">
        <v>674628</v>
      </c>
      <c r="H122" s="116"/>
      <c r="I122" s="116"/>
      <c r="L122" s="166">
        <v>42179</v>
      </c>
      <c r="M122" s="116">
        <v>40.25</v>
      </c>
      <c r="N122" s="116">
        <v>42.1</v>
      </c>
      <c r="O122" s="116">
        <v>39.674999999999997</v>
      </c>
      <c r="P122" s="116">
        <v>41.125</v>
      </c>
      <c r="Q122" s="116">
        <v>80.5</v>
      </c>
      <c r="R122">
        <v>1543342</v>
      </c>
    </row>
    <row r="123" spans="1:18" x14ac:dyDescent="0.25">
      <c r="A123" s="166">
        <v>42180</v>
      </c>
      <c r="B123" s="116">
        <v>40.75</v>
      </c>
      <c r="C123" s="116">
        <v>39.65</v>
      </c>
      <c r="D123" s="116">
        <v>39.274999999999999</v>
      </c>
      <c r="E123" s="116">
        <v>39.9</v>
      </c>
      <c r="F123" s="116">
        <v>79.3</v>
      </c>
      <c r="G123">
        <v>310006</v>
      </c>
      <c r="H123" s="116"/>
      <c r="I123" s="116"/>
      <c r="L123" s="166">
        <v>42180</v>
      </c>
      <c r="M123" s="116">
        <v>39.674999999999997</v>
      </c>
      <c r="N123" s="116">
        <v>40.799999999999997</v>
      </c>
      <c r="O123" s="116">
        <v>39.375</v>
      </c>
      <c r="P123" s="116">
        <v>40</v>
      </c>
      <c r="Q123" s="116">
        <v>79.349999999999994</v>
      </c>
      <c r="R123">
        <v>745288</v>
      </c>
    </row>
    <row r="124" spans="1:18" x14ac:dyDescent="0.25">
      <c r="A124" s="166">
        <v>42181</v>
      </c>
      <c r="B124" s="116">
        <v>39.950000000000003</v>
      </c>
      <c r="C124" s="116">
        <v>39.35</v>
      </c>
      <c r="D124" s="116">
        <v>38.274999999999999</v>
      </c>
      <c r="E124" s="116">
        <v>39.549999999999997</v>
      </c>
      <c r="F124" s="116">
        <v>78.7</v>
      </c>
      <c r="G124">
        <v>225627</v>
      </c>
      <c r="H124" s="116"/>
      <c r="I124" s="116"/>
      <c r="L124" s="166">
        <v>42181</v>
      </c>
      <c r="M124" s="116">
        <v>39.35</v>
      </c>
      <c r="N124" s="116">
        <v>39.9</v>
      </c>
      <c r="O124" s="116">
        <v>38.25</v>
      </c>
      <c r="P124" s="116">
        <v>39.700000000000003</v>
      </c>
      <c r="Q124" s="116">
        <v>78.7</v>
      </c>
      <c r="R124">
        <v>533711</v>
      </c>
    </row>
    <row r="125" spans="1:18" x14ac:dyDescent="0.25">
      <c r="A125" s="166">
        <v>42184</v>
      </c>
      <c r="B125" s="116">
        <v>38.25</v>
      </c>
      <c r="C125" s="116">
        <v>37.700000000000003</v>
      </c>
      <c r="D125" s="116">
        <v>36.9</v>
      </c>
      <c r="E125" s="116">
        <v>37.549999999999997</v>
      </c>
      <c r="F125" s="116">
        <v>75.400000000000006</v>
      </c>
      <c r="G125">
        <v>197125</v>
      </c>
      <c r="H125" s="116"/>
      <c r="I125" s="116"/>
      <c r="L125" s="166">
        <v>42184</v>
      </c>
      <c r="M125" s="116">
        <v>37.625</v>
      </c>
      <c r="N125" s="116">
        <v>38.450000000000003</v>
      </c>
      <c r="O125" s="116">
        <v>36.825000000000003</v>
      </c>
      <c r="P125" s="116">
        <v>38.450000000000003</v>
      </c>
      <c r="Q125" s="116">
        <v>75.25</v>
      </c>
      <c r="R125">
        <v>730993</v>
      </c>
    </row>
    <row r="126" spans="1:18" x14ac:dyDescent="0.25">
      <c r="A126" s="166">
        <v>42185</v>
      </c>
      <c r="B126" s="116">
        <v>40</v>
      </c>
      <c r="C126" s="116">
        <v>39.725000000000001</v>
      </c>
      <c r="D126" s="116">
        <v>36.65</v>
      </c>
      <c r="E126" s="116">
        <v>37.950000000000003</v>
      </c>
      <c r="F126" s="116">
        <v>79.45</v>
      </c>
      <c r="G126">
        <v>321536</v>
      </c>
      <c r="H126" s="116"/>
      <c r="I126" s="116"/>
      <c r="L126" s="166">
        <v>42185</v>
      </c>
      <c r="M126" s="116">
        <v>39.725000000000001</v>
      </c>
      <c r="N126" s="116">
        <v>40</v>
      </c>
      <c r="O126" s="116">
        <v>37.475000000000001</v>
      </c>
      <c r="P126" s="116">
        <v>37.475000000000001</v>
      </c>
      <c r="Q126" s="116">
        <v>79.45</v>
      </c>
      <c r="R126">
        <v>936086</v>
      </c>
    </row>
    <row r="127" spans="1:18" x14ac:dyDescent="0.25">
      <c r="A127" s="166">
        <v>42186</v>
      </c>
      <c r="B127" s="116">
        <v>41.2</v>
      </c>
      <c r="C127" s="116">
        <v>40.1</v>
      </c>
      <c r="D127" s="116">
        <v>39.924999999999997</v>
      </c>
      <c r="E127" s="116">
        <v>40</v>
      </c>
      <c r="F127" s="116">
        <v>80.2</v>
      </c>
      <c r="G127">
        <v>296199</v>
      </c>
      <c r="H127" s="116"/>
      <c r="I127" s="116"/>
      <c r="L127" s="166">
        <v>42186</v>
      </c>
      <c r="M127" s="116">
        <v>40.15</v>
      </c>
      <c r="N127" s="116">
        <v>41.25</v>
      </c>
      <c r="O127" s="116">
        <v>39.5</v>
      </c>
      <c r="P127" s="116">
        <v>39.5</v>
      </c>
      <c r="Q127" s="116">
        <v>80.3</v>
      </c>
      <c r="R127">
        <v>829924</v>
      </c>
    </row>
    <row r="128" spans="1:18" x14ac:dyDescent="0.25">
      <c r="A128" s="166">
        <v>42187</v>
      </c>
      <c r="B128" s="116">
        <v>40.700000000000003</v>
      </c>
      <c r="C128" s="116">
        <v>39.299999999999997</v>
      </c>
      <c r="D128" s="116">
        <v>38.75</v>
      </c>
      <c r="E128" s="116">
        <v>40.024999999999999</v>
      </c>
      <c r="F128" s="116">
        <v>78.599999999999994</v>
      </c>
      <c r="G128">
        <v>175587</v>
      </c>
      <c r="H128" s="116"/>
      <c r="I128" s="116"/>
      <c r="L128" s="166">
        <v>42187</v>
      </c>
      <c r="M128" s="116">
        <v>39.299999999999997</v>
      </c>
      <c r="N128" s="116">
        <v>40.700000000000003</v>
      </c>
      <c r="O128" s="116">
        <v>39.125</v>
      </c>
      <c r="P128" s="116">
        <v>40.375</v>
      </c>
      <c r="Q128" s="116">
        <v>78.599999999999994</v>
      </c>
      <c r="R128">
        <v>425851</v>
      </c>
    </row>
    <row r="129" spans="1:18" x14ac:dyDescent="0.25">
      <c r="A129" s="166">
        <v>42188</v>
      </c>
      <c r="B129" s="116">
        <v>40.174999999999997</v>
      </c>
      <c r="C129" s="116">
        <v>38.799999999999997</v>
      </c>
      <c r="D129" s="116">
        <v>38.549999999999997</v>
      </c>
      <c r="E129" s="116">
        <v>39.299999999999997</v>
      </c>
      <c r="F129" s="116">
        <v>77.599999999999994</v>
      </c>
      <c r="G129">
        <v>225276</v>
      </c>
      <c r="H129" s="116"/>
      <c r="I129" s="116"/>
      <c r="L129" s="166">
        <v>42188</v>
      </c>
      <c r="M129" s="116">
        <v>38.774999999999999</v>
      </c>
      <c r="N129" s="116">
        <v>40.174999999999997</v>
      </c>
      <c r="O129" s="116">
        <v>38.524999999999999</v>
      </c>
      <c r="P129" s="116">
        <v>39.450000000000003</v>
      </c>
      <c r="Q129" s="116">
        <v>77.55</v>
      </c>
      <c r="R129">
        <v>458804</v>
      </c>
    </row>
    <row r="130" spans="1:18" x14ac:dyDescent="0.25">
      <c r="A130" s="166">
        <v>42191</v>
      </c>
      <c r="B130" s="116">
        <v>44.225000000000001</v>
      </c>
      <c r="C130" s="116">
        <v>43.5</v>
      </c>
      <c r="D130" s="116">
        <v>37.549999999999997</v>
      </c>
      <c r="E130" s="116">
        <v>37.549999999999997</v>
      </c>
      <c r="F130" s="116">
        <v>87</v>
      </c>
      <c r="G130">
        <v>1031652</v>
      </c>
      <c r="H130" s="116"/>
      <c r="I130" s="116"/>
      <c r="L130" s="166">
        <v>42191</v>
      </c>
      <c r="M130" s="116">
        <v>43.524999999999999</v>
      </c>
      <c r="N130" s="116">
        <v>44</v>
      </c>
      <c r="O130" s="116">
        <v>37.5</v>
      </c>
      <c r="P130" s="116">
        <v>37.924999999999997</v>
      </c>
      <c r="Q130" s="116">
        <v>87.05</v>
      </c>
      <c r="R130">
        <v>2689914</v>
      </c>
    </row>
    <row r="131" spans="1:18" x14ac:dyDescent="0.25">
      <c r="A131" s="166">
        <v>42192</v>
      </c>
      <c r="B131" s="116">
        <v>45.2</v>
      </c>
      <c r="C131" s="116">
        <v>43.35</v>
      </c>
      <c r="D131" s="116">
        <v>42.625</v>
      </c>
      <c r="E131" s="116">
        <v>44</v>
      </c>
      <c r="F131" s="116">
        <v>86.7</v>
      </c>
      <c r="G131">
        <v>775908</v>
      </c>
      <c r="H131" s="116"/>
      <c r="I131" s="116"/>
      <c r="L131" s="166">
        <v>42192</v>
      </c>
      <c r="M131" s="116">
        <v>43.4</v>
      </c>
      <c r="N131" s="116">
        <v>45.174999999999997</v>
      </c>
      <c r="O131" s="116">
        <v>42.625</v>
      </c>
      <c r="P131" s="116">
        <v>43.85</v>
      </c>
      <c r="Q131" s="116">
        <v>86.8</v>
      </c>
      <c r="R131">
        <v>1788055</v>
      </c>
    </row>
    <row r="132" spans="1:18" x14ac:dyDescent="0.25">
      <c r="A132" s="166">
        <v>42193</v>
      </c>
      <c r="B132" s="116">
        <v>47.125</v>
      </c>
      <c r="C132" s="116">
        <v>45.524999999999999</v>
      </c>
      <c r="D132" s="116">
        <v>42.3</v>
      </c>
      <c r="E132" s="116">
        <v>42.3</v>
      </c>
      <c r="F132" s="116">
        <v>91.05</v>
      </c>
      <c r="G132">
        <v>1547964</v>
      </c>
      <c r="H132" s="116"/>
      <c r="I132" s="116"/>
      <c r="L132" s="166">
        <v>42193</v>
      </c>
      <c r="M132" s="116">
        <v>45.5</v>
      </c>
      <c r="N132" s="116">
        <v>47.2</v>
      </c>
      <c r="O132" s="116">
        <v>42.05</v>
      </c>
      <c r="P132" s="116">
        <v>42.575000000000003</v>
      </c>
      <c r="Q132" s="116">
        <v>91</v>
      </c>
      <c r="R132">
        <v>3845364</v>
      </c>
    </row>
    <row r="133" spans="1:18" x14ac:dyDescent="0.25">
      <c r="A133" s="166">
        <v>42194</v>
      </c>
      <c r="B133" s="116">
        <v>46.85</v>
      </c>
      <c r="C133" s="116">
        <v>43.8</v>
      </c>
      <c r="D133" s="116">
        <v>43.25</v>
      </c>
      <c r="E133" s="116">
        <v>46.15</v>
      </c>
      <c r="F133" s="116">
        <v>87.6</v>
      </c>
      <c r="G133">
        <v>415181</v>
      </c>
      <c r="H133" s="116"/>
      <c r="I133" s="116"/>
      <c r="L133" s="166">
        <v>42194</v>
      </c>
      <c r="M133" s="116">
        <v>43.75</v>
      </c>
      <c r="N133" s="116">
        <v>46.9</v>
      </c>
      <c r="O133" s="116">
        <v>43.174999999999997</v>
      </c>
      <c r="P133" s="116">
        <v>46.174999999999997</v>
      </c>
      <c r="Q133" s="116">
        <v>87.5</v>
      </c>
      <c r="R133">
        <v>1111416</v>
      </c>
    </row>
    <row r="134" spans="1:18" x14ac:dyDescent="0.25">
      <c r="A134" s="166">
        <v>42195</v>
      </c>
      <c r="B134" s="116">
        <v>44.9</v>
      </c>
      <c r="C134" s="116">
        <v>44.174999999999997</v>
      </c>
      <c r="D134" s="116">
        <v>43.3</v>
      </c>
      <c r="E134" s="116">
        <v>44.8</v>
      </c>
      <c r="F134" s="116">
        <v>88.35</v>
      </c>
      <c r="G134">
        <v>232456</v>
      </c>
      <c r="H134" s="116"/>
      <c r="I134" s="116"/>
      <c r="L134" s="166">
        <v>42195</v>
      </c>
      <c r="M134" s="116">
        <v>44.225000000000001</v>
      </c>
      <c r="N134" s="116">
        <v>44.85</v>
      </c>
      <c r="O134" s="116">
        <v>43.3</v>
      </c>
      <c r="P134" s="116">
        <v>44.174999999999997</v>
      </c>
      <c r="Q134" s="116">
        <v>88.45</v>
      </c>
      <c r="R134">
        <v>741432</v>
      </c>
    </row>
    <row r="135" spans="1:18" x14ac:dyDescent="0.25">
      <c r="A135" s="166">
        <v>42198</v>
      </c>
      <c r="B135" s="116">
        <v>47</v>
      </c>
      <c r="C135" s="116">
        <v>44.8</v>
      </c>
      <c r="D135" s="116">
        <v>44.15</v>
      </c>
      <c r="E135" s="116">
        <v>44.65</v>
      </c>
      <c r="F135" s="116">
        <v>89.6</v>
      </c>
      <c r="G135">
        <v>1058883</v>
      </c>
      <c r="H135" s="116"/>
      <c r="I135" s="116"/>
      <c r="L135" s="166">
        <v>42198</v>
      </c>
      <c r="M135" s="116">
        <v>45.25</v>
      </c>
      <c r="N135" s="116">
        <v>46.95</v>
      </c>
      <c r="O135" s="116">
        <v>44.1</v>
      </c>
      <c r="P135" s="116">
        <v>44.5</v>
      </c>
      <c r="Q135" s="116">
        <v>90.5</v>
      </c>
      <c r="R135">
        <v>1672797</v>
      </c>
    </row>
    <row r="136" spans="1:18" x14ac:dyDescent="0.25">
      <c r="A136" s="166">
        <v>42199</v>
      </c>
      <c r="B136" s="116">
        <v>45.825000000000003</v>
      </c>
      <c r="C136" s="116">
        <v>43.875</v>
      </c>
      <c r="D136" s="116">
        <v>43.5</v>
      </c>
      <c r="E136" s="116">
        <v>45.5</v>
      </c>
      <c r="F136" s="116">
        <v>87.75</v>
      </c>
      <c r="G136">
        <v>512898</v>
      </c>
      <c r="H136" s="116"/>
      <c r="I136" s="116"/>
      <c r="L136" s="166">
        <v>42199</v>
      </c>
      <c r="M136" s="116">
        <v>44.024999999999999</v>
      </c>
      <c r="N136" s="116">
        <v>45.924999999999997</v>
      </c>
      <c r="O136" s="116">
        <v>43.65</v>
      </c>
      <c r="P136" s="116">
        <v>45.5</v>
      </c>
      <c r="Q136" s="116">
        <v>88.05</v>
      </c>
      <c r="R136">
        <v>990505</v>
      </c>
    </row>
    <row r="137" spans="1:18" x14ac:dyDescent="0.25">
      <c r="A137" s="166">
        <v>42200</v>
      </c>
      <c r="B137" s="116">
        <v>45.25</v>
      </c>
      <c r="C137" s="116">
        <v>44.95</v>
      </c>
      <c r="D137" s="116">
        <v>43.575000000000003</v>
      </c>
      <c r="E137" s="116">
        <v>44.45</v>
      </c>
      <c r="F137" s="116">
        <v>89.9</v>
      </c>
      <c r="G137">
        <v>706342</v>
      </c>
      <c r="H137" s="116"/>
      <c r="I137" s="116"/>
      <c r="L137" s="166">
        <v>42200</v>
      </c>
      <c r="M137" s="116">
        <v>44.95</v>
      </c>
      <c r="N137" s="116">
        <v>45.5</v>
      </c>
      <c r="O137" s="116">
        <v>43.55</v>
      </c>
      <c r="P137" s="116">
        <v>44.25</v>
      </c>
      <c r="Q137" s="116">
        <v>89.9</v>
      </c>
      <c r="R137">
        <v>1007472</v>
      </c>
    </row>
    <row r="138" spans="1:18" x14ac:dyDescent="0.25">
      <c r="A138" s="166">
        <v>42201</v>
      </c>
      <c r="B138" s="116">
        <v>46.424999999999997</v>
      </c>
      <c r="C138" s="116">
        <v>45.174999999999997</v>
      </c>
      <c r="D138" s="116">
        <v>44.85</v>
      </c>
      <c r="E138" s="116">
        <v>45.5</v>
      </c>
      <c r="F138" s="116">
        <v>90.35</v>
      </c>
      <c r="G138">
        <v>360838</v>
      </c>
      <c r="H138" s="116"/>
      <c r="I138" s="116"/>
      <c r="L138" s="166">
        <v>42201</v>
      </c>
      <c r="M138" s="116">
        <v>45.274999999999999</v>
      </c>
      <c r="N138" s="116">
        <v>46.45</v>
      </c>
      <c r="O138" s="116">
        <v>45</v>
      </c>
      <c r="P138" s="116">
        <v>45.375</v>
      </c>
      <c r="Q138" s="116">
        <v>90.55</v>
      </c>
      <c r="R138">
        <v>952511</v>
      </c>
    </row>
    <row r="139" spans="1:18" x14ac:dyDescent="0.25">
      <c r="A139" s="166">
        <v>42202</v>
      </c>
      <c r="B139" s="116">
        <v>45.75</v>
      </c>
      <c r="C139" s="116">
        <v>44.075000000000003</v>
      </c>
      <c r="D139" s="116">
        <v>43.924999999999997</v>
      </c>
      <c r="E139" s="116">
        <v>45.5</v>
      </c>
      <c r="F139" s="116">
        <v>88.15</v>
      </c>
      <c r="G139">
        <v>468350</v>
      </c>
      <c r="H139" s="116"/>
      <c r="I139" s="116"/>
      <c r="L139" s="166">
        <v>42202</v>
      </c>
      <c r="M139" s="116">
        <v>44.225000000000001</v>
      </c>
      <c r="N139" s="116">
        <v>45.85</v>
      </c>
      <c r="O139" s="116">
        <v>44.05</v>
      </c>
      <c r="P139" s="116">
        <v>45.5</v>
      </c>
      <c r="Q139" s="116">
        <v>88.45</v>
      </c>
      <c r="R139">
        <v>1199696</v>
      </c>
    </row>
    <row r="140" spans="1:18" x14ac:dyDescent="0.25">
      <c r="A140" s="166">
        <v>42205</v>
      </c>
      <c r="B140" s="116">
        <v>45.325000000000003</v>
      </c>
      <c r="C140" s="116">
        <v>44.8</v>
      </c>
      <c r="D140" s="116">
        <v>44</v>
      </c>
      <c r="E140" s="116">
        <v>44.05</v>
      </c>
      <c r="F140" s="116">
        <v>89.6</v>
      </c>
      <c r="G140">
        <v>212848</v>
      </c>
      <c r="H140" s="116"/>
      <c r="I140" s="116"/>
      <c r="L140" s="166">
        <v>42205</v>
      </c>
      <c r="M140" s="116">
        <v>44.7</v>
      </c>
      <c r="N140" s="116">
        <v>45.35</v>
      </c>
      <c r="O140" s="116">
        <v>43.875</v>
      </c>
      <c r="P140" s="116">
        <v>44.4</v>
      </c>
      <c r="Q140" s="116">
        <v>89.4</v>
      </c>
      <c r="R140">
        <v>552285</v>
      </c>
    </row>
    <row r="141" spans="1:18" x14ac:dyDescent="0.25">
      <c r="A141" s="166">
        <v>42206</v>
      </c>
      <c r="B141" s="116">
        <v>47.7</v>
      </c>
      <c r="C141" s="116">
        <v>44.924999999999997</v>
      </c>
      <c r="D141" s="116">
        <v>44.325000000000003</v>
      </c>
      <c r="E141" s="116">
        <v>45</v>
      </c>
      <c r="F141" s="116">
        <v>89.85</v>
      </c>
      <c r="G141">
        <v>973698</v>
      </c>
      <c r="H141" s="116"/>
      <c r="I141" s="116"/>
      <c r="L141" s="166">
        <v>42206</v>
      </c>
      <c r="M141" s="116">
        <v>45.024999999999999</v>
      </c>
      <c r="N141" s="116">
        <v>47.674999999999997</v>
      </c>
      <c r="O141" s="116">
        <v>44.274999999999999</v>
      </c>
      <c r="P141" s="116">
        <v>45</v>
      </c>
      <c r="Q141" s="116">
        <v>90.05</v>
      </c>
      <c r="R141">
        <v>2610362</v>
      </c>
    </row>
    <row r="142" spans="1:18" x14ac:dyDescent="0.25">
      <c r="A142" s="166">
        <v>42207</v>
      </c>
      <c r="B142" s="116">
        <v>46.35</v>
      </c>
      <c r="C142" s="116">
        <v>45.8</v>
      </c>
      <c r="D142" s="116">
        <v>44.55</v>
      </c>
      <c r="E142" s="116">
        <v>45.075000000000003</v>
      </c>
      <c r="F142" s="116">
        <v>91.6</v>
      </c>
      <c r="G142">
        <v>227309</v>
      </c>
      <c r="H142" s="116"/>
      <c r="I142" s="116"/>
      <c r="L142" s="166">
        <v>42207</v>
      </c>
      <c r="M142" s="116">
        <v>45.85</v>
      </c>
      <c r="N142" s="116">
        <v>46.4</v>
      </c>
      <c r="O142" s="116">
        <v>44.524999999999999</v>
      </c>
      <c r="P142" s="116">
        <v>45.274999999999999</v>
      </c>
      <c r="Q142" s="116">
        <v>91.7</v>
      </c>
      <c r="R142">
        <v>1151517</v>
      </c>
    </row>
    <row r="143" spans="1:18" x14ac:dyDescent="0.25">
      <c r="A143" s="166">
        <v>42208</v>
      </c>
      <c r="B143" s="116">
        <v>46.45</v>
      </c>
      <c r="C143" s="116">
        <v>44.95</v>
      </c>
      <c r="D143" s="116">
        <v>44.625</v>
      </c>
      <c r="E143" s="116">
        <v>46</v>
      </c>
      <c r="F143" s="116">
        <v>89.9</v>
      </c>
      <c r="G143">
        <v>183420</v>
      </c>
      <c r="H143" s="116"/>
      <c r="I143" s="116"/>
      <c r="L143" s="166">
        <v>42208</v>
      </c>
      <c r="M143" s="116">
        <v>44.9</v>
      </c>
      <c r="N143" s="116">
        <v>46.4</v>
      </c>
      <c r="O143" s="116">
        <v>44.7</v>
      </c>
      <c r="P143" s="116">
        <v>46.2</v>
      </c>
      <c r="Q143" s="116">
        <v>89.8</v>
      </c>
      <c r="R143">
        <v>653345</v>
      </c>
    </row>
    <row r="144" spans="1:18" x14ac:dyDescent="0.25">
      <c r="A144" s="166">
        <v>42209</v>
      </c>
      <c r="B144" s="116">
        <v>45.725000000000001</v>
      </c>
      <c r="C144" s="116">
        <v>43.725000000000001</v>
      </c>
      <c r="D144" s="116">
        <v>43.524999999999999</v>
      </c>
      <c r="E144" s="116">
        <v>45.125</v>
      </c>
      <c r="F144" s="116">
        <v>87.45</v>
      </c>
      <c r="G144">
        <v>255687</v>
      </c>
      <c r="H144" s="116"/>
      <c r="I144" s="116"/>
      <c r="L144" s="166">
        <v>42209</v>
      </c>
      <c r="M144" s="116">
        <v>43.674999999999997</v>
      </c>
      <c r="N144" s="116">
        <v>45.7</v>
      </c>
      <c r="O144" s="116">
        <v>43.5</v>
      </c>
      <c r="P144" s="116">
        <v>45.15</v>
      </c>
      <c r="Q144" s="116">
        <v>87.35</v>
      </c>
      <c r="R144">
        <v>793556</v>
      </c>
    </row>
    <row r="145" spans="1:18" x14ac:dyDescent="0.25">
      <c r="A145" s="166">
        <v>42212</v>
      </c>
      <c r="B145" s="116">
        <v>43.95</v>
      </c>
      <c r="C145" s="116">
        <v>42.174999999999997</v>
      </c>
      <c r="D145" s="116">
        <v>41.875</v>
      </c>
      <c r="E145" s="116">
        <v>43.95</v>
      </c>
      <c r="F145" s="116">
        <v>84.35</v>
      </c>
      <c r="G145">
        <v>208274</v>
      </c>
      <c r="H145" s="116"/>
      <c r="I145" s="116"/>
      <c r="L145" s="166">
        <v>42212</v>
      </c>
      <c r="M145" s="116">
        <v>42.075000000000003</v>
      </c>
      <c r="N145" s="116">
        <v>43.8</v>
      </c>
      <c r="O145" s="116">
        <v>41.825000000000003</v>
      </c>
      <c r="P145" s="116">
        <v>43.45</v>
      </c>
      <c r="Q145" s="116">
        <v>84.15</v>
      </c>
      <c r="R145">
        <v>522339</v>
      </c>
    </row>
    <row r="146" spans="1:18" x14ac:dyDescent="0.25">
      <c r="A146" s="166">
        <v>42213</v>
      </c>
      <c r="B146" s="116">
        <v>43.45</v>
      </c>
      <c r="C146" s="116">
        <v>43.225000000000001</v>
      </c>
      <c r="D146" s="116">
        <v>41.325000000000003</v>
      </c>
      <c r="E146" s="116">
        <v>42.5</v>
      </c>
      <c r="F146" s="116">
        <v>86.45</v>
      </c>
      <c r="G146">
        <v>272841</v>
      </c>
      <c r="H146" s="116"/>
      <c r="I146" s="116"/>
      <c r="L146" s="166">
        <v>42213</v>
      </c>
      <c r="M146" s="116">
        <v>43.274999999999999</v>
      </c>
      <c r="N146" s="116">
        <v>43.55</v>
      </c>
      <c r="O146" s="116">
        <v>41.25</v>
      </c>
      <c r="P146" s="116">
        <v>42.5</v>
      </c>
      <c r="Q146" s="116">
        <v>86.55</v>
      </c>
      <c r="R146">
        <v>769672</v>
      </c>
    </row>
    <row r="147" spans="1:18" x14ac:dyDescent="0.25">
      <c r="A147" s="166">
        <v>42214</v>
      </c>
      <c r="B147" s="116">
        <v>45.65</v>
      </c>
      <c r="C147" s="116">
        <v>44.6</v>
      </c>
      <c r="D147" s="116">
        <v>43.25</v>
      </c>
      <c r="E147" s="116">
        <v>43.5</v>
      </c>
      <c r="F147" s="116">
        <v>89.2</v>
      </c>
      <c r="G147">
        <v>439354</v>
      </c>
      <c r="H147" s="116"/>
      <c r="I147" s="116"/>
      <c r="L147" s="166">
        <v>42214</v>
      </c>
      <c r="M147" s="116">
        <v>44.625</v>
      </c>
      <c r="N147" s="116">
        <v>45.65</v>
      </c>
      <c r="O147" s="116">
        <v>43.2</v>
      </c>
      <c r="P147" s="116">
        <v>43.475000000000001</v>
      </c>
      <c r="Q147" s="116">
        <v>89.25</v>
      </c>
      <c r="R147">
        <v>1275833</v>
      </c>
    </row>
    <row r="148" spans="1:18" x14ac:dyDescent="0.25">
      <c r="A148" s="166">
        <v>42215</v>
      </c>
      <c r="B148" s="116">
        <v>45.9</v>
      </c>
      <c r="C148" s="116">
        <v>45.125</v>
      </c>
      <c r="D148" s="116">
        <v>44.5</v>
      </c>
      <c r="E148" s="116">
        <v>44.8</v>
      </c>
      <c r="F148" s="116">
        <v>90.25</v>
      </c>
      <c r="G148">
        <v>386854</v>
      </c>
      <c r="H148" s="116"/>
      <c r="I148" s="116"/>
      <c r="L148" s="166">
        <v>42215</v>
      </c>
      <c r="M148" s="116">
        <v>45.225000000000001</v>
      </c>
      <c r="N148" s="116">
        <v>45.9</v>
      </c>
      <c r="O148" s="116">
        <v>44.5</v>
      </c>
      <c r="P148" s="116">
        <v>44.975000000000001</v>
      </c>
      <c r="Q148" s="116">
        <v>90.45</v>
      </c>
      <c r="R148">
        <v>1135381</v>
      </c>
    </row>
    <row r="149" spans="1:18" x14ac:dyDescent="0.25">
      <c r="A149" s="166">
        <v>42216</v>
      </c>
      <c r="B149" s="116">
        <v>45.625</v>
      </c>
      <c r="C149" s="116">
        <v>43.75</v>
      </c>
      <c r="D149" s="116">
        <v>43.5</v>
      </c>
      <c r="E149" s="116">
        <v>45.4</v>
      </c>
      <c r="F149" s="116">
        <v>87.5</v>
      </c>
      <c r="G149">
        <v>226658</v>
      </c>
      <c r="H149" s="116"/>
      <c r="I149" s="116"/>
      <c r="L149" s="166">
        <v>42216</v>
      </c>
      <c r="M149" s="116">
        <v>43.725000000000001</v>
      </c>
      <c r="N149" s="116">
        <v>45.6</v>
      </c>
      <c r="O149" s="116">
        <v>43.524999999999999</v>
      </c>
      <c r="P149" s="116">
        <v>45.475000000000001</v>
      </c>
      <c r="Q149" s="116">
        <v>87.45</v>
      </c>
      <c r="R149">
        <v>664964</v>
      </c>
    </row>
    <row r="150" spans="1:18" x14ac:dyDescent="0.25">
      <c r="A150" s="166">
        <v>42219</v>
      </c>
      <c r="B150" s="116">
        <v>44.85</v>
      </c>
      <c r="C150" s="116">
        <v>43.7</v>
      </c>
      <c r="D150" s="116">
        <v>43.524999999999999</v>
      </c>
      <c r="E150" s="116">
        <v>44</v>
      </c>
      <c r="F150" s="116">
        <v>87.4</v>
      </c>
      <c r="G150">
        <v>187170</v>
      </c>
      <c r="H150" s="116"/>
      <c r="I150" s="116"/>
      <c r="L150" s="166">
        <v>42219</v>
      </c>
      <c r="M150" s="116">
        <v>43.75</v>
      </c>
      <c r="N150" s="116">
        <v>44.85</v>
      </c>
      <c r="O150" s="116">
        <v>43.5</v>
      </c>
      <c r="P150" s="116">
        <v>43.75</v>
      </c>
      <c r="Q150" s="116">
        <v>87.5</v>
      </c>
      <c r="R150">
        <v>569850</v>
      </c>
    </row>
    <row r="151" spans="1:18" x14ac:dyDescent="0.25">
      <c r="A151" s="166">
        <v>42220</v>
      </c>
      <c r="B151" s="116">
        <v>44.75</v>
      </c>
      <c r="C151" s="116">
        <v>44.4</v>
      </c>
      <c r="D151" s="116">
        <v>43.1</v>
      </c>
      <c r="E151" s="116">
        <v>44.174999999999997</v>
      </c>
      <c r="F151" s="116">
        <v>88.8</v>
      </c>
      <c r="G151">
        <v>166823</v>
      </c>
      <c r="H151" s="116"/>
      <c r="I151" s="116"/>
      <c r="L151" s="166">
        <v>42220</v>
      </c>
      <c r="M151" s="116">
        <v>44.45</v>
      </c>
      <c r="N151" s="116">
        <v>44.95</v>
      </c>
      <c r="O151" s="116">
        <v>43</v>
      </c>
      <c r="P151" s="116">
        <v>44</v>
      </c>
      <c r="Q151" s="116">
        <v>88.9</v>
      </c>
      <c r="R151">
        <v>629996</v>
      </c>
    </row>
    <row r="152" spans="1:18" x14ac:dyDescent="0.25">
      <c r="A152" s="166">
        <v>42221</v>
      </c>
      <c r="B152" s="116">
        <v>48.2</v>
      </c>
      <c r="C152" s="116">
        <v>47.575000000000003</v>
      </c>
      <c r="D152" s="116">
        <v>44.5</v>
      </c>
      <c r="E152" s="116">
        <v>44.524999999999999</v>
      </c>
      <c r="F152" s="116">
        <v>95.15</v>
      </c>
      <c r="G152">
        <v>966789</v>
      </c>
      <c r="H152" s="116"/>
      <c r="I152" s="116"/>
      <c r="L152" s="166">
        <v>42221</v>
      </c>
      <c r="M152" s="116">
        <v>47.5</v>
      </c>
      <c r="N152" s="116">
        <v>48.1</v>
      </c>
      <c r="O152" s="116">
        <v>44.325000000000003</v>
      </c>
      <c r="P152" s="116">
        <v>44.325000000000003</v>
      </c>
      <c r="Q152" s="116">
        <v>95</v>
      </c>
      <c r="R152">
        <v>3091975</v>
      </c>
    </row>
    <row r="153" spans="1:18" x14ac:dyDescent="0.25">
      <c r="A153" s="166">
        <v>42222</v>
      </c>
      <c r="B153" s="116">
        <v>48.5</v>
      </c>
      <c r="C153" s="116">
        <v>45.424999999999997</v>
      </c>
      <c r="D153" s="116">
        <v>45.1</v>
      </c>
      <c r="E153" s="116">
        <v>47.5</v>
      </c>
      <c r="F153" s="116">
        <v>90.85</v>
      </c>
      <c r="G153">
        <v>610295</v>
      </c>
      <c r="H153" s="116"/>
      <c r="I153" s="116"/>
      <c r="L153" s="166">
        <v>42222</v>
      </c>
      <c r="M153" s="116">
        <v>45.375</v>
      </c>
      <c r="N153" s="116">
        <v>48.45</v>
      </c>
      <c r="O153" s="116">
        <v>45.1</v>
      </c>
      <c r="P153" s="116">
        <v>47.5</v>
      </c>
      <c r="Q153" s="116">
        <v>90.75</v>
      </c>
      <c r="R153">
        <v>1905755</v>
      </c>
    </row>
    <row r="154" spans="1:18" x14ac:dyDescent="0.25">
      <c r="A154" s="166">
        <v>42223</v>
      </c>
      <c r="B154" s="116">
        <v>46.95</v>
      </c>
      <c r="C154" s="116">
        <v>45.375</v>
      </c>
      <c r="D154" s="116">
        <v>45.1</v>
      </c>
      <c r="E154" s="116">
        <v>45.5</v>
      </c>
      <c r="F154" s="116">
        <v>90.75</v>
      </c>
      <c r="G154">
        <v>292599</v>
      </c>
      <c r="H154" s="116"/>
      <c r="I154" s="116"/>
      <c r="L154" s="166">
        <v>42223</v>
      </c>
      <c r="M154" s="116">
        <v>45.5</v>
      </c>
      <c r="N154" s="116">
        <v>46.9</v>
      </c>
      <c r="O154" s="116">
        <v>45.1</v>
      </c>
      <c r="P154" s="116">
        <v>45.424999999999997</v>
      </c>
      <c r="Q154" s="116">
        <v>91</v>
      </c>
      <c r="R154">
        <v>875621</v>
      </c>
    </row>
    <row r="155" spans="1:18" x14ac:dyDescent="0.25">
      <c r="A155" s="166">
        <v>42226</v>
      </c>
      <c r="B155" s="116">
        <v>45.975000000000001</v>
      </c>
      <c r="C155" s="116">
        <v>44.4</v>
      </c>
      <c r="D155" s="116">
        <v>44</v>
      </c>
      <c r="E155" s="116">
        <v>44.95</v>
      </c>
      <c r="F155" s="116">
        <v>88.8</v>
      </c>
      <c r="G155">
        <v>184947</v>
      </c>
      <c r="H155" s="116"/>
      <c r="I155" s="116"/>
      <c r="L155" s="166">
        <v>42226</v>
      </c>
      <c r="M155" s="116">
        <v>44.5</v>
      </c>
      <c r="N155" s="116">
        <v>45.95</v>
      </c>
      <c r="O155" s="116">
        <v>44.1</v>
      </c>
      <c r="P155" s="116">
        <v>45.5</v>
      </c>
      <c r="Q155" s="116">
        <v>89</v>
      </c>
      <c r="R155">
        <v>512357</v>
      </c>
    </row>
    <row r="156" spans="1:18" x14ac:dyDescent="0.25">
      <c r="A156" s="166">
        <v>42227</v>
      </c>
      <c r="B156" s="116">
        <v>44.8</v>
      </c>
      <c r="C156" s="116">
        <v>43.3</v>
      </c>
      <c r="D156" s="116">
        <v>43.1</v>
      </c>
      <c r="E156" s="116">
        <v>44.8</v>
      </c>
      <c r="F156" s="116">
        <v>86.6</v>
      </c>
      <c r="G156">
        <v>122439</v>
      </c>
      <c r="H156" s="116"/>
      <c r="I156" s="116"/>
      <c r="L156" s="166">
        <v>42227</v>
      </c>
      <c r="M156" s="116">
        <v>43.3</v>
      </c>
      <c r="N156" s="116">
        <v>44.75</v>
      </c>
      <c r="O156" s="116">
        <v>43.05</v>
      </c>
      <c r="P156" s="116">
        <v>44.7</v>
      </c>
      <c r="Q156" s="116">
        <v>86.6</v>
      </c>
      <c r="R156">
        <v>364675</v>
      </c>
    </row>
    <row r="157" spans="1:18" x14ac:dyDescent="0.25">
      <c r="A157" s="166">
        <v>42228</v>
      </c>
      <c r="B157" s="116">
        <v>43.174999999999997</v>
      </c>
      <c r="C157" s="116">
        <v>41.1</v>
      </c>
      <c r="D157" s="116">
        <v>40.75</v>
      </c>
      <c r="E157" s="116">
        <v>43</v>
      </c>
      <c r="F157" s="116">
        <v>82.2</v>
      </c>
      <c r="G157">
        <v>172170</v>
      </c>
      <c r="H157" s="116"/>
      <c r="I157" s="116"/>
      <c r="L157" s="166">
        <v>42228</v>
      </c>
      <c r="M157" s="116">
        <v>41.05</v>
      </c>
      <c r="N157" s="116">
        <v>43.15</v>
      </c>
      <c r="O157" s="116">
        <v>40.75</v>
      </c>
      <c r="P157" s="116">
        <v>43.15</v>
      </c>
      <c r="Q157" s="116">
        <v>82.1</v>
      </c>
      <c r="R157">
        <v>487625</v>
      </c>
    </row>
    <row r="158" spans="1:18" x14ac:dyDescent="0.25">
      <c r="A158" s="166">
        <v>42229</v>
      </c>
      <c r="B158" s="116">
        <v>42.35</v>
      </c>
      <c r="C158" s="116">
        <v>38.424999999999997</v>
      </c>
      <c r="D158" s="116">
        <v>37.674999999999997</v>
      </c>
      <c r="E158" s="116">
        <v>41.65</v>
      </c>
      <c r="F158" s="116">
        <v>76.849999999999994</v>
      </c>
      <c r="G158">
        <v>253929</v>
      </c>
      <c r="H158" s="116"/>
      <c r="I158" s="116"/>
      <c r="L158" s="166">
        <v>42229</v>
      </c>
      <c r="M158" s="116">
        <v>38.299999999999997</v>
      </c>
      <c r="N158" s="116">
        <v>42.45</v>
      </c>
      <c r="O158" s="116">
        <v>32.85</v>
      </c>
      <c r="P158" s="116">
        <v>41.2</v>
      </c>
      <c r="Q158" s="116">
        <v>76.599999999999994</v>
      </c>
      <c r="R158">
        <v>938779</v>
      </c>
    </row>
    <row r="159" spans="1:18" x14ac:dyDescent="0.25">
      <c r="A159" s="166">
        <v>42230</v>
      </c>
      <c r="B159" s="116">
        <v>40.774999999999999</v>
      </c>
      <c r="C159" s="116">
        <v>40.274999999999999</v>
      </c>
      <c r="D159" s="116">
        <v>38.774999999999999</v>
      </c>
      <c r="E159" s="116">
        <v>39</v>
      </c>
      <c r="F159" s="116">
        <v>80.55</v>
      </c>
      <c r="G159">
        <v>740712</v>
      </c>
      <c r="H159" s="116"/>
      <c r="I159" s="116"/>
      <c r="L159" s="166">
        <v>42230</v>
      </c>
      <c r="M159" s="116">
        <v>40.225000000000001</v>
      </c>
      <c r="N159" s="116">
        <v>40.825000000000003</v>
      </c>
      <c r="O159" s="116">
        <v>38.725000000000001</v>
      </c>
      <c r="P159" s="116">
        <v>38.9</v>
      </c>
      <c r="Q159" s="116">
        <v>80.45</v>
      </c>
      <c r="R159">
        <v>554717</v>
      </c>
    </row>
    <row r="160" spans="1:18" x14ac:dyDescent="0.25">
      <c r="A160" s="166">
        <v>42233</v>
      </c>
      <c r="B160" s="116">
        <v>40.975000000000001</v>
      </c>
      <c r="C160" s="116">
        <v>39.700000000000003</v>
      </c>
      <c r="D160" s="116">
        <v>37.85</v>
      </c>
      <c r="E160" s="116">
        <v>40.700000000000003</v>
      </c>
      <c r="F160" s="116">
        <v>79.400000000000006</v>
      </c>
      <c r="G160">
        <v>190918</v>
      </c>
      <c r="H160" s="116"/>
      <c r="I160" s="116"/>
      <c r="L160" s="166">
        <v>42233</v>
      </c>
      <c r="M160" s="116">
        <v>39.700000000000003</v>
      </c>
      <c r="N160" s="116">
        <v>41.075000000000003</v>
      </c>
      <c r="O160" s="116">
        <v>37.6</v>
      </c>
      <c r="P160" s="116">
        <v>40.700000000000003</v>
      </c>
      <c r="Q160" s="116">
        <v>79.400000000000006</v>
      </c>
      <c r="R160">
        <v>489284</v>
      </c>
    </row>
    <row r="161" spans="1:18" x14ac:dyDescent="0.25">
      <c r="A161" s="166">
        <v>42234</v>
      </c>
      <c r="B161" s="116">
        <v>41.875</v>
      </c>
      <c r="C161" s="116">
        <v>41.325000000000003</v>
      </c>
      <c r="D161" s="116">
        <v>39.950000000000003</v>
      </c>
      <c r="E161" s="116">
        <v>39.950000000000003</v>
      </c>
      <c r="F161" s="116">
        <v>82.65</v>
      </c>
      <c r="G161">
        <v>157162</v>
      </c>
      <c r="H161" s="116"/>
      <c r="I161" s="116"/>
      <c r="L161" s="166">
        <v>42234</v>
      </c>
      <c r="M161" s="116">
        <v>41.35</v>
      </c>
      <c r="N161" s="116">
        <v>41.9</v>
      </c>
      <c r="O161" s="116">
        <v>39.774999999999999</v>
      </c>
      <c r="P161" s="116">
        <v>39.774999999999999</v>
      </c>
      <c r="Q161" s="116">
        <v>82.7</v>
      </c>
      <c r="R161">
        <v>555127</v>
      </c>
    </row>
    <row r="162" spans="1:18" x14ac:dyDescent="0.25">
      <c r="A162" s="166">
        <v>42235</v>
      </c>
      <c r="B162" s="116">
        <v>41.75</v>
      </c>
      <c r="C162" s="116">
        <v>40.65</v>
      </c>
      <c r="D162" s="116">
        <v>40.274999999999999</v>
      </c>
      <c r="E162" s="116">
        <v>41.45</v>
      </c>
      <c r="F162" s="116">
        <v>81.3</v>
      </c>
      <c r="G162">
        <v>137065</v>
      </c>
      <c r="H162" s="116"/>
      <c r="I162" s="116"/>
      <c r="L162" s="166">
        <v>42235</v>
      </c>
      <c r="M162" s="116">
        <v>40.65</v>
      </c>
      <c r="N162" s="116">
        <v>41.85</v>
      </c>
      <c r="O162" s="116">
        <v>40.25</v>
      </c>
      <c r="P162" s="116">
        <v>41.25</v>
      </c>
      <c r="Q162" s="116">
        <v>81.3</v>
      </c>
      <c r="R162">
        <v>417508</v>
      </c>
    </row>
    <row r="163" spans="1:18" x14ac:dyDescent="0.25">
      <c r="A163" s="166">
        <v>42236</v>
      </c>
      <c r="B163" s="116">
        <v>41</v>
      </c>
      <c r="C163" s="116">
        <v>38.725000000000001</v>
      </c>
      <c r="D163" s="116">
        <v>38.375</v>
      </c>
      <c r="E163" s="116">
        <v>40.475000000000001</v>
      </c>
      <c r="F163" s="116">
        <v>77.45</v>
      </c>
      <c r="G163">
        <v>174751</v>
      </c>
      <c r="H163" s="116"/>
      <c r="I163" s="116"/>
      <c r="L163" s="166">
        <v>42236</v>
      </c>
      <c r="M163" s="116">
        <v>38.700000000000003</v>
      </c>
      <c r="N163" s="116">
        <v>41.05</v>
      </c>
      <c r="O163" s="116">
        <v>38.25</v>
      </c>
      <c r="P163" s="116">
        <v>40.549999999999997</v>
      </c>
      <c r="Q163" s="116">
        <v>77.400000000000006</v>
      </c>
      <c r="R163">
        <v>516820</v>
      </c>
    </row>
    <row r="164" spans="1:18" x14ac:dyDescent="0.25">
      <c r="A164" s="166">
        <v>42237</v>
      </c>
      <c r="B164" s="116">
        <v>39.799999999999997</v>
      </c>
      <c r="C164" s="116">
        <v>39.450000000000003</v>
      </c>
      <c r="D164" s="116">
        <v>37.1</v>
      </c>
      <c r="E164" s="116">
        <v>38.024999999999999</v>
      </c>
      <c r="F164" s="116">
        <v>78.900000000000006</v>
      </c>
      <c r="G164">
        <v>179150</v>
      </c>
      <c r="H164" s="116"/>
      <c r="I164" s="116"/>
      <c r="L164" s="166">
        <v>42237</v>
      </c>
      <c r="M164" s="116">
        <v>39.575000000000003</v>
      </c>
      <c r="N164" s="116">
        <v>39.950000000000003</v>
      </c>
      <c r="O164" s="116">
        <v>37.049999999999997</v>
      </c>
      <c r="P164" s="116">
        <v>38.4</v>
      </c>
      <c r="Q164" s="116">
        <v>79.150000000000006</v>
      </c>
      <c r="R164">
        <v>451207</v>
      </c>
    </row>
    <row r="165" spans="1:18" x14ac:dyDescent="0.25">
      <c r="A165" s="166">
        <v>42240</v>
      </c>
      <c r="B165" s="116">
        <v>38.75</v>
      </c>
      <c r="C165" s="116">
        <v>35.4</v>
      </c>
      <c r="D165" s="116">
        <v>34</v>
      </c>
      <c r="E165" s="116">
        <v>38.75</v>
      </c>
      <c r="F165" s="116">
        <v>70.8</v>
      </c>
      <c r="G165">
        <v>353682</v>
      </c>
      <c r="H165" s="116"/>
      <c r="I165" s="116"/>
      <c r="L165" s="166">
        <v>42240</v>
      </c>
      <c r="M165" s="116">
        <v>35.024999999999999</v>
      </c>
      <c r="N165" s="116">
        <v>38</v>
      </c>
      <c r="O165" s="116">
        <v>33</v>
      </c>
      <c r="P165" s="116">
        <v>38</v>
      </c>
      <c r="Q165" s="116">
        <v>70.05</v>
      </c>
      <c r="R165">
        <v>589923</v>
      </c>
    </row>
    <row r="166" spans="1:18" x14ac:dyDescent="0.25">
      <c r="A166" s="166">
        <v>42241</v>
      </c>
      <c r="B166" s="116">
        <v>36.325000000000003</v>
      </c>
      <c r="C166" s="116">
        <v>34.9</v>
      </c>
      <c r="D166" s="116">
        <v>31.25</v>
      </c>
      <c r="E166" s="116">
        <v>35</v>
      </c>
      <c r="F166" s="116">
        <v>69.8</v>
      </c>
      <c r="G166">
        <v>384295</v>
      </c>
      <c r="H166" s="116"/>
      <c r="I166" s="116"/>
      <c r="L166" s="166">
        <v>42241</v>
      </c>
      <c r="M166" s="116">
        <v>34.75</v>
      </c>
      <c r="N166" s="116">
        <v>36.35</v>
      </c>
      <c r="O166" s="116">
        <v>31.074999999999999</v>
      </c>
      <c r="P166" s="116">
        <v>35.024999999999999</v>
      </c>
      <c r="Q166" s="116">
        <v>69.5</v>
      </c>
      <c r="R166">
        <v>648430</v>
      </c>
    </row>
    <row r="167" spans="1:18" x14ac:dyDescent="0.25">
      <c r="A167" s="166">
        <v>42242</v>
      </c>
      <c r="B167" s="116">
        <v>36.9</v>
      </c>
      <c r="C167" s="116">
        <v>35.200000000000003</v>
      </c>
      <c r="D167" s="116">
        <v>33.85</v>
      </c>
      <c r="E167" s="116">
        <v>35.4</v>
      </c>
      <c r="F167" s="116">
        <v>70.400000000000006</v>
      </c>
      <c r="G167">
        <v>203141</v>
      </c>
      <c r="H167" s="116"/>
      <c r="I167" s="116"/>
      <c r="L167" s="166">
        <v>42242</v>
      </c>
      <c r="M167" s="116">
        <v>35.125</v>
      </c>
      <c r="N167" s="116">
        <v>36.825000000000003</v>
      </c>
      <c r="O167" s="116">
        <v>33.75</v>
      </c>
      <c r="P167" s="116">
        <v>34.6</v>
      </c>
      <c r="Q167" s="116">
        <v>70.25</v>
      </c>
      <c r="R167">
        <v>350325</v>
      </c>
    </row>
    <row r="168" spans="1:18" x14ac:dyDescent="0.25">
      <c r="A168" s="166">
        <v>42243</v>
      </c>
      <c r="B168" s="116">
        <v>36.625</v>
      </c>
      <c r="C168" s="116">
        <v>35.625</v>
      </c>
      <c r="D168" s="116">
        <v>35.25</v>
      </c>
      <c r="E168" s="116">
        <v>36.024999999999999</v>
      </c>
      <c r="F168" s="116">
        <v>71.25</v>
      </c>
      <c r="G168">
        <v>103464</v>
      </c>
      <c r="H168" s="116"/>
      <c r="I168" s="116"/>
      <c r="L168" s="166">
        <v>42243</v>
      </c>
      <c r="M168" s="116">
        <v>35.725000000000001</v>
      </c>
      <c r="N168" s="116">
        <v>37</v>
      </c>
      <c r="O168" s="116">
        <v>35.200000000000003</v>
      </c>
      <c r="P168" s="116">
        <v>37</v>
      </c>
      <c r="Q168" s="116">
        <v>71.45</v>
      </c>
      <c r="R168">
        <v>334142</v>
      </c>
    </row>
    <row r="169" spans="1:18" x14ac:dyDescent="0.25">
      <c r="A169" s="166">
        <v>42244</v>
      </c>
      <c r="B169" s="116">
        <v>37</v>
      </c>
      <c r="C169" s="116">
        <v>35.1</v>
      </c>
      <c r="D169" s="116">
        <v>34.65</v>
      </c>
      <c r="E169" s="116">
        <v>36.125</v>
      </c>
      <c r="F169" s="116">
        <v>70.2</v>
      </c>
      <c r="G169">
        <v>133917</v>
      </c>
      <c r="H169" s="116"/>
      <c r="I169" s="116"/>
      <c r="L169" s="166">
        <v>42244</v>
      </c>
      <c r="M169" s="116">
        <v>35.200000000000003</v>
      </c>
      <c r="N169" s="116">
        <v>36.950000000000003</v>
      </c>
      <c r="O169" s="116">
        <v>34.6</v>
      </c>
      <c r="P169" s="116">
        <v>36.475000000000001</v>
      </c>
      <c r="Q169" s="116">
        <v>70.400000000000006</v>
      </c>
      <c r="R169">
        <v>422208</v>
      </c>
    </row>
    <row r="170" spans="1:18" x14ac:dyDescent="0.25">
      <c r="A170" s="166">
        <v>42247</v>
      </c>
      <c r="B170" s="116">
        <v>36</v>
      </c>
      <c r="C170" s="116">
        <v>34.825000000000003</v>
      </c>
      <c r="D170" s="116">
        <v>34.524999999999999</v>
      </c>
      <c r="E170" s="116">
        <v>35.85</v>
      </c>
      <c r="F170" s="116">
        <v>69.650000000000006</v>
      </c>
      <c r="G170">
        <v>147500</v>
      </c>
      <c r="H170" s="116"/>
      <c r="I170" s="116"/>
      <c r="L170" s="166">
        <v>42247</v>
      </c>
      <c r="M170" s="116">
        <v>34.75</v>
      </c>
      <c r="N170" s="116">
        <v>35.975000000000001</v>
      </c>
      <c r="O170" s="116">
        <v>34.524999999999999</v>
      </c>
      <c r="P170" s="116">
        <v>35.075000000000003</v>
      </c>
      <c r="Q170" s="116">
        <v>69.5</v>
      </c>
      <c r="R170">
        <v>296441</v>
      </c>
    </row>
    <row r="171" spans="1:18" x14ac:dyDescent="0.25">
      <c r="A171" s="166">
        <v>42248</v>
      </c>
      <c r="B171" s="116">
        <v>34.799999999999997</v>
      </c>
      <c r="C171" s="116">
        <v>33.674999999999997</v>
      </c>
      <c r="D171" s="116">
        <v>32.5</v>
      </c>
      <c r="E171" s="116">
        <v>34.75</v>
      </c>
      <c r="F171" s="116">
        <v>67.349999999999994</v>
      </c>
      <c r="G171">
        <v>87513</v>
      </c>
      <c r="H171" s="116"/>
      <c r="I171" s="116"/>
      <c r="L171" s="166">
        <v>42248</v>
      </c>
      <c r="M171" s="116">
        <v>33.774999999999999</v>
      </c>
      <c r="N171" s="116">
        <v>34.825000000000003</v>
      </c>
      <c r="O171" s="116">
        <v>32.924999999999997</v>
      </c>
      <c r="P171" s="116">
        <v>34.575000000000003</v>
      </c>
      <c r="Q171" s="116">
        <v>67.55</v>
      </c>
      <c r="R171">
        <v>233454</v>
      </c>
    </row>
    <row r="172" spans="1:18" x14ac:dyDescent="0.25">
      <c r="A172" s="166">
        <v>42249</v>
      </c>
      <c r="B172" s="116">
        <v>34.65</v>
      </c>
      <c r="C172" s="116">
        <v>33.875</v>
      </c>
      <c r="D172" s="116">
        <v>33.174999999999997</v>
      </c>
      <c r="E172" s="116">
        <v>34.25</v>
      </c>
      <c r="F172" s="116">
        <v>67.75</v>
      </c>
      <c r="G172">
        <v>93186</v>
      </c>
      <c r="H172" s="116"/>
      <c r="I172" s="116"/>
      <c r="L172" s="166">
        <v>42249</v>
      </c>
      <c r="M172" s="116">
        <v>33.950000000000003</v>
      </c>
      <c r="N172" s="116">
        <v>34.700000000000003</v>
      </c>
      <c r="O172" s="116">
        <v>33.125</v>
      </c>
      <c r="P172" s="116">
        <v>34.4</v>
      </c>
      <c r="Q172" s="116">
        <v>67.900000000000006</v>
      </c>
      <c r="R172">
        <v>195049</v>
      </c>
    </row>
    <row r="173" spans="1:18" x14ac:dyDescent="0.25">
      <c r="A173" s="166">
        <v>42250</v>
      </c>
      <c r="B173" s="116">
        <v>35.950000000000003</v>
      </c>
      <c r="C173" s="116">
        <v>35.450000000000003</v>
      </c>
      <c r="D173" s="116">
        <v>34.200000000000003</v>
      </c>
      <c r="E173" s="116">
        <v>34.299999999999997</v>
      </c>
      <c r="F173" s="116">
        <v>70.900000000000006</v>
      </c>
      <c r="G173">
        <v>135101</v>
      </c>
      <c r="H173" s="116"/>
      <c r="I173" s="116"/>
      <c r="L173" s="166">
        <v>42250</v>
      </c>
      <c r="M173" s="116">
        <v>35.5</v>
      </c>
      <c r="N173" s="116">
        <v>36</v>
      </c>
      <c r="O173" s="116">
        <v>34.15</v>
      </c>
      <c r="P173" s="116">
        <v>34.5</v>
      </c>
      <c r="Q173" s="116">
        <v>71</v>
      </c>
      <c r="R173">
        <v>348937</v>
      </c>
    </row>
    <row r="174" spans="1:18" x14ac:dyDescent="0.25">
      <c r="A174" s="166">
        <v>42251</v>
      </c>
      <c r="B174" s="116">
        <v>35.450000000000003</v>
      </c>
      <c r="C174" s="116">
        <v>33.875</v>
      </c>
      <c r="D174" s="116">
        <v>33.35</v>
      </c>
      <c r="E174" s="116">
        <v>35.450000000000003</v>
      </c>
      <c r="F174" s="116">
        <v>67.75</v>
      </c>
      <c r="G174">
        <v>85414</v>
      </c>
      <c r="H174" s="116"/>
      <c r="I174" s="116"/>
      <c r="L174" s="166">
        <v>42251</v>
      </c>
      <c r="M174" s="116">
        <v>33.9</v>
      </c>
      <c r="N174" s="116">
        <v>35.5</v>
      </c>
      <c r="O174" s="116">
        <v>33.274999999999999</v>
      </c>
      <c r="P174" s="116">
        <v>35.5</v>
      </c>
      <c r="Q174" s="116">
        <v>67.8</v>
      </c>
      <c r="R174">
        <v>293752</v>
      </c>
    </row>
    <row r="175" spans="1:18" x14ac:dyDescent="0.25">
      <c r="A175" s="166">
        <v>42254</v>
      </c>
      <c r="B175" s="116">
        <v>34.200000000000003</v>
      </c>
      <c r="C175" s="116">
        <v>33.25</v>
      </c>
      <c r="D175" s="116">
        <v>33.1</v>
      </c>
      <c r="E175" s="116">
        <v>34.024999999999999</v>
      </c>
      <c r="F175" s="116">
        <v>66.5</v>
      </c>
      <c r="G175">
        <v>57235</v>
      </c>
      <c r="H175" s="116"/>
      <c r="I175" s="116"/>
      <c r="L175" s="166">
        <v>42254</v>
      </c>
      <c r="M175" s="116">
        <v>33.35</v>
      </c>
      <c r="N175" s="116">
        <v>34.225000000000001</v>
      </c>
      <c r="O175" s="116">
        <v>33</v>
      </c>
      <c r="P175" s="116">
        <v>33.9</v>
      </c>
      <c r="Q175" s="116">
        <v>66.7</v>
      </c>
      <c r="R175">
        <v>218257</v>
      </c>
    </row>
    <row r="176" spans="1:18" x14ac:dyDescent="0.25">
      <c r="A176" s="166">
        <v>42255</v>
      </c>
      <c r="B176" s="116">
        <v>33.450000000000003</v>
      </c>
      <c r="C176" s="116">
        <v>32.424999999999997</v>
      </c>
      <c r="D176" s="116">
        <v>30.9</v>
      </c>
      <c r="E176" s="116">
        <v>33.450000000000003</v>
      </c>
      <c r="F176" s="116">
        <v>64.849999999999994</v>
      </c>
      <c r="G176">
        <v>221120</v>
      </c>
      <c r="H176" s="116"/>
      <c r="I176" s="116"/>
      <c r="L176" s="166">
        <v>42255</v>
      </c>
      <c r="M176" s="116">
        <v>32.475000000000001</v>
      </c>
      <c r="N176" s="116">
        <v>33.450000000000003</v>
      </c>
      <c r="O176" s="116">
        <v>31</v>
      </c>
      <c r="P176" s="116">
        <v>33.450000000000003</v>
      </c>
      <c r="Q176" s="116">
        <v>64.95</v>
      </c>
      <c r="R176">
        <v>477733</v>
      </c>
    </row>
    <row r="177" spans="1:18" x14ac:dyDescent="0.25">
      <c r="A177" s="166">
        <v>42256</v>
      </c>
      <c r="B177" s="116">
        <v>35.774999999999999</v>
      </c>
      <c r="C177" s="116">
        <v>34.725000000000001</v>
      </c>
      <c r="D177" s="116">
        <v>32.975000000000001</v>
      </c>
      <c r="E177" s="116">
        <v>33</v>
      </c>
      <c r="F177" s="116">
        <v>69.45</v>
      </c>
      <c r="G177">
        <v>183434</v>
      </c>
      <c r="H177" s="116"/>
      <c r="I177" s="116"/>
      <c r="L177" s="166">
        <v>42256</v>
      </c>
      <c r="M177" s="116">
        <v>34.799999999999997</v>
      </c>
      <c r="N177" s="116">
        <v>35.85</v>
      </c>
      <c r="O177" s="116">
        <v>32.75</v>
      </c>
      <c r="P177" s="116">
        <v>33.375</v>
      </c>
      <c r="Q177" s="116">
        <v>69.599999999999994</v>
      </c>
      <c r="R177">
        <v>510231</v>
      </c>
    </row>
    <row r="178" spans="1:18" x14ac:dyDescent="0.25">
      <c r="A178" s="166">
        <v>42257</v>
      </c>
      <c r="B178" s="116">
        <v>37.549999999999997</v>
      </c>
      <c r="C178" s="116">
        <v>35.924999999999997</v>
      </c>
      <c r="D178" s="116">
        <v>33.6</v>
      </c>
      <c r="E178" s="116">
        <v>33.625</v>
      </c>
      <c r="F178" s="116">
        <v>71.849999999999994</v>
      </c>
      <c r="G178">
        <v>117074</v>
      </c>
      <c r="H178" s="116"/>
      <c r="I178" s="116"/>
      <c r="L178" s="166">
        <v>42257</v>
      </c>
      <c r="M178" s="116">
        <v>35.225000000000001</v>
      </c>
      <c r="N178" s="116">
        <v>36.225000000000001</v>
      </c>
      <c r="O178" s="116">
        <v>33.549999999999997</v>
      </c>
      <c r="P178" s="116">
        <v>33.9</v>
      </c>
      <c r="Q178" s="116">
        <v>70.45</v>
      </c>
      <c r="R178">
        <v>455863</v>
      </c>
    </row>
    <row r="179" spans="1:18" x14ac:dyDescent="0.25">
      <c r="A179" s="166">
        <v>42258</v>
      </c>
      <c r="B179" s="116">
        <v>36.75</v>
      </c>
      <c r="C179" s="116">
        <v>35.15</v>
      </c>
      <c r="D179" s="116">
        <v>34.549999999999997</v>
      </c>
      <c r="E179" s="116">
        <v>36.225000000000001</v>
      </c>
      <c r="F179" s="116">
        <v>70.3</v>
      </c>
      <c r="G179">
        <v>156327</v>
      </c>
      <c r="H179" s="116"/>
      <c r="I179" s="116"/>
      <c r="L179" s="166">
        <v>42258</v>
      </c>
      <c r="M179" s="116">
        <v>35.15</v>
      </c>
      <c r="N179" s="116">
        <v>36.825000000000003</v>
      </c>
      <c r="O179" s="116">
        <v>34.65</v>
      </c>
      <c r="P179" s="116">
        <v>36.299999999999997</v>
      </c>
      <c r="Q179" s="116">
        <v>70.3</v>
      </c>
      <c r="R179">
        <v>336400</v>
      </c>
    </row>
    <row r="180" spans="1:18" x14ac:dyDescent="0.25">
      <c r="A180" s="166">
        <v>42261</v>
      </c>
      <c r="B180" s="116">
        <v>37.1</v>
      </c>
      <c r="C180" s="116">
        <v>36.65</v>
      </c>
      <c r="D180" s="116">
        <v>35.35</v>
      </c>
      <c r="E180" s="116">
        <v>35.35</v>
      </c>
      <c r="F180" s="116">
        <v>73.3</v>
      </c>
      <c r="G180">
        <v>135934</v>
      </c>
      <c r="H180" s="116"/>
      <c r="I180" s="116"/>
      <c r="L180" s="166">
        <v>42261</v>
      </c>
      <c r="M180" s="116">
        <v>36.549999999999997</v>
      </c>
      <c r="N180" s="116">
        <v>37.024999999999999</v>
      </c>
      <c r="O180" s="116">
        <v>35.299999999999997</v>
      </c>
      <c r="P180" s="116">
        <v>35.75</v>
      </c>
      <c r="Q180" s="116">
        <v>73.099999999999994</v>
      </c>
      <c r="R180">
        <v>330285</v>
      </c>
    </row>
    <row r="181" spans="1:18" x14ac:dyDescent="0.25">
      <c r="A181" s="166">
        <v>42262</v>
      </c>
      <c r="B181" s="116">
        <v>36.825000000000003</v>
      </c>
      <c r="C181" s="116">
        <v>35.6</v>
      </c>
      <c r="D181" s="116">
        <v>35.475000000000001</v>
      </c>
      <c r="E181" s="116">
        <v>36.6</v>
      </c>
      <c r="F181" s="116">
        <v>71.2</v>
      </c>
      <c r="G181">
        <v>94009</v>
      </c>
      <c r="H181" s="116"/>
      <c r="I181" s="116"/>
      <c r="L181" s="166">
        <v>42262</v>
      </c>
      <c r="M181" s="116">
        <v>35.6</v>
      </c>
      <c r="N181" s="116">
        <v>36.85</v>
      </c>
      <c r="O181" s="116">
        <v>35.424999999999997</v>
      </c>
      <c r="P181" s="116">
        <v>36.5</v>
      </c>
      <c r="Q181" s="116">
        <v>71.2</v>
      </c>
      <c r="R181">
        <v>221968</v>
      </c>
    </row>
    <row r="182" spans="1:18" x14ac:dyDescent="0.25">
      <c r="A182" s="166">
        <v>42263</v>
      </c>
      <c r="B182" s="116">
        <v>36.450000000000003</v>
      </c>
      <c r="C182" s="116">
        <v>35.524999999999999</v>
      </c>
      <c r="D182" s="116">
        <v>35.299999999999997</v>
      </c>
      <c r="E182" s="116">
        <v>36</v>
      </c>
      <c r="F182" s="116">
        <v>71.05</v>
      </c>
      <c r="G182">
        <v>65714</v>
      </c>
      <c r="H182" s="116"/>
      <c r="I182" s="116"/>
      <c r="L182" s="166">
        <v>42263</v>
      </c>
      <c r="M182" s="116">
        <v>35.5</v>
      </c>
      <c r="N182" s="116">
        <v>36.450000000000003</v>
      </c>
      <c r="O182" s="116">
        <v>35.274999999999999</v>
      </c>
      <c r="P182" s="116">
        <v>36</v>
      </c>
      <c r="Q182" s="116">
        <v>71</v>
      </c>
      <c r="R182">
        <v>241713</v>
      </c>
    </row>
    <row r="183" spans="1:18" x14ac:dyDescent="0.25">
      <c r="A183" s="166">
        <v>42265</v>
      </c>
      <c r="B183" s="116">
        <v>36.450000000000003</v>
      </c>
      <c r="C183" s="116">
        <v>35.799999999999997</v>
      </c>
      <c r="D183" s="116">
        <v>35.674999999999997</v>
      </c>
      <c r="E183" s="116">
        <v>35.975000000000001</v>
      </c>
      <c r="F183" s="116">
        <v>71.599999999999994</v>
      </c>
      <c r="G183">
        <v>59000</v>
      </c>
      <c r="H183" s="116"/>
      <c r="I183" s="116"/>
      <c r="L183" s="166">
        <v>42265</v>
      </c>
      <c r="M183" s="116">
        <v>35.799999999999997</v>
      </c>
      <c r="N183" s="116">
        <v>36.424999999999997</v>
      </c>
      <c r="O183" s="116">
        <v>35.575000000000003</v>
      </c>
      <c r="P183" s="116">
        <v>36.200000000000003</v>
      </c>
      <c r="Q183" s="116">
        <v>71.599999999999994</v>
      </c>
      <c r="R183">
        <v>187056</v>
      </c>
    </row>
    <row r="184" spans="1:18" x14ac:dyDescent="0.25">
      <c r="A184" s="166">
        <v>42268</v>
      </c>
      <c r="B184" s="116">
        <v>36.85</v>
      </c>
      <c r="C184" s="116">
        <v>36.049999999999997</v>
      </c>
      <c r="D184" s="116">
        <v>35.25</v>
      </c>
      <c r="E184" s="116">
        <v>35.825000000000003</v>
      </c>
      <c r="F184" s="116">
        <v>72.099999999999994</v>
      </c>
      <c r="G184">
        <v>60792</v>
      </c>
      <c r="H184" s="116"/>
      <c r="I184" s="116"/>
      <c r="L184" s="166">
        <v>42268</v>
      </c>
      <c r="M184" s="116">
        <v>36.049999999999997</v>
      </c>
      <c r="N184" s="116">
        <v>36.799999999999997</v>
      </c>
      <c r="O184" s="116">
        <v>34.85</v>
      </c>
      <c r="P184" s="116">
        <v>35.674999999999997</v>
      </c>
      <c r="Q184" s="116">
        <v>72.099999999999994</v>
      </c>
      <c r="R184">
        <v>202876</v>
      </c>
    </row>
    <row r="185" spans="1:18" x14ac:dyDescent="0.25">
      <c r="A185" s="166">
        <v>42269</v>
      </c>
      <c r="B185" s="116">
        <v>36.774999999999999</v>
      </c>
      <c r="C185" s="116">
        <v>34.575000000000003</v>
      </c>
      <c r="D185" s="116">
        <v>34.25</v>
      </c>
      <c r="E185" s="116">
        <v>36.35</v>
      </c>
      <c r="F185" s="116">
        <v>69.150000000000006</v>
      </c>
      <c r="G185">
        <v>107994</v>
      </c>
      <c r="H185" s="116"/>
      <c r="I185" s="116"/>
      <c r="L185" s="166">
        <v>42269</v>
      </c>
      <c r="M185" s="116">
        <v>34.625</v>
      </c>
      <c r="N185" s="116">
        <v>36.75</v>
      </c>
      <c r="O185" s="116">
        <v>34.25</v>
      </c>
      <c r="P185" s="116">
        <v>36.5</v>
      </c>
      <c r="Q185" s="116">
        <v>69.25</v>
      </c>
      <c r="R185">
        <v>364533</v>
      </c>
    </row>
    <row r="186" spans="1:18" x14ac:dyDescent="0.25">
      <c r="A186" s="166">
        <v>42270</v>
      </c>
      <c r="B186" s="116">
        <v>35.950000000000003</v>
      </c>
      <c r="C186" s="116">
        <v>35.6</v>
      </c>
      <c r="D186" s="116">
        <v>34.174999999999997</v>
      </c>
      <c r="E186" s="116">
        <v>34.5</v>
      </c>
      <c r="F186" s="116">
        <v>71.2</v>
      </c>
      <c r="G186">
        <v>78290</v>
      </c>
      <c r="H186" s="116"/>
      <c r="I186" s="116"/>
      <c r="L186" s="166">
        <v>42270</v>
      </c>
      <c r="M186" s="116">
        <v>35.575000000000003</v>
      </c>
      <c r="N186" s="116">
        <v>36</v>
      </c>
      <c r="O186" s="116">
        <v>34.15</v>
      </c>
      <c r="P186" s="116">
        <v>34.6</v>
      </c>
      <c r="Q186" s="116">
        <v>71.150000000000006</v>
      </c>
      <c r="R186">
        <v>239176</v>
      </c>
    </row>
    <row r="187" spans="1:18" x14ac:dyDescent="0.25">
      <c r="A187" s="166">
        <v>42271</v>
      </c>
      <c r="B187" s="116">
        <v>36.9</v>
      </c>
      <c r="C187" s="116">
        <v>36.5</v>
      </c>
      <c r="D187" s="116">
        <v>35.950000000000003</v>
      </c>
      <c r="E187" s="116">
        <v>36.9</v>
      </c>
      <c r="F187" s="116">
        <v>73</v>
      </c>
      <c r="G187">
        <v>146477</v>
      </c>
      <c r="H187" s="116"/>
      <c r="I187" s="116"/>
      <c r="L187" s="166">
        <v>42271</v>
      </c>
      <c r="M187" s="116">
        <v>36.450000000000003</v>
      </c>
      <c r="N187" s="116">
        <v>36.975000000000001</v>
      </c>
      <c r="O187" s="116">
        <v>35.875</v>
      </c>
      <c r="P187" s="116">
        <v>36.25</v>
      </c>
      <c r="Q187" s="116">
        <v>72.900000000000006</v>
      </c>
      <c r="R187">
        <v>520638</v>
      </c>
    </row>
    <row r="188" spans="1:18" x14ac:dyDescent="0.25">
      <c r="A188" s="166">
        <v>42275</v>
      </c>
      <c r="B188" s="116">
        <v>36.700000000000003</v>
      </c>
      <c r="C188" s="116">
        <v>35.274999999999999</v>
      </c>
      <c r="D188" s="116">
        <v>35.125</v>
      </c>
      <c r="E188" s="116">
        <v>36.450000000000003</v>
      </c>
      <c r="F188" s="116">
        <v>70.55</v>
      </c>
      <c r="G188">
        <v>64423</v>
      </c>
      <c r="H188" s="116"/>
      <c r="I188" s="116"/>
      <c r="L188" s="166">
        <v>42275</v>
      </c>
      <c r="M188" s="116">
        <v>35.25</v>
      </c>
      <c r="N188" s="116">
        <v>36.799999999999997</v>
      </c>
      <c r="O188" s="116">
        <v>35.075000000000003</v>
      </c>
      <c r="P188" s="116">
        <v>36.4</v>
      </c>
      <c r="Q188" s="116">
        <v>70.5</v>
      </c>
      <c r="R188">
        <v>157946</v>
      </c>
    </row>
    <row r="189" spans="1:18" x14ac:dyDescent="0.25">
      <c r="A189" s="166">
        <v>42276</v>
      </c>
      <c r="B189" s="116">
        <v>35.65</v>
      </c>
      <c r="C189" s="116">
        <v>35.049999999999997</v>
      </c>
      <c r="D189" s="116">
        <v>34.15</v>
      </c>
      <c r="E189" s="116">
        <v>34.774999999999999</v>
      </c>
      <c r="F189" s="116">
        <v>70.099999999999994</v>
      </c>
      <c r="G189">
        <v>64181</v>
      </c>
      <c r="H189" s="116"/>
      <c r="I189" s="116"/>
      <c r="L189" s="166">
        <v>42276</v>
      </c>
      <c r="M189" s="116">
        <v>35.174999999999997</v>
      </c>
      <c r="N189" s="116">
        <v>35.6</v>
      </c>
      <c r="O189" s="116">
        <v>34.15</v>
      </c>
      <c r="P189" s="116">
        <v>34.575000000000003</v>
      </c>
      <c r="Q189" s="116">
        <v>70.349999999999994</v>
      </c>
      <c r="R189">
        <v>232324</v>
      </c>
    </row>
    <row r="190" spans="1:18" x14ac:dyDescent="0.25">
      <c r="A190" s="166">
        <v>42277</v>
      </c>
      <c r="B190" s="116">
        <v>37.15</v>
      </c>
      <c r="C190" s="116">
        <v>35.825000000000003</v>
      </c>
      <c r="D190" s="116">
        <v>35.25</v>
      </c>
      <c r="E190" s="116">
        <v>35.25</v>
      </c>
      <c r="F190" s="116">
        <v>71.650000000000006</v>
      </c>
      <c r="G190">
        <v>117342</v>
      </c>
      <c r="H190" s="116"/>
      <c r="I190" s="116"/>
      <c r="L190" s="166">
        <v>42277</v>
      </c>
      <c r="M190" s="116">
        <v>35.875</v>
      </c>
      <c r="N190" s="116">
        <v>37.4</v>
      </c>
      <c r="O190" s="116">
        <v>35.274999999999999</v>
      </c>
      <c r="P190" s="116">
        <v>35.5</v>
      </c>
      <c r="Q190" s="116">
        <v>71.75</v>
      </c>
      <c r="R190">
        <v>396883</v>
      </c>
    </row>
    <row r="191" spans="1:18" x14ac:dyDescent="0.25">
      <c r="A191" s="166">
        <v>42278</v>
      </c>
      <c r="B191" s="116">
        <v>37.15</v>
      </c>
      <c r="C191" s="116">
        <v>36.225000000000001</v>
      </c>
      <c r="D191" s="116">
        <v>35.700000000000003</v>
      </c>
      <c r="E191" s="116">
        <v>36.25</v>
      </c>
      <c r="F191" s="116">
        <v>72.45</v>
      </c>
      <c r="G191">
        <v>158110</v>
      </c>
      <c r="H191" s="116"/>
      <c r="I191" s="116"/>
      <c r="L191" s="166">
        <v>42278</v>
      </c>
      <c r="M191" s="116">
        <v>36.200000000000003</v>
      </c>
      <c r="N191" s="116">
        <v>37.200000000000003</v>
      </c>
      <c r="O191" s="116">
        <v>35.65</v>
      </c>
      <c r="P191" s="116">
        <v>36.174999999999997</v>
      </c>
      <c r="Q191" s="116">
        <v>72.400000000000006</v>
      </c>
      <c r="R191">
        <v>577035</v>
      </c>
    </row>
    <row r="192" spans="1:18" x14ac:dyDescent="0.25">
      <c r="A192" s="166">
        <v>42282</v>
      </c>
      <c r="B192" s="116">
        <v>36.975000000000001</v>
      </c>
      <c r="C192" s="116">
        <v>36.65</v>
      </c>
      <c r="D192" s="116">
        <v>36.299999999999997</v>
      </c>
      <c r="E192" s="116">
        <v>36.549999999999997</v>
      </c>
      <c r="F192" s="116">
        <v>73.3</v>
      </c>
      <c r="G192">
        <v>66575</v>
      </c>
      <c r="H192" s="116"/>
      <c r="I192" s="116"/>
      <c r="L192" s="166">
        <v>42282</v>
      </c>
      <c r="M192" s="116">
        <v>36.65</v>
      </c>
      <c r="N192" s="116">
        <v>37.075000000000003</v>
      </c>
      <c r="O192" s="116">
        <v>36.35</v>
      </c>
      <c r="P192" s="116">
        <v>36.700000000000003</v>
      </c>
      <c r="Q192" s="116">
        <v>73.3</v>
      </c>
      <c r="R192">
        <v>266270</v>
      </c>
    </row>
    <row r="193" spans="1:18" x14ac:dyDescent="0.25">
      <c r="A193" s="166">
        <v>42283</v>
      </c>
      <c r="B193" s="116">
        <v>37.024999999999999</v>
      </c>
      <c r="C193" s="116">
        <v>36.625</v>
      </c>
      <c r="D193" s="116">
        <v>36.4</v>
      </c>
      <c r="E193" s="116">
        <v>36.9</v>
      </c>
      <c r="F193" s="116">
        <v>73.25</v>
      </c>
      <c r="G193">
        <v>84243</v>
      </c>
      <c r="H193" s="116"/>
      <c r="I193" s="116"/>
      <c r="L193" s="166">
        <v>42283</v>
      </c>
      <c r="M193" s="116">
        <v>36.65</v>
      </c>
      <c r="N193" s="116">
        <v>37.174999999999997</v>
      </c>
      <c r="O193" s="116">
        <v>36.25</v>
      </c>
      <c r="P193" s="116">
        <v>37.174999999999997</v>
      </c>
      <c r="Q193" s="116">
        <v>73.3</v>
      </c>
      <c r="R193">
        <v>252023</v>
      </c>
    </row>
    <row r="194" spans="1:18" x14ac:dyDescent="0.25">
      <c r="A194" s="166">
        <v>42284</v>
      </c>
      <c r="B194" s="116">
        <v>39.25</v>
      </c>
      <c r="C194" s="116">
        <v>38.774999999999999</v>
      </c>
      <c r="D194" s="116">
        <v>36.375</v>
      </c>
      <c r="E194" s="116">
        <v>36.6</v>
      </c>
      <c r="F194" s="116">
        <v>77.55</v>
      </c>
      <c r="G194">
        <v>413029</v>
      </c>
      <c r="H194" s="116"/>
      <c r="I194" s="116"/>
      <c r="L194" s="166">
        <v>42284</v>
      </c>
      <c r="M194" s="116">
        <v>38.725000000000001</v>
      </c>
      <c r="N194" s="116">
        <v>39.075000000000003</v>
      </c>
      <c r="O194" s="116">
        <v>36.299999999999997</v>
      </c>
      <c r="P194" s="116">
        <v>36.5</v>
      </c>
      <c r="Q194" s="116">
        <v>77.45</v>
      </c>
      <c r="R194">
        <v>983888</v>
      </c>
    </row>
    <row r="195" spans="1:18" x14ac:dyDescent="0.25">
      <c r="A195" s="166">
        <v>42285</v>
      </c>
      <c r="B195" s="116">
        <v>39.875</v>
      </c>
      <c r="C195" s="116">
        <v>38.049999999999997</v>
      </c>
      <c r="D195" s="116">
        <v>37.75</v>
      </c>
      <c r="E195" s="116">
        <v>39.475000000000001</v>
      </c>
      <c r="F195" s="116">
        <v>76.099999999999994</v>
      </c>
      <c r="G195">
        <v>304381</v>
      </c>
      <c r="H195" s="116"/>
      <c r="I195" s="116"/>
      <c r="L195" s="166">
        <v>42285</v>
      </c>
      <c r="M195" s="116">
        <v>38.1</v>
      </c>
      <c r="N195" s="116">
        <v>39.549999999999997</v>
      </c>
      <c r="O195" s="116">
        <v>37.825000000000003</v>
      </c>
      <c r="P195" s="116">
        <v>39.549999999999997</v>
      </c>
      <c r="Q195" s="116">
        <v>76.2</v>
      </c>
      <c r="R195">
        <v>903068</v>
      </c>
    </row>
    <row r="196" spans="1:18" x14ac:dyDescent="0.25">
      <c r="A196" s="166">
        <v>42286</v>
      </c>
      <c r="B196" s="116">
        <v>39.225000000000001</v>
      </c>
      <c r="C196" s="116">
        <v>37.075000000000003</v>
      </c>
      <c r="D196" s="116">
        <v>36.9</v>
      </c>
      <c r="E196" s="116">
        <v>38.549999999999997</v>
      </c>
      <c r="F196" s="116">
        <v>74.150000000000006</v>
      </c>
      <c r="G196">
        <v>144540</v>
      </c>
      <c r="H196" s="116"/>
      <c r="I196" s="116"/>
      <c r="L196" s="166">
        <v>42286</v>
      </c>
      <c r="M196" s="116">
        <v>37.1</v>
      </c>
      <c r="N196" s="116">
        <v>39.25</v>
      </c>
      <c r="O196" s="116">
        <v>36.799999999999997</v>
      </c>
      <c r="P196" s="116">
        <v>38.475000000000001</v>
      </c>
      <c r="Q196" s="116">
        <v>74.2</v>
      </c>
      <c r="R196">
        <v>463257</v>
      </c>
    </row>
    <row r="197" spans="1:18" x14ac:dyDescent="0.25">
      <c r="A197" s="166">
        <v>42289</v>
      </c>
      <c r="B197" s="116">
        <v>37.9</v>
      </c>
      <c r="C197" s="116">
        <v>36.549999999999997</v>
      </c>
      <c r="D197" s="116">
        <v>36.35</v>
      </c>
      <c r="E197" s="116">
        <v>37.375</v>
      </c>
      <c r="F197" s="116">
        <v>73.099999999999994</v>
      </c>
      <c r="G197">
        <v>75619</v>
      </c>
      <c r="H197" s="116"/>
      <c r="I197" s="116"/>
      <c r="L197" s="166">
        <v>42289</v>
      </c>
      <c r="M197" s="116">
        <v>36.575000000000003</v>
      </c>
      <c r="N197" s="116">
        <v>37.975000000000001</v>
      </c>
      <c r="O197" s="116">
        <v>36.299999999999997</v>
      </c>
      <c r="P197" s="116">
        <v>37.450000000000003</v>
      </c>
      <c r="Q197" s="116">
        <v>73.150000000000006</v>
      </c>
      <c r="R197">
        <v>331974</v>
      </c>
    </row>
    <row r="198" spans="1:18" x14ac:dyDescent="0.25">
      <c r="A198" s="166">
        <v>42290</v>
      </c>
      <c r="B198" s="116">
        <v>37.625</v>
      </c>
      <c r="C198" s="116">
        <v>36.6</v>
      </c>
      <c r="D198" s="116">
        <v>36.4</v>
      </c>
      <c r="E198" s="116">
        <v>36.700000000000003</v>
      </c>
      <c r="F198" s="116">
        <v>73.2</v>
      </c>
      <c r="G198">
        <v>97311</v>
      </c>
      <c r="H198" s="116"/>
      <c r="I198" s="116"/>
      <c r="L198" s="166">
        <v>42290</v>
      </c>
      <c r="M198" s="116">
        <v>36.65</v>
      </c>
      <c r="N198" s="116">
        <v>37.6</v>
      </c>
      <c r="O198" s="116">
        <v>36.450000000000003</v>
      </c>
      <c r="P198" s="116">
        <v>36.875</v>
      </c>
      <c r="Q198" s="116">
        <v>73.3</v>
      </c>
      <c r="R198">
        <v>273160</v>
      </c>
    </row>
    <row r="199" spans="1:18" x14ac:dyDescent="0.25">
      <c r="A199" s="166">
        <v>42291</v>
      </c>
      <c r="B199" s="116">
        <v>37.375</v>
      </c>
      <c r="C199" s="116">
        <v>36.725000000000001</v>
      </c>
      <c r="D199" s="116">
        <v>36.575000000000003</v>
      </c>
      <c r="E199" s="116">
        <v>36.875</v>
      </c>
      <c r="F199" s="116">
        <v>73.45</v>
      </c>
      <c r="G199">
        <v>69007</v>
      </c>
      <c r="H199" s="116"/>
      <c r="I199" s="116"/>
      <c r="L199" s="166">
        <v>42291</v>
      </c>
      <c r="M199" s="116">
        <v>36.674999999999997</v>
      </c>
      <c r="N199" s="116">
        <v>37.4</v>
      </c>
      <c r="O199" s="116">
        <v>36.575000000000003</v>
      </c>
      <c r="P199" s="116">
        <v>36.924999999999997</v>
      </c>
      <c r="Q199" s="116">
        <v>73.349999999999994</v>
      </c>
      <c r="R199">
        <v>290075</v>
      </c>
    </row>
    <row r="200" spans="1:18" x14ac:dyDescent="0.25">
      <c r="A200" s="166">
        <v>42292</v>
      </c>
      <c r="B200" s="116">
        <v>37.75</v>
      </c>
      <c r="C200" s="116">
        <v>36.875</v>
      </c>
      <c r="D200" s="116">
        <v>36.575000000000003</v>
      </c>
      <c r="E200" s="116">
        <v>37</v>
      </c>
      <c r="F200" s="116">
        <v>73.75</v>
      </c>
      <c r="G200">
        <v>113271</v>
      </c>
      <c r="H200" s="116"/>
      <c r="I200" s="116"/>
      <c r="L200" s="166">
        <v>42292</v>
      </c>
      <c r="M200" s="116">
        <v>37.35</v>
      </c>
      <c r="N200" s="116">
        <v>38.5</v>
      </c>
      <c r="O200" s="116">
        <v>36.65</v>
      </c>
      <c r="P200" s="116">
        <v>36.799999999999997</v>
      </c>
      <c r="Q200" s="116">
        <v>74.7</v>
      </c>
      <c r="R200">
        <v>458310</v>
      </c>
    </row>
    <row r="201" spans="1:18" x14ac:dyDescent="0.25">
      <c r="A201" s="166">
        <v>42293</v>
      </c>
      <c r="B201" s="116">
        <v>38.15</v>
      </c>
      <c r="C201" s="116">
        <v>37.174999999999997</v>
      </c>
      <c r="D201" s="116">
        <v>36.9</v>
      </c>
      <c r="E201" s="116">
        <v>37.65</v>
      </c>
      <c r="F201" s="116">
        <v>74.349999999999994</v>
      </c>
      <c r="G201">
        <v>81297</v>
      </c>
      <c r="H201" s="116"/>
      <c r="I201" s="116"/>
      <c r="L201" s="166">
        <v>42293</v>
      </c>
      <c r="M201" s="116">
        <v>37.174999999999997</v>
      </c>
      <c r="N201" s="116">
        <v>38.200000000000003</v>
      </c>
      <c r="O201" s="116">
        <v>36.85</v>
      </c>
      <c r="P201" s="116">
        <v>37.85</v>
      </c>
      <c r="Q201" s="116">
        <v>74.349999999999994</v>
      </c>
      <c r="R201">
        <v>282487</v>
      </c>
    </row>
    <row r="202" spans="1:18" x14ac:dyDescent="0.25">
      <c r="A202" s="166">
        <v>42296</v>
      </c>
      <c r="B202" s="116">
        <v>37.700000000000003</v>
      </c>
      <c r="C202" s="116">
        <v>37.25</v>
      </c>
      <c r="D202" s="116">
        <v>36.75</v>
      </c>
      <c r="E202" s="116">
        <v>37.5</v>
      </c>
      <c r="F202" s="116">
        <v>74.5</v>
      </c>
      <c r="G202">
        <v>76356</v>
      </c>
      <c r="H202" s="116"/>
      <c r="I202" s="116"/>
      <c r="L202" s="166">
        <v>42296</v>
      </c>
      <c r="M202" s="116">
        <v>37.325000000000003</v>
      </c>
      <c r="N202" s="116">
        <v>37.700000000000003</v>
      </c>
      <c r="O202" s="116">
        <v>36.75</v>
      </c>
      <c r="P202" s="116">
        <v>37.049999999999997</v>
      </c>
      <c r="Q202" s="116">
        <v>74.650000000000006</v>
      </c>
      <c r="R202">
        <v>191329</v>
      </c>
    </row>
    <row r="203" spans="1:18" x14ac:dyDescent="0.25">
      <c r="A203" s="166">
        <v>42297</v>
      </c>
      <c r="B203" s="116">
        <v>39.825000000000003</v>
      </c>
      <c r="C203" s="116">
        <v>39.274999999999999</v>
      </c>
      <c r="D203" s="116">
        <v>37.25</v>
      </c>
      <c r="E203" s="116">
        <v>37.450000000000003</v>
      </c>
      <c r="F203" s="116">
        <v>78.55</v>
      </c>
      <c r="G203">
        <v>430678</v>
      </c>
      <c r="H203" s="116"/>
      <c r="I203" s="116"/>
      <c r="L203" s="166">
        <v>42297</v>
      </c>
      <c r="M203" s="116">
        <v>39.299999999999997</v>
      </c>
      <c r="N203" s="116">
        <v>39.9</v>
      </c>
      <c r="O203" s="116">
        <v>37.15</v>
      </c>
      <c r="P203" s="116">
        <v>37.15</v>
      </c>
      <c r="Q203" s="116">
        <v>78.599999999999994</v>
      </c>
      <c r="R203">
        <v>1343967</v>
      </c>
    </row>
    <row r="204" spans="1:18" x14ac:dyDescent="0.25">
      <c r="A204" s="166">
        <v>42298</v>
      </c>
      <c r="B204" s="116">
        <v>41.9</v>
      </c>
      <c r="C204" s="116">
        <v>41.6</v>
      </c>
      <c r="D204" s="116">
        <v>39.424999999999997</v>
      </c>
      <c r="E204" s="116">
        <v>39.799999999999997</v>
      </c>
      <c r="F204" s="116">
        <v>83.2</v>
      </c>
      <c r="G204">
        <v>548344</v>
      </c>
      <c r="H204" s="116"/>
      <c r="I204" s="116"/>
      <c r="L204" s="166">
        <v>42298</v>
      </c>
      <c r="M204" s="116">
        <v>41.625</v>
      </c>
      <c r="N204" s="116">
        <v>41.95</v>
      </c>
      <c r="O204" s="116">
        <v>39.299999999999997</v>
      </c>
      <c r="P204" s="116">
        <v>39.625</v>
      </c>
      <c r="Q204" s="116">
        <v>83.25</v>
      </c>
      <c r="R204">
        <v>1801193</v>
      </c>
    </row>
    <row r="205" spans="1:18" x14ac:dyDescent="0.25">
      <c r="A205" s="166">
        <v>42300</v>
      </c>
      <c r="B205" s="116">
        <v>42.05</v>
      </c>
      <c r="C205" s="116">
        <v>40.125</v>
      </c>
      <c r="D205" s="116">
        <v>39.65</v>
      </c>
      <c r="E205" s="116">
        <v>41.975000000000001</v>
      </c>
      <c r="F205" s="116">
        <v>80.25</v>
      </c>
      <c r="G205">
        <v>160041</v>
      </c>
      <c r="H205" s="116"/>
      <c r="I205" s="116"/>
      <c r="L205" s="166">
        <v>42300</v>
      </c>
      <c r="M205" s="116">
        <v>40</v>
      </c>
      <c r="N205" s="116">
        <v>42</v>
      </c>
      <c r="O205" s="116">
        <v>39.575000000000003</v>
      </c>
      <c r="P205" s="116">
        <v>41.95</v>
      </c>
      <c r="Q205" s="116">
        <v>80</v>
      </c>
      <c r="R205">
        <v>493860</v>
      </c>
    </row>
    <row r="206" spans="1:18" x14ac:dyDescent="0.25">
      <c r="A206" s="166">
        <v>42303</v>
      </c>
      <c r="B206" s="116">
        <v>40.6</v>
      </c>
      <c r="C206" s="116">
        <v>38.924999999999997</v>
      </c>
      <c r="D206" s="116">
        <v>38.375</v>
      </c>
      <c r="E206" s="116">
        <v>40.6</v>
      </c>
      <c r="F206" s="116">
        <v>77.849999999999994</v>
      </c>
      <c r="G206">
        <v>130195</v>
      </c>
      <c r="H206" s="116"/>
      <c r="I206" s="116"/>
      <c r="L206" s="166">
        <v>42303</v>
      </c>
      <c r="M206" s="116">
        <v>38.9</v>
      </c>
      <c r="N206" s="116">
        <v>40.25</v>
      </c>
      <c r="O206" s="116">
        <v>38.25</v>
      </c>
      <c r="P206" s="116">
        <v>40.25</v>
      </c>
      <c r="Q206" s="116">
        <v>77.8</v>
      </c>
      <c r="R206">
        <v>346208</v>
      </c>
    </row>
    <row r="207" spans="1:18" x14ac:dyDescent="0.25">
      <c r="A207" s="166">
        <v>42304</v>
      </c>
      <c r="B207" s="116">
        <v>39.75</v>
      </c>
      <c r="C207" s="116">
        <v>39.15</v>
      </c>
      <c r="D207" s="116">
        <v>38.075000000000003</v>
      </c>
      <c r="E207" s="116">
        <v>38.1</v>
      </c>
      <c r="F207" s="116">
        <v>78.3</v>
      </c>
      <c r="G207">
        <v>116524</v>
      </c>
      <c r="H207" s="116"/>
      <c r="I207" s="116"/>
      <c r="L207" s="166">
        <v>42304</v>
      </c>
      <c r="M207" s="116">
        <v>39.125</v>
      </c>
      <c r="N207" s="116">
        <v>39.700000000000003</v>
      </c>
      <c r="O207" s="116">
        <v>38.1</v>
      </c>
      <c r="P207" s="116">
        <v>38.9</v>
      </c>
      <c r="Q207" s="116">
        <v>78.25</v>
      </c>
      <c r="R207">
        <v>322073</v>
      </c>
    </row>
    <row r="208" spans="1:18" x14ac:dyDescent="0.25">
      <c r="A208" s="166">
        <v>42305</v>
      </c>
      <c r="B208" s="116">
        <v>39.75</v>
      </c>
      <c r="C208" s="116">
        <v>37.700000000000003</v>
      </c>
      <c r="D208" s="116">
        <v>37.5</v>
      </c>
      <c r="E208" s="116">
        <v>38.65</v>
      </c>
      <c r="F208" s="116">
        <v>75.400000000000006</v>
      </c>
      <c r="G208">
        <v>139496</v>
      </c>
      <c r="H208" s="116"/>
      <c r="I208" s="116"/>
      <c r="L208" s="166">
        <v>42305</v>
      </c>
      <c r="M208" s="116">
        <v>37.700000000000003</v>
      </c>
      <c r="N208" s="116">
        <v>39.700000000000003</v>
      </c>
      <c r="O208" s="116">
        <v>37.549999999999997</v>
      </c>
      <c r="P208" s="116">
        <v>39.274999999999999</v>
      </c>
      <c r="Q208" s="116">
        <v>75.400000000000006</v>
      </c>
      <c r="R208">
        <v>350877</v>
      </c>
    </row>
    <row r="209" spans="1:18" x14ac:dyDescent="0.25">
      <c r="A209" s="166">
        <v>42306</v>
      </c>
      <c r="B209" s="116">
        <v>40.200000000000003</v>
      </c>
      <c r="C209" s="116">
        <v>38.924999999999997</v>
      </c>
      <c r="D209" s="116">
        <v>36.549999999999997</v>
      </c>
      <c r="E209" s="116">
        <v>38</v>
      </c>
      <c r="F209" s="116">
        <v>77.849999999999994</v>
      </c>
      <c r="G209">
        <v>603538</v>
      </c>
      <c r="H209" s="116"/>
      <c r="I209" s="116"/>
      <c r="L209" s="166">
        <v>42306</v>
      </c>
      <c r="M209" s="116">
        <v>39.024999999999999</v>
      </c>
      <c r="N209" s="116">
        <v>40.15</v>
      </c>
      <c r="O209" s="116">
        <v>36.5</v>
      </c>
      <c r="P209" s="116">
        <v>38</v>
      </c>
      <c r="Q209" s="116">
        <v>78.05</v>
      </c>
      <c r="R209">
        <v>1340297</v>
      </c>
    </row>
    <row r="210" spans="1:18" x14ac:dyDescent="0.25">
      <c r="A210" s="166">
        <v>42307</v>
      </c>
      <c r="B210" s="116">
        <v>39.75</v>
      </c>
      <c r="C210" s="116">
        <v>38.475000000000001</v>
      </c>
      <c r="D210" s="116">
        <v>37.875</v>
      </c>
      <c r="E210" s="116">
        <v>39.25</v>
      </c>
      <c r="F210" s="116">
        <v>76.95</v>
      </c>
      <c r="G210">
        <v>197772</v>
      </c>
      <c r="H210" s="116"/>
      <c r="I210" s="116"/>
      <c r="L210" s="166">
        <v>42307</v>
      </c>
      <c r="M210" s="116">
        <v>38.5</v>
      </c>
      <c r="N210" s="116">
        <v>39.75</v>
      </c>
      <c r="O210" s="116">
        <v>37.774999999999999</v>
      </c>
      <c r="P210" s="116">
        <v>38.975000000000001</v>
      </c>
      <c r="Q210" s="116">
        <v>77</v>
      </c>
      <c r="R210">
        <v>524342</v>
      </c>
    </row>
    <row r="211" spans="1:18" x14ac:dyDescent="0.25">
      <c r="A211" s="166">
        <v>42310</v>
      </c>
      <c r="B211" s="116">
        <v>40</v>
      </c>
      <c r="C211" s="116">
        <v>39.575000000000003</v>
      </c>
      <c r="D211" s="116">
        <v>38.049999999999997</v>
      </c>
      <c r="E211" s="116">
        <v>38.5</v>
      </c>
      <c r="F211" s="116">
        <v>79.150000000000006</v>
      </c>
      <c r="G211">
        <v>150392</v>
      </c>
      <c r="H211" s="116"/>
      <c r="I211" s="116"/>
      <c r="L211" s="166">
        <v>42310</v>
      </c>
      <c r="M211" s="116">
        <v>39.450000000000003</v>
      </c>
      <c r="N211" s="116">
        <v>40.174999999999997</v>
      </c>
      <c r="O211" s="116">
        <v>38.075000000000003</v>
      </c>
      <c r="P211" s="116">
        <v>38.35</v>
      </c>
      <c r="Q211" s="116">
        <v>78.900000000000006</v>
      </c>
      <c r="R211">
        <v>577221</v>
      </c>
    </row>
    <row r="212" spans="1:18" x14ac:dyDescent="0.25">
      <c r="A212" s="166">
        <v>42311</v>
      </c>
      <c r="B212" s="116">
        <v>41.95</v>
      </c>
      <c r="C212" s="116">
        <v>41.475000000000001</v>
      </c>
      <c r="D212" s="116">
        <v>39.4</v>
      </c>
      <c r="E212" s="116">
        <v>39.924999999999997</v>
      </c>
      <c r="F212" s="116">
        <v>82.95</v>
      </c>
      <c r="G212">
        <v>353263</v>
      </c>
      <c r="H212" s="116"/>
      <c r="I212" s="116"/>
      <c r="L212" s="166">
        <v>42311</v>
      </c>
      <c r="M212" s="116">
        <v>41.45</v>
      </c>
      <c r="N212" s="116">
        <v>41.95</v>
      </c>
      <c r="O212" s="116">
        <v>39.125</v>
      </c>
      <c r="P212" s="116">
        <v>39.9</v>
      </c>
      <c r="Q212" s="116">
        <v>82.9</v>
      </c>
      <c r="R212">
        <v>1445066</v>
      </c>
    </row>
    <row r="213" spans="1:18" x14ac:dyDescent="0.25">
      <c r="A213" s="166">
        <v>42312</v>
      </c>
      <c r="B213" s="116">
        <v>42.5</v>
      </c>
      <c r="C213" s="116">
        <v>39.4</v>
      </c>
      <c r="D213" s="116">
        <v>39.174999999999997</v>
      </c>
      <c r="E213" s="116">
        <v>41.55</v>
      </c>
      <c r="F213" s="116">
        <v>78.8</v>
      </c>
      <c r="G213">
        <v>194746</v>
      </c>
      <c r="H213" s="116"/>
      <c r="I213" s="116"/>
      <c r="L213" s="166">
        <v>42312</v>
      </c>
      <c r="M213" s="116">
        <v>39.375</v>
      </c>
      <c r="N213" s="116">
        <v>42.5</v>
      </c>
      <c r="O213" s="116">
        <v>39.25</v>
      </c>
      <c r="P213" s="116">
        <v>41.424999999999997</v>
      </c>
      <c r="Q213" s="116">
        <v>78.75</v>
      </c>
      <c r="R213">
        <v>755762</v>
      </c>
    </row>
    <row r="214" spans="1:18" x14ac:dyDescent="0.25">
      <c r="A214" s="166">
        <v>42313</v>
      </c>
      <c r="B214" s="116">
        <v>39.6</v>
      </c>
      <c r="C214" s="116">
        <v>39.049999999999997</v>
      </c>
      <c r="D214" s="116">
        <v>38.774999999999999</v>
      </c>
      <c r="E214" s="116">
        <v>39.200000000000003</v>
      </c>
      <c r="F214" s="116">
        <v>78.099999999999994</v>
      </c>
      <c r="G214">
        <v>69164</v>
      </c>
      <c r="H214" s="116"/>
      <c r="I214" s="116"/>
      <c r="L214" s="166">
        <v>42313</v>
      </c>
      <c r="M214" s="116">
        <v>39.1</v>
      </c>
      <c r="N214" s="116">
        <v>39.625</v>
      </c>
      <c r="O214" s="116">
        <v>38.75</v>
      </c>
      <c r="P214" s="116">
        <v>39.274999999999999</v>
      </c>
      <c r="Q214" s="116">
        <v>78.2</v>
      </c>
      <c r="R214">
        <v>380093</v>
      </c>
    </row>
    <row r="215" spans="1:18" x14ac:dyDescent="0.25">
      <c r="A215" s="166">
        <v>42314</v>
      </c>
      <c r="B215" s="116">
        <v>39.75</v>
      </c>
      <c r="C215" s="116">
        <v>38.5</v>
      </c>
      <c r="D215" s="116">
        <v>38.325000000000003</v>
      </c>
      <c r="E215" s="116">
        <v>39.575000000000003</v>
      </c>
      <c r="F215" s="116">
        <v>77</v>
      </c>
      <c r="G215">
        <v>32655</v>
      </c>
      <c r="H215" s="116"/>
      <c r="I215" s="116"/>
      <c r="L215" s="166">
        <v>42314</v>
      </c>
      <c r="M215" s="116">
        <v>38.450000000000003</v>
      </c>
      <c r="N215" s="116">
        <v>39.75</v>
      </c>
      <c r="O215" s="116">
        <v>38.274999999999999</v>
      </c>
      <c r="P215" s="116">
        <v>39.575000000000003</v>
      </c>
      <c r="Q215" s="116">
        <v>76.900000000000006</v>
      </c>
      <c r="R215">
        <v>162063</v>
      </c>
    </row>
    <row r="216" spans="1:18" x14ac:dyDescent="0.25">
      <c r="A216" s="166">
        <v>42317</v>
      </c>
      <c r="B216" s="116">
        <v>38.725000000000001</v>
      </c>
      <c r="C216" s="116">
        <v>38.15</v>
      </c>
      <c r="D216" s="116">
        <v>37</v>
      </c>
      <c r="E216" s="116">
        <v>37.6</v>
      </c>
      <c r="F216" s="116">
        <v>76.3</v>
      </c>
      <c r="G216">
        <v>84426</v>
      </c>
      <c r="H216" s="116"/>
      <c r="I216" s="116"/>
      <c r="L216" s="166">
        <v>42317</v>
      </c>
      <c r="M216" s="116">
        <v>38.075000000000003</v>
      </c>
      <c r="N216" s="116">
        <v>38.700000000000003</v>
      </c>
      <c r="O216" s="116">
        <v>36.85</v>
      </c>
      <c r="P216" s="116">
        <v>37.450000000000003</v>
      </c>
      <c r="Q216" s="116">
        <v>76.150000000000006</v>
      </c>
      <c r="R216">
        <v>234487</v>
      </c>
    </row>
    <row r="217" spans="1:18" x14ac:dyDescent="0.25">
      <c r="A217" s="166">
        <v>42318</v>
      </c>
      <c r="B217" s="116">
        <v>38.825000000000003</v>
      </c>
      <c r="C217" s="116">
        <v>36.9</v>
      </c>
      <c r="D217" s="116">
        <v>36.774999999999999</v>
      </c>
      <c r="E217" s="116">
        <v>38.274999999999999</v>
      </c>
      <c r="F217" s="116">
        <v>73.8</v>
      </c>
      <c r="G217">
        <v>100553</v>
      </c>
      <c r="H217" s="116"/>
      <c r="I217" s="116"/>
      <c r="L217" s="166">
        <v>42318</v>
      </c>
      <c r="M217" s="116">
        <v>36.9</v>
      </c>
      <c r="N217" s="116">
        <v>38.774999999999999</v>
      </c>
      <c r="O217" s="116">
        <v>36.774999999999999</v>
      </c>
      <c r="P217" s="116">
        <v>38.15</v>
      </c>
      <c r="Q217" s="116">
        <v>73.8</v>
      </c>
      <c r="R217">
        <v>290887</v>
      </c>
    </row>
    <row r="218" spans="1:18" x14ac:dyDescent="0.25">
      <c r="A218" s="166">
        <v>42319</v>
      </c>
      <c r="B218" s="116">
        <v>37.9</v>
      </c>
      <c r="C218" s="116">
        <v>37.6</v>
      </c>
      <c r="D218" s="116">
        <v>37.15</v>
      </c>
      <c r="E218" s="116">
        <v>37.4</v>
      </c>
      <c r="F218" s="116">
        <v>75.2</v>
      </c>
      <c r="G218">
        <v>20302</v>
      </c>
      <c r="H218" s="116"/>
      <c r="I218" s="116"/>
      <c r="L218" s="166">
        <v>42319</v>
      </c>
      <c r="M218" s="116">
        <v>37.6</v>
      </c>
      <c r="N218" s="116">
        <v>37.799999999999997</v>
      </c>
      <c r="O218" s="116">
        <v>37.15</v>
      </c>
      <c r="P218" s="116">
        <v>37.325000000000003</v>
      </c>
      <c r="Q218" s="116">
        <v>75.2</v>
      </c>
      <c r="R218">
        <v>63143</v>
      </c>
    </row>
    <row r="219" spans="1:18" x14ac:dyDescent="0.25">
      <c r="A219" s="166">
        <v>42321</v>
      </c>
      <c r="B219" s="116">
        <v>38.024999999999999</v>
      </c>
      <c r="C219" s="116">
        <v>37.774999999999999</v>
      </c>
      <c r="D219" s="116">
        <v>37.25</v>
      </c>
      <c r="E219" s="116">
        <v>37.5</v>
      </c>
      <c r="F219" s="116">
        <v>75.55</v>
      </c>
      <c r="G219">
        <v>50244</v>
      </c>
      <c r="H219" s="116"/>
      <c r="I219" s="116"/>
      <c r="L219" s="166">
        <v>42321</v>
      </c>
      <c r="M219" s="116">
        <v>37.65</v>
      </c>
      <c r="N219" s="116">
        <v>38.200000000000003</v>
      </c>
      <c r="O219" s="116">
        <v>37.174999999999997</v>
      </c>
      <c r="P219" s="116">
        <v>37.35</v>
      </c>
      <c r="Q219" s="116">
        <v>75.3</v>
      </c>
      <c r="R219">
        <v>262245</v>
      </c>
    </row>
    <row r="220" spans="1:18" x14ac:dyDescent="0.25">
      <c r="A220" s="166">
        <v>42324</v>
      </c>
      <c r="B220" s="116">
        <v>39.5</v>
      </c>
      <c r="C220" s="116">
        <v>39.274999999999999</v>
      </c>
      <c r="D220" s="116">
        <v>37.049999999999997</v>
      </c>
      <c r="E220" s="116">
        <v>37.049999999999997</v>
      </c>
      <c r="F220" s="116">
        <v>78.55</v>
      </c>
      <c r="G220">
        <v>126808</v>
      </c>
      <c r="H220" s="116"/>
      <c r="I220" s="116"/>
      <c r="L220" s="166">
        <v>42324</v>
      </c>
      <c r="M220" s="116">
        <v>39.325000000000003</v>
      </c>
      <c r="N220" s="116">
        <v>39.549999999999997</v>
      </c>
      <c r="O220" s="116">
        <v>37.1</v>
      </c>
      <c r="P220" s="116">
        <v>37.450000000000003</v>
      </c>
      <c r="Q220" s="116">
        <v>78.650000000000006</v>
      </c>
      <c r="R220">
        <v>527090</v>
      </c>
    </row>
    <row r="221" spans="1:18" x14ac:dyDescent="0.25">
      <c r="A221" s="166">
        <v>42325</v>
      </c>
      <c r="B221" s="116">
        <v>39.950000000000003</v>
      </c>
      <c r="C221" s="116">
        <v>39.174999999999997</v>
      </c>
      <c r="D221" s="116">
        <v>38.6</v>
      </c>
      <c r="E221" s="116">
        <v>39.950000000000003</v>
      </c>
      <c r="F221" s="116">
        <v>78.349999999999994</v>
      </c>
      <c r="G221">
        <v>69880</v>
      </c>
      <c r="H221" s="116"/>
      <c r="I221" s="116"/>
      <c r="L221" s="166">
        <v>42325</v>
      </c>
      <c r="M221" s="116">
        <v>39.125</v>
      </c>
      <c r="N221" s="116">
        <v>39.9</v>
      </c>
      <c r="O221" s="116">
        <v>38.549999999999997</v>
      </c>
      <c r="P221" s="116">
        <v>39.674999999999997</v>
      </c>
      <c r="Q221" s="116">
        <v>78.25</v>
      </c>
      <c r="R221">
        <v>205443</v>
      </c>
    </row>
    <row r="222" spans="1:18" x14ac:dyDescent="0.25">
      <c r="A222" s="166">
        <v>42326</v>
      </c>
      <c r="B222" s="116">
        <v>40.625</v>
      </c>
      <c r="C222" s="116">
        <v>39.475000000000001</v>
      </c>
      <c r="D222" s="116">
        <v>39.274999999999999</v>
      </c>
      <c r="E222" s="116">
        <v>40</v>
      </c>
      <c r="F222" s="116">
        <v>78.95</v>
      </c>
      <c r="G222">
        <v>107578</v>
      </c>
      <c r="H222" s="116"/>
      <c r="I222" s="116"/>
      <c r="L222" s="166">
        <v>42326</v>
      </c>
      <c r="M222" s="116">
        <v>39.5</v>
      </c>
      <c r="N222" s="116">
        <v>40.575000000000003</v>
      </c>
      <c r="O222" s="116">
        <v>39.125</v>
      </c>
      <c r="P222" s="116">
        <v>39.125</v>
      </c>
      <c r="Q222" s="116">
        <v>79</v>
      </c>
      <c r="R222">
        <v>342015</v>
      </c>
    </row>
    <row r="223" spans="1:18" x14ac:dyDescent="0.25">
      <c r="A223" s="166">
        <v>42327</v>
      </c>
      <c r="B223" s="116">
        <v>40.625</v>
      </c>
      <c r="C223" s="116">
        <v>39.825000000000003</v>
      </c>
      <c r="D223" s="116">
        <v>39.549999999999997</v>
      </c>
      <c r="E223" s="116">
        <v>40.625</v>
      </c>
      <c r="F223" s="116">
        <v>79.650000000000006</v>
      </c>
      <c r="G223">
        <v>67611</v>
      </c>
      <c r="H223" s="116"/>
      <c r="I223" s="116"/>
      <c r="L223" s="166">
        <v>42327</v>
      </c>
      <c r="M223" s="116">
        <v>39.799999999999997</v>
      </c>
      <c r="N223" s="116">
        <v>40.5</v>
      </c>
      <c r="O223" s="116">
        <v>39.450000000000003</v>
      </c>
      <c r="P223" s="116">
        <v>40.024999999999999</v>
      </c>
      <c r="Q223" s="116">
        <v>79.599999999999994</v>
      </c>
      <c r="R223">
        <v>200650</v>
      </c>
    </row>
    <row r="224" spans="1:18" x14ac:dyDescent="0.25">
      <c r="A224" s="166">
        <v>42328</v>
      </c>
      <c r="B224" s="116">
        <v>42.35</v>
      </c>
      <c r="C224" s="116">
        <v>41.6</v>
      </c>
      <c r="D224" s="116">
        <v>39.25</v>
      </c>
      <c r="E224" s="116">
        <v>40</v>
      </c>
      <c r="F224" s="116">
        <v>83.2</v>
      </c>
      <c r="G224">
        <v>282207</v>
      </c>
      <c r="H224" s="116"/>
      <c r="I224" s="116"/>
      <c r="L224" s="166">
        <v>42328</v>
      </c>
      <c r="M224" s="116">
        <v>41.625</v>
      </c>
      <c r="N224" s="116">
        <v>42.4</v>
      </c>
      <c r="O224" s="116">
        <v>39.25</v>
      </c>
      <c r="P224" s="116">
        <v>40.200000000000003</v>
      </c>
      <c r="Q224" s="116">
        <v>83.25</v>
      </c>
      <c r="R224">
        <v>753451</v>
      </c>
    </row>
    <row r="225" spans="1:18" x14ac:dyDescent="0.25">
      <c r="A225" s="166">
        <v>42331</v>
      </c>
      <c r="B225" s="116">
        <v>43.524999999999999</v>
      </c>
      <c r="C225" s="116">
        <v>43.2</v>
      </c>
      <c r="D225" s="116">
        <v>40.875</v>
      </c>
      <c r="E225" s="116">
        <v>41.9</v>
      </c>
      <c r="F225" s="116">
        <v>86.4</v>
      </c>
      <c r="G225">
        <v>341749</v>
      </c>
      <c r="H225" s="116"/>
      <c r="I225" s="116"/>
      <c r="L225" s="166">
        <v>42331</v>
      </c>
      <c r="M225" s="116">
        <v>43.225000000000001</v>
      </c>
      <c r="N225" s="116">
        <v>43.45</v>
      </c>
      <c r="O225" s="116">
        <v>40.85</v>
      </c>
      <c r="P225" s="116">
        <v>41.625</v>
      </c>
      <c r="Q225" s="116">
        <v>86.45</v>
      </c>
      <c r="R225">
        <v>905615</v>
      </c>
    </row>
    <row r="226" spans="1:18" x14ac:dyDescent="0.25">
      <c r="A226" s="166">
        <v>42332</v>
      </c>
      <c r="B226" s="116">
        <v>44.2</v>
      </c>
      <c r="C226" s="116">
        <v>42.75</v>
      </c>
      <c r="D226" s="116">
        <v>42.625</v>
      </c>
      <c r="E226" s="116">
        <v>43.6</v>
      </c>
      <c r="F226" s="116">
        <v>85.5</v>
      </c>
      <c r="G226">
        <v>164862</v>
      </c>
      <c r="H226" s="116"/>
      <c r="I226" s="116"/>
      <c r="L226" s="166">
        <v>42332</v>
      </c>
      <c r="M226" s="116">
        <v>42.825000000000003</v>
      </c>
      <c r="N226" s="116">
        <v>44.2</v>
      </c>
      <c r="O226" s="116">
        <v>42.625</v>
      </c>
      <c r="P226" s="116">
        <v>43.35</v>
      </c>
      <c r="Q226" s="116">
        <v>85.65</v>
      </c>
      <c r="R226">
        <v>480894</v>
      </c>
    </row>
    <row r="227" spans="1:18" x14ac:dyDescent="0.25">
      <c r="A227" s="166">
        <v>42334</v>
      </c>
      <c r="B227" s="116">
        <v>43.924999999999997</v>
      </c>
      <c r="C227" s="116">
        <v>43.625</v>
      </c>
      <c r="D227" s="116">
        <v>41.95</v>
      </c>
      <c r="E227" s="116">
        <v>42.774999999999999</v>
      </c>
      <c r="F227" s="116">
        <v>87.25</v>
      </c>
      <c r="G227">
        <v>244092</v>
      </c>
      <c r="H227" s="116"/>
      <c r="I227" s="116"/>
      <c r="L227" s="166">
        <v>42334</v>
      </c>
      <c r="M227" s="116">
        <v>43.674999999999997</v>
      </c>
      <c r="N227" s="116">
        <v>43.95</v>
      </c>
      <c r="O227" s="116">
        <v>41.95</v>
      </c>
      <c r="P227" s="116">
        <v>42.875</v>
      </c>
      <c r="Q227" s="116">
        <v>87.35</v>
      </c>
      <c r="R227">
        <v>600889</v>
      </c>
    </row>
    <row r="228" spans="1:18" x14ac:dyDescent="0.25">
      <c r="A228" s="166">
        <v>42335</v>
      </c>
      <c r="B228" s="116">
        <v>45.3</v>
      </c>
      <c r="C228" s="116">
        <v>43.774999999999999</v>
      </c>
      <c r="D228" s="116">
        <v>43.375</v>
      </c>
      <c r="E228" s="116">
        <v>44.4</v>
      </c>
      <c r="F228" s="116">
        <v>87.55</v>
      </c>
      <c r="G228">
        <v>331581</v>
      </c>
      <c r="H228" s="116"/>
      <c r="I228" s="116"/>
      <c r="L228" s="166">
        <v>42335</v>
      </c>
      <c r="M228" s="116">
        <v>43.725000000000001</v>
      </c>
      <c r="N228" s="116">
        <v>45.35</v>
      </c>
      <c r="O228" s="116">
        <v>43.45</v>
      </c>
      <c r="P228" s="116">
        <v>44.375</v>
      </c>
      <c r="Q228" s="116">
        <v>87.45</v>
      </c>
      <c r="R228">
        <v>1002370</v>
      </c>
    </row>
    <row r="229" spans="1:18" x14ac:dyDescent="0.25">
      <c r="A229" s="166">
        <v>42338</v>
      </c>
      <c r="B229" s="116">
        <v>43.95</v>
      </c>
      <c r="C229" s="116">
        <v>43.575000000000003</v>
      </c>
      <c r="D229" s="116">
        <v>43</v>
      </c>
      <c r="E229" s="116">
        <v>43.625</v>
      </c>
      <c r="F229" s="116">
        <v>87.15</v>
      </c>
      <c r="G229">
        <v>128251</v>
      </c>
      <c r="H229" s="116"/>
      <c r="I229" s="116"/>
      <c r="L229" s="166">
        <v>42338</v>
      </c>
      <c r="M229" s="116">
        <v>43.475000000000001</v>
      </c>
      <c r="N229" s="116">
        <v>43.924999999999997</v>
      </c>
      <c r="O229" s="116">
        <v>42.875</v>
      </c>
      <c r="P229" s="116">
        <v>43.6</v>
      </c>
      <c r="Q229" s="116">
        <v>86.95</v>
      </c>
      <c r="R229">
        <v>330201</v>
      </c>
    </row>
    <row r="230" spans="1:18" x14ac:dyDescent="0.25">
      <c r="A230" s="166">
        <v>42339</v>
      </c>
      <c r="B230" s="116">
        <v>45.075000000000003</v>
      </c>
      <c r="C230" s="116">
        <v>43.95</v>
      </c>
      <c r="D230" s="116">
        <v>43.05</v>
      </c>
      <c r="E230" s="116">
        <v>43.674999999999997</v>
      </c>
      <c r="F230" s="116">
        <v>87.9</v>
      </c>
      <c r="G230">
        <v>199283</v>
      </c>
      <c r="H230" s="116"/>
      <c r="I230" s="116"/>
      <c r="L230" s="166">
        <v>42339</v>
      </c>
      <c r="M230" s="116">
        <v>43.85</v>
      </c>
      <c r="N230" s="116">
        <v>45.125</v>
      </c>
      <c r="O230" s="116">
        <v>43</v>
      </c>
      <c r="P230" s="116">
        <v>43.25</v>
      </c>
      <c r="Q230" s="116">
        <v>87.7</v>
      </c>
      <c r="R230">
        <v>522752</v>
      </c>
    </row>
    <row r="231" spans="1:18" x14ac:dyDescent="0.25">
      <c r="A231" s="166">
        <v>42340</v>
      </c>
      <c r="B231" s="116">
        <v>46.375</v>
      </c>
      <c r="C231" s="116">
        <v>45.35</v>
      </c>
      <c r="D231" s="116">
        <v>43.174999999999997</v>
      </c>
      <c r="E231" s="116">
        <v>43.3</v>
      </c>
      <c r="F231" s="116">
        <v>90.7</v>
      </c>
      <c r="G231">
        <v>423002</v>
      </c>
      <c r="H231" s="116"/>
      <c r="I231" s="116"/>
      <c r="L231" s="166">
        <v>42340</v>
      </c>
      <c r="M231" s="116">
        <v>45.325000000000003</v>
      </c>
      <c r="N231" s="116">
        <v>46.424999999999997</v>
      </c>
      <c r="O231" s="116">
        <v>43.125</v>
      </c>
      <c r="P231" s="116">
        <v>44.1</v>
      </c>
      <c r="Q231" s="116">
        <v>90.65</v>
      </c>
      <c r="R231">
        <v>1196148</v>
      </c>
    </row>
    <row r="232" spans="1:18" x14ac:dyDescent="0.25">
      <c r="A232" s="166">
        <v>42341</v>
      </c>
      <c r="B232" s="116">
        <v>45.85</v>
      </c>
      <c r="C232" s="116">
        <v>44.225000000000001</v>
      </c>
      <c r="D232" s="116">
        <v>43.95</v>
      </c>
      <c r="E232" s="116">
        <v>45.5</v>
      </c>
      <c r="F232" s="116">
        <v>88.45</v>
      </c>
      <c r="G232">
        <v>151080</v>
      </c>
      <c r="H232" s="116"/>
      <c r="I232" s="116"/>
      <c r="L232" s="166">
        <v>42341</v>
      </c>
      <c r="M232" s="116">
        <v>44.25</v>
      </c>
      <c r="N232" s="116">
        <v>45.8</v>
      </c>
      <c r="O232" s="116">
        <v>44</v>
      </c>
      <c r="P232" s="116">
        <v>45.475000000000001</v>
      </c>
      <c r="Q232" s="116">
        <v>88.5</v>
      </c>
      <c r="R232">
        <v>358586</v>
      </c>
    </row>
    <row r="233" spans="1:18" x14ac:dyDescent="0.25">
      <c r="A233" s="166">
        <v>42342</v>
      </c>
      <c r="B233" s="116">
        <v>43.8</v>
      </c>
      <c r="C233" s="116">
        <v>43.024999999999999</v>
      </c>
      <c r="D233" s="116">
        <v>42.5</v>
      </c>
      <c r="E233" s="116">
        <v>43.8</v>
      </c>
      <c r="F233" s="116">
        <v>86.05</v>
      </c>
      <c r="G233">
        <v>289260</v>
      </c>
      <c r="H233" s="116"/>
      <c r="I233" s="116"/>
      <c r="L233" s="166">
        <v>42342</v>
      </c>
      <c r="M233" s="116">
        <v>42.975000000000001</v>
      </c>
      <c r="N233" s="116">
        <v>43.85</v>
      </c>
      <c r="O233" s="116">
        <v>42.45</v>
      </c>
      <c r="P233" s="116">
        <v>43.85</v>
      </c>
      <c r="Q233" s="116">
        <v>85.95</v>
      </c>
      <c r="R233">
        <v>496979</v>
      </c>
    </row>
    <row r="234" spans="1:18" x14ac:dyDescent="0.25">
      <c r="A234" s="166">
        <v>42345</v>
      </c>
      <c r="B234" s="116">
        <v>44.174999999999997</v>
      </c>
      <c r="C234" s="116">
        <v>43.274999999999999</v>
      </c>
      <c r="D234" s="116">
        <v>43.05</v>
      </c>
      <c r="E234" s="116">
        <v>43.4</v>
      </c>
      <c r="F234" s="116">
        <v>86.55</v>
      </c>
      <c r="G234">
        <v>77160</v>
      </c>
      <c r="H234" s="116"/>
      <c r="I234" s="116"/>
      <c r="L234" s="166">
        <v>42345</v>
      </c>
      <c r="M234" s="116">
        <v>43.375</v>
      </c>
      <c r="N234" s="116">
        <v>44.2</v>
      </c>
      <c r="O234" s="116">
        <v>43.05</v>
      </c>
      <c r="P234" s="116">
        <v>43.075000000000003</v>
      </c>
      <c r="Q234" s="116">
        <v>86.75</v>
      </c>
      <c r="R234">
        <v>188421</v>
      </c>
    </row>
    <row r="235" spans="1:18" x14ac:dyDescent="0.25">
      <c r="A235" s="166">
        <v>42346</v>
      </c>
      <c r="B235" s="116">
        <v>44.524999999999999</v>
      </c>
      <c r="C235" s="116">
        <v>42.674999999999997</v>
      </c>
      <c r="D235" s="116">
        <v>42.5</v>
      </c>
      <c r="E235" s="116">
        <v>43.35</v>
      </c>
      <c r="F235" s="116">
        <v>85.35</v>
      </c>
      <c r="G235">
        <v>156172</v>
      </c>
      <c r="H235" s="116"/>
      <c r="I235" s="116"/>
      <c r="L235" s="166">
        <v>42346</v>
      </c>
      <c r="M235" s="116">
        <v>42.625</v>
      </c>
      <c r="N235" s="116">
        <v>44.5</v>
      </c>
      <c r="O235" s="116">
        <v>42.4</v>
      </c>
      <c r="P235" s="116">
        <v>43</v>
      </c>
      <c r="Q235" s="116">
        <v>85.25</v>
      </c>
      <c r="R235">
        <v>450264</v>
      </c>
    </row>
    <row r="236" spans="1:18" x14ac:dyDescent="0.25">
      <c r="A236" s="166">
        <v>42347</v>
      </c>
      <c r="B236" s="116">
        <v>42.95</v>
      </c>
      <c r="C236" s="116">
        <v>40.5</v>
      </c>
      <c r="D236" s="116">
        <v>40.024999999999999</v>
      </c>
      <c r="E236" s="116">
        <v>42.5</v>
      </c>
      <c r="F236" s="116">
        <v>81</v>
      </c>
      <c r="G236">
        <v>115840</v>
      </c>
      <c r="H236" s="116"/>
      <c r="I236" s="116"/>
      <c r="L236" s="166">
        <v>42347</v>
      </c>
      <c r="M236" s="116">
        <v>40.700000000000003</v>
      </c>
      <c r="N236" s="116">
        <v>43.05</v>
      </c>
      <c r="O236" s="116">
        <v>40.200000000000003</v>
      </c>
      <c r="P236" s="116">
        <v>42.924999999999997</v>
      </c>
      <c r="Q236" s="116">
        <v>81.400000000000006</v>
      </c>
      <c r="R236">
        <v>291831</v>
      </c>
    </row>
    <row r="237" spans="1:18" x14ac:dyDescent="0.25">
      <c r="A237" s="166">
        <v>42348</v>
      </c>
      <c r="B237" s="116">
        <v>42.1</v>
      </c>
      <c r="C237" s="116">
        <v>41.774999999999999</v>
      </c>
      <c r="D237" s="116">
        <v>40.4</v>
      </c>
      <c r="E237" s="116">
        <v>41.3</v>
      </c>
      <c r="F237" s="116">
        <v>83.55</v>
      </c>
      <c r="G237">
        <v>81984</v>
      </c>
      <c r="H237" s="116"/>
      <c r="I237" s="116"/>
      <c r="L237" s="166">
        <v>42348</v>
      </c>
      <c r="M237" s="116">
        <v>41.75</v>
      </c>
      <c r="N237" s="116">
        <v>42.1</v>
      </c>
      <c r="O237" s="116">
        <v>40.200000000000003</v>
      </c>
      <c r="P237" s="116">
        <v>41.5</v>
      </c>
      <c r="Q237" s="116">
        <v>83.5</v>
      </c>
      <c r="R237">
        <v>282098</v>
      </c>
    </row>
    <row r="238" spans="1:18" x14ac:dyDescent="0.25">
      <c r="A238" s="166">
        <v>42349</v>
      </c>
      <c r="B238" s="116">
        <v>42.45</v>
      </c>
      <c r="C238" s="116">
        <v>40.65</v>
      </c>
      <c r="D238" s="116">
        <v>40.1</v>
      </c>
      <c r="E238" s="116">
        <v>42.2</v>
      </c>
      <c r="F238" s="116">
        <v>81.3</v>
      </c>
      <c r="G238">
        <v>106215</v>
      </c>
      <c r="H238" s="116"/>
      <c r="I238" s="116"/>
      <c r="L238" s="166">
        <v>42349</v>
      </c>
      <c r="M238" s="116">
        <v>40.75</v>
      </c>
      <c r="N238" s="116">
        <v>42.5</v>
      </c>
      <c r="O238" s="116">
        <v>40.299999999999997</v>
      </c>
      <c r="P238" s="116">
        <v>42</v>
      </c>
      <c r="Q238" s="116">
        <v>81.5</v>
      </c>
      <c r="R238">
        <v>226631</v>
      </c>
    </row>
    <row r="239" spans="1:18" x14ac:dyDescent="0.25">
      <c r="A239" s="166">
        <v>42352</v>
      </c>
      <c r="B239" s="116">
        <v>42.875</v>
      </c>
      <c r="C239" s="116">
        <v>42.55</v>
      </c>
      <c r="D239" s="116">
        <v>40.5</v>
      </c>
      <c r="E239" s="116">
        <v>40.799999999999997</v>
      </c>
      <c r="F239" s="116">
        <v>85.1</v>
      </c>
      <c r="G239">
        <v>149049</v>
      </c>
      <c r="H239" s="116"/>
      <c r="I239" s="116"/>
      <c r="L239" s="166">
        <v>42352</v>
      </c>
      <c r="M239" s="116">
        <v>42.6</v>
      </c>
      <c r="N239" s="116">
        <v>42.9</v>
      </c>
      <c r="O239" s="116">
        <v>40.4</v>
      </c>
      <c r="P239" s="116">
        <v>41</v>
      </c>
      <c r="Q239" s="116">
        <v>85.2</v>
      </c>
      <c r="R239">
        <v>459726</v>
      </c>
    </row>
    <row r="240" spans="1:18" x14ac:dyDescent="0.25">
      <c r="A240" s="166">
        <v>42353</v>
      </c>
      <c r="B240" s="116">
        <v>42.95</v>
      </c>
      <c r="C240" s="116">
        <v>41.975000000000001</v>
      </c>
      <c r="D240" s="116">
        <v>41.65</v>
      </c>
      <c r="E240" s="116">
        <v>42.95</v>
      </c>
      <c r="F240" s="116">
        <v>83.95</v>
      </c>
      <c r="G240">
        <v>42378</v>
      </c>
      <c r="H240" s="116"/>
      <c r="I240" s="116"/>
      <c r="L240" s="166">
        <v>42353</v>
      </c>
      <c r="M240" s="116">
        <v>42</v>
      </c>
      <c r="N240" s="116">
        <v>43.15</v>
      </c>
      <c r="O240" s="116">
        <v>41.65</v>
      </c>
      <c r="P240" s="116">
        <v>42.6</v>
      </c>
      <c r="Q240" s="116">
        <v>84</v>
      </c>
      <c r="R240">
        <v>188771</v>
      </c>
    </row>
    <row r="241" spans="1:18" x14ac:dyDescent="0.25">
      <c r="A241" s="166">
        <v>42354</v>
      </c>
      <c r="B241" s="116">
        <v>42.7</v>
      </c>
      <c r="C241" s="116">
        <v>42.1</v>
      </c>
      <c r="D241" s="116">
        <v>42</v>
      </c>
      <c r="E241" s="116">
        <v>42.225000000000001</v>
      </c>
      <c r="F241" s="116">
        <v>84.2</v>
      </c>
      <c r="G241">
        <v>42819</v>
      </c>
      <c r="H241" s="116"/>
      <c r="I241" s="116"/>
      <c r="L241" s="166">
        <v>42354</v>
      </c>
      <c r="M241" s="116">
        <v>42.15</v>
      </c>
      <c r="N241" s="116">
        <v>42.85</v>
      </c>
      <c r="O241" s="116">
        <v>41.825000000000003</v>
      </c>
      <c r="P241" s="116">
        <v>42.3</v>
      </c>
      <c r="Q241" s="116">
        <v>84.3</v>
      </c>
      <c r="R241">
        <v>132758</v>
      </c>
    </row>
    <row r="242" spans="1:18" x14ac:dyDescent="0.25">
      <c r="A242" s="166">
        <v>42355</v>
      </c>
      <c r="B242" s="116">
        <v>43.85</v>
      </c>
      <c r="C242" s="116">
        <v>43.625</v>
      </c>
      <c r="D242" s="116">
        <v>42.274999999999999</v>
      </c>
      <c r="E242" s="116">
        <v>42.6</v>
      </c>
      <c r="F242" s="116">
        <v>87.25</v>
      </c>
      <c r="G242">
        <v>207959</v>
      </c>
      <c r="H242" s="116"/>
      <c r="I242" s="116"/>
      <c r="L242" s="166">
        <v>42355</v>
      </c>
      <c r="M242" s="116">
        <v>43.65</v>
      </c>
      <c r="N242" s="116">
        <v>43.924999999999997</v>
      </c>
      <c r="O242" s="116">
        <v>42.25</v>
      </c>
      <c r="P242" s="116">
        <v>42.65</v>
      </c>
      <c r="Q242" s="116">
        <v>87.3</v>
      </c>
      <c r="R242">
        <v>418745</v>
      </c>
    </row>
    <row r="243" spans="1:18" x14ac:dyDescent="0.25">
      <c r="A243" s="166">
        <v>42356</v>
      </c>
      <c r="B243" s="116">
        <v>44.7</v>
      </c>
      <c r="C243" s="116">
        <v>43.575000000000003</v>
      </c>
      <c r="D243" s="116">
        <v>43.35</v>
      </c>
      <c r="E243" s="116">
        <v>44.05</v>
      </c>
      <c r="F243" s="116">
        <v>87.15</v>
      </c>
      <c r="G243">
        <v>84670</v>
      </c>
      <c r="H243" s="116"/>
      <c r="I243" s="116"/>
      <c r="L243" s="166">
        <v>42356</v>
      </c>
      <c r="M243" s="116">
        <v>43.625</v>
      </c>
      <c r="N243" s="116">
        <v>44.75</v>
      </c>
      <c r="O243" s="116">
        <v>43.424999999999997</v>
      </c>
      <c r="P243" s="116">
        <v>43.524999999999999</v>
      </c>
      <c r="Q243" s="116">
        <v>87.25</v>
      </c>
      <c r="R243">
        <v>289343</v>
      </c>
    </row>
    <row r="244" spans="1:18" x14ac:dyDescent="0.25">
      <c r="A244" s="166">
        <v>42359</v>
      </c>
      <c r="B244" s="116">
        <v>44.35</v>
      </c>
      <c r="C244" s="116">
        <v>43.95</v>
      </c>
      <c r="D244" s="116">
        <v>43.325000000000003</v>
      </c>
      <c r="E244" s="116">
        <v>43.325000000000003</v>
      </c>
      <c r="F244" s="116">
        <v>87.9</v>
      </c>
      <c r="G244">
        <v>51266</v>
      </c>
      <c r="H244" s="116"/>
      <c r="I244" s="116"/>
      <c r="L244" s="166">
        <v>42359</v>
      </c>
      <c r="M244" s="116">
        <v>44.05</v>
      </c>
      <c r="N244" s="116">
        <v>44.45</v>
      </c>
      <c r="O244" s="116">
        <v>43.35</v>
      </c>
      <c r="P244" s="116">
        <v>43.7</v>
      </c>
      <c r="Q244" s="116">
        <v>88.1</v>
      </c>
      <c r="R244">
        <v>174876</v>
      </c>
    </row>
    <row r="245" spans="1:18" x14ac:dyDescent="0.25">
      <c r="A245" s="166">
        <v>42360</v>
      </c>
      <c r="B245" s="116">
        <v>44.4</v>
      </c>
      <c r="C245" s="116">
        <v>43.325000000000003</v>
      </c>
      <c r="D245" s="116">
        <v>43.125</v>
      </c>
      <c r="E245" s="116">
        <v>44.35</v>
      </c>
      <c r="F245" s="116">
        <v>86.65</v>
      </c>
      <c r="G245">
        <v>32707</v>
      </c>
      <c r="H245" s="116"/>
      <c r="I245" s="116"/>
      <c r="L245" s="166">
        <v>42360</v>
      </c>
      <c r="M245" s="116">
        <v>43.274999999999999</v>
      </c>
      <c r="N245" s="116">
        <v>44.424999999999997</v>
      </c>
      <c r="O245" s="116">
        <v>43.1</v>
      </c>
      <c r="P245" s="116">
        <v>44.4</v>
      </c>
      <c r="Q245" s="116">
        <v>86.55</v>
      </c>
      <c r="R245">
        <v>145315</v>
      </c>
    </row>
    <row r="246" spans="1:18" x14ac:dyDescent="0.25">
      <c r="A246" s="166">
        <v>42361</v>
      </c>
      <c r="B246" s="116">
        <v>44.424999999999997</v>
      </c>
      <c r="C246" s="116">
        <v>43.75</v>
      </c>
      <c r="D246" s="116">
        <v>43.024999999999999</v>
      </c>
      <c r="E246" s="116">
        <v>43.45</v>
      </c>
      <c r="F246" s="116">
        <v>87.5</v>
      </c>
      <c r="G246">
        <v>91318</v>
      </c>
      <c r="H246" s="116"/>
      <c r="I246" s="116"/>
      <c r="L246" s="166">
        <v>42361</v>
      </c>
      <c r="M246" s="116">
        <v>43.7</v>
      </c>
      <c r="N246" s="116">
        <v>44.35</v>
      </c>
      <c r="O246" s="116">
        <v>42.85</v>
      </c>
      <c r="P246" s="116">
        <v>43.75</v>
      </c>
      <c r="Q246" s="116">
        <v>87.4</v>
      </c>
      <c r="R246">
        <v>311503</v>
      </c>
    </row>
    <row r="247" spans="1:18" x14ac:dyDescent="0.25">
      <c r="A247" s="166">
        <v>42362</v>
      </c>
      <c r="B247" s="116">
        <v>43.8</v>
      </c>
      <c r="C247" s="116">
        <v>43</v>
      </c>
      <c r="D247" s="116">
        <v>42.825000000000003</v>
      </c>
      <c r="E247" s="116">
        <v>43.25</v>
      </c>
      <c r="F247" s="116">
        <v>86</v>
      </c>
      <c r="G247">
        <v>53199</v>
      </c>
      <c r="H247" s="116"/>
      <c r="I247" s="116"/>
      <c r="L247" s="166">
        <v>42362</v>
      </c>
      <c r="M247" s="116">
        <v>42.975000000000001</v>
      </c>
      <c r="N247" s="116">
        <v>43.85</v>
      </c>
      <c r="O247" s="116">
        <v>42.75</v>
      </c>
      <c r="P247" s="116">
        <v>43.35</v>
      </c>
      <c r="Q247" s="116">
        <v>85.95</v>
      </c>
      <c r="R247">
        <v>211067</v>
      </c>
    </row>
    <row r="248" spans="1:18" x14ac:dyDescent="0.25">
      <c r="A248" s="166">
        <v>42366</v>
      </c>
      <c r="B248" s="116">
        <v>43.4</v>
      </c>
      <c r="C248" s="116">
        <v>42.625</v>
      </c>
      <c r="D248" s="116">
        <v>42.15</v>
      </c>
      <c r="E248" s="116">
        <v>43</v>
      </c>
      <c r="F248" s="116">
        <v>85.25</v>
      </c>
      <c r="G248">
        <v>29748</v>
      </c>
      <c r="H248" s="116"/>
      <c r="I248" s="116"/>
      <c r="L248" s="166">
        <v>42366</v>
      </c>
      <c r="M248" s="116">
        <v>42.6</v>
      </c>
      <c r="N248" s="116">
        <v>43.375</v>
      </c>
      <c r="O248" s="116">
        <v>42.125</v>
      </c>
      <c r="P248" s="116">
        <v>42.85</v>
      </c>
      <c r="Q248" s="116">
        <v>85.2</v>
      </c>
      <c r="R248">
        <v>163055</v>
      </c>
    </row>
    <row r="249" spans="1:18" x14ac:dyDescent="0.25">
      <c r="A249" s="166">
        <v>42367</v>
      </c>
      <c r="B249" s="116">
        <v>43.45</v>
      </c>
      <c r="C249" s="116">
        <v>42.65</v>
      </c>
      <c r="D249" s="116">
        <v>42.4</v>
      </c>
      <c r="E249" s="116">
        <v>42.9</v>
      </c>
      <c r="F249" s="116">
        <v>85.3</v>
      </c>
      <c r="G249">
        <v>64301</v>
      </c>
      <c r="H249" s="116"/>
      <c r="I249" s="116"/>
      <c r="L249" s="166">
        <v>42367</v>
      </c>
      <c r="M249" s="116">
        <v>42.625</v>
      </c>
      <c r="N249" s="116">
        <v>43.35</v>
      </c>
      <c r="O249" s="116">
        <v>42.35</v>
      </c>
      <c r="P249" s="116">
        <v>42.75</v>
      </c>
      <c r="Q249" s="116">
        <v>85.25</v>
      </c>
      <c r="R249">
        <v>194286</v>
      </c>
    </row>
    <row r="250" spans="1:18" x14ac:dyDescent="0.25">
      <c r="A250" s="166">
        <v>42368</v>
      </c>
      <c r="B250" s="116">
        <v>42.924999999999997</v>
      </c>
      <c r="C250" s="116">
        <v>41.7</v>
      </c>
      <c r="D250" s="116">
        <v>41.55</v>
      </c>
      <c r="E250" s="116">
        <v>42.825000000000003</v>
      </c>
      <c r="F250" s="116">
        <v>83.4</v>
      </c>
      <c r="G250">
        <v>41128</v>
      </c>
      <c r="H250" s="116"/>
      <c r="I250" s="116"/>
      <c r="L250" s="166">
        <v>42368</v>
      </c>
      <c r="M250" s="116">
        <v>41.7</v>
      </c>
      <c r="N250" s="116">
        <v>42.9</v>
      </c>
      <c r="O250" s="116">
        <v>41.55</v>
      </c>
      <c r="P250" s="116">
        <v>42.825000000000003</v>
      </c>
      <c r="Q250" s="116">
        <v>83.4</v>
      </c>
      <c r="R250">
        <v>157583</v>
      </c>
    </row>
    <row r="251" spans="1:18" x14ac:dyDescent="0.25">
      <c r="A251" s="166">
        <v>42369</v>
      </c>
      <c r="B251" s="116">
        <v>42.35</v>
      </c>
      <c r="C251" s="116">
        <v>42.125</v>
      </c>
      <c r="D251" s="116">
        <v>41.774999999999999</v>
      </c>
      <c r="E251" s="116">
        <v>42.05</v>
      </c>
      <c r="F251" s="116">
        <v>84.25</v>
      </c>
      <c r="G251">
        <v>28603</v>
      </c>
      <c r="H251" s="116"/>
      <c r="I251" s="116"/>
      <c r="L251" s="166">
        <v>42369</v>
      </c>
      <c r="M251" s="116">
        <v>42.1</v>
      </c>
      <c r="N251" s="116">
        <v>42.325000000000003</v>
      </c>
      <c r="O251" s="116">
        <v>41.674999999999997</v>
      </c>
      <c r="P251" s="116">
        <v>42.125</v>
      </c>
      <c r="Q251" s="116">
        <v>84.2</v>
      </c>
      <c r="R251">
        <v>134146</v>
      </c>
    </row>
    <row r="252" spans="1:18" x14ac:dyDescent="0.25">
      <c r="A252" s="166">
        <v>42370</v>
      </c>
      <c r="B252" s="116">
        <v>42.725000000000001</v>
      </c>
      <c r="C252" s="116">
        <v>42.3</v>
      </c>
      <c r="D252" s="116">
        <v>42.024999999999999</v>
      </c>
      <c r="E252" s="116">
        <v>42.375</v>
      </c>
      <c r="F252" s="116">
        <v>84.6</v>
      </c>
      <c r="G252">
        <v>57483</v>
      </c>
      <c r="H252" s="116"/>
      <c r="I252" s="116"/>
      <c r="L252" s="166">
        <v>42370</v>
      </c>
      <c r="M252" s="116">
        <v>42.174999999999997</v>
      </c>
      <c r="N252" s="116">
        <v>42.65</v>
      </c>
      <c r="O252" s="116">
        <v>41.924999999999997</v>
      </c>
      <c r="P252" s="116">
        <v>42.375</v>
      </c>
      <c r="Q252" s="116">
        <v>84.35</v>
      </c>
      <c r="R252">
        <v>173139</v>
      </c>
    </row>
    <row r="253" spans="1:18" x14ac:dyDescent="0.25">
      <c r="A253" s="166">
        <v>42373</v>
      </c>
      <c r="B253" s="116">
        <v>42.875</v>
      </c>
      <c r="C253" s="116">
        <v>41.15</v>
      </c>
      <c r="D253" s="116">
        <v>41.05</v>
      </c>
      <c r="E253" s="116">
        <v>42.05</v>
      </c>
      <c r="F253" s="116">
        <v>82.3</v>
      </c>
      <c r="G253">
        <v>50269</v>
      </c>
      <c r="H253" s="116"/>
      <c r="I253" s="116"/>
      <c r="L253" s="166">
        <v>42373</v>
      </c>
      <c r="M253" s="116">
        <v>41.15</v>
      </c>
      <c r="N253" s="116">
        <v>42.9</v>
      </c>
      <c r="O253" s="116">
        <v>41.024999999999999</v>
      </c>
      <c r="P253" s="116">
        <v>42</v>
      </c>
      <c r="Q253" s="116">
        <v>82.3</v>
      </c>
      <c r="R253">
        <v>169891</v>
      </c>
    </row>
    <row r="254" spans="1:18" x14ac:dyDescent="0.25">
      <c r="A254" s="166">
        <v>42374</v>
      </c>
      <c r="B254" s="116">
        <v>42.2</v>
      </c>
      <c r="C254" s="116">
        <v>41.524999999999999</v>
      </c>
      <c r="D254" s="116">
        <v>40.75</v>
      </c>
      <c r="E254" s="116">
        <v>40.75</v>
      </c>
      <c r="F254" s="116">
        <v>83.05</v>
      </c>
      <c r="G254">
        <v>71487</v>
      </c>
      <c r="H254" s="116"/>
      <c r="I254" s="116"/>
      <c r="L254" s="166">
        <v>42374</v>
      </c>
      <c r="M254" s="116">
        <v>41.524999999999999</v>
      </c>
      <c r="N254" s="116">
        <v>42.15</v>
      </c>
      <c r="O254" s="116">
        <v>40.5</v>
      </c>
      <c r="P254" s="116">
        <v>41.5</v>
      </c>
      <c r="Q254" s="116">
        <v>83.05</v>
      </c>
      <c r="R254">
        <v>187437</v>
      </c>
    </row>
    <row r="255" spans="1:18" x14ac:dyDescent="0.25">
      <c r="A255" s="166">
        <v>42375</v>
      </c>
      <c r="B255" s="116">
        <v>41.9</v>
      </c>
      <c r="C255" s="116">
        <v>41.05</v>
      </c>
      <c r="D255" s="116">
        <v>40.75</v>
      </c>
      <c r="E255" s="116">
        <v>40.75</v>
      </c>
      <c r="F255" s="116">
        <v>82.1</v>
      </c>
      <c r="G255">
        <v>64024</v>
      </c>
      <c r="H255" s="116"/>
      <c r="I255" s="116"/>
      <c r="L255" s="166">
        <v>42375</v>
      </c>
      <c r="M255" s="116">
        <v>41.05</v>
      </c>
      <c r="N255" s="116">
        <v>41.975000000000001</v>
      </c>
      <c r="O255" s="116">
        <v>40.700000000000003</v>
      </c>
      <c r="P255" s="116">
        <v>41.75</v>
      </c>
      <c r="Q255" s="116">
        <v>82.1</v>
      </c>
      <c r="R255">
        <v>198630</v>
      </c>
    </row>
    <row r="256" spans="1:18" x14ac:dyDescent="0.25">
      <c r="A256" s="166">
        <v>42376</v>
      </c>
      <c r="B256" s="116">
        <v>40.950000000000003</v>
      </c>
      <c r="C256" s="116">
        <v>38.375</v>
      </c>
      <c r="D256" s="116">
        <v>38.1</v>
      </c>
      <c r="E256" s="116">
        <v>40.575000000000003</v>
      </c>
      <c r="F256" s="116">
        <v>76.75</v>
      </c>
      <c r="G256">
        <v>90835</v>
      </c>
      <c r="H256" s="116"/>
      <c r="I256" s="116"/>
      <c r="L256" s="166">
        <v>42376</v>
      </c>
      <c r="M256" s="116">
        <v>38.325000000000003</v>
      </c>
      <c r="N256" s="116">
        <v>40.950000000000003</v>
      </c>
      <c r="O256" s="116">
        <v>38.075000000000003</v>
      </c>
      <c r="P256" s="116">
        <v>40.5</v>
      </c>
      <c r="Q256" s="116">
        <v>76.650000000000006</v>
      </c>
      <c r="R256">
        <v>350606</v>
      </c>
    </row>
    <row r="257" spans="1:18" x14ac:dyDescent="0.25">
      <c r="A257" s="166">
        <v>42377</v>
      </c>
      <c r="B257" s="116">
        <v>39.475000000000001</v>
      </c>
      <c r="C257" s="116">
        <v>39.174999999999997</v>
      </c>
      <c r="D257" s="116">
        <v>38.35</v>
      </c>
      <c r="E257" s="116">
        <v>38.35</v>
      </c>
      <c r="F257" s="116">
        <v>78.349999999999994</v>
      </c>
      <c r="G257">
        <v>48221</v>
      </c>
      <c r="H257" s="116"/>
      <c r="I257" s="116"/>
      <c r="L257" s="166">
        <v>42377</v>
      </c>
      <c r="M257" s="116">
        <v>39.174999999999997</v>
      </c>
      <c r="N257" s="116">
        <v>39.450000000000003</v>
      </c>
      <c r="O257" s="116">
        <v>38.524999999999999</v>
      </c>
      <c r="P257" s="116">
        <v>39</v>
      </c>
      <c r="Q257" s="116">
        <v>78.349999999999994</v>
      </c>
      <c r="R257">
        <v>130125</v>
      </c>
    </row>
    <row r="258" spans="1:18" x14ac:dyDescent="0.25">
      <c r="A258" s="166">
        <v>42380</v>
      </c>
      <c r="B258" s="116">
        <v>38.825000000000003</v>
      </c>
      <c r="C258" s="116">
        <v>38.274999999999999</v>
      </c>
      <c r="D258" s="116">
        <v>38.075000000000003</v>
      </c>
      <c r="E258" s="116">
        <v>38.65</v>
      </c>
      <c r="F258" s="116">
        <v>76.55</v>
      </c>
      <c r="G258">
        <v>59941</v>
      </c>
      <c r="H258" s="116"/>
      <c r="I258" s="116"/>
      <c r="L258" s="166">
        <v>42380</v>
      </c>
      <c r="M258" s="116">
        <v>38.35</v>
      </c>
      <c r="N258" s="116">
        <v>38.9</v>
      </c>
      <c r="O258" s="116">
        <v>38</v>
      </c>
      <c r="P258" s="116">
        <v>38.9</v>
      </c>
      <c r="Q258" s="116">
        <v>76.7</v>
      </c>
      <c r="R258">
        <v>135139</v>
      </c>
    </row>
    <row r="259" spans="1:18" x14ac:dyDescent="0.25">
      <c r="A259" s="166">
        <v>42381</v>
      </c>
      <c r="B259" s="116">
        <v>38.825000000000003</v>
      </c>
      <c r="C259" s="116">
        <v>37.524999999999999</v>
      </c>
      <c r="D259" s="116">
        <v>37.299999999999997</v>
      </c>
      <c r="E259" s="116">
        <v>38.200000000000003</v>
      </c>
      <c r="F259" s="116">
        <v>75.05</v>
      </c>
      <c r="G259">
        <v>39582</v>
      </c>
      <c r="H259" s="116"/>
      <c r="I259" s="116"/>
      <c r="L259" s="166">
        <v>42381</v>
      </c>
      <c r="M259" s="116">
        <v>37.5</v>
      </c>
      <c r="N259" s="116">
        <v>38.75</v>
      </c>
      <c r="O259" s="116">
        <v>37.299999999999997</v>
      </c>
      <c r="P259" s="116">
        <v>38.25</v>
      </c>
      <c r="Q259" s="116">
        <v>75</v>
      </c>
      <c r="R259">
        <v>126698</v>
      </c>
    </row>
    <row r="260" spans="1:18" x14ac:dyDescent="0.25">
      <c r="A260" s="166">
        <v>42382</v>
      </c>
      <c r="B260" s="116">
        <v>38.725000000000001</v>
      </c>
      <c r="C260" s="116">
        <v>36.85</v>
      </c>
      <c r="D260" s="116">
        <v>35.625</v>
      </c>
      <c r="E260" s="116">
        <v>37.75</v>
      </c>
      <c r="F260" s="116">
        <v>73.7</v>
      </c>
      <c r="G260">
        <v>130039</v>
      </c>
      <c r="H260" s="116"/>
      <c r="I260" s="116"/>
      <c r="L260" s="166">
        <v>42382</v>
      </c>
      <c r="M260" s="116">
        <v>36.774999999999999</v>
      </c>
      <c r="N260" s="116">
        <v>38.9</v>
      </c>
      <c r="O260" s="116">
        <v>35.674999999999997</v>
      </c>
      <c r="P260" s="116">
        <v>37.524999999999999</v>
      </c>
      <c r="Q260" s="116">
        <v>73.55</v>
      </c>
      <c r="R260">
        <v>302819</v>
      </c>
    </row>
    <row r="261" spans="1:18" x14ac:dyDescent="0.25">
      <c r="A261" s="166">
        <v>42383</v>
      </c>
      <c r="B261" s="116">
        <v>36.774999999999999</v>
      </c>
      <c r="C261" s="116">
        <v>36.450000000000003</v>
      </c>
      <c r="D261" s="116">
        <v>35.299999999999997</v>
      </c>
      <c r="E261" s="116">
        <v>35.299999999999997</v>
      </c>
      <c r="F261" s="116">
        <v>72.900000000000006</v>
      </c>
      <c r="G261">
        <v>100027</v>
      </c>
      <c r="H261" s="116"/>
      <c r="I261" s="116"/>
      <c r="L261" s="166">
        <v>42383</v>
      </c>
      <c r="M261" s="116">
        <v>36.524999999999999</v>
      </c>
      <c r="N261" s="116">
        <v>36.825000000000003</v>
      </c>
      <c r="O261" s="116">
        <v>35</v>
      </c>
      <c r="P261" s="116">
        <v>35</v>
      </c>
      <c r="Q261" s="116">
        <v>73.05</v>
      </c>
      <c r="R261">
        <v>201110</v>
      </c>
    </row>
    <row r="262" spans="1:18" x14ac:dyDescent="0.25">
      <c r="A262" s="166">
        <v>42384</v>
      </c>
      <c r="B262" s="116">
        <v>37.024999999999999</v>
      </c>
      <c r="C262" s="116">
        <v>34</v>
      </c>
      <c r="D262" s="116">
        <v>33.6</v>
      </c>
      <c r="E262" s="116">
        <v>36.524999999999999</v>
      </c>
      <c r="F262" s="116">
        <v>68</v>
      </c>
      <c r="G262">
        <v>87014</v>
      </c>
      <c r="H262" s="116"/>
      <c r="I262" s="116"/>
      <c r="L262" s="166">
        <v>42384</v>
      </c>
      <c r="M262" s="116">
        <v>34.1</v>
      </c>
      <c r="N262" s="116">
        <v>37</v>
      </c>
      <c r="O262" s="116">
        <v>33.75</v>
      </c>
      <c r="P262" s="116">
        <v>36.524999999999999</v>
      </c>
      <c r="Q262" s="116">
        <v>68.2</v>
      </c>
      <c r="R262">
        <v>127792</v>
      </c>
    </row>
    <row r="263" spans="1:18" x14ac:dyDescent="0.25">
      <c r="A263" s="166">
        <v>42387</v>
      </c>
      <c r="B263" s="116">
        <v>33.524999999999999</v>
      </c>
      <c r="C263" s="116">
        <v>32.299999999999997</v>
      </c>
      <c r="D263" s="116">
        <v>31.25</v>
      </c>
      <c r="E263" s="116">
        <v>32.799999999999997</v>
      </c>
      <c r="F263" s="116">
        <v>64.599999999999994</v>
      </c>
      <c r="G263">
        <v>100574</v>
      </c>
      <c r="H263" s="116"/>
      <c r="I263" s="116"/>
      <c r="L263" s="166">
        <v>42387</v>
      </c>
      <c r="M263" s="116">
        <v>32.25</v>
      </c>
      <c r="N263" s="116">
        <v>33.475000000000001</v>
      </c>
      <c r="O263" s="116">
        <v>31.324999999999999</v>
      </c>
      <c r="P263" s="116">
        <v>33</v>
      </c>
      <c r="Q263" s="116">
        <v>64.5</v>
      </c>
      <c r="R263">
        <v>151063</v>
      </c>
    </row>
    <row r="264" spans="1:18" x14ac:dyDescent="0.25">
      <c r="A264" s="166">
        <v>42388</v>
      </c>
      <c r="B264" s="116">
        <v>33.674999999999997</v>
      </c>
      <c r="C264" s="116">
        <v>33.5</v>
      </c>
      <c r="D264" s="116">
        <v>32.25</v>
      </c>
      <c r="E264" s="116">
        <v>32.75</v>
      </c>
      <c r="F264" s="116">
        <v>67</v>
      </c>
      <c r="G264">
        <v>51196</v>
      </c>
      <c r="H264" s="116"/>
      <c r="I264" s="116"/>
      <c r="L264" s="166">
        <v>42388</v>
      </c>
      <c r="M264" s="116">
        <v>33.524999999999999</v>
      </c>
      <c r="N264" s="116">
        <v>33.75</v>
      </c>
      <c r="O264" s="116">
        <v>32</v>
      </c>
      <c r="P264" s="116">
        <v>32.5</v>
      </c>
      <c r="Q264" s="116">
        <v>67.05</v>
      </c>
      <c r="R264">
        <v>152569</v>
      </c>
    </row>
    <row r="265" spans="1:18" x14ac:dyDescent="0.25">
      <c r="A265" s="166">
        <v>42389</v>
      </c>
      <c r="B265" s="116">
        <v>33.5</v>
      </c>
      <c r="C265" s="116">
        <v>31.45</v>
      </c>
      <c r="D265" s="116">
        <v>30.6</v>
      </c>
      <c r="E265" s="116">
        <v>32.1</v>
      </c>
      <c r="F265" s="116">
        <v>62.9</v>
      </c>
      <c r="G265">
        <v>46629</v>
      </c>
      <c r="H265" s="116"/>
      <c r="I265" s="116"/>
      <c r="L265" s="166">
        <v>42389</v>
      </c>
      <c r="M265" s="116">
        <v>31.425000000000001</v>
      </c>
      <c r="N265" s="116">
        <v>35</v>
      </c>
      <c r="O265" s="116">
        <v>30.5</v>
      </c>
      <c r="P265" s="116">
        <v>32.9</v>
      </c>
      <c r="Q265" s="116">
        <v>62.85</v>
      </c>
      <c r="R265">
        <v>187585</v>
      </c>
    </row>
    <row r="266" spans="1:18" x14ac:dyDescent="0.25">
      <c r="A266" s="166">
        <v>42390</v>
      </c>
      <c r="B266" s="116">
        <v>33.274999999999999</v>
      </c>
      <c r="C266" s="116">
        <v>32.174999999999997</v>
      </c>
      <c r="D266" s="116">
        <v>31.7</v>
      </c>
      <c r="E266" s="116">
        <v>32.450000000000003</v>
      </c>
      <c r="F266" s="116">
        <v>64.349999999999994</v>
      </c>
      <c r="G266">
        <v>67815</v>
      </c>
      <c r="H266" s="116"/>
      <c r="I266" s="116"/>
      <c r="L266" s="166">
        <v>42390</v>
      </c>
      <c r="M266" s="116">
        <v>32.174999999999997</v>
      </c>
      <c r="N266" s="116">
        <v>33.4</v>
      </c>
      <c r="O266" s="116">
        <v>31.75</v>
      </c>
      <c r="P266" s="116">
        <v>32.575000000000003</v>
      </c>
      <c r="Q266" s="116">
        <v>64.349999999999994</v>
      </c>
      <c r="R266">
        <v>279130</v>
      </c>
    </row>
    <row r="267" spans="1:18" x14ac:dyDescent="0.25">
      <c r="A267" s="166">
        <v>42391</v>
      </c>
      <c r="B267" s="116">
        <v>33.85</v>
      </c>
      <c r="C267" s="116">
        <v>33.225000000000001</v>
      </c>
      <c r="D267" s="116">
        <v>32.450000000000003</v>
      </c>
      <c r="E267" s="116">
        <v>32.5</v>
      </c>
      <c r="F267" s="116">
        <v>66.45</v>
      </c>
      <c r="G267">
        <v>70597</v>
      </c>
      <c r="H267" s="116"/>
      <c r="I267" s="116"/>
      <c r="L267" s="166">
        <v>42391</v>
      </c>
      <c r="M267" s="116">
        <v>33.15</v>
      </c>
      <c r="N267" s="116">
        <v>33.85</v>
      </c>
      <c r="O267" s="116">
        <v>32.4</v>
      </c>
      <c r="P267" s="116">
        <v>32.65</v>
      </c>
      <c r="Q267" s="116">
        <v>66.3</v>
      </c>
      <c r="R267">
        <v>177831</v>
      </c>
    </row>
    <row r="268" spans="1:18" x14ac:dyDescent="0.25">
      <c r="A268" s="166">
        <v>42394</v>
      </c>
      <c r="B268" s="116">
        <v>33.85</v>
      </c>
      <c r="C268" s="116">
        <v>31.55</v>
      </c>
      <c r="D268" s="116">
        <v>31.25</v>
      </c>
      <c r="E268" s="116">
        <v>33.325000000000003</v>
      </c>
      <c r="F268" s="116">
        <v>63.1</v>
      </c>
      <c r="G268">
        <v>101937</v>
      </c>
      <c r="H268" s="116"/>
      <c r="I268" s="116"/>
      <c r="L268" s="166">
        <v>42394</v>
      </c>
      <c r="M268" s="116">
        <v>31.5</v>
      </c>
      <c r="N268" s="116">
        <v>33.85</v>
      </c>
      <c r="O268" s="116">
        <v>31.274999999999999</v>
      </c>
      <c r="P268" s="116">
        <v>33.4</v>
      </c>
      <c r="Q268" s="116">
        <v>63</v>
      </c>
      <c r="R268">
        <v>309703</v>
      </c>
    </row>
    <row r="269" spans="1:18" x14ac:dyDescent="0.25">
      <c r="A269" s="166">
        <v>42396</v>
      </c>
      <c r="B269" s="116">
        <v>32.725000000000001</v>
      </c>
      <c r="C269" s="116">
        <v>32.450000000000003</v>
      </c>
      <c r="D269" s="116">
        <v>31</v>
      </c>
      <c r="E269" s="116">
        <v>32.200000000000003</v>
      </c>
      <c r="F269" s="116">
        <v>64.900000000000006</v>
      </c>
      <c r="G269">
        <v>89715</v>
      </c>
      <c r="H269" s="116"/>
      <c r="I269" s="116"/>
      <c r="L269" s="166">
        <v>42396</v>
      </c>
      <c r="M269" s="116">
        <v>32.35</v>
      </c>
      <c r="N269" s="116">
        <v>32.825000000000003</v>
      </c>
      <c r="O269" s="116">
        <v>30.95</v>
      </c>
      <c r="P269" s="116">
        <v>31.95</v>
      </c>
      <c r="Q269" s="116">
        <v>64.7</v>
      </c>
      <c r="R269">
        <v>217896</v>
      </c>
    </row>
    <row r="270" spans="1:18" x14ac:dyDescent="0.25">
      <c r="A270" s="166">
        <v>42397</v>
      </c>
      <c r="B270" s="116">
        <v>33.049999999999997</v>
      </c>
      <c r="C270" s="116">
        <v>32.15</v>
      </c>
      <c r="D270" s="116">
        <v>32.024999999999999</v>
      </c>
      <c r="E270" s="116">
        <v>32.4</v>
      </c>
      <c r="F270" s="116">
        <v>64.3</v>
      </c>
      <c r="G270">
        <v>50331</v>
      </c>
      <c r="H270" s="116"/>
      <c r="I270" s="116"/>
      <c r="L270" s="166">
        <v>42397</v>
      </c>
      <c r="M270" s="116">
        <v>32.049999999999997</v>
      </c>
      <c r="N270" s="116">
        <v>33</v>
      </c>
      <c r="O270" s="116">
        <v>31.925000000000001</v>
      </c>
      <c r="P270" s="116">
        <v>32.5</v>
      </c>
      <c r="Q270" s="116">
        <v>64.099999999999994</v>
      </c>
      <c r="R270">
        <v>167573</v>
      </c>
    </row>
    <row r="271" spans="1:18" x14ac:dyDescent="0.25">
      <c r="A271" s="166">
        <v>42398</v>
      </c>
      <c r="B271" s="116">
        <v>32.799999999999997</v>
      </c>
      <c r="C271" s="116">
        <v>32.674999999999997</v>
      </c>
      <c r="D271" s="116">
        <v>31.95</v>
      </c>
      <c r="E271" s="116">
        <v>32.125</v>
      </c>
      <c r="F271" s="116">
        <v>65.349999999999994</v>
      </c>
      <c r="G271">
        <v>46709</v>
      </c>
      <c r="H271" s="116"/>
      <c r="I271" s="116"/>
      <c r="L271" s="166">
        <v>42398</v>
      </c>
      <c r="M271" s="116">
        <v>32.65</v>
      </c>
      <c r="N271" s="116">
        <v>32.9</v>
      </c>
      <c r="O271" s="116">
        <v>32</v>
      </c>
      <c r="P271" s="116">
        <v>32.174999999999997</v>
      </c>
      <c r="Q271" s="116">
        <v>65.3</v>
      </c>
      <c r="R271">
        <v>125579</v>
      </c>
    </row>
    <row r="272" spans="1:18" x14ac:dyDescent="0.25">
      <c r="A272" s="166">
        <v>42401</v>
      </c>
      <c r="B272" s="116">
        <v>35.549999999999997</v>
      </c>
      <c r="C272" s="116">
        <v>34.75</v>
      </c>
      <c r="D272" s="116">
        <v>34.25</v>
      </c>
      <c r="E272" s="116">
        <v>34.25</v>
      </c>
      <c r="F272" s="116">
        <v>69.5</v>
      </c>
      <c r="G272">
        <v>374552</v>
      </c>
      <c r="H272" s="116"/>
      <c r="I272" s="116"/>
      <c r="L272" s="166">
        <v>42401</v>
      </c>
      <c r="M272" s="116">
        <v>34.65</v>
      </c>
      <c r="N272" s="116">
        <v>35.450000000000003</v>
      </c>
      <c r="O272" s="116">
        <v>34.049999999999997</v>
      </c>
      <c r="P272" s="116">
        <v>34.5</v>
      </c>
      <c r="Q272" s="116">
        <v>69.3</v>
      </c>
      <c r="R272">
        <v>1073276</v>
      </c>
    </row>
    <row r="273" spans="1:18" x14ac:dyDescent="0.25">
      <c r="A273" s="166">
        <v>42402</v>
      </c>
      <c r="B273" s="116">
        <v>34.975000000000001</v>
      </c>
      <c r="C273" s="116">
        <v>32.5</v>
      </c>
      <c r="D273" s="116">
        <v>32.25</v>
      </c>
      <c r="E273" s="116">
        <v>34.774999999999999</v>
      </c>
      <c r="F273" s="116">
        <v>65</v>
      </c>
      <c r="G273">
        <v>138402</v>
      </c>
      <c r="H273" s="116"/>
      <c r="I273" s="116"/>
      <c r="L273" s="166">
        <v>42402</v>
      </c>
      <c r="M273" s="116">
        <v>32.375</v>
      </c>
      <c r="N273" s="116">
        <v>34.975000000000001</v>
      </c>
      <c r="O273" s="116">
        <v>32.1</v>
      </c>
      <c r="P273" s="116">
        <v>34.975000000000001</v>
      </c>
      <c r="Q273" s="116">
        <v>64.75</v>
      </c>
      <c r="R273">
        <v>292807</v>
      </c>
    </row>
    <row r="274" spans="1:18" x14ac:dyDescent="0.25">
      <c r="A274" s="166">
        <v>42403</v>
      </c>
      <c r="B274" s="116">
        <v>32.174999999999997</v>
      </c>
      <c r="C274" s="116">
        <v>31.9</v>
      </c>
      <c r="D274" s="116">
        <v>31.5</v>
      </c>
      <c r="E274" s="116">
        <v>31.75</v>
      </c>
      <c r="F274" s="116">
        <v>63.8</v>
      </c>
      <c r="G274">
        <v>41580</v>
      </c>
      <c r="H274" s="116"/>
      <c r="I274" s="116"/>
      <c r="L274" s="166">
        <v>42403</v>
      </c>
      <c r="M274" s="116">
        <v>31.9</v>
      </c>
      <c r="N274" s="116">
        <v>32.200000000000003</v>
      </c>
      <c r="O274" s="116">
        <v>31.5</v>
      </c>
      <c r="P274" s="116">
        <v>31.524999999999999</v>
      </c>
      <c r="Q274" s="116">
        <v>63.8</v>
      </c>
      <c r="R274">
        <v>91895</v>
      </c>
    </row>
    <row r="275" spans="1:18" x14ac:dyDescent="0.25">
      <c r="A275" s="166">
        <v>42404</v>
      </c>
      <c r="B275" s="116">
        <v>32.75</v>
      </c>
      <c r="C275" s="116">
        <v>31.725000000000001</v>
      </c>
      <c r="D275" s="116">
        <v>31.5</v>
      </c>
      <c r="E275" s="116">
        <v>32.375</v>
      </c>
      <c r="F275" s="116">
        <v>63.45</v>
      </c>
      <c r="G275">
        <v>49482</v>
      </c>
      <c r="H275" s="116"/>
      <c r="I275" s="116"/>
      <c r="L275" s="166">
        <v>42404</v>
      </c>
      <c r="M275" s="116">
        <v>31.7</v>
      </c>
      <c r="N275" s="116">
        <v>32.75</v>
      </c>
      <c r="O275" s="116">
        <v>31.5</v>
      </c>
      <c r="P275" s="116">
        <v>32.424999999999997</v>
      </c>
      <c r="Q275" s="116">
        <v>63.4</v>
      </c>
      <c r="R275">
        <v>134337</v>
      </c>
    </row>
    <row r="276" spans="1:18" x14ac:dyDescent="0.25">
      <c r="A276" s="166">
        <v>42405</v>
      </c>
      <c r="B276" s="116">
        <v>32.075000000000003</v>
      </c>
      <c r="C276" s="116">
        <v>31.35</v>
      </c>
      <c r="D276" s="116">
        <v>31.25</v>
      </c>
      <c r="E276" s="116">
        <v>32.075000000000003</v>
      </c>
      <c r="F276" s="116">
        <v>62.7</v>
      </c>
      <c r="G276">
        <v>61118</v>
      </c>
      <c r="H276" s="116"/>
      <c r="I276" s="116"/>
      <c r="L276" s="166">
        <v>42405</v>
      </c>
      <c r="M276" s="116">
        <v>31.25</v>
      </c>
      <c r="N276" s="116">
        <v>32.25</v>
      </c>
      <c r="O276" s="116">
        <v>31.15</v>
      </c>
      <c r="P276" s="116">
        <v>31.8</v>
      </c>
      <c r="Q276" s="116">
        <v>62.5</v>
      </c>
      <c r="R276">
        <v>200743</v>
      </c>
    </row>
    <row r="277" spans="1:18" x14ac:dyDescent="0.25">
      <c r="A277" s="166">
        <v>42408</v>
      </c>
      <c r="B277" s="116">
        <v>31.95</v>
      </c>
      <c r="C277" s="116">
        <v>30.55</v>
      </c>
      <c r="D277" s="116">
        <v>30.35</v>
      </c>
      <c r="E277" s="116">
        <v>31.5</v>
      </c>
      <c r="F277" s="116">
        <v>61.1</v>
      </c>
      <c r="G277">
        <v>85544</v>
      </c>
      <c r="H277" s="116"/>
      <c r="I277" s="116"/>
      <c r="L277" s="166">
        <v>42408</v>
      </c>
      <c r="M277" s="116">
        <v>30.625</v>
      </c>
      <c r="N277" s="116">
        <v>31.95</v>
      </c>
      <c r="O277" s="116">
        <v>30.35</v>
      </c>
      <c r="P277" s="116">
        <v>31.55</v>
      </c>
      <c r="Q277" s="116">
        <v>61.25</v>
      </c>
      <c r="R277">
        <v>197854</v>
      </c>
    </row>
    <row r="278" spans="1:18" x14ac:dyDescent="0.25">
      <c r="A278" s="166">
        <v>42409</v>
      </c>
      <c r="B278" s="116">
        <v>30.45</v>
      </c>
      <c r="C278" s="116">
        <v>29.475000000000001</v>
      </c>
      <c r="D278" s="116">
        <v>29.25</v>
      </c>
      <c r="E278" s="116">
        <v>29.75</v>
      </c>
      <c r="F278" s="116">
        <v>58.95</v>
      </c>
      <c r="G278">
        <v>97297</v>
      </c>
      <c r="H278" s="116"/>
      <c r="I278" s="116"/>
      <c r="L278" s="166">
        <v>42409</v>
      </c>
      <c r="M278" s="116">
        <v>29.5</v>
      </c>
      <c r="N278" s="116">
        <v>30.475000000000001</v>
      </c>
      <c r="O278" s="116">
        <v>29.25</v>
      </c>
      <c r="P278" s="116">
        <v>30.3</v>
      </c>
      <c r="Q278" s="116">
        <v>59</v>
      </c>
      <c r="R278">
        <v>227115</v>
      </c>
    </row>
    <row r="279" spans="1:18" x14ac:dyDescent="0.25">
      <c r="A279" s="166">
        <v>42410</v>
      </c>
      <c r="B279" s="116">
        <v>29.4</v>
      </c>
      <c r="C279" s="116">
        <v>27.425000000000001</v>
      </c>
      <c r="D279" s="116">
        <v>26.824999999999999</v>
      </c>
      <c r="E279" s="116">
        <v>29.4</v>
      </c>
      <c r="F279" s="116">
        <v>54.85</v>
      </c>
      <c r="G279">
        <v>159149</v>
      </c>
      <c r="H279" s="116"/>
      <c r="I279" s="116"/>
      <c r="L279" s="166">
        <v>42410</v>
      </c>
      <c r="M279" s="116">
        <v>27.375</v>
      </c>
      <c r="N279" s="116">
        <v>29.4</v>
      </c>
      <c r="O279" s="116">
        <v>26.85</v>
      </c>
      <c r="P279" s="116">
        <v>29.4</v>
      </c>
      <c r="Q279" s="116">
        <v>54.75</v>
      </c>
      <c r="R279">
        <v>518713</v>
      </c>
    </row>
    <row r="280" spans="1:18" x14ac:dyDescent="0.25">
      <c r="A280" s="166">
        <v>42411</v>
      </c>
      <c r="B280" s="116">
        <v>27.375</v>
      </c>
      <c r="C280" s="116">
        <v>26.425000000000001</v>
      </c>
      <c r="D280" s="116">
        <v>26.25</v>
      </c>
      <c r="E280" s="116">
        <v>27.274999999999999</v>
      </c>
      <c r="F280" s="116">
        <v>52.85</v>
      </c>
      <c r="G280">
        <v>96465</v>
      </c>
      <c r="H280" s="116"/>
      <c r="I280" s="116"/>
      <c r="L280" s="166">
        <v>42411</v>
      </c>
      <c r="M280" s="116">
        <v>26.475000000000001</v>
      </c>
      <c r="N280" s="116">
        <v>27.65</v>
      </c>
      <c r="O280" s="116">
        <v>26.25</v>
      </c>
      <c r="P280" s="116">
        <v>27.25</v>
      </c>
      <c r="Q280" s="116">
        <v>52.95</v>
      </c>
      <c r="R280">
        <v>326537</v>
      </c>
    </row>
    <row r="281" spans="1:18" x14ac:dyDescent="0.25">
      <c r="A281" s="166">
        <v>42412</v>
      </c>
      <c r="B281" s="116">
        <v>26.9</v>
      </c>
      <c r="C281" s="116">
        <v>24.875</v>
      </c>
      <c r="D281" s="116">
        <v>23.75</v>
      </c>
      <c r="E281" s="116">
        <v>26.524999999999999</v>
      </c>
      <c r="F281" s="116">
        <v>49.75</v>
      </c>
      <c r="G281">
        <v>113801</v>
      </c>
      <c r="H281" s="116"/>
      <c r="I281" s="116"/>
      <c r="L281" s="166">
        <v>42412</v>
      </c>
      <c r="M281" s="116">
        <v>24.925000000000001</v>
      </c>
      <c r="N281" s="116">
        <v>26.65</v>
      </c>
      <c r="O281" s="116">
        <v>23.7</v>
      </c>
      <c r="P281" s="116">
        <v>26.65</v>
      </c>
      <c r="Q281" s="116">
        <v>49.85</v>
      </c>
      <c r="R281">
        <v>341088</v>
      </c>
    </row>
    <row r="282" spans="1:18" x14ac:dyDescent="0.25">
      <c r="A282" s="166">
        <v>42415</v>
      </c>
      <c r="B282" s="116">
        <v>26.875</v>
      </c>
      <c r="C282" s="116">
        <v>26.2</v>
      </c>
      <c r="D282" s="116">
        <v>25.65</v>
      </c>
      <c r="E282" s="116">
        <v>25.65</v>
      </c>
      <c r="F282" s="116">
        <v>52.4</v>
      </c>
      <c r="G282">
        <v>63997</v>
      </c>
      <c r="H282" s="116"/>
      <c r="I282" s="116"/>
      <c r="L282" s="166">
        <v>42415</v>
      </c>
      <c r="M282" s="116">
        <v>26.175000000000001</v>
      </c>
      <c r="N282" s="116">
        <v>26.975000000000001</v>
      </c>
      <c r="O282" s="116">
        <v>25.25</v>
      </c>
      <c r="P282" s="116">
        <v>25.25</v>
      </c>
      <c r="Q282" s="116">
        <v>52.35</v>
      </c>
      <c r="R282">
        <v>202516</v>
      </c>
    </row>
    <row r="283" spans="1:18" x14ac:dyDescent="0.25">
      <c r="A283" s="166">
        <v>42416</v>
      </c>
      <c r="B283" s="116">
        <v>27.175000000000001</v>
      </c>
      <c r="C283" s="116">
        <v>24.6</v>
      </c>
      <c r="D283" s="116">
        <v>24.475000000000001</v>
      </c>
      <c r="E283" s="116">
        <v>26.975000000000001</v>
      </c>
      <c r="F283" s="116">
        <v>49.2</v>
      </c>
      <c r="G283">
        <v>89972</v>
      </c>
      <c r="H283" s="116"/>
      <c r="I283" s="116"/>
      <c r="L283" s="166">
        <v>42416</v>
      </c>
      <c r="M283" s="116">
        <v>24.55</v>
      </c>
      <c r="N283" s="116">
        <v>27.25</v>
      </c>
      <c r="O283" s="116">
        <v>24.35</v>
      </c>
      <c r="P283" s="116">
        <v>26.8</v>
      </c>
      <c r="Q283" s="116">
        <v>49.1</v>
      </c>
      <c r="R283">
        <v>319566</v>
      </c>
    </row>
    <row r="284" spans="1:18" x14ac:dyDescent="0.25">
      <c r="A284" s="166">
        <v>42417</v>
      </c>
      <c r="B284" s="116">
        <v>25.375</v>
      </c>
      <c r="C284" s="116">
        <v>25.05</v>
      </c>
      <c r="D284" s="116">
        <v>24.05</v>
      </c>
      <c r="E284" s="116">
        <v>25</v>
      </c>
      <c r="F284" s="116">
        <v>50.1</v>
      </c>
      <c r="G284">
        <v>67354</v>
      </c>
      <c r="H284" s="116"/>
      <c r="I284" s="116"/>
      <c r="L284" s="166">
        <v>42417</v>
      </c>
      <c r="M284" s="116">
        <v>25.15</v>
      </c>
      <c r="N284" s="116">
        <v>25.4</v>
      </c>
      <c r="O284" s="116">
        <v>24</v>
      </c>
      <c r="P284" s="116">
        <v>24.9</v>
      </c>
      <c r="Q284" s="116">
        <v>50.3</v>
      </c>
      <c r="R284">
        <v>200647</v>
      </c>
    </row>
    <row r="285" spans="1:18" x14ac:dyDescent="0.25">
      <c r="A285" s="166">
        <v>42418</v>
      </c>
      <c r="B285" s="116">
        <v>25.925000000000001</v>
      </c>
      <c r="C285" s="116">
        <v>25.15</v>
      </c>
      <c r="D285" s="116">
        <v>24.675000000000001</v>
      </c>
      <c r="E285" s="116">
        <v>25.925000000000001</v>
      </c>
      <c r="F285" s="116">
        <v>50.3</v>
      </c>
      <c r="G285">
        <v>51340</v>
      </c>
      <c r="H285" s="116"/>
      <c r="I285" s="116"/>
      <c r="L285" s="166">
        <v>42418</v>
      </c>
      <c r="M285" s="116">
        <v>25.15</v>
      </c>
      <c r="N285" s="116">
        <v>25.85</v>
      </c>
      <c r="O285" s="116">
        <v>24.6</v>
      </c>
      <c r="P285" s="116">
        <v>25.75</v>
      </c>
      <c r="Q285" s="116">
        <v>50.3</v>
      </c>
      <c r="R285">
        <v>129689</v>
      </c>
    </row>
    <row r="286" spans="1:18" x14ac:dyDescent="0.25">
      <c r="A286" s="166">
        <v>42419</v>
      </c>
      <c r="B286" s="116">
        <v>25.65</v>
      </c>
      <c r="C286" s="116">
        <v>25.35</v>
      </c>
      <c r="D286" s="116">
        <v>24.925000000000001</v>
      </c>
      <c r="E286" s="116">
        <v>25.225000000000001</v>
      </c>
      <c r="F286" s="116">
        <v>50.7</v>
      </c>
      <c r="G286">
        <v>41890</v>
      </c>
      <c r="H286" s="116"/>
      <c r="I286" s="116"/>
      <c r="L286" s="166">
        <v>42419</v>
      </c>
      <c r="M286" s="116">
        <v>25.4</v>
      </c>
      <c r="N286" s="116">
        <v>25.7</v>
      </c>
      <c r="O286" s="116">
        <v>24.7</v>
      </c>
      <c r="P286" s="116">
        <v>24.7</v>
      </c>
      <c r="Q286" s="116">
        <v>50.8</v>
      </c>
      <c r="R286">
        <v>139516</v>
      </c>
    </row>
    <row r="287" spans="1:18" x14ac:dyDescent="0.25">
      <c r="A287" s="166">
        <v>42422</v>
      </c>
      <c r="B287" s="116">
        <v>25.875</v>
      </c>
      <c r="C287" s="116">
        <v>25.8</v>
      </c>
      <c r="D287" s="116">
        <v>25.4</v>
      </c>
      <c r="E287" s="116">
        <v>25.425000000000001</v>
      </c>
      <c r="F287" s="116">
        <v>51.6</v>
      </c>
      <c r="G287">
        <v>43119</v>
      </c>
      <c r="H287" s="116"/>
      <c r="I287" s="116"/>
      <c r="L287" s="166">
        <v>42422</v>
      </c>
      <c r="M287" s="116">
        <v>25.8</v>
      </c>
      <c r="N287" s="116">
        <v>25.9</v>
      </c>
      <c r="O287" s="116">
        <v>25.05</v>
      </c>
      <c r="P287" s="116">
        <v>25.15</v>
      </c>
      <c r="Q287" s="116">
        <v>51.6</v>
      </c>
      <c r="R287">
        <v>104730</v>
      </c>
    </row>
    <row r="288" spans="1:18" x14ac:dyDescent="0.25">
      <c r="A288" s="166">
        <v>42423</v>
      </c>
      <c r="B288" s="116">
        <v>25.975000000000001</v>
      </c>
      <c r="C288" s="116">
        <v>25.024999999999999</v>
      </c>
      <c r="D288" s="116">
        <v>24.85</v>
      </c>
      <c r="E288" s="116">
        <v>25.975000000000001</v>
      </c>
      <c r="F288" s="116">
        <v>50.05</v>
      </c>
      <c r="G288">
        <v>32483</v>
      </c>
      <c r="H288" s="116"/>
      <c r="I288" s="116"/>
      <c r="L288" s="166">
        <v>42423</v>
      </c>
      <c r="M288" s="116">
        <v>25.024999999999999</v>
      </c>
      <c r="N288" s="116">
        <v>25.95</v>
      </c>
      <c r="O288" s="116">
        <v>24.8</v>
      </c>
      <c r="P288" s="116">
        <v>25.55</v>
      </c>
      <c r="Q288" s="116">
        <v>50.05</v>
      </c>
      <c r="R288">
        <v>128903</v>
      </c>
    </row>
    <row r="289" spans="1:18" x14ac:dyDescent="0.25">
      <c r="A289" s="166">
        <v>42424</v>
      </c>
      <c r="B289" s="116">
        <v>25.3</v>
      </c>
      <c r="C289" s="116">
        <v>24.35</v>
      </c>
      <c r="D289" s="116">
        <v>23.95</v>
      </c>
      <c r="E289" s="116">
        <v>25.3</v>
      </c>
      <c r="F289" s="116">
        <v>48.7</v>
      </c>
      <c r="G289">
        <v>87904</v>
      </c>
      <c r="H289" s="116"/>
      <c r="I289" s="116"/>
      <c r="L289" s="166">
        <v>42424</v>
      </c>
      <c r="M289" s="116">
        <v>24.375</v>
      </c>
      <c r="N289" s="116">
        <v>25.25</v>
      </c>
      <c r="O289" s="116">
        <v>23.9</v>
      </c>
      <c r="P289" s="116">
        <v>24.774999999999999</v>
      </c>
      <c r="Q289" s="116">
        <v>48.75</v>
      </c>
      <c r="R289">
        <v>453751</v>
      </c>
    </row>
    <row r="290" spans="1:18" x14ac:dyDescent="0.25">
      <c r="A290" s="166">
        <v>42425</v>
      </c>
      <c r="B290" s="116">
        <v>24.375</v>
      </c>
      <c r="C290" s="116">
        <v>23.925000000000001</v>
      </c>
      <c r="D290" s="116">
        <v>23.75</v>
      </c>
      <c r="E290" s="116">
        <v>24.15</v>
      </c>
      <c r="F290" s="116">
        <v>47.85</v>
      </c>
      <c r="G290">
        <v>41451</v>
      </c>
      <c r="H290" s="116"/>
      <c r="I290" s="116"/>
      <c r="L290" s="166">
        <v>42425</v>
      </c>
      <c r="M290" s="116">
        <v>23.925000000000001</v>
      </c>
      <c r="N290" s="116">
        <v>24.625</v>
      </c>
      <c r="O290" s="116">
        <v>23.824999999999999</v>
      </c>
      <c r="P290" s="116">
        <v>24.625</v>
      </c>
      <c r="Q290" s="116">
        <v>47.85</v>
      </c>
      <c r="R290">
        <v>134856</v>
      </c>
    </row>
    <row r="291" spans="1:18" x14ac:dyDescent="0.25">
      <c r="A291" s="166">
        <v>42426</v>
      </c>
      <c r="B291" s="116">
        <v>24.5</v>
      </c>
      <c r="C291" s="116">
        <v>23.425000000000001</v>
      </c>
      <c r="D291" s="116">
        <v>22.425000000000001</v>
      </c>
      <c r="E291" s="116">
        <v>24.5</v>
      </c>
      <c r="F291" s="116">
        <v>46.85</v>
      </c>
      <c r="G291">
        <v>80942</v>
      </c>
      <c r="H291" s="116"/>
      <c r="I291" s="116"/>
      <c r="L291" s="166">
        <v>42426</v>
      </c>
      <c r="M291" s="116">
        <v>23.375</v>
      </c>
      <c r="N291" s="116">
        <v>24.625</v>
      </c>
      <c r="O291" s="116">
        <v>22.375</v>
      </c>
      <c r="P291" s="116">
        <v>24.625</v>
      </c>
      <c r="Q291" s="116">
        <v>46.75</v>
      </c>
      <c r="R291">
        <v>193745</v>
      </c>
    </row>
    <row r="292" spans="1:18" x14ac:dyDescent="0.25">
      <c r="A292" s="166">
        <v>42429</v>
      </c>
      <c r="B292" s="116">
        <v>24.75</v>
      </c>
      <c r="C292" s="116">
        <v>21.475000000000001</v>
      </c>
      <c r="D292" s="116">
        <v>21.35</v>
      </c>
      <c r="E292" s="116">
        <v>24.75</v>
      </c>
      <c r="F292" s="116">
        <v>42.95</v>
      </c>
      <c r="G292">
        <v>345447</v>
      </c>
      <c r="H292" s="116"/>
      <c r="I292" s="116"/>
      <c r="L292" s="166">
        <v>42429</v>
      </c>
      <c r="M292" s="116">
        <v>21.475000000000001</v>
      </c>
      <c r="N292" s="116">
        <v>24.75</v>
      </c>
      <c r="O292" s="116">
        <v>21.274999999999999</v>
      </c>
      <c r="P292" s="116">
        <v>24.75</v>
      </c>
      <c r="Q292" s="116">
        <v>42.95</v>
      </c>
      <c r="R292">
        <v>773317</v>
      </c>
    </row>
    <row r="293" spans="1:18" x14ac:dyDescent="0.25">
      <c r="A293" s="166">
        <v>42430</v>
      </c>
      <c r="B293" s="116">
        <v>24.5</v>
      </c>
      <c r="C293" s="116">
        <v>24.35</v>
      </c>
      <c r="D293" s="116">
        <v>21.774999999999999</v>
      </c>
      <c r="E293" s="116">
        <v>21.8</v>
      </c>
      <c r="F293" s="116">
        <v>48.7</v>
      </c>
      <c r="G293">
        <v>224282</v>
      </c>
      <c r="H293" s="116"/>
      <c r="I293" s="116"/>
      <c r="L293" s="166">
        <v>42430</v>
      </c>
      <c r="M293" s="116">
        <v>24.375</v>
      </c>
      <c r="N293" s="116">
        <v>24.6</v>
      </c>
      <c r="O293" s="116">
        <v>21.725000000000001</v>
      </c>
      <c r="P293" s="116">
        <v>21.725000000000001</v>
      </c>
      <c r="Q293" s="116">
        <v>48.75</v>
      </c>
      <c r="R293">
        <v>479810</v>
      </c>
    </row>
    <row r="294" spans="1:18" x14ac:dyDescent="0.25">
      <c r="A294" s="166">
        <v>42431</v>
      </c>
      <c r="B294" s="116">
        <v>26.45</v>
      </c>
      <c r="C294" s="116">
        <v>25.824999999999999</v>
      </c>
      <c r="D294" s="116">
        <v>24.35</v>
      </c>
      <c r="E294" s="116">
        <v>24.35</v>
      </c>
      <c r="F294" s="116">
        <v>51.65</v>
      </c>
      <c r="G294">
        <v>238238</v>
      </c>
      <c r="H294" s="116"/>
      <c r="I294" s="116"/>
      <c r="L294" s="166">
        <v>42431</v>
      </c>
      <c r="M294" s="116">
        <v>25.8</v>
      </c>
      <c r="N294" s="116">
        <v>26.475000000000001</v>
      </c>
      <c r="O294" s="116">
        <v>24.524999999999999</v>
      </c>
      <c r="P294" s="116">
        <v>25.175000000000001</v>
      </c>
      <c r="Q294" s="116">
        <v>51.6</v>
      </c>
      <c r="R294">
        <v>448009</v>
      </c>
    </row>
    <row r="295" spans="1:18" x14ac:dyDescent="0.25">
      <c r="A295" s="166">
        <v>42432</v>
      </c>
      <c r="B295" s="116">
        <v>26.3</v>
      </c>
      <c r="C295" s="116">
        <v>25.574999999999999</v>
      </c>
      <c r="D295" s="116">
        <v>24.9</v>
      </c>
      <c r="E295" s="116">
        <v>26.1</v>
      </c>
      <c r="F295" s="116">
        <v>51.15</v>
      </c>
      <c r="G295">
        <v>89238</v>
      </c>
      <c r="H295" s="116"/>
      <c r="I295" s="116"/>
      <c r="L295" s="166">
        <v>42432</v>
      </c>
      <c r="M295" s="116">
        <v>25.6</v>
      </c>
      <c r="N295" s="116">
        <v>26.3</v>
      </c>
      <c r="O295" s="116">
        <v>24.774999999999999</v>
      </c>
      <c r="P295" s="116">
        <v>25.975000000000001</v>
      </c>
      <c r="Q295" s="116">
        <v>51.2</v>
      </c>
      <c r="R295">
        <v>179963</v>
      </c>
    </row>
    <row r="296" spans="1:18" x14ac:dyDescent="0.25">
      <c r="A296" s="166">
        <v>42433</v>
      </c>
      <c r="B296" s="116">
        <v>26.925000000000001</v>
      </c>
      <c r="C296" s="116">
        <v>26.375</v>
      </c>
      <c r="D296" s="116">
        <v>25.274999999999999</v>
      </c>
      <c r="E296" s="116">
        <v>25.75</v>
      </c>
      <c r="F296" s="116">
        <v>52.75</v>
      </c>
      <c r="G296">
        <v>136361</v>
      </c>
      <c r="H296" s="116"/>
      <c r="I296" s="116"/>
      <c r="L296" s="166">
        <v>42433</v>
      </c>
      <c r="M296" s="116">
        <v>26.4</v>
      </c>
      <c r="N296" s="116">
        <v>26.95</v>
      </c>
      <c r="O296" s="116">
        <v>25.25</v>
      </c>
      <c r="P296" s="116">
        <v>25.9</v>
      </c>
      <c r="Q296" s="116">
        <v>52.8</v>
      </c>
      <c r="R296">
        <v>364848</v>
      </c>
    </row>
    <row r="297" spans="1:18" x14ac:dyDescent="0.25">
      <c r="A297" s="166">
        <v>42437</v>
      </c>
      <c r="B297" s="116">
        <v>28.7</v>
      </c>
      <c r="C297" s="116">
        <v>28.4</v>
      </c>
      <c r="D297" s="116">
        <v>27.274999999999999</v>
      </c>
      <c r="E297" s="116">
        <v>27.4</v>
      </c>
      <c r="F297" s="116">
        <v>56.8</v>
      </c>
      <c r="G297">
        <v>711675</v>
      </c>
      <c r="H297" s="116"/>
      <c r="I297" s="116"/>
      <c r="L297" s="166">
        <v>42437</v>
      </c>
      <c r="M297" s="116">
        <v>28.4</v>
      </c>
      <c r="N297" s="116">
        <v>28.75</v>
      </c>
      <c r="O297" s="116">
        <v>27.25</v>
      </c>
      <c r="P297" s="116">
        <v>27.675000000000001</v>
      </c>
      <c r="Q297" s="116">
        <v>56.8</v>
      </c>
      <c r="R297">
        <v>1184544</v>
      </c>
    </row>
    <row r="298" spans="1:18" x14ac:dyDescent="0.25">
      <c r="A298" s="166">
        <v>42438</v>
      </c>
      <c r="B298" s="116">
        <v>28.5</v>
      </c>
      <c r="C298" s="116">
        <v>27.8</v>
      </c>
      <c r="D298" s="116">
        <v>27.55</v>
      </c>
      <c r="E298" s="116">
        <v>28.5</v>
      </c>
      <c r="F298" s="116">
        <v>55.6</v>
      </c>
      <c r="G298">
        <v>103058</v>
      </c>
      <c r="H298" s="116"/>
      <c r="I298" s="116"/>
      <c r="L298" s="166">
        <v>42438</v>
      </c>
      <c r="M298" s="116">
        <v>27.8</v>
      </c>
      <c r="N298" s="116">
        <v>28.225000000000001</v>
      </c>
      <c r="O298" s="116">
        <v>27.55</v>
      </c>
      <c r="P298" s="116">
        <v>28.225000000000001</v>
      </c>
      <c r="Q298" s="116">
        <v>55.6</v>
      </c>
      <c r="R298">
        <v>245107</v>
      </c>
    </row>
    <row r="299" spans="1:18" x14ac:dyDescent="0.25">
      <c r="A299" s="166">
        <v>42439</v>
      </c>
      <c r="B299" s="116">
        <v>29</v>
      </c>
      <c r="C299" s="116">
        <v>28.425000000000001</v>
      </c>
      <c r="D299" s="116">
        <v>27.85</v>
      </c>
      <c r="E299" s="116">
        <v>28.1</v>
      </c>
      <c r="F299" s="116">
        <v>56.85</v>
      </c>
      <c r="G299">
        <v>190282</v>
      </c>
      <c r="H299" s="116"/>
      <c r="I299" s="116"/>
      <c r="L299" s="166">
        <v>42439</v>
      </c>
      <c r="M299" s="116">
        <v>28.4</v>
      </c>
      <c r="N299" s="116">
        <v>28.925000000000001</v>
      </c>
      <c r="O299" s="116">
        <v>27.8</v>
      </c>
      <c r="P299" s="116">
        <v>28.125</v>
      </c>
      <c r="Q299" s="116">
        <v>56.8</v>
      </c>
      <c r="R299">
        <v>844520</v>
      </c>
    </row>
    <row r="300" spans="1:18" x14ac:dyDescent="0.25">
      <c r="A300" s="166">
        <v>42440</v>
      </c>
      <c r="B300" s="116">
        <v>29.4</v>
      </c>
      <c r="C300" s="116">
        <v>29.225000000000001</v>
      </c>
      <c r="D300" s="116">
        <v>28.5</v>
      </c>
      <c r="E300" s="116">
        <v>28.524999999999999</v>
      </c>
      <c r="F300" s="116">
        <v>58.45</v>
      </c>
      <c r="G300">
        <v>179806</v>
      </c>
      <c r="H300" s="116"/>
      <c r="I300" s="116"/>
      <c r="L300" s="166">
        <v>42440</v>
      </c>
      <c r="M300" s="116">
        <v>29.3</v>
      </c>
      <c r="N300" s="116">
        <v>29.45</v>
      </c>
      <c r="O300" s="116">
        <v>28.45</v>
      </c>
      <c r="P300" s="116">
        <v>28.5</v>
      </c>
      <c r="Q300" s="116">
        <v>58.6</v>
      </c>
      <c r="R300">
        <v>675166</v>
      </c>
    </row>
    <row r="301" spans="1:18" x14ac:dyDescent="0.25">
      <c r="A301" s="166">
        <v>42443</v>
      </c>
      <c r="B301" s="116">
        <v>29.5</v>
      </c>
      <c r="C301" s="116">
        <v>29.25</v>
      </c>
      <c r="D301" s="116">
        <v>29</v>
      </c>
      <c r="E301" s="116">
        <v>29.475000000000001</v>
      </c>
      <c r="F301" s="116">
        <v>58.5</v>
      </c>
      <c r="G301">
        <v>166602</v>
      </c>
      <c r="H301" s="116"/>
      <c r="I301" s="116"/>
      <c r="L301" s="166">
        <v>42443</v>
      </c>
      <c r="M301" s="116">
        <v>29.25</v>
      </c>
      <c r="N301" s="116">
        <v>29.5</v>
      </c>
      <c r="O301" s="116">
        <v>28.95</v>
      </c>
      <c r="P301" s="116">
        <v>29.475000000000001</v>
      </c>
      <c r="Q301" s="116">
        <v>58.5</v>
      </c>
      <c r="R301">
        <v>295691</v>
      </c>
    </row>
    <row r="302" spans="1:18" x14ac:dyDescent="0.25">
      <c r="A302" s="166">
        <v>42444</v>
      </c>
      <c r="B302" s="116">
        <v>29.35</v>
      </c>
      <c r="C302" s="116">
        <v>29.05</v>
      </c>
      <c r="D302" s="116">
        <v>28.574999999999999</v>
      </c>
      <c r="E302" s="116">
        <v>29.25</v>
      </c>
      <c r="F302" s="116">
        <v>58.1</v>
      </c>
      <c r="G302">
        <v>92428</v>
      </c>
      <c r="H302" s="116"/>
      <c r="I302" s="116"/>
      <c r="L302" s="166">
        <v>42444</v>
      </c>
      <c r="M302" s="116">
        <v>29</v>
      </c>
      <c r="N302" s="116">
        <v>29.375</v>
      </c>
      <c r="O302" s="116">
        <v>28.524999999999999</v>
      </c>
      <c r="P302" s="116">
        <v>29.35</v>
      </c>
      <c r="Q302" s="116">
        <v>58</v>
      </c>
      <c r="R302">
        <v>167327</v>
      </c>
    </row>
    <row r="303" spans="1:18" x14ac:dyDescent="0.25">
      <c r="A303" s="166">
        <v>42445</v>
      </c>
      <c r="B303" s="116">
        <v>29</v>
      </c>
      <c r="C303" s="116">
        <v>28.45</v>
      </c>
      <c r="D303" s="116">
        <v>27.925000000000001</v>
      </c>
      <c r="E303" s="116">
        <v>28.75</v>
      </c>
      <c r="F303" s="116">
        <v>56.9</v>
      </c>
      <c r="G303">
        <v>61574</v>
      </c>
      <c r="H303" s="116"/>
      <c r="I303" s="116"/>
      <c r="L303" s="166">
        <v>42445</v>
      </c>
      <c r="M303" s="116">
        <v>28.4</v>
      </c>
      <c r="N303" s="116">
        <v>29.024999999999999</v>
      </c>
      <c r="O303" s="116">
        <v>27.774999999999999</v>
      </c>
      <c r="P303" s="116">
        <v>28.85</v>
      </c>
      <c r="Q303" s="116">
        <v>56.8</v>
      </c>
      <c r="R303">
        <v>109211</v>
      </c>
    </row>
    <row r="304" spans="1:18" x14ac:dyDescent="0.25">
      <c r="A304" s="166">
        <v>42446</v>
      </c>
      <c r="B304" s="116">
        <v>28.975000000000001</v>
      </c>
      <c r="C304" s="116">
        <v>28.175000000000001</v>
      </c>
      <c r="D304" s="116">
        <v>28</v>
      </c>
      <c r="E304" s="116">
        <v>28.7</v>
      </c>
      <c r="F304" s="116">
        <v>56.35</v>
      </c>
      <c r="G304">
        <v>62786</v>
      </c>
      <c r="H304" s="116"/>
      <c r="I304" s="116"/>
      <c r="L304" s="166">
        <v>42446</v>
      </c>
      <c r="M304" s="116">
        <v>28.15</v>
      </c>
      <c r="N304" s="116">
        <v>28.975000000000001</v>
      </c>
      <c r="O304" s="116">
        <v>27.875</v>
      </c>
      <c r="P304" s="116">
        <v>28.7</v>
      </c>
      <c r="Q304" s="116">
        <v>56.3</v>
      </c>
      <c r="R304">
        <v>135629</v>
      </c>
    </row>
    <row r="305" spans="1:18" x14ac:dyDescent="0.25">
      <c r="A305" s="166">
        <v>42447</v>
      </c>
      <c r="B305" s="116">
        <v>28.45</v>
      </c>
      <c r="C305" s="116">
        <v>28.375</v>
      </c>
      <c r="D305" s="116">
        <v>28.05</v>
      </c>
      <c r="E305" s="116">
        <v>28.225000000000001</v>
      </c>
      <c r="F305" s="116">
        <v>56.75</v>
      </c>
      <c r="G305">
        <v>38477</v>
      </c>
      <c r="H305" s="116"/>
      <c r="I305" s="116"/>
      <c r="L305" s="166">
        <v>42447</v>
      </c>
      <c r="M305" s="116">
        <v>28.4</v>
      </c>
      <c r="N305" s="116">
        <v>28.45</v>
      </c>
      <c r="O305" s="116">
        <v>28</v>
      </c>
      <c r="P305" s="116">
        <v>28.175000000000001</v>
      </c>
      <c r="Q305" s="116">
        <v>56.8</v>
      </c>
      <c r="R305">
        <v>173558</v>
      </c>
    </row>
    <row r="306" spans="1:18" x14ac:dyDescent="0.25">
      <c r="A306" s="166">
        <v>42450</v>
      </c>
      <c r="B306" s="116">
        <v>28.7</v>
      </c>
      <c r="C306" s="116">
        <v>28.55</v>
      </c>
      <c r="D306" s="116">
        <v>28.3</v>
      </c>
      <c r="E306" s="116">
        <v>28.45</v>
      </c>
      <c r="F306" s="116">
        <v>57.1</v>
      </c>
      <c r="G306">
        <v>73480</v>
      </c>
      <c r="H306" s="116"/>
      <c r="I306" s="116"/>
      <c r="L306" s="166">
        <v>42450</v>
      </c>
      <c r="M306" s="116">
        <v>28.524999999999999</v>
      </c>
      <c r="N306" s="116">
        <v>28.75</v>
      </c>
      <c r="O306" s="116">
        <v>28.274999999999999</v>
      </c>
      <c r="P306" s="116">
        <v>28.274999999999999</v>
      </c>
      <c r="Q306" s="116">
        <v>57.05</v>
      </c>
      <c r="R306">
        <v>347304</v>
      </c>
    </row>
    <row r="307" spans="1:18" x14ac:dyDescent="0.25">
      <c r="A307" s="166">
        <v>42451</v>
      </c>
      <c r="B307" s="116">
        <v>29.35</v>
      </c>
      <c r="C307" s="116">
        <v>29.2</v>
      </c>
      <c r="D307" s="116">
        <v>28.6</v>
      </c>
      <c r="E307" s="116">
        <v>28.725000000000001</v>
      </c>
      <c r="F307" s="116">
        <v>58.4</v>
      </c>
      <c r="G307">
        <v>70489</v>
      </c>
      <c r="H307" s="116"/>
      <c r="I307" s="116"/>
      <c r="L307" s="166">
        <v>42451</v>
      </c>
      <c r="M307" s="116">
        <v>29.2</v>
      </c>
      <c r="N307" s="116">
        <v>29.375</v>
      </c>
      <c r="O307" s="116">
        <v>28.6</v>
      </c>
      <c r="P307" s="116">
        <v>28.65</v>
      </c>
      <c r="Q307" s="116">
        <v>58.4</v>
      </c>
      <c r="R307">
        <v>126903</v>
      </c>
    </row>
    <row r="308" spans="1:18" x14ac:dyDescent="0.25">
      <c r="A308" s="166">
        <v>42452</v>
      </c>
      <c r="B308" s="116">
        <v>29.574999999999999</v>
      </c>
      <c r="C308" s="116">
        <v>29.15</v>
      </c>
      <c r="D308" s="116">
        <v>29</v>
      </c>
      <c r="E308" s="116">
        <v>29</v>
      </c>
      <c r="F308" s="116">
        <v>58.3</v>
      </c>
      <c r="G308">
        <v>39697</v>
      </c>
      <c r="H308" s="116"/>
      <c r="I308" s="116"/>
      <c r="L308" s="166">
        <v>42452</v>
      </c>
      <c r="M308" s="116">
        <v>29.074999999999999</v>
      </c>
      <c r="N308" s="116">
        <v>29.6</v>
      </c>
      <c r="O308" s="116">
        <v>28.95</v>
      </c>
      <c r="P308" s="116">
        <v>29.375</v>
      </c>
      <c r="Q308" s="116">
        <v>58.15</v>
      </c>
      <c r="R308">
        <v>104231</v>
      </c>
    </row>
    <row r="309" spans="1:18" x14ac:dyDescent="0.25">
      <c r="A309" s="166">
        <v>42457</v>
      </c>
      <c r="B309" s="116">
        <v>29</v>
      </c>
      <c r="C309" s="116">
        <v>27.05</v>
      </c>
      <c r="D309" s="116">
        <v>26.824999999999999</v>
      </c>
      <c r="E309" s="116">
        <v>28.95</v>
      </c>
      <c r="F309" s="116">
        <v>54.1</v>
      </c>
      <c r="G309">
        <v>101014</v>
      </c>
      <c r="H309" s="116"/>
      <c r="I309" s="116"/>
      <c r="L309" s="166">
        <v>42457</v>
      </c>
      <c r="M309" s="116">
        <v>27.05</v>
      </c>
      <c r="N309" s="116">
        <v>29</v>
      </c>
      <c r="O309" s="116">
        <v>26.824999999999999</v>
      </c>
      <c r="P309" s="116">
        <v>29</v>
      </c>
      <c r="Q309" s="116">
        <v>54.1</v>
      </c>
      <c r="R309">
        <v>165207</v>
      </c>
    </row>
    <row r="310" spans="1:18" x14ac:dyDescent="0.25">
      <c r="A310" s="166">
        <v>42458</v>
      </c>
      <c r="B310" s="116">
        <v>27.75</v>
      </c>
      <c r="C310" s="116">
        <v>26.774999999999999</v>
      </c>
      <c r="D310" s="116">
        <v>26.5</v>
      </c>
      <c r="E310" s="116">
        <v>27.75</v>
      </c>
      <c r="F310" s="116">
        <v>53.55</v>
      </c>
      <c r="G310">
        <v>64372</v>
      </c>
      <c r="H310" s="116"/>
      <c r="I310" s="116"/>
      <c r="L310" s="166">
        <v>42458</v>
      </c>
      <c r="M310" s="116">
        <v>26.774999999999999</v>
      </c>
      <c r="N310" s="116">
        <v>27.524999999999999</v>
      </c>
      <c r="O310" s="116">
        <v>26.55</v>
      </c>
      <c r="P310" s="116">
        <v>27.25</v>
      </c>
      <c r="Q310" s="116">
        <v>53.55</v>
      </c>
      <c r="R310">
        <v>222533</v>
      </c>
    </row>
    <row r="311" spans="1:18" x14ac:dyDescent="0.25">
      <c r="A311" s="166">
        <v>42459</v>
      </c>
      <c r="B311" s="116">
        <v>28</v>
      </c>
      <c r="C311" s="116">
        <v>27.625</v>
      </c>
      <c r="D311" s="116">
        <v>27.25</v>
      </c>
      <c r="E311" s="116">
        <v>27.4</v>
      </c>
      <c r="F311" s="116">
        <v>55.25</v>
      </c>
      <c r="G311">
        <v>46145</v>
      </c>
      <c r="H311" s="116"/>
      <c r="I311" s="116"/>
      <c r="L311" s="166">
        <v>42459</v>
      </c>
      <c r="M311" s="116">
        <v>27.675000000000001</v>
      </c>
      <c r="N311" s="116">
        <v>28</v>
      </c>
      <c r="O311" s="116">
        <v>27</v>
      </c>
      <c r="P311" s="116">
        <v>27</v>
      </c>
      <c r="Q311" s="116">
        <v>55.35</v>
      </c>
      <c r="R311">
        <v>119447</v>
      </c>
    </row>
    <row r="312" spans="1:18" x14ac:dyDescent="0.25">
      <c r="A312" s="166">
        <v>42460</v>
      </c>
      <c r="B312" s="116">
        <v>27.774999999999999</v>
      </c>
      <c r="C312" s="116">
        <v>27.25</v>
      </c>
      <c r="D312" s="116">
        <v>27.125</v>
      </c>
      <c r="E312" s="116">
        <v>27.625</v>
      </c>
      <c r="F312" s="116">
        <v>54.5</v>
      </c>
      <c r="G312">
        <v>20560</v>
      </c>
      <c r="H312" s="116"/>
      <c r="I312" s="116"/>
      <c r="L312" s="166">
        <v>42460</v>
      </c>
      <c r="M312" s="116">
        <v>27.3</v>
      </c>
      <c r="N312" s="116">
        <v>27.85</v>
      </c>
      <c r="O312" s="116">
        <v>27.125</v>
      </c>
      <c r="P312" s="116">
        <v>27.675000000000001</v>
      </c>
      <c r="Q312" s="116">
        <v>54.6</v>
      </c>
      <c r="R312">
        <v>83880</v>
      </c>
    </row>
    <row r="313" spans="1:18" x14ac:dyDescent="0.25">
      <c r="A313" s="166">
        <v>42461</v>
      </c>
      <c r="B313" s="116">
        <v>28.375</v>
      </c>
      <c r="C313" s="116">
        <v>28.125</v>
      </c>
      <c r="D313" s="116">
        <v>27.1</v>
      </c>
      <c r="E313" s="116">
        <v>27.125</v>
      </c>
      <c r="F313" s="116">
        <v>56.25</v>
      </c>
      <c r="G313">
        <v>50316</v>
      </c>
      <c r="H313" s="116"/>
      <c r="I313" s="116"/>
      <c r="L313" s="166">
        <v>42461</v>
      </c>
      <c r="M313" s="116">
        <v>28.175000000000001</v>
      </c>
      <c r="N313" s="116">
        <v>28.375</v>
      </c>
      <c r="O313" s="116">
        <v>27</v>
      </c>
      <c r="P313" s="116">
        <v>27.425000000000001</v>
      </c>
      <c r="Q313" s="116">
        <v>56.35</v>
      </c>
      <c r="R313">
        <v>166934</v>
      </c>
    </row>
    <row r="314" spans="1:18" x14ac:dyDescent="0.25">
      <c r="A314" s="166">
        <v>42464</v>
      </c>
      <c r="B314" s="116">
        <v>28.95</v>
      </c>
      <c r="C314" s="116">
        <v>28.725000000000001</v>
      </c>
      <c r="D314" s="116">
        <v>28.35</v>
      </c>
      <c r="E314" s="116">
        <v>28.35</v>
      </c>
      <c r="F314" s="116">
        <v>57.45</v>
      </c>
      <c r="G314">
        <v>40262</v>
      </c>
      <c r="H314" s="116"/>
      <c r="I314" s="116"/>
      <c r="L314" s="166">
        <v>42464</v>
      </c>
      <c r="M314" s="116">
        <v>28.85</v>
      </c>
      <c r="N314" s="116">
        <v>29.225000000000001</v>
      </c>
      <c r="O314" s="116">
        <v>28.35</v>
      </c>
      <c r="P314" s="116">
        <v>28.45</v>
      </c>
      <c r="Q314" s="116">
        <v>57.7</v>
      </c>
      <c r="R314">
        <v>187012</v>
      </c>
    </row>
    <row r="315" spans="1:18" x14ac:dyDescent="0.25">
      <c r="A315" s="166">
        <v>42465</v>
      </c>
      <c r="B315" s="116">
        <v>30.774999999999999</v>
      </c>
      <c r="C315" s="116">
        <v>29.675000000000001</v>
      </c>
      <c r="D315" s="116">
        <v>28.524999999999999</v>
      </c>
      <c r="E315" s="116">
        <v>28.65</v>
      </c>
      <c r="F315" s="116">
        <v>59.35</v>
      </c>
      <c r="G315">
        <v>271181</v>
      </c>
      <c r="H315" s="116"/>
      <c r="I315" s="116"/>
      <c r="L315" s="166">
        <v>42465</v>
      </c>
      <c r="M315" s="116">
        <v>29.625</v>
      </c>
      <c r="N315" s="116">
        <v>30.725000000000001</v>
      </c>
      <c r="O315" s="116">
        <v>28.45</v>
      </c>
      <c r="P315" s="116">
        <v>28.7</v>
      </c>
      <c r="Q315" s="116">
        <v>59.25</v>
      </c>
      <c r="R315">
        <v>813086</v>
      </c>
    </row>
    <row r="316" spans="1:18" x14ac:dyDescent="0.25">
      <c r="A316" s="166">
        <v>42466</v>
      </c>
      <c r="B316" s="116">
        <v>31.35</v>
      </c>
      <c r="C316" s="116">
        <v>31.024999999999999</v>
      </c>
      <c r="D316" s="116">
        <v>29.75</v>
      </c>
      <c r="E316" s="116">
        <v>29.925000000000001</v>
      </c>
      <c r="F316" s="116">
        <v>62.05</v>
      </c>
      <c r="G316">
        <v>156095</v>
      </c>
      <c r="H316" s="116"/>
      <c r="I316" s="116"/>
      <c r="L316" s="166">
        <v>42466</v>
      </c>
      <c r="M316" s="116">
        <v>31.074999999999999</v>
      </c>
      <c r="N316" s="116">
        <v>31.324999999999999</v>
      </c>
      <c r="O316" s="116">
        <v>29.824999999999999</v>
      </c>
      <c r="P316" s="116">
        <v>29.95</v>
      </c>
      <c r="Q316" s="116">
        <v>62.15</v>
      </c>
      <c r="R316">
        <v>376306</v>
      </c>
    </row>
    <row r="317" spans="1:18" x14ac:dyDescent="0.25">
      <c r="A317" s="166">
        <v>42467</v>
      </c>
      <c r="B317" s="116">
        <v>31.3</v>
      </c>
      <c r="C317" s="116">
        <v>30.774999999999999</v>
      </c>
      <c r="D317" s="116">
        <v>30.05</v>
      </c>
      <c r="E317" s="116">
        <v>31.125</v>
      </c>
      <c r="F317" s="116">
        <v>61.55</v>
      </c>
      <c r="G317">
        <v>113448</v>
      </c>
      <c r="H317" s="116"/>
      <c r="I317" s="116"/>
      <c r="L317" s="166">
        <v>42467</v>
      </c>
      <c r="M317" s="116">
        <v>30.7</v>
      </c>
      <c r="N317" s="116">
        <v>31.3</v>
      </c>
      <c r="O317" s="116">
        <v>29.975000000000001</v>
      </c>
      <c r="P317" s="116">
        <v>31.225000000000001</v>
      </c>
      <c r="Q317" s="116">
        <v>61.4</v>
      </c>
      <c r="R317">
        <v>209268</v>
      </c>
    </row>
    <row r="318" spans="1:18" x14ac:dyDescent="0.25">
      <c r="A318" s="166">
        <v>42468</v>
      </c>
      <c r="B318" s="116">
        <v>31.475000000000001</v>
      </c>
      <c r="C318" s="116">
        <v>31</v>
      </c>
      <c r="D318" s="116">
        <v>30.5</v>
      </c>
      <c r="E318" s="116">
        <v>30.725000000000001</v>
      </c>
      <c r="F318" s="116">
        <v>62</v>
      </c>
      <c r="G318">
        <v>94888</v>
      </c>
      <c r="H318" s="116"/>
      <c r="I318" s="116"/>
      <c r="L318" s="166">
        <v>42468</v>
      </c>
      <c r="M318" s="116">
        <v>31.024999999999999</v>
      </c>
      <c r="N318" s="116">
        <v>31.45</v>
      </c>
      <c r="O318" s="116">
        <v>30.55</v>
      </c>
      <c r="P318" s="116">
        <v>31</v>
      </c>
      <c r="Q318" s="116">
        <v>62.05</v>
      </c>
      <c r="R318">
        <v>261652</v>
      </c>
    </row>
    <row r="319" spans="1:18" x14ac:dyDescent="0.25">
      <c r="A319" s="166">
        <v>42471</v>
      </c>
      <c r="B319" s="116">
        <v>31.75</v>
      </c>
      <c r="C319" s="116">
        <v>31.25</v>
      </c>
      <c r="D319" s="116">
        <v>30.875</v>
      </c>
      <c r="E319" s="116">
        <v>31.65</v>
      </c>
      <c r="F319" s="116">
        <v>62.5</v>
      </c>
      <c r="G319">
        <v>85800</v>
      </c>
      <c r="H319" s="116"/>
      <c r="I319" s="116"/>
      <c r="L319" s="166">
        <v>42471</v>
      </c>
      <c r="M319" s="116">
        <v>31.2</v>
      </c>
      <c r="N319" s="116">
        <v>31.4</v>
      </c>
      <c r="O319" s="116">
        <v>30.8</v>
      </c>
      <c r="P319" s="116">
        <v>31.2</v>
      </c>
      <c r="Q319" s="116">
        <v>62.4</v>
      </c>
      <c r="R319">
        <v>266446</v>
      </c>
    </row>
    <row r="320" spans="1:18" x14ac:dyDescent="0.25">
      <c r="A320" s="166">
        <v>42472</v>
      </c>
      <c r="B320" s="116">
        <v>31.9</v>
      </c>
      <c r="C320" s="116">
        <v>31.45</v>
      </c>
      <c r="D320" s="116">
        <v>31.1</v>
      </c>
      <c r="E320" s="116">
        <v>31.324999999999999</v>
      </c>
      <c r="F320" s="116">
        <v>62.9</v>
      </c>
      <c r="G320">
        <v>172244</v>
      </c>
      <c r="H320" s="116"/>
      <c r="I320" s="116"/>
      <c r="L320" s="166">
        <v>42472</v>
      </c>
      <c r="M320" s="116">
        <v>31.475000000000001</v>
      </c>
      <c r="N320" s="116">
        <v>31.95</v>
      </c>
      <c r="O320" s="116">
        <v>31.1</v>
      </c>
      <c r="P320" s="116">
        <v>31.574999999999999</v>
      </c>
      <c r="Q320" s="116">
        <v>62.95</v>
      </c>
      <c r="R320">
        <v>471385</v>
      </c>
    </row>
    <row r="321" spans="1:18" x14ac:dyDescent="0.25">
      <c r="A321" s="166">
        <v>42473</v>
      </c>
      <c r="B321" s="116">
        <v>32.674999999999997</v>
      </c>
      <c r="C321" s="116">
        <v>31.75</v>
      </c>
      <c r="D321" s="116">
        <v>31.55</v>
      </c>
      <c r="E321" s="116">
        <v>32.450000000000003</v>
      </c>
      <c r="F321" s="116">
        <v>63.5</v>
      </c>
      <c r="G321">
        <v>200820</v>
      </c>
      <c r="H321" s="116"/>
      <c r="I321" s="116"/>
      <c r="L321" s="166">
        <v>42473</v>
      </c>
      <c r="M321" s="116">
        <v>31.8</v>
      </c>
      <c r="N321" s="116">
        <v>32.700000000000003</v>
      </c>
      <c r="O321" s="116">
        <v>31.6</v>
      </c>
      <c r="P321" s="116">
        <v>32.5</v>
      </c>
      <c r="Q321" s="116">
        <v>63.6</v>
      </c>
      <c r="R321">
        <v>445425</v>
      </c>
    </row>
    <row r="322" spans="1:18" x14ac:dyDescent="0.25">
      <c r="A322" s="166">
        <v>42478</v>
      </c>
      <c r="B322" s="116">
        <v>32.424999999999997</v>
      </c>
      <c r="C322" s="116">
        <v>31.625</v>
      </c>
      <c r="D322" s="116">
        <v>31.475000000000001</v>
      </c>
      <c r="E322" s="116">
        <v>31.8</v>
      </c>
      <c r="F322" s="116">
        <v>63.25</v>
      </c>
      <c r="G322">
        <v>114065</v>
      </c>
      <c r="H322" s="116"/>
      <c r="I322" s="116"/>
      <c r="L322" s="166">
        <v>42478</v>
      </c>
      <c r="M322" s="116">
        <v>31.574999999999999</v>
      </c>
      <c r="N322" s="116">
        <v>32.375</v>
      </c>
      <c r="O322" s="116">
        <v>31.45</v>
      </c>
      <c r="P322" s="116">
        <v>31.8</v>
      </c>
      <c r="Q322" s="116">
        <v>63.15</v>
      </c>
      <c r="R322">
        <v>239072</v>
      </c>
    </row>
    <row r="323" spans="1:18" x14ac:dyDescent="0.25">
      <c r="A323" s="166">
        <v>42480</v>
      </c>
      <c r="B323" s="116">
        <v>33.174999999999997</v>
      </c>
      <c r="C323" s="116">
        <v>32.25</v>
      </c>
      <c r="D323" s="116">
        <v>31.6</v>
      </c>
      <c r="E323" s="116">
        <v>31.824999999999999</v>
      </c>
      <c r="F323" s="116">
        <v>64.5</v>
      </c>
      <c r="G323">
        <v>189247</v>
      </c>
      <c r="H323" s="116"/>
      <c r="I323" s="116"/>
      <c r="L323" s="166">
        <v>42480</v>
      </c>
      <c r="M323" s="116">
        <v>32.274999999999999</v>
      </c>
      <c r="N323" s="116">
        <v>33.125</v>
      </c>
      <c r="O323" s="116">
        <v>31.625</v>
      </c>
      <c r="P323" s="116">
        <v>31.85</v>
      </c>
      <c r="Q323" s="116">
        <v>64.55</v>
      </c>
      <c r="R323">
        <v>665322</v>
      </c>
    </row>
    <row r="324" spans="1:18" x14ac:dyDescent="0.25">
      <c r="A324" s="166">
        <v>42481</v>
      </c>
      <c r="B324" s="116">
        <v>32.725000000000001</v>
      </c>
      <c r="C324" s="116">
        <v>31.8</v>
      </c>
      <c r="D324" s="116">
        <v>31.65</v>
      </c>
      <c r="E324" s="116">
        <v>31.75</v>
      </c>
      <c r="F324" s="116">
        <v>63.6</v>
      </c>
      <c r="G324">
        <v>54266</v>
      </c>
      <c r="H324" s="116"/>
      <c r="I324" s="116"/>
      <c r="L324" s="166">
        <v>42481</v>
      </c>
      <c r="M324" s="116">
        <v>31.824999999999999</v>
      </c>
      <c r="N324" s="116">
        <v>32.75</v>
      </c>
      <c r="O324" s="116">
        <v>31.675000000000001</v>
      </c>
      <c r="P324" s="116">
        <v>32.35</v>
      </c>
      <c r="Q324" s="116">
        <v>63.65</v>
      </c>
      <c r="R324">
        <v>142972</v>
      </c>
    </row>
    <row r="325" spans="1:18" x14ac:dyDescent="0.25">
      <c r="A325" s="166">
        <v>42482</v>
      </c>
      <c r="B325" s="116">
        <v>32.1</v>
      </c>
      <c r="C325" s="116">
        <v>31.675000000000001</v>
      </c>
      <c r="D325" s="116">
        <v>31.5</v>
      </c>
      <c r="E325" s="116">
        <v>31.7</v>
      </c>
      <c r="F325" s="116">
        <v>63.35</v>
      </c>
      <c r="G325">
        <v>38737</v>
      </c>
      <c r="H325" s="116"/>
      <c r="I325" s="116"/>
      <c r="L325" s="166">
        <v>42482</v>
      </c>
      <c r="M325" s="116">
        <v>31.675000000000001</v>
      </c>
      <c r="N325" s="116">
        <v>32.125</v>
      </c>
      <c r="O325" s="116">
        <v>31.5</v>
      </c>
      <c r="P325" s="116">
        <v>31.55</v>
      </c>
      <c r="Q325" s="116">
        <v>63.35</v>
      </c>
      <c r="R325">
        <v>94030</v>
      </c>
    </row>
    <row r="326" spans="1:18" x14ac:dyDescent="0.25">
      <c r="A326" s="166">
        <v>42485</v>
      </c>
      <c r="B326" s="116">
        <v>32.15</v>
      </c>
      <c r="C326" s="116">
        <v>31.8</v>
      </c>
      <c r="D326" s="116">
        <v>31.5</v>
      </c>
      <c r="E326" s="116">
        <v>31.75</v>
      </c>
      <c r="F326" s="116">
        <v>63.6</v>
      </c>
      <c r="G326">
        <v>41136</v>
      </c>
      <c r="H326" s="116"/>
      <c r="I326" s="116"/>
      <c r="L326" s="166">
        <v>42485</v>
      </c>
      <c r="M326" s="116">
        <v>31.824999999999999</v>
      </c>
      <c r="N326" s="116">
        <v>32.15</v>
      </c>
      <c r="O326" s="116">
        <v>31.45</v>
      </c>
      <c r="P326" s="116">
        <v>31.824999999999999</v>
      </c>
      <c r="Q326" s="116">
        <v>63.65</v>
      </c>
      <c r="R326">
        <v>142638</v>
      </c>
    </row>
    <row r="327" spans="1:18" x14ac:dyDescent="0.25">
      <c r="A327" s="166">
        <v>42486</v>
      </c>
      <c r="B327" s="116">
        <v>32.75</v>
      </c>
      <c r="C327" s="116">
        <v>32.5</v>
      </c>
      <c r="D327" s="116">
        <v>31.4</v>
      </c>
      <c r="E327" s="116">
        <v>31.4</v>
      </c>
      <c r="F327" s="116">
        <v>65</v>
      </c>
      <c r="G327">
        <v>82636</v>
      </c>
      <c r="H327" s="116"/>
      <c r="I327" s="116"/>
      <c r="L327" s="166">
        <v>42486</v>
      </c>
      <c r="M327" s="116">
        <v>32.549999999999997</v>
      </c>
      <c r="N327" s="116">
        <v>32.799999999999997</v>
      </c>
      <c r="O327" s="116">
        <v>31.8</v>
      </c>
      <c r="P327" s="116">
        <v>32</v>
      </c>
      <c r="Q327" s="116">
        <v>65.099999999999994</v>
      </c>
      <c r="R327">
        <v>218691</v>
      </c>
    </row>
    <row r="328" spans="1:18" x14ac:dyDescent="0.25">
      <c r="A328" s="166">
        <v>42487</v>
      </c>
      <c r="B328" s="116">
        <v>33.299999999999997</v>
      </c>
      <c r="C328" s="116">
        <v>33.075000000000003</v>
      </c>
      <c r="D328" s="116">
        <v>32.375</v>
      </c>
      <c r="E328" s="116">
        <v>32.65</v>
      </c>
      <c r="F328" s="116">
        <v>66.150000000000006</v>
      </c>
      <c r="G328">
        <v>151605</v>
      </c>
      <c r="H328" s="116"/>
      <c r="I328" s="116"/>
      <c r="L328" s="166">
        <v>42487</v>
      </c>
      <c r="M328" s="116">
        <v>33.075000000000003</v>
      </c>
      <c r="N328" s="116">
        <v>33.299999999999997</v>
      </c>
      <c r="O328" s="116">
        <v>32.35</v>
      </c>
      <c r="P328" s="116">
        <v>32.625</v>
      </c>
      <c r="Q328" s="116">
        <v>66.150000000000006</v>
      </c>
      <c r="R328">
        <v>406276</v>
      </c>
    </row>
    <row r="329" spans="1:18" x14ac:dyDescent="0.25">
      <c r="A329" s="166">
        <v>42488</v>
      </c>
      <c r="B329" s="116">
        <v>32.5</v>
      </c>
      <c r="C329" s="116">
        <v>31.25</v>
      </c>
      <c r="D329" s="116">
        <v>31</v>
      </c>
      <c r="E329" s="116">
        <v>32.5</v>
      </c>
      <c r="F329" s="116">
        <v>62.5</v>
      </c>
      <c r="G329">
        <v>197197</v>
      </c>
      <c r="H329" s="116"/>
      <c r="I329" s="116"/>
      <c r="L329" s="166">
        <v>42488</v>
      </c>
      <c r="M329" s="116">
        <v>31.2</v>
      </c>
      <c r="N329" s="116">
        <v>32.375</v>
      </c>
      <c r="O329" s="116">
        <v>31.05</v>
      </c>
      <c r="P329" s="116">
        <v>32.375</v>
      </c>
      <c r="Q329" s="116">
        <v>62.4</v>
      </c>
      <c r="R329">
        <v>397908</v>
      </c>
    </row>
    <row r="330" spans="1:18" x14ac:dyDescent="0.25">
      <c r="A330" s="166">
        <v>42489</v>
      </c>
      <c r="B330" s="116">
        <v>31.725000000000001</v>
      </c>
      <c r="C330" s="116">
        <v>31.15</v>
      </c>
      <c r="D330" s="116">
        <v>30.875</v>
      </c>
      <c r="E330" s="116">
        <v>31.024999999999999</v>
      </c>
      <c r="F330" s="116">
        <v>62.3</v>
      </c>
      <c r="G330">
        <v>87483</v>
      </c>
      <c r="H330" s="116"/>
      <c r="I330" s="116"/>
      <c r="L330" s="166">
        <v>42489</v>
      </c>
      <c r="M330" s="116">
        <v>31.175000000000001</v>
      </c>
      <c r="N330" s="116">
        <v>31.725000000000001</v>
      </c>
      <c r="O330" s="116">
        <v>30.925000000000001</v>
      </c>
      <c r="P330" s="116">
        <v>31.25</v>
      </c>
      <c r="Q330" s="116">
        <v>62.35</v>
      </c>
      <c r="R330">
        <v>155697</v>
      </c>
    </row>
    <row r="331" spans="1:18" x14ac:dyDescent="0.25">
      <c r="A331" s="166">
        <v>42492</v>
      </c>
      <c r="B331" s="116">
        <v>31.824999999999999</v>
      </c>
      <c r="C331" s="116">
        <v>31.425000000000001</v>
      </c>
      <c r="D331" s="116">
        <v>30.65</v>
      </c>
      <c r="E331" s="116">
        <v>31</v>
      </c>
      <c r="F331" s="116">
        <v>62.85</v>
      </c>
      <c r="G331">
        <v>84469</v>
      </c>
      <c r="H331" s="116"/>
      <c r="I331" s="116"/>
      <c r="L331" s="166">
        <v>42492</v>
      </c>
      <c r="M331" s="116">
        <v>31.475000000000001</v>
      </c>
      <c r="N331" s="116">
        <v>31.9</v>
      </c>
      <c r="O331" s="116">
        <v>30.625</v>
      </c>
      <c r="P331" s="116">
        <v>31.05</v>
      </c>
      <c r="Q331" s="116">
        <v>62.95</v>
      </c>
      <c r="R331">
        <v>135654</v>
      </c>
    </row>
    <row r="332" spans="1:18" x14ac:dyDescent="0.25">
      <c r="A332" s="166">
        <v>42493</v>
      </c>
      <c r="B332" s="116">
        <v>32.35</v>
      </c>
      <c r="C332" s="116">
        <v>31.85</v>
      </c>
      <c r="D332" s="116">
        <v>31.425000000000001</v>
      </c>
      <c r="E332" s="116">
        <v>32.075000000000003</v>
      </c>
      <c r="F332" s="116">
        <v>63.7</v>
      </c>
      <c r="G332">
        <v>414559</v>
      </c>
      <c r="H332" s="116"/>
      <c r="I332" s="116"/>
      <c r="L332" s="166">
        <v>42493</v>
      </c>
      <c r="M332" s="116">
        <v>31.85</v>
      </c>
      <c r="N332" s="116">
        <v>32.35</v>
      </c>
      <c r="O332" s="116">
        <v>31.375</v>
      </c>
      <c r="P332" s="116">
        <v>31.8</v>
      </c>
      <c r="Q332" s="116">
        <v>63.7</v>
      </c>
      <c r="R332">
        <v>332223</v>
      </c>
    </row>
    <row r="333" spans="1:18" x14ac:dyDescent="0.25">
      <c r="A333" s="166">
        <v>42494</v>
      </c>
      <c r="B333" s="116">
        <v>31.725000000000001</v>
      </c>
      <c r="C333" s="116">
        <v>30.925000000000001</v>
      </c>
      <c r="D333" s="116">
        <v>30.8</v>
      </c>
      <c r="E333" s="116">
        <v>31.5</v>
      </c>
      <c r="F333" s="116">
        <v>61.85</v>
      </c>
      <c r="G333">
        <v>50985</v>
      </c>
      <c r="H333" s="116"/>
      <c r="I333" s="116"/>
      <c r="L333" s="166">
        <v>42494</v>
      </c>
      <c r="M333" s="116">
        <v>30.9</v>
      </c>
      <c r="N333" s="116">
        <v>31.75</v>
      </c>
      <c r="O333" s="116">
        <v>30.75</v>
      </c>
      <c r="P333" s="116">
        <v>31.55</v>
      </c>
      <c r="Q333" s="116">
        <v>61.8</v>
      </c>
      <c r="R333">
        <v>233023</v>
      </c>
    </row>
    <row r="334" spans="1:18" x14ac:dyDescent="0.25">
      <c r="A334" s="166">
        <v>42495</v>
      </c>
      <c r="B334" s="116">
        <v>31.7</v>
      </c>
      <c r="C334" s="116">
        <v>31.15</v>
      </c>
      <c r="D334" s="116">
        <v>30.85</v>
      </c>
      <c r="E334" s="116">
        <v>31.324999999999999</v>
      </c>
      <c r="F334" s="116">
        <v>62.3</v>
      </c>
      <c r="G334">
        <v>46495</v>
      </c>
      <c r="H334" s="116"/>
      <c r="I334" s="116"/>
      <c r="L334" s="166">
        <v>42495</v>
      </c>
      <c r="M334" s="116">
        <v>31.1</v>
      </c>
      <c r="N334" s="116">
        <v>31.75</v>
      </c>
      <c r="O334" s="116">
        <v>30.8</v>
      </c>
      <c r="P334" s="116">
        <v>31.25</v>
      </c>
      <c r="Q334" s="116">
        <v>62.2</v>
      </c>
      <c r="R334">
        <v>299495</v>
      </c>
    </row>
    <row r="335" spans="1:18" x14ac:dyDescent="0.25">
      <c r="A335" s="166">
        <v>42496</v>
      </c>
      <c r="B335" s="116">
        <v>31.85</v>
      </c>
      <c r="C335" s="116">
        <v>31.625</v>
      </c>
      <c r="D335" s="116">
        <v>30.824999999999999</v>
      </c>
      <c r="E335" s="116">
        <v>30.9</v>
      </c>
      <c r="F335" s="116">
        <v>63.25</v>
      </c>
      <c r="G335">
        <v>41179</v>
      </c>
      <c r="H335" s="116"/>
      <c r="I335" s="116"/>
      <c r="L335" s="166">
        <v>42496</v>
      </c>
      <c r="M335" s="116">
        <v>31.725000000000001</v>
      </c>
      <c r="N335" s="116">
        <v>31.875</v>
      </c>
      <c r="O335" s="116">
        <v>30.8</v>
      </c>
      <c r="P335" s="116">
        <v>30.95</v>
      </c>
      <c r="Q335" s="116">
        <v>63.45</v>
      </c>
      <c r="R335">
        <v>263635</v>
      </c>
    </row>
    <row r="336" spans="1:18" x14ac:dyDescent="0.25">
      <c r="A336" s="166">
        <v>42499</v>
      </c>
      <c r="B336" s="116">
        <v>32.5</v>
      </c>
      <c r="C336" s="116">
        <v>32.225000000000001</v>
      </c>
      <c r="D336" s="116">
        <v>31.824999999999999</v>
      </c>
      <c r="E336" s="116">
        <v>32.200000000000003</v>
      </c>
      <c r="F336" s="116">
        <v>64.45</v>
      </c>
      <c r="G336">
        <v>61337</v>
      </c>
      <c r="H336" s="116"/>
      <c r="I336" s="116"/>
      <c r="L336" s="166">
        <v>42499</v>
      </c>
      <c r="M336" s="116">
        <v>32.225000000000001</v>
      </c>
      <c r="N336" s="116">
        <v>32.549999999999997</v>
      </c>
      <c r="O336" s="116">
        <v>31.85</v>
      </c>
      <c r="P336" s="116">
        <v>31.975000000000001</v>
      </c>
      <c r="Q336" s="116">
        <v>64.45</v>
      </c>
      <c r="R336">
        <v>234195</v>
      </c>
    </row>
    <row r="337" spans="1:18" x14ac:dyDescent="0.25">
      <c r="A337" s="166">
        <v>42500</v>
      </c>
      <c r="B337" s="116">
        <v>32.25</v>
      </c>
      <c r="C337" s="116">
        <v>32.075000000000003</v>
      </c>
      <c r="D337" s="116">
        <v>31.8</v>
      </c>
      <c r="E337" s="116">
        <v>32.225000000000001</v>
      </c>
      <c r="F337" s="116">
        <v>64.150000000000006</v>
      </c>
      <c r="G337">
        <v>31825</v>
      </c>
      <c r="H337" s="116"/>
      <c r="I337" s="116"/>
      <c r="L337" s="166">
        <v>42500</v>
      </c>
      <c r="M337" s="116">
        <v>32.174999999999997</v>
      </c>
      <c r="N337" s="116">
        <v>32.4</v>
      </c>
      <c r="O337" s="116">
        <v>31.824999999999999</v>
      </c>
      <c r="P337" s="116">
        <v>32.4</v>
      </c>
      <c r="Q337" s="116">
        <v>64.349999999999994</v>
      </c>
      <c r="R337">
        <v>257239</v>
      </c>
    </row>
    <row r="338" spans="1:18" x14ac:dyDescent="0.25">
      <c r="A338" s="166">
        <v>42501</v>
      </c>
      <c r="B338" s="116">
        <v>32.1</v>
      </c>
      <c r="C338" s="116">
        <v>31.774999999999999</v>
      </c>
      <c r="D338" s="116">
        <v>31.6</v>
      </c>
      <c r="E338" s="116">
        <v>31.625</v>
      </c>
      <c r="F338" s="116">
        <v>63.55</v>
      </c>
      <c r="G338">
        <v>18715</v>
      </c>
      <c r="H338" s="116"/>
      <c r="I338" s="116"/>
      <c r="L338" s="166">
        <v>42501</v>
      </c>
      <c r="M338" s="116">
        <v>31.774999999999999</v>
      </c>
      <c r="N338" s="116">
        <v>32.15</v>
      </c>
      <c r="O338" s="116">
        <v>31.574999999999999</v>
      </c>
      <c r="P338" s="116">
        <v>31.85</v>
      </c>
      <c r="Q338" s="116">
        <v>63.55</v>
      </c>
      <c r="R338">
        <v>198617</v>
      </c>
    </row>
    <row r="339" spans="1:18" x14ac:dyDescent="0.25">
      <c r="A339" s="166">
        <v>42502</v>
      </c>
      <c r="B339" s="116">
        <v>32.35</v>
      </c>
      <c r="C339" s="116">
        <v>31.625</v>
      </c>
      <c r="D339" s="116">
        <v>31.5</v>
      </c>
      <c r="E339" s="116">
        <v>31.65</v>
      </c>
      <c r="F339" s="116">
        <v>63.25</v>
      </c>
      <c r="G339">
        <v>39314</v>
      </c>
      <c r="H339" s="116"/>
      <c r="I339" s="116"/>
      <c r="L339" s="166">
        <v>42502</v>
      </c>
      <c r="M339" s="116">
        <v>31.6</v>
      </c>
      <c r="N339" s="116">
        <v>32.35</v>
      </c>
      <c r="O339" s="116">
        <v>31.524999999999999</v>
      </c>
      <c r="P339" s="116">
        <v>32.024999999999999</v>
      </c>
      <c r="Q339" s="116">
        <v>63.2</v>
      </c>
      <c r="R339">
        <v>272085</v>
      </c>
    </row>
    <row r="340" spans="1:18" x14ac:dyDescent="0.25">
      <c r="A340" s="166">
        <v>42503</v>
      </c>
      <c r="B340" s="116">
        <v>31.7</v>
      </c>
      <c r="C340" s="116">
        <v>31.125</v>
      </c>
      <c r="D340" s="116">
        <v>31.024999999999999</v>
      </c>
      <c r="E340" s="116">
        <v>31.5</v>
      </c>
      <c r="F340" s="116">
        <v>62.25</v>
      </c>
      <c r="G340">
        <v>16891</v>
      </c>
      <c r="H340" s="116"/>
      <c r="I340" s="116"/>
      <c r="L340" s="166">
        <v>42503</v>
      </c>
      <c r="M340" s="116">
        <v>31.05</v>
      </c>
      <c r="N340" s="116">
        <v>31.75</v>
      </c>
      <c r="O340" s="116">
        <v>30.95</v>
      </c>
      <c r="P340" s="116">
        <v>31.6</v>
      </c>
      <c r="Q340" s="116">
        <v>62.1</v>
      </c>
      <c r="R340">
        <v>146619</v>
      </c>
    </row>
    <row r="341" spans="1:18" x14ac:dyDescent="0.25">
      <c r="A341" s="166">
        <v>42506</v>
      </c>
      <c r="B341" s="116">
        <v>31.35</v>
      </c>
      <c r="C341" s="116">
        <v>31.225000000000001</v>
      </c>
      <c r="D341" s="116">
        <v>31.024999999999999</v>
      </c>
      <c r="E341" s="116">
        <v>31.25</v>
      </c>
      <c r="F341" s="116">
        <v>62.45</v>
      </c>
      <c r="G341">
        <v>12475</v>
      </c>
      <c r="H341" s="116"/>
      <c r="I341" s="116"/>
      <c r="L341" s="166">
        <v>42506</v>
      </c>
      <c r="M341" s="116">
        <v>31.2</v>
      </c>
      <c r="N341" s="116">
        <v>31.475000000000001</v>
      </c>
      <c r="O341" s="116">
        <v>31.074999999999999</v>
      </c>
      <c r="P341" s="116">
        <v>31.25</v>
      </c>
      <c r="Q341" s="116">
        <v>62.4</v>
      </c>
      <c r="R341">
        <v>42345</v>
      </c>
    </row>
    <row r="342" spans="1:18" x14ac:dyDescent="0.25">
      <c r="A342" s="166">
        <v>42507</v>
      </c>
      <c r="B342" s="116">
        <v>31.45</v>
      </c>
      <c r="C342" s="116">
        <v>30.824999999999999</v>
      </c>
      <c r="D342" s="116">
        <v>30.75</v>
      </c>
      <c r="E342" s="116">
        <v>31.375</v>
      </c>
      <c r="F342" s="116">
        <v>61.65</v>
      </c>
      <c r="G342">
        <v>21366</v>
      </c>
      <c r="H342" s="116"/>
      <c r="I342" s="116"/>
      <c r="L342" s="166">
        <v>42507</v>
      </c>
      <c r="M342" s="116">
        <v>30.8</v>
      </c>
      <c r="N342" s="116">
        <v>31.7</v>
      </c>
      <c r="O342" s="116">
        <v>30.7</v>
      </c>
      <c r="P342" s="116">
        <v>31.274999999999999</v>
      </c>
      <c r="Q342" s="116">
        <v>61.6</v>
      </c>
      <c r="R342">
        <v>64797</v>
      </c>
    </row>
    <row r="343" spans="1:18" x14ac:dyDescent="0.25">
      <c r="A343" s="166">
        <v>42508</v>
      </c>
      <c r="B343" s="116">
        <v>30.9</v>
      </c>
      <c r="C343" s="116">
        <v>30.6</v>
      </c>
      <c r="D343" s="116">
        <v>30.5</v>
      </c>
      <c r="E343" s="116">
        <v>30.774999999999999</v>
      </c>
      <c r="F343" s="116">
        <v>61.2</v>
      </c>
      <c r="G343">
        <v>32427</v>
      </c>
      <c r="H343" s="116"/>
      <c r="I343" s="116"/>
      <c r="L343" s="166">
        <v>42508</v>
      </c>
      <c r="M343" s="116">
        <v>30.65</v>
      </c>
      <c r="N343" s="116">
        <v>30.925000000000001</v>
      </c>
      <c r="O343" s="116">
        <v>30.375</v>
      </c>
      <c r="P343" s="116">
        <v>30.675000000000001</v>
      </c>
      <c r="Q343" s="116">
        <v>61.3</v>
      </c>
      <c r="R343">
        <v>69158</v>
      </c>
    </row>
    <row r="344" spans="1:18" x14ac:dyDescent="0.25">
      <c r="A344" s="166">
        <v>42509</v>
      </c>
      <c r="B344" s="116">
        <v>30.875</v>
      </c>
      <c r="C344" s="116">
        <v>30.524999999999999</v>
      </c>
      <c r="D344" s="116">
        <v>30.324999999999999</v>
      </c>
      <c r="E344" s="116">
        <v>30.5</v>
      </c>
      <c r="F344" s="116">
        <v>61.05</v>
      </c>
      <c r="G344">
        <v>21317</v>
      </c>
      <c r="H344" s="116"/>
      <c r="I344" s="116"/>
      <c r="L344" s="166">
        <v>42509</v>
      </c>
      <c r="M344" s="116">
        <v>30.524999999999999</v>
      </c>
      <c r="N344" s="116">
        <v>30.975000000000001</v>
      </c>
      <c r="O344" s="116">
        <v>30.425000000000001</v>
      </c>
      <c r="P344" s="116">
        <v>30.925000000000001</v>
      </c>
      <c r="Q344" s="116">
        <v>61.05</v>
      </c>
      <c r="R344">
        <v>52842</v>
      </c>
    </row>
    <row r="345" spans="1:18" x14ac:dyDescent="0.25">
      <c r="A345" s="166">
        <v>42510</v>
      </c>
      <c r="B345" s="116">
        <v>30.7</v>
      </c>
      <c r="C345" s="116">
        <v>30.475000000000001</v>
      </c>
      <c r="D345" s="116">
        <v>30.25</v>
      </c>
      <c r="E345" s="116">
        <v>30.5</v>
      </c>
      <c r="F345" s="116">
        <v>60.95</v>
      </c>
      <c r="G345">
        <v>18034</v>
      </c>
      <c r="H345" s="116"/>
      <c r="I345" s="116"/>
      <c r="L345" s="166">
        <v>42510</v>
      </c>
      <c r="M345" s="116">
        <v>30.375</v>
      </c>
      <c r="N345" s="116">
        <v>30.7</v>
      </c>
      <c r="O345" s="116">
        <v>30.25</v>
      </c>
      <c r="P345" s="116">
        <v>30.25</v>
      </c>
      <c r="Q345" s="116">
        <v>60.75</v>
      </c>
      <c r="R345">
        <v>50783</v>
      </c>
    </row>
    <row r="346" spans="1:18" x14ac:dyDescent="0.25">
      <c r="A346" s="166">
        <v>42513</v>
      </c>
      <c r="B346" s="116">
        <v>31.074999999999999</v>
      </c>
      <c r="C346" s="116">
        <v>29.9</v>
      </c>
      <c r="D346" s="116">
        <v>29.875</v>
      </c>
      <c r="E346" s="116">
        <v>30.324999999999999</v>
      </c>
      <c r="F346" s="116">
        <v>59.8</v>
      </c>
      <c r="G346">
        <v>34989</v>
      </c>
      <c r="H346" s="116"/>
      <c r="I346" s="116"/>
      <c r="L346" s="166">
        <v>42513</v>
      </c>
      <c r="M346" s="116">
        <v>29.85</v>
      </c>
      <c r="N346" s="116">
        <v>30.95</v>
      </c>
      <c r="O346" s="116">
        <v>29.774999999999999</v>
      </c>
      <c r="P346" s="116">
        <v>30.95</v>
      </c>
      <c r="Q346" s="116">
        <v>59.7</v>
      </c>
      <c r="R346">
        <v>70196</v>
      </c>
    </row>
    <row r="347" spans="1:18" x14ac:dyDescent="0.25">
      <c r="A347" s="166">
        <v>42514</v>
      </c>
      <c r="B347" s="116">
        <v>30.2</v>
      </c>
      <c r="C347" s="116">
        <v>29.3</v>
      </c>
      <c r="D347" s="116">
        <v>29.15</v>
      </c>
      <c r="E347" s="116">
        <v>30.2</v>
      </c>
      <c r="F347" s="116">
        <v>58.6</v>
      </c>
      <c r="G347">
        <v>14183</v>
      </c>
      <c r="H347" s="116"/>
      <c r="I347" s="116"/>
      <c r="L347" s="166">
        <v>42514</v>
      </c>
      <c r="M347" s="116">
        <v>29.225000000000001</v>
      </c>
      <c r="N347" s="116">
        <v>30.125</v>
      </c>
      <c r="O347" s="116">
        <v>29</v>
      </c>
      <c r="P347" s="116">
        <v>29.8</v>
      </c>
      <c r="Q347" s="116">
        <v>58.45</v>
      </c>
      <c r="R347">
        <v>44099</v>
      </c>
    </row>
    <row r="348" spans="1:18" x14ac:dyDescent="0.25">
      <c r="A348" s="166">
        <v>42515</v>
      </c>
      <c r="B348" s="116">
        <v>29.75</v>
      </c>
      <c r="C348" s="116">
        <v>29.324999999999999</v>
      </c>
      <c r="D348" s="116">
        <v>29.15</v>
      </c>
      <c r="E348" s="116">
        <v>29.5</v>
      </c>
      <c r="F348" s="116">
        <v>58.65</v>
      </c>
      <c r="G348">
        <v>35080</v>
      </c>
      <c r="H348" s="116"/>
      <c r="I348" s="116"/>
      <c r="L348" s="166">
        <v>42515</v>
      </c>
      <c r="M348" s="116">
        <v>29.3</v>
      </c>
      <c r="N348" s="116">
        <v>29.9</v>
      </c>
      <c r="O348" s="116">
        <v>29.074999999999999</v>
      </c>
      <c r="P348" s="116">
        <v>29.9</v>
      </c>
      <c r="Q348" s="116">
        <v>58.6</v>
      </c>
      <c r="R348">
        <v>58081</v>
      </c>
    </row>
    <row r="349" spans="1:18" x14ac:dyDescent="0.25">
      <c r="A349" s="166">
        <v>42516</v>
      </c>
      <c r="B349" s="116">
        <v>30.175000000000001</v>
      </c>
      <c r="C349" s="116">
        <v>29.875</v>
      </c>
      <c r="D349" s="116">
        <v>29.45</v>
      </c>
      <c r="E349" s="116">
        <v>29.524999999999999</v>
      </c>
      <c r="F349" s="116">
        <v>59.75</v>
      </c>
      <c r="G349">
        <v>49514</v>
      </c>
      <c r="H349" s="116"/>
      <c r="I349" s="116"/>
      <c r="L349" s="166">
        <v>42516</v>
      </c>
      <c r="M349" s="116">
        <v>29.925000000000001</v>
      </c>
      <c r="N349" s="116">
        <v>30.175000000000001</v>
      </c>
      <c r="O349" s="116">
        <v>29.5</v>
      </c>
      <c r="P349" s="116">
        <v>29.5</v>
      </c>
      <c r="Q349" s="116">
        <v>59.85</v>
      </c>
      <c r="R349">
        <v>214846</v>
      </c>
    </row>
    <row r="350" spans="1:18" x14ac:dyDescent="0.25">
      <c r="A350" s="166">
        <v>42517</v>
      </c>
      <c r="B350" s="116">
        <v>30.2</v>
      </c>
      <c r="C350" s="116">
        <v>29.2</v>
      </c>
      <c r="D350" s="116">
        <v>28.975000000000001</v>
      </c>
      <c r="E350" s="116">
        <v>30.2</v>
      </c>
      <c r="F350" s="116">
        <v>58.4</v>
      </c>
      <c r="G350">
        <v>45458</v>
      </c>
      <c r="H350" s="116"/>
      <c r="I350" s="116"/>
      <c r="L350" s="166">
        <v>42517</v>
      </c>
      <c r="M350" s="116">
        <v>29.2</v>
      </c>
      <c r="N350" s="116">
        <v>30.15</v>
      </c>
      <c r="O350" s="116">
        <v>29</v>
      </c>
      <c r="P350" s="116">
        <v>30.15</v>
      </c>
      <c r="Q350" s="116">
        <v>58.4</v>
      </c>
      <c r="R350">
        <v>181390</v>
      </c>
    </row>
    <row r="351" spans="1:18" x14ac:dyDescent="0.25">
      <c r="A351" s="166">
        <v>42520</v>
      </c>
      <c r="B351" s="116">
        <v>29.425000000000001</v>
      </c>
      <c r="C351" s="116">
        <v>29.15</v>
      </c>
      <c r="D351" s="116">
        <v>29</v>
      </c>
      <c r="E351" s="116">
        <v>29.324999999999999</v>
      </c>
      <c r="F351" s="116">
        <v>58.3</v>
      </c>
      <c r="G351">
        <v>22899</v>
      </c>
      <c r="H351" s="116"/>
      <c r="I351" s="116"/>
      <c r="L351" s="166">
        <v>42520</v>
      </c>
      <c r="M351" s="116">
        <v>29.125</v>
      </c>
      <c r="N351" s="116">
        <v>29.475000000000001</v>
      </c>
      <c r="O351" s="116">
        <v>28.95</v>
      </c>
      <c r="P351" s="116">
        <v>29.45</v>
      </c>
      <c r="Q351" s="116">
        <v>58.25</v>
      </c>
      <c r="R351">
        <v>137069</v>
      </c>
    </row>
    <row r="352" spans="1:18" x14ac:dyDescent="0.25">
      <c r="A352" s="166">
        <v>42521</v>
      </c>
      <c r="B352" s="116">
        <v>29.3</v>
      </c>
      <c r="C352" s="116">
        <v>29.024999999999999</v>
      </c>
      <c r="D352" s="116">
        <v>28.9</v>
      </c>
      <c r="E352" s="116">
        <v>29.25</v>
      </c>
      <c r="F352" s="116">
        <v>58.05</v>
      </c>
      <c r="G352">
        <v>19355</v>
      </c>
      <c r="H352" s="116"/>
      <c r="I352" s="116"/>
      <c r="L352" s="166">
        <v>42521</v>
      </c>
      <c r="M352" s="116">
        <v>29</v>
      </c>
      <c r="N352" s="116">
        <v>29.35</v>
      </c>
      <c r="O352" s="116">
        <v>28.625</v>
      </c>
      <c r="P352" s="116">
        <v>29.274999999999999</v>
      </c>
      <c r="Q352" s="116">
        <v>58</v>
      </c>
      <c r="R352">
        <v>88315</v>
      </c>
    </row>
    <row r="353" spans="1:18" x14ac:dyDescent="0.25">
      <c r="A353" s="166">
        <v>42522</v>
      </c>
      <c r="B353" s="116">
        <v>29.35</v>
      </c>
      <c r="C353" s="116">
        <v>29.15</v>
      </c>
      <c r="D353" s="116">
        <v>28.95</v>
      </c>
      <c r="E353" s="116">
        <v>29</v>
      </c>
      <c r="F353" s="116">
        <v>58.3</v>
      </c>
      <c r="G353">
        <v>27455</v>
      </c>
      <c r="H353" s="116"/>
      <c r="I353" s="116"/>
      <c r="L353" s="166">
        <v>42522</v>
      </c>
      <c r="M353" s="116">
        <v>29.125</v>
      </c>
      <c r="N353" s="116">
        <v>29.4</v>
      </c>
      <c r="O353" s="116">
        <v>29</v>
      </c>
      <c r="P353" s="116">
        <v>29.25</v>
      </c>
      <c r="Q353" s="116">
        <v>58.25</v>
      </c>
      <c r="R353">
        <v>41796</v>
      </c>
    </row>
    <row r="354" spans="1:18" x14ac:dyDescent="0.25">
      <c r="A354" s="166">
        <v>42523</v>
      </c>
      <c r="B354" s="116">
        <v>29.2</v>
      </c>
      <c r="C354" s="116">
        <v>29.024999999999999</v>
      </c>
      <c r="D354" s="116">
        <v>28.85</v>
      </c>
      <c r="E354" s="116">
        <v>29.1</v>
      </c>
      <c r="F354" s="116">
        <v>58.05</v>
      </c>
      <c r="G354">
        <v>14507</v>
      </c>
      <c r="H354" s="116"/>
      <c r="I354" s="116"/>
      <c r="L354" s="166">
        <v>42523</v>
      </c>
      <c r="M354" s="116">
        <v>28.925000000000001</v>
      </c>
      <c r="N354" s="116">
        <v>29.25</v>
      </c>
      <c r="O354" s="116">
        <v>28.675000000000001</v>
      </c>
      <c r="P354" s="116">
        <v>29.25</v>
      </c>
      <c r="Q354" s="116">
        <v>57.85</v>
      </c>
      <c r="R354">
        <v>42743</v>
      </c>
    </row>
    <row r="355" spans="1:18" x14ac:dyDescent="0.25">
      <c r="A355" s="166">
        <v>42524</v>
      </c>
      <c r="B355" s="116">
        <v>29.475000000000001</v>
      </c>
      <c r="C355" s="116">
        <v>28.95</v>
      </c>
      <c r="D355" s="116">
        <v>28.9</v>
      </c>
      <c r="E355" s="116">
        <v>29.475000000000001</v>
      </c>
      <c r="F355" s="116">
        <v>57.9</v>
      </c>
      <c r="G355">
        <v>20074</v>
      </c>
      <c r="H355" s="116"/>
      <c r="I355" s="116"/>
      <c r="L355" s="166">
        <v>42524</v>
      </c>
      <c r="M355" s="116">
        <v>29.024999999999999</v>
      </c>
      <c r="N355" s="116">
        <v>29.3</v>
      </c>
      <c r="O355" s="116">
        <v>28.625</v>
      </c>
      <c r="P355" s="116">
        <v>28.625</v>
      </c>
      <c r="Q355" s="116">
        <v>58.05</v>
      </c>
      <c r="R355">
        <v>60746</v>
      </c>
    </row>
    <row r="356" spans="1:18" x14ac:dyDescent="0.25">
      <c r="A356" s="166">
        <v>42527</v>
      </c>
      <c r="B356" s="116">
        <v>28.975000000000001</v>
      </c>
      <c r="C356" s="116">
        <v>28.8</v>
      </c>
      <c r="D356" s="116">
        <v>28.7</v>
      </c>
      <c r="E356" s="116">
        <v>28.925000000000001</v>
      </c>
      <c r="F356" s="116">
        <v>57.6</v>
      </c>
      <c r="G356">
        <v>11662</v>
      </c>
      <c r="H356" s="116"/>
      <c r="I356" s="116"/>
      <c r="L356" s="166">
        <v>42527</v>
      </c>
      <c r="M356" s="116">
        <v>28.8</v>
      </c>
      <c r="N356" s="116">
        <v>29.225000000000001</v>
      </c>
      <c r="O356" s="116">
        <v>28.5</v>
      </c>
      <c r="P356" s="116">
        <v>28.9</v>
      </c>
      <c r="Q356" s="116">
        <v>57.6</v>
      </c>
      <c r="R356">
        <v>40179</v>
      </c>
    </row>
    <row r="357" spans="1:18" x14ac:dyDescent="0.25">
      <c r="A357" s="166">
        <v>42528</v>
      </c>
      <c r="B357" s="116">
        <v>29.175000000000001</v>
      </c>
      <c r="C357" s="116">
        <v>29.024999999999999</v>
      </c>
      <c r="D357" s="116">
        <v>28.8</v>
      </c>
      <c r="E357" s="116">
        <v>29</v>
      </c>
      <c r="F357" s="116">
        <v>58.05</v>
      </c>
      <c r="G357">
        <v>11538</v>
      </c>
      <c r="H357" s="116"/>
      <c r="I357" s="116"/>
      <c r="L357" s="166">
        <v>42528</v>
      </c>
      <c r="M357" s="116">
        <v>28.975000000000001</v>
      </c>
      <c r="N357" s="116">
        <v>29.25</v>
      </c>
      <c r="O357" s="116">
        <v>28.6</v>
      </c>
      <c r="P357" s="116">
        <v>28.8</v>
      </c>
      <c r="Q357" s="116">
        <v>57.95</v>
      </c>
      <c r="R357">
        <v>47804</v>
      </c>
    </row>
    <row r="358" spans="1:18" x14ac:dyDescent="0.25">
      <c r="A358" s="166">
        <v>42529</v>
      </c>
      <c r="B358" s="116">
        <v>30.75</v>
      </c>
      <c r="C358" s="116">
        <v>30</v>
      </c>
      <c r="D358" s="116">
        <v>28.9</v>
      </c>
      <c r="E358" s="116">
        <v>29.05</v>
      </c>
      <c r="F358" s="116">
        <v>60</v>
      </c>
      <c r="G358">
        <v>114937</v>
      </c>
      <c r="H358" s="116"/>
      <c r="I358" s="116"/>
      <c r="L358" s="166">
        <v>42529</v>
      </c>
      <c r="M358" s="116">
        <v>30.05</v>
      </c>
      <c r="N358" s="116">
        <v>30.75</v>
      </c>
      <c r="O358" s="116">
        <v>28.9</v>
      </c>
      <c r="P358" s="116">
        <v>29.074999999999999</v>
      </c>
      <c r="Q358" s="116">
        <v>60.1</v>
      </c>
      <c r="R358">
        <v>254965</v>
      </c>
    </row>
    <row r="359" spans="1:18" x14ac:dyDescent="0.25">
      <c r="A359" s="166">
        <v>42530</v>
      </c>
      <c r="B359" s="116">
        <v>31.725000000000001</v>
      </c>
      <c r="C359" s="116">
        <v>31.024999999999999</v>
      </c>
      <c r="D359" s="116">
        <v>30.1</v>
      </c>
      <c r="E359" s="116">
        <v>30.1</v>
      </c>
      <c r="F359" s="116">
        <v>62.05</v>
      </c>
      <c r="G359">
        <v>87791</v>
      </c>
      <c r="H359" s="116"/>
      <c r="I359" s="116"/>
      <c r="L359" s="166">
        <v>42530</v>
      </c>
      <c r="M359" s="116">
        <v>31.074999999999999</v>
      </c>
      <c r="N359" s="116">
        <v>31.725000000000001</v>
      </c>
      <c r="O359" s="116">
        <v>30.35</v>
      </c>
      <c r="P359" s="116">
        <v>30.35</v>
      </c>
      <c r="Q359" s="116">
        <v>62.15</v>
      </c>
      <c r="R359">
        <v>292324</v>
      </c>
    </row>
    <row r="360" spans="1:18" x14ac:dyDescent="0.25">
      <c r="A360" s="166">
        <v>42531</v>
      </c>
      <c r="B360" s="116">
        <v>31.324999999999999</v>
      </c>
      <c r="C360" s="116">
        <v>30.75</v>
      </c>
      <c r="D360" s="116">
        <v>30.5</v>
      </c>
      <c r="E360" s="116">
        <v>31</v>
      </c>
      <c r="F360" s="116">
        <v>61.5</v>
      </c>
      <c r="G360">
        <v>31174</v>
      </c>
      <c r="H360" s="116"/>
      <c r="I360" s="116"/>
      <c r="L360" s="166">
        <v>42531</v>
      </c>
      <c r="M360" s="116">
        <v>30.8</v>
      </c>
      <c r="N360" s="116">
        <v>31.324999999999999</v>
      </c>
      <c r="O360" s="116">
        <v>30.6</v>
      </c>
      <c r="P360" s="116">
        <v>31.15</v>
      </c>
      <c r="Q360" s="116">
        <v>61.6</v>
      </c>
      <c r="R360">
        <v>84803</v>
      </c>
    </row>
    <row r="361" spans="1:18" x14ac:dyDescent="0.25">
      <c r="A361" s="166">
        <v>42534</v>
      </c>
      <c r="B361" s="116">
        <v>30.625</v>
      </c>
      <c r="C361" s="116">
        <v>30.425000000000001</v>
      </c>
      <c r="D361" s="116">
        <v>30.15</v>
      </c>
      <c r="E361" s="116">
        <v>30.5</v>
      </c>
      <c r="F361" s="116">
        <v>60.85</v>
      </c>
      <c r="G361">
        <v>19996</v>
      </c>
      <c r="H361" s="116"/>
      <c r="I361" s="116"/>
      <c r="L361" s="166">
        <v>42534</v>
      </c>
      <c r="M361" s="116">
        <v>30.524999999999999</v>
      </c>
      <c r="N361" s="116">
        <v>30.725000000000001</v>
      </c>
      <c r="O361" s="116">
        <v>30.25</v>
      </c>
      <c r="P361" s="116">
        <v>30.725000000000001</v>
      </c>
      <c r="Q361" s="116">
        <v>61.05</v>
      </c>
      <c r="R361">
        <v>73889</v>
      </c>
    </row>
    <row r="362" spans="1:18" x14ac:dyDescent="0.25">
      <c r="A362" s="166">
        <v>42535</v>
      </c>
      <c r="B362" s="116">
        <v>31.1</v>
      </c>
      <c r="C362" s="116">
        <v>30.574999999999999</v>
      </c>
      <c r="D362" s="116">
        <v>30.35</v>
      </c>
      <c r="E362" s="116">
        <v>30.35</v>
      </c>
      <c r="F362" s="116">
        <v>61.15</v>
      </c>
      <c r="G362">
        <v>33932</v>
      </c>
      <c r="H362" s="116"/>
      <c r="I362" s="116"/>
      <c r="L362" s="166">
        <v>42535</v>
      </c>
      <c r="M362" s="116">
        <v>30.625</v>
      </c>
      <c r="N362" s="116">
        <v>31.15</v>
      </c>
      <c r="O362" s="116">
        <v>30.25</v>
      </c>
      <c r="P362" s="116">
        <v>30.4</v>
      </c>
      <c r="Q362" s="116">
        <v>61.25</v>
      </c>
      <c r="R362">
        <v>65914</v>
      </c>
    </row>
    <row r="363" spans="1:18" x14ac:dyDescent="0.25">
      <c r="A363" s="166">
        <v>42536</v>
      </c>
      <c r="B363" s="116">
        <v>32.424999999999997</v>
      </c>
      <c r="C363" s="116">
        <v>31.425000000000001</v>
      </c>
      <c r="D363" s="116">
        <v>30.675000000000001</v>
      </c>
      <c r="E363" s="116">
        <v>30.774999999999999</v>
      </c>
      <c r="F363" s="116">
        <v>62.85</v>
      </c>
      <c r="G363">
        <v>72824</v>
      </c>
      <c r="H363" s="116"/>
      <c r="I363" s="116"/>
      <c r="L363" s="166">
        <v>42536</v>
      </c>
      <c r="M363" s="116">
        <v>31.425000000000001</v>
      </c>
      <c r="N363" s="116">
        <v>32.450000000000003</v>
      </c>
      <c r="O363" s="116">
        <v>30.5</v>
      </c>
      <c r="P363" s="116">
        <v>30.75</v>
      </c>
      <c r="Q363" s="116">
        <v>62.85</v>
      </c>
      <c r="R363">
        <v>243396</v>
      </c>
    </row>
    <row r="364" spans="1:18" x14ac:dyDescent="0.25">
      <c r="A364" s="166">
        <v>42537</v>
      </c>
      <c r="B364" s="116">
        <v>33.024999999999999</v>
      </c>
      <c r="C364" s="116">
        <v>32.225000000000001</v>
      </c>
      <c r="D364" s="116">
        <v>31.5</v>
      </c>
      <c r="E364" s="116">
        <v>31.5</v>
      </c>
      <c r="F364" s="116">
        <v>64.45</v>
      </c>
      <c r="G364">
        <v>140424</v>
      </c>
      <c r="H364" s="116"/>
      <c r="I364" s="116"/>
      <c r="L364" s="166">
        <v>42537</v>
      </c>
      <c r="M364" s="116">
        <v>32.25</v>
      </c>
      <c r="N364" s="116">
        <v>33</v>
      </c>
      <c r="O364" s="116">
        <v>31.475000000000001</v>
      </c>
      <c r="P364" s="116">
        <v>31.475000000000001</v>
      </c>
      <c r="Q364" s="116">
        <v>64.5</v>
      </c>
      <c r="R364">
        <v>697981</v>
      </c>
    </row>
    <row r="365" spans="1:18" x14ac:dyDescent="0.25">
      <c r="A365" s="166">
        <v>42538</v>
      </c>
      <c r="B365" s="116">
        <v>33</v>
      </c>
      <c r="C365" s="116">
        <v>31.75</v>
      </c>
      <c r="D365" s="116">
        <v>31.5</v>
      </c>
      <c r="E365" s="116">
        <v>32.475000000000001</v>
      </c>
      <c r="F365" s="116">
        <v>63.5</v>
      </c>
      <c r="G365">
        <v>79768</v>
      </c>
      <c r="H365" s="116"/>
      <c r="I365" s="116"/>
      <c r="L365" s="166">
        <v>42538</v>
      </c>
      <c r="M365" s="116">
        <v>31.8</v>
      </c>
      <c r="N365" s="116">
        <v>33.049999999999997</v>
      </c>
      <c r="O365" s="116">
        <v>31.574999999999999</v>
      </c>
      <c r="P365" s="116">
        <v>32.5</v>
      </c>
      <c r="Q365" s="116">
        <v>63.6</v>
      </c>
      <c r="R365">
        <v>244187</v>
      </c>
    </row>
    <row r="366" spans="1:18" x14ac:dyDescent="0.25">
      <c r="A366" s="166">
        <v>42541</v>
      </c>
      <c r="B366" s="116">
        <v>31.725000000000001</v>
      </c>
      <c r="C366" s="116">
        <v>31.5</v>
      </c>
      <c r="D366" s="116">
        <v>31.2</v>
      </c>
      <c r="E366" s="116">
        <v>31.4</v>
      </c>
      <c r="F366" s="116">
        <v>63</v>
      </c>
      <c r="G366">
        <v>25372</v>
      </c>
      <c r="H366" s="116"/>
      <c r="I366" s="116"/>
      <c r="L366" s="166">
        <v>42541</v>
      </c>
      <c r="M366" s="116">
        <v>31.4</v>
      </c>
      <c r="N366" s="116">
        <v>31.7</v>
      </c>
      <c r="O366" s="116">
        <v>31.024999999999999</v>
      </c>
      <c r="P366" s="116">
        <v>31.5</v>
      </c>
      <c r="Q366" s="116">
        <v>62.8</v>
      </c>
      <c r="R366">
        <v>99553</v>
      </c>
    </row>
    <row r="367" spans="1:18" x14ac:dyDescent="0.25">
      <c r="A367" s="166">
        <v>42542</v>
      </c>
      <c r="B367" s="116">
        <v>31.975000000000001</v>
      </c>
      <c r="C367" s="116">
        <v>31.4</v>
      </c>
      <c r="D367" s="116">
        <v>31.125</v>
      </c>
      <c r="E367" s="116">
        <v>31.774999999999999</v>
      </c>
      <c r="F367" s="116">
        <v>62.8</v>
      </c>
      <c r="G367">
        <v>38775</v>
      </c>
      <c r="H367" s="116"/>
      <c r="I367" s="116"/>
      <c r="L367" s="166">
        <v>42542</v>
      </c>
      <c r="M367" s="116">
        <v>31.324999999999999</v>
      </c>
      <c r="N367" s="116">
        <v>32.049999999999997</v>
      </c>
      <c r="O367" s="116">
        <v>30.55</v>
      </c>
      <c r="P367" s="116">
        <v>31.7</v>
      </c>
      <c r="Q367" s="116">
        <v>62.65</v>
      </c>
      <c r="R367">
        <v>125907</v>
      </c>
    </row>
    <row r="368" spans="1:18" x14ac:dyDescent="0.25">
      <c r="A368" s="166">
        <v>42543</v>
      </c>
      <c r="B368" s="116">
        <v>31.6</v>
      </c>
      <c r="C368" s="116">
        <v>31.074999999999999</v>
      </c>
      <c r="D368" s="116">
        <v>30.9</v>
      </c>
      <c r="E368" s="116">
        <v>31.524999999999999</v>
      </c>
      <c r="F368" s="116">
        <v>62.15</v>
      </c>
      <c r="G368">
        <v>16005</v>
      </c>
      <c r="H368" s="116"/>
      <c r="I368" s="116"/>
      <c r="L368" s="166">
        <v>42543</v>
      </c>
      <c r="M368" s="116">
        <v>31</v>
      </c>
      <c r="N368" s="116">
        <v>31.725000000000001</v>
      </c>
      <c r="O368" s="116">
        <v>30.7</v>
      </c>
      <c r="P368" s="116">
        <v>31.5</v>
      </c>
      <c r="Q368" s="116">
        <v>62</v>
      </c>
      <c r="R368">
        <v>74453</v>
      </c>
    </row>
    <row r="369" spans="1:18" x14ac:dyDescent="0.25">
      <c r="A369" s="166">
        <v>42544</v>
      </c>
      <c r="B369" s="116">
        <v>31.125</v>
      </c>
      <c r="C369" s="116">
        <v>30.725000000000001</v>
      </c>
      <c r="D369" s="116">
        <v>30.6</v>
      </c>
      <c r="E369" s="116">
        <v>30.8</v>
      </c>
      <c r="F369" s="116">
        <v>61.45</v>
      </c>
      <c r="G369">
        <v>17129</v>
      </c>
      <c r="H369" s="116"/>
      <c r="I369" s="116"/>
      <c r="L369" s="166">
        <v>42544</v>
      </c>
      <c r="M369" s="116">
        <v>30.7</v>
      </c>
      <c r="N369" s="116">
        <v>31.3</v>
      </c>
      <c r="O369" s="116">
        <v>30.5</v>
      </c>
      <c r="P369" s="116">
        <v>31.3</v>
      </c>
      <c r="Q369" s="116">
        <v>61.4</v>
      </c>
      <c r="R369">
        <v>279155</v>
      </c>
    </row>
    <row r="370" spans="1:18" x14ac:dyDescent="0.25">
      <c r="A370" s="166">
        <v>42545</v>
      </c>
      <c r="B370" s="116">
        <v>30.5</v>
      </c>
      <c r="C370" s="116">
        <v>29.65</v>
      </c>
      <c r="D370" s="116">
        <v>29.15</v>
      </c>
      <c r="E370" s="116">
        <v>30.25</v>
      </c>
      <c r="F370" s="116">
        <v>59.3</v>
      </c>
      <c r="G370">
        <v>49466</v>
      </c>
      <c r="H370" s="116"/>
      <c r="I370" s="116"/>
      <c r="L370" s="166">
        <v>42545</v>
      </c>
      <c r="M370" s="116">
        <v>29.55</v>
      </c>
      <c r="N370" s="116">
        <v>30.45</v>
      </c>
      <c r="O370" s="116">
        <v>29.1</v>
      </c>
      <c r="P370" s="116">
        <v>30.05</v>
      </c>
      <c r="Q370" s="116">
        <v>59.1</v>
      </c>
      <c r="R370">
        <v>315403</v>
      </c>
    </row>
    <row r="371" spans="1:18" x14ac:dyDescent="0.25">
      <c r="A371" s="166">
        <v>42548</v>
      </c>
      <c r="B371" s="116">
        <v>30.8</v>
      </c>
      <c r="C371" s="116">
        <v>30.15</v>
      </c>
      <c r="D371" s="116">
        <v>29.35</v>
      </c>
      <c r="E371" s="116">
        <v>29.55</v>
      </c>
      <c r="F371" s="116">
        <v>60.3</v>
      </c>
      <c r="G371">
        <v>117056</v>
      </c>
      <c r="H371" s="116"/>
      <c r="I371" s="116"/>
      <c r="L371" s="166">
        <v>42548</v>
      </c>
      <c r="M371" s="116">
        <v>30.125</v>
      </c>
      <c r="N371" s="116">
        <v>30.8</v>
      </c>
      <c r="O371" s="116">
        <v>29.425000000000001</v>
      </c>
      <c r="P371" s="116">
        <v>29.45</v>
      </c>
      <c r="Q371" s="116">
        <v>60.25</v>
      </c>
      <c r="R371">
        <v>486475</v>
      </c>
    </row>
    <row r="372" spans="1:18" x14ac:dyDescent="0.25">
      <c r="A372" s="166">
        <v>42549</v>
      </c>
      <c r="B372" s="116">
        <v>30.95</v>
      </c>
      <c r="C372" s="116">
        <v>30.45</v>
      </c>
      <c r="D372" s="116">
        <v>30.225000000000001</v>
      </c>
      <c r="E372" s="116">
        <v>30.225000000000001</v>
      </c>
      <c r="F372" s="116">
        <v>60.9</v>
      </c>
      <c r="G372">
        <v>63650</v>
      </c>
      <c r="H372" s="116"/>
      <c r="I372" s="116"/>
      <c r="L372" s="166">
        <v>42549</v>
      </c>
      <c r="M372" s="116">
        <v>30.45</v>
      </c>
      <c r="N372" s="116">
        <v>31</v>
      </c>
      <c r="O372" s="116">
        <v>30.05</v>
      </c>
      <c r="P372" s="116">
        <v>30.225000000000001</v>
      </c>
      <c r="Q372" s="116">
        <v>60.9</v>
      </c>
      <c r="R372">
        <v>367247</v>
      </c>
    </row>
    <row r="373" spans="1:18" x14ac:dyDescent="0.25">
      <c r="A373" s="166">
        <v>42550</v>
      </c>
      <c r="B373" s="116">
        <v>30.9</v>
      </c>
      <c r="C373" s="116">
        <v>30.7</v>
      </c>
      <c r="D373" s="116">
        <v>30.6</v>
      </c>
      <c r="E373" s="116">
        <v>30.85</v>
      </c>
      <c r="F373" s="116">
        <v>61.4</v>
      </c>
      <c r="G373">
        <v>21160</v>
      </c>
      <c r="H373" s="116"/>
      <c r="I373" s="116"/>
      <c r="L373" s="166">
        <v>42550</v>
      </c>
      <c r="M373" s="116">
        <v>30.824999999999999</v>
      </c>
      <c r="N373" s="116">
        <v>30.95</v>
      </c>
      <c r="O373" s="116">
        <v>30.6</v>
      </c>
      <c r="P373" s="116">
        <v>30.8</v>
      </c>
      <c r="Q373" s="116">
        <v>61.65</v>
      </c>
      <c r="R373">
        <v>246786</v>
      </c>
    </row>
    <row r="374" spans="1:18" x14ac:dyDescent="0.25">
      <c r="A374" s="166">
        <v>42551</v>
      </c>
      <c r="B374" s="116">
        <v>32.65</v>
      </c>
      <c r="C374" s="116">
        <v>32.375</v>
      </c>
      <c r="D374" s="116">
        <v>30.9</v>
      </c>
      <c r="E374" s="116">
        <v>30.95</v>
      </c>
      <c r="F374" s="116">
        <v>64.75</v>
      </c>
      <c r="G374">
        <v>232676</v>
      </c>
      <c r="H374" s="116"/>
      <c r="I374" s="116"/>
      <c r="L374" s="166">
        <v>42551</v>
      </c>
      <c r="M374" s="116">
        <v>32.35</v>
      </c>
      <c r="N374" s="116">
        <v>32.65</v>
      </c>
      <c r="O374" s="116">
        <v>30.85</v>
      </c>
      <c r="P374" s="116">
        <v>30.85</v>
      </c>
      <c r="Q374" s="116">
        <v>64.7</v>
      </c>
      <c r="R374">
        <v>655711</v>
      </c>
    </row>
    <row r="375" spans="1:18" x14ac:dyDescent="0.25">
      <c r="A375" s="166">
        <v>42552</v>
      </c>
      <c r="B375" s="116">
        <v>33.375</v>
      </c>
      <c r="C375" s="116">
        <v>32.325000000000003</v>
      </c>
      <c r="D375" s="116">
        <v>32.25</v>
      </c>
      <c r="E375" s="116">
        <v>33.225000000000001</v>
      </c>
      <c r="F375" s="116">
        <v>64.650000000000006</v>
      </c>
      <c r="G375">
        <v>185534</v>
      </c>
      <c r="H375" s="116"/>
      <c r="I375" s="116"/>
      <c r="L375" s="166">
        <v>42552</v>
      </c>
      <c r="M375" s="116">
        <v>32.375</v>
      </c>
      <c r="N375" s="116">
        <v>33.4</v>
      </c>
      <c r="O375" s="116">
        <v>32.25</v>
      </c>
      <c r="P375" s="116">
        <v>33.1</v>
      </c>
      <c r="Q375" s="116">
        <v>64.75</v>
      </c>
      <c r="R375">
        <v>599795</v>
      </c>
    </row>
    <row r="376" spans="1:18" x14ac:dyDescent="0.25">
      <c r="A376" s="166">
        <v>42555</v>
      </c>
      <c r="B376" s="116">
        <v>33.450000000000003</v>
      </c>
      <c r="C376" s="116">
        <v>32.875</v>
      </c>
      <c r="D376" s="116">
        <v>32.625</v>
      </c>
      <c r="E376" s="116">
        <v>32.725000000000001</v>
      </c>
      <c r="F376" s="116">
        <v>65.75</v>
      </c>
      <c r="G376">
        <v>117651</v>
      </c>
      <c r="H376" s="116"/>
      <c r="I376" s="116"/>
      <c r="L376" s="166">
        <v>42555</v>
      </c>
      <c r="M376" s="116">
        <v>32.825000000000003</v>
      </c>
      <c r="N376" s="116">
        <v>33.5</v>
      </c>
      <c r="O376" s="116">
        <v>32.524999999999999</v>
      </c>
      <c r="P376" s="116">
        <v>32.524999999999999</v>
      </c>
      <c r="Q376" s="116">
        <v>65.650000000000006</v>
      </c>
      <c r="R376">
        <v>698907</v>
      </c>
    </row>
    <row r="377" spans="1:18" x14ac:dyDescent="0.25">
      <c r="A377" s="166">
        <v>42556</v>
      </c>
      <c r="B377" s="116">
        <v>33</v>
      </c>
      <c r="C377" s="116">
        <v>32.35</v>
      </c>
      <c r="D377" s="116">
        <v>32.25</v>
      </c>
      <c r="E377" s="116">
        <v>33</v>
      </c>
      <c r="F377" s="116">
        <v>64.7</v>
      </c>
      <c r="G377">
        <v>65527</v>
      </c>
      <c r="H377" s="116"/>
      <c r="I377" s="116"/>
      <c r="L377" s="166">
        <v>42556</v>
      </c>
      <c r="M377" s="116">
        <v>32.25</v>
      </c>
      <c r="N377" s="116">
        <v>33.125</v>
      </c>
      <c r="O377" s="116">
        <v>32.049999999999997</v>
      </c>
      <c r="P377" s="116">
        <v>32.575000000000003</v>
      </c>
      <c r="Q377" s="116">
        <v>64.5</v>
      </c>
      <c r="R377">
        <v>271901</v>
      </c>
    </row>
    <row r="378" spans="1:18" x14ac:dyDescent="0.25">
      <c r="A378" s="166">
        <v>42558</v>
      </c>
      <c r="B378" s="116">
        <v>32.75</v>
      </c>
      <c r="C378" s="116">
        <v>32.375</v>
      </c>
      <c r="D378" s="116">
        <v>32.274999999999999</v>
      </c>
      <c r="E378" s="116">
        <v>32.5</v>
      </c>
      <c r="F378" s="116">
        <v>64.75</v>
      </c>
      <c r="G378">
        <v>51407</v>
      </c>
      <c r="H378" s="116"/>
      <c r="I378" s="116"/>
      <c r="L378" s="166">
        <v>42558</v>
      </c>
      <c r="M378" s="116">
        <v>32.35</v>
      </c>
      <c r="N378" s="116">
        <v>32.799999999999997</v>
      </c>
      <c r="O378" s="116">
        <v>32.200000000000003</v>
      </c>
      <c r="P378" s="116">
        <v>32.450000000000003</v>
      </c>
      <c r="Q378" s="116">
        <v>64.7</v>
      </c>
      <c r="R378">
        <v>270217</v>
      </c>
    </row>
    <row r="379" spans="1:18" x14ac:dyDescent="0.25">
      <c r="A379" s="166">
        <v>42559</v>
      </c>
      <c r="B379" s="116">
        <v>32.450000000000003</v>
      </c>
      <c r="C379" s="116">
        <v>31.8</v>
      </c>
      <c r="D379" s="116">
        <v>31.675000000000001</v>
      </c>
      <c r="E379" s="116">
        <v>32.450000000000003</v>
      </c>
      <c r="F379" s="116">
        <v>63.6</v>
      </c>
      <c r="G379">
        <v>24561</v>
      </c>
      <c r="H379" s="116"/>
      <c r="I379" s="116"/>
      <c r="L379" s="166">
        <v>42559</v>
      </c>
      <c r="M379" s="116">
        <v>31.8</v>
      </c>
      <c r="N379" s="116">
        <v>32.575000000000003</v>
      </c>
      <c r="O379" s="116">
        <v>31.6</v>
      </c>
      <c r="P379" s="116">
        <v>32.5</v>
      </c>
      <c r="Q379" s="116">
        <v>63.6</v>
      </c>
      <c r="R379">
        <v>121971</v>
      </c>
    </row>
    <row r="380" spans="1:18" x14ac:dyDescent="0.25">
      <c r="A380" s="166">
        <v>42562</v>
      </c>
      <c r="B380" s="116">
        <v>32.475000000000001</v>
      </c>
      <c r="C380" s="116">
        <v>32.049999999999997</v>
      </c>
      <c r="D380" s="116">
        <v>31.975000000000001</v>
      </c>
      <c r="E380" s="116">
        <v>32.35</v>
      </c>
      <c r="F380" s="116">
        <v>64.099999999999994</v>
      </c>
      <c r="G380">
        <v>40330</v>
      </c>
      <c r="H380" s="116"/>
      <c r="I380" s="116"/>
      <c r="L380" s="166">
        <v>42562</v>
      </c>
      <c r="M380" s="116">
        <v>32</v>
      </c>
      <c r="N380" s="116">
        <v>32.450000000000003</v>
      </c>
      <c r="O380" s="116">
        <v>31.875</v>
      </c>
      <c r="P380" s="116">
        <v>32.174999999999997</v>
      </c>
      <c r="Q380" s="116">
        <v>64</v>
      </c>
      <c r="R380">
        <v>153323</v>
      </c>
    </row>
    <row r="381" spans="1:18" x14ac:dyDescent="0.25">
      <c r="A381" s="166">
        <v>42563</v>
      </c>
      <c r="B381" s="116">
        <v>32.225000000000001</v>
      </c>
      <c r="C381" s="116">
        <v>31.25</v>
      </c>
      <c r="D381" s="116">
        <v>31.175000000000001</v>
      </c>
      <c r="E381" s="116">
        <v>32.024999999999999</v>
      </c>
      <c r="F381" s="116">
        <v>62.5</v>
      </c>
      <c r="G381">
        <v>39347</v>
      </c>
      <c r="H381" s="116"/>
      <c r="I381" s="116"/>
      <c r="L381" s="166">
        <v>42563</v>
      </c>
      <c r="M381" s="116">
        <v>31.225000000000001</v>
      </c>
      <c r="N381" s="116">
        <v>32.200000000000003</v>
      </c>
      <c r="O381" s="116">
        <v>31.074999999999999</v>
      </c>
      <c r="P381" s="116">
        <v>32.049999999999997</v>
      </c>
      <c r="Q381" s="116">
        <v>62.45</v>
      </c>
      <c r="R381">
        <v>361578</v>
      </c>
    </row>
    <row r="382" spans="1:18" x14ac:dyDescent="0.25">
      <c r="A382" s="166">
        <v>42564</v>
      </c>
      <c r="B382" s="116">
        <v>32.075000000000003</v>
      </c>
      <c r="C382" s="116">
        <v>31.4</v>
      </c>
      <c r="D382" s="116">
        <v>31.3</v>
      </c>
      <c r="E382" s="116">
        <v>31.65</v>
      </c>
      <c r="F382" s="116">
        <v>62.8</v>
      </c>
      <c r="G382">
        <v>50789</v>
      </c>
      <c r="H382" s="116"/>
      <c r="I382" s="116"/>
      <c r="L382" s="166">
        <v>42564</v>
      </c>
      <c r="M382" s="116">
        <v>31.425000000000001</v>
      </c>
      <c r="N382" s="116">
        <v>32.1</v>
      </c>
      <c r="O382" s="116">
        <v>31.3</v>
      </c>
      <c r="P382" s="116">
        <v>31.625</v>
      </c>
      <c r="Q382" s="116">
        <v>62.85</v>
      </c>
      <c r="R382">
        <v>240334</v>
      </c>
    </row>
    <row r="383" spans="1:18" x14ac:dyDescent="0.25">
      <c r="A383" s="166">
        <v>42565</v>
      </c>
      <c r="B383" s="116">
        <v>33.15</v>
      </c>
      <c r="C383" s="116">
        <v>32.200000000000003</v>
      </c>
      <c r="D383" s="116">
        <v>31.125</v>
      </c>
      <c r="E383" s="116">
        <v>31.475000000000001</v>
      </c>
      <c r="F383" s="116">
        <v>64.400000000000006</v>
      </c>
      <c r="G383">
        <v>356197</v>
      </c>
      <c r="H383" s="116"/>
      <c r="I383" s="116"/>
      <c r="L383" s="166">
        <v>42565</v>
      </c>
      <c r="M383" s="116">
        <v>32.225000000000001</v>
      </c>
      <c r="N383" s="116">
        <v>33.15</v>
      </c>
      <c r="O383" s="116">
        <v>31.2</v>
      </c>
      <c r="P383" s="116">
        <v>31.425000000000001</v>
      </c>
      <c r="Q383" s="116">
        <v>64.45</v>
      </c>
      <c r="R383">
        <v>969577</v>
      </c>
    </row>
    <row r="384" spans="1:18" x14ac:dyDescent="0.25">
      <c r="A384" s="166">
        <v>42566</v>
      </c>
      <c r="B384" s="116">
        <v>32.625</v>
      </c>
      <c r="C384" s="116">
        <v>31.774999999999999</v>
      </c>
      <c r="D384" s="116">
        <v>31.65</v>
      </c>
      <c r="E384" s="116">
        <v>32.5</v>
      </c>
      <c r="F384" s="116">
        <v>63.55</v>
      </c>
      <c r="G384">
        <v>62105</v>
      </c>
      <c r="H384" s="116"/>
      <c r="I384" s="116"/>
      <c r="L384" s="166">
        <v>42566</v>
      </c>
      <c r="M384" s="116">
        <v>31.824999999999999</v>
      </c>
      <c r="N384" s="116">
        <v>32.65</v>
      </c>
      <c r="O384" s="116">
        <v>31.675000000000001</v>
      </c>
      <c r="P384" s="116">
        <v>32.524999999999999</v>
      </c>
      <c r="Q384" s="116">
        <v>63.65</v>
      </c>
      <c r="R384">
        <v>310562</v>
      </c>
    </row>
    <row r="385" spans="1:18" x14ac:dyDescent="0.25">
      <c r="A385" s="166">
        <v>42569</v>
      </c>
      <c r="B385" s="116">
        <v>32.5</v>
      </c>
      <c r="C385" s="116">
        <v>31.4</v>
      </c>
      <c r="D385" s="116">
        <v>31.3</v>
      </c>
      <c r="E385" s="116">
        <v>31.55</v>
      </c>
      <c r="F385" s="116">
        <v>62.8</v>
      </c>
      <c r="G385">
        <v>71113</v>
      </c>
      <c r="H385" s="116"/>
      <c r="I385" s="116"/>
      <c r="L385" s="166">
        <v>42569</v>
      </c>
      <c r="M385" s="116">
        <v>31.35</v>
      </c>
      <c r="N385" s="116">
        <v>32.375</v>
      </c>
      <c r="O385" s="116">
        <v>31.274999999999999</v>
      </c>
      <c r="P385" s="116">
        <v>31.475000000000001</v>
      </c>
      <c r="Q385" s="116">
        <v>62.7</v>
      </c>
      <c r="R385">
        <v>380473</v>
      </c>
    </row>
    <row r="386" spans="1:18" x14ac:dyDescent="0.25">
      <c r="A386" s="166">
        <v>42570</v>
      </c>
      <c r="B386" s="116">
        <v>31.625</v>
      </c>
      <c r="C386" s="116">
        <v>30.925000000000001</v>
      </c>
      <c r="D386" s="116">
        <v>30.774999999999999</v>
      </c>
      <c r="E386" s="116">
        <v>31.4</v>
      </c>
      <c r="F386" s="116">
        <v>61.85</v>
      </c>
      <c r="G386">
        <v>40547</v>
      </c>
      <c r="H386" s="116"/>
      <c r="I386" s="116"/>
      <c r="L386" s="166">
        <v>42570</v>
      </c>
      <c r="M386" s="116">
        <v>30.85</v>
      </c>
      <c r="N386" s="116">
        <v>31.625</v>
      </c>
      <c r="O386" s="116">
        <v>30.7</v>
      </c>
      <c r="P386" s="116">
        <v>31.5</v>
      </c>
      <c r="Q386" s="116">
        <v>61.7</v>
      </c>
      <c r="R386">
        <v>400239</v>
      </c>
    </row>
    <row r="387" spans="1:18" x14ac:dyDescent="0.25">
      <c r="A387" s="166">
        <v>42571</v>
      </c>
      <c r="B387" s="116">
        <v>31.425000000000001</v>
      </c>
      <c r="C387" s="116">
        <v>31.2</v>
      </c>
      <c r="D387" s="116">
        <v>31.074999999999999</v>
      </c>
      <c r="E387" s="116">
        <v>31.225000000000001</v>
      </c>
      <c r="F387" s="116">
        <v>62.4</v>
      </c>
      <c r="G387">
        <v>31852</v>
      </c>
      <c r="H387" s="116"/>
      <c r="I387" s="116"/>
      <c r="L387" s="166">
        <v>42571</v>
      </c>
      <c r="M387" s="116">
        <v>31.125</v>
      </c>
      <c r="N387" s="116">
        <v>31.45</v>
      </c>
      <c r="O387" s="116">
        <v>30.975000000000001</v>
      </c>
      <c r="P387" s="116">
        <v>30.975000000000001</v>
      </c>
      <c r="Q387" s="116">
        <v>62.25</v>
      </c>
      <c r="R387">
        <v>321613</v>
      </c>
    </row>
    <row r="388" spans="1:18" x14ac:dyDescent="0.25">
      <c r="A388" s="166">
        <v>42572</v>
      </c>
      <c r="B388" s="116">
        <v>31.3</v>
      </c>
      <c r="C388" s="116">
        <v>31</v>
      </c>
      <c r="D388" s="116">
        <v>30.95</v>
      </c>
      <c r="E388" s="116">
        <v>31.05</v>
      </c>
      <c r="F388" s="116">
        <v>62</v>
      </c>
      <c r="G388">
        <v>28770</v>
      </c>
      <c r="H388" s="116"/>
      <c r="I388" s="116"/>
      <c r="L388" s="166">
        <v>42572</v>
      </c>
      <c r="M388" s="116">
        <v>30.95</v>
      </c>
      <c r="N388" s="116">
        <v>31.35</v>
      </c>
      <c r="O388" s="116">
        <v>30.875</v>
      </c>
      <c r="P388" s="116">
        <v>31.35</v>
      </c>
      <c r="Q388" s="116">
        <v>61.9</v>
      </c>
      <c r="R388">
        <v>260173</v>
      </c>
    </row>
    <row r="389" spans="1:18" x14ac:dyDescent="0.25">
      <c r="A389" s="166">
        <v>42573</v>
      </c>
      <c r="B389" s="116">
        <v>31.3</v>
      </c>
      <c r="C389" s="116">
        <v>31.125</v>
      </c>
      <c r="D389" s="116">
        <v>30.9</v>
      </c>
      <c r="E389" s="116">
        <v>31.05</v>
      </c>
      <c r="F389" s="116">
        <v>62.25</v>
      </c>
      <c r="G389">
        <v>47363</v>
      </c>
      <c r="H389" s="116"/>
      <c r="I389" s="116"/>
      <c r="L389" s="166">
        <v>42573</v>
      </c>
      <c r="M389" s="116">
        <v>31.1</v>
      </c>
      <c r="N389" s="116">
        <v>31.375</v>
      </c>
      <c r="O389" s="116">
        <v>30.55</v>
      </c>
      <c r="P389" s="116">
        <v>30.55</v>
      </c>
      <c r="Q389" s="116">
        <v>62.2</v>
      </c>
      <c r="R389">
        <v>281302</v>
      </c>
    </row>
    <row r="390" spans="1:18" x14ac:dyDescent="0.25">
      <c r="A390" s="166">
        <v>42576</v>
      </c>
      <c r="B390" s="116">
        <v>32.625</v>
      </c>
      <c r="C390" s="116">
        <v>32</v>
      </c>
      <c r="D390" s="116">
        <v>30.824999999999999</v>
      </c>
      <c r="E390" s="116">
        <v>30.824999999999999</v>
      </c>
      <c r="F390" s="116">
        <v>64</v>
      </c>
      <c r="G390">
        <v>101362</v>
      </c>
      <c r="H390" s="116"/>
      <c r="I390" s="116"/>
      <c r="L390" s="166">
        <v>42576</v>
      </c>
      <c r="M390" s="116">
        <v>32</v>
      </c>
      <c r="N390" s="116">
        <v>32.6</v>
      </c>
      <c r="O390" s="116">
        <v>31.15</v>
      </c>
      <c r="P390" s="116">
        <v>31.25</v>
      </c>
      <c r="Q390" s="116">
        <v>64</v>
      </c>
      <c r="R390">
        <v>579952</v>
      </c>
    </row>
    <row r="391" spans="1:18" x14ac:dyDescent="0.25">
      <c r="A391" s="166">
        <v>42577</v>
      </c>
      <c r="B391" s="116">
        <v>33.1</v>
      </c>
      <c r="C391" s="116">
        <v>31.175000000000001</v>
      </c>
      <c r="D391" s="116">
        <v>30.9</v>
      </c>
      <c r="E391" s="116">
        <v>32.25</v>
      </c>
      <c r="F391" s="116">
        <v>62.35</v>
      </c>
      <c r="G391">
        <v>124447</v>
      </c>
      <c r="H391" s="116"/>
      <c r="I391" s="116"/>
      <c r="L391" s="166">
        <v>42577</v>
      </c>
      <c r="M391" s="116">
        <v>31.05</v>
      </c>
      <c r="N391" s="116">
        <v>33.125</v>
      </c>
      <c r="O391" s="116">
        <v>30.8</v>
      </c>
      <c r="P391" s="116">
        <v>32</v>
      </c>
      <c r="Q391" s="116">
        <v>62.1</v>
      </c>
      <c r="R391">
        <v>725029</v>
      </c>
    </row>
    <row r="392" spans="1:18" x14ac:dyDescent="0.25">
      <c r="A392" s="166">
        <v>42578</v>
      </c>
      <c r="B392" s="116">
        <v>31.824999999999999</v>
      </c>
      <c r="C392" s="116">
        <v>29.75</v>
      </c>
      <c r="D392" s="116">
        <v>29.425000000000001</v>
      </c>
      <c r="E392" s="116">
        <v>31.524999999999999</v>
      </c>
      <c r="F392" s="116">
        <v>59.5</v>
      </c>
      <c r="G392">
        <v>253462</v>
      </c>
      <c r="H392" s="116"/>
      <c r="I392" s="116"/>
      <c r="L392" s="166">
        <v>42578</v>
      </c>
      <c r="M392" s="116">
        <v>29.9</v>
      </c>
      <c r="N392" s="116">
        <v>31.824999999999999</v>
      </c>
      <c r="O392" s="116">
        <v>29.425000000000001</v>
      </c>
      <c r="P392" s="116">
        <v>31.5</v>
      </c>
      <c r="Q392" s="116">
        <v>59.8</v>
      </c>
      <c r="R392">
        <v>881870</v>
      </c>
    </row>
    <row r="393" spans="1:18" x14ac:dyDescent="0.25">
      <c r="A393" s="166">
        <v>42579</v>
      </c>
      <c r="B393" s="116">
        <v>30.3</v>
      </c>
      <c r="C393" s="116">
        <v>29.475000000000001</v>
      </c>
      <c r="D393" s="116">
        <v>29.4</v>
      </c>
      <c r="E393" s="116">
        <v>30.125</v>
      </c>
      <c r="F393" s="116">
        <v>58.95</v>
      </c>
      <c r="G393">
        <v>68845</v>
      </c>
      <c r="H393" s="116"/>
      <c r="I393" s="116"/>
      <c r="L393" s="166">
        <v>42579</v>
      </c>
      <c r="M393" s="116">
        <v>29.425000000000001</v>
      </c>
      <c r="N393" s="116">
        <v>30.3</v>
      </c>
      <c r="O393" s="116">
        <v>29.3</v>
      </c>
      <c r="P393" s="116">
        <v>30.05</v>
      </c>
      <c r="Q393" s="116">
        <v>58.85</v>
      </c>
      <c r="R393">
        <v>385513</v>
      </c>
    </row>
    <row r="394" spans="1:18" x14ac:dyDescent="0.25">
      <c r="A394" s="166">
        <v>42580</v>
      </c>
      <c r="B394" s="116">
        <v>29.975000000000001</v>
      </c>
      <c r="C394" s="116">
        <v>29.774999999999999</v>
      </c>
      <c r="D394" s="116">
        <v>29.574999999999999</v>
      </c>
      <c r="E394" s="116">
        <v>29.625</v>
      </c>
      <c r="F394" s="116">
        <v>59.55</v>
      </c>
      <c r="G394">
        <v>34848</v>
      </c>
      <c r="H394" s="116"/>
      <c r="I394" s="116"/>
      <c r="L394" s="166">
        <v>42580</v>
      </c>
      <c r="M394" s="116">
        <v>29.75</v>
      </c>
      <c r="N394" s="116">
        <v>29.95</v>
      </c>
      <c r="O394" s="116">
        <v>29.524999999999999</v>
      </c>
      <c r="P394" s="116">
        <v>29.6</v>
      </c>
      <c r="Q394" s="116">
        <v>59.5</v>
      </c>
      <c r="R394">
        <v>293067</v>
      </c>
    </row>
    <row r="395" spans="1:18" x14ac:dyDescent="0.25">
      <c r="A395" s="166">
        <v>42583</v>
      </c>
      <c r="B395" s="116">
        <v>29.824999999999999</v>
      </c>
      <c r="C395" s="116">
        <v>29.175000000000001</v>
      </c>
      <c r="D395" s="116">
        <v>29.05</v>
      </c>
      <c r="E395" s="116">
        <v>29.8</v>
      </c>
      <c r="F395" s="116">
        <v>58.35</v>
      </c>
      <c r="G395">
        <v>34083</v>
      </c>
      <c r="H395" s="116"/>
      <c r="I395" s="116"/>
      <c r="L395" s="166">
        <v>42583</v>
      </c>
      <c r="M395" s="116">
        <v>29.2</v>
      </c>
      <c r="N395" s="116">
        <v>29.975000000000001</v>
      </c>
      <c r="O395" s="116">
        <v>29.05</v>
      </c>
      <c r="P395" s="116">
        <v>29.975000000000001</v>
      </c>
      <c r="Q395" s="116">
        <v>58.4</v>
      </c>
      <c r="R395">
        <v>170226</v>
      </c>
    </row>
    <row r="396" spans="1:18" x14ac:dyDescent="0.25">
      <c r="A396" s="166">
        <v>42584</v>
      </c>
      <c r="B396" s="116">
        <v>29.4</v>
      </c>
      <c r="C396" s="116">
        <v>29.05</v>
      </c>
      <c r="D396" s="116">
        <v>28.925000000000001</v>
      </c>
      <c r="E396" s="116">
        <v>29.25</v>
      </c>
      <c r="F396" s="116">
        <v>58.1</v>
      </c>
      <c r="G396">
        <v>51716</v>
      </c>
      <c r="H396" s="116"/>
      <c r="I396" s="116"/>
      <c r="L396" s="166">
        <v>42584</v>
      </c>
      <c r="M396" s="116">
        <v>29.024999999999999</v>
      </c>
      <c r="N396" s="116">
        <v>29.375</v>
      </c>
      <c r="O396" s="116">
        <v>28.8</v>
      </c>
      <c r="P396" s="116">
        <v>29.2</v>
      </c>
      <c r="Q396" s="116">
        <v>58.05</v>
      </c>
      <c r="R396">
        <v>297433</v>
      </c>
    </row>
    <row r="397" spans="1:18" x14ac:dyDescent="0.25">
      <c r="A397" s="166">
        <v>42585</v>
      </c>
      <c r="B397" s="116">
        <v>29.05</v>
      </c>
      <c r="C397" s="116">
        <v>28.175000000000001</v>
      </c>
      <c r="D397" s="116">
        <v>28.024999999999999</v>
      </c>
      <c r="E397" s="116">
        <v>29.05</v>
      </c>
      <c r="F397" s="116">
        <v>56.35</v>
      </c>
      <c r="G397">
        <v>55516</v>
      </c>
      <c r="H397" s="116"/>
      <c r="I397" s="116"/>
      <c r="L397" s="166">
        <v>42585</v>
      </c>
      <c r="M397" s="116">
        <v>28.225000000000001</v>
      </c>
      <c r="N397" s="116">
        <v>29</v>
      </c>
      <c r="O397" s="116">
        <v>28.024999999999999</v>
      </c>
      <c r="P397" s="116">
        <v>29</v>
      </c>
      <c r="Q397" s="116">
        <v>56.45</v>
      </c>
      <c r="R397">
        <v>158227</v>
      </c>
    </row>
    <row r="398" spans="1:18" x14ac:dyDescent="0.25">
      <c r="A398" s="166">
        <v>42586</v>
      </c>
      <c r="B398" s="116">
        <v>28.774999999999999</v>
      </c>
      <c r="C398" s="116">
        <v>27.774999999999999</v>
      </c>
      <c r="D398" s="116">
        <v>27.675000000000001</v>
      </c>
      <c r="E398" s="116">
        <v>28.524999999999999</v>
      </c>
      <c r="F398" s="116">
        <v>55.55</v>
      </c>
      <c r="G398">
        <v>55783</v>
      </c>
      <c r="H398" s="116"/>
      <c r="I398" s="116"/>
      <c r="L398" s="166">
        <v>42586</v>
      </c>
      <c r="M398" s="116">
        <v>27.8</v>
      </c>
      <c r="N398" s="116">
        <v>28.774999999999999</v>
      </c>
      <c r="O398" s="116">
        <v>27.625</v>
      </c>
      <c r="P398" s="116">
        <v>28.574999999999999</v>
      </c>
      <c r="Q398" s="116">
        <v>55.6</v>
      </c>
      <c r="R398">
        <v>234996</v>
      </c>
    </row>
    <row r="399" spans="1:18" x14ac:dyDescent="0.25">
      <c r="A399" s="166">
        <v>42587</v>
      </c>
      <c r="B399" s="116">
        <v>28.55</v>
      </c>
      <c r="C399" s="116">
        <v>28</v>
      </c>
      <c r="D399" s="116">
        <v>27.75</v>
      </c>
      <c r="E399" s="116">
        <v>28.4</v>
      </c>
      <c r="F399" s="116">
        <v>56</v>
      </c>
      <c r="G399">
        <v>90043</v>
      </c>
      <c r="H399" s="116"/>
      <c r="I399" s="116"/>
      <c r="L399" s="166">
        <v>42587</v>
      </c>
      <c r="M399" s="116">
        <v>28.024999999999999</v>
      </c>
      <c r="N399" s="116">
        <v>28.55</v>
      </c>
      <c r="O399" s="116">
        <v>27.7</v>
      </c>
      <c r="P399" s="116">
        <v>27.8</v>
      </c>
      <c r="Q399" s="116">
        <v>56.05</v>
      </c>
      <c r="R399">
        <v>278628</v>
      </c>
    </row>
    <row r="400" spans="1:18" x14ac:dyDescent="0.25">
      <c r="A400" s="166">
        <v>42590</v>
      </c>
      <c r="B400" s="116">
        <v>28.725000000000001</v>
      </c>
      <c r="C400" s="116">
        <v>28.35</v>
      </c>
      <c r="D400" s="116">
        <v>28.25</v>
      </c>
      <c r="E400" s="116">
        <v>28.425000000000001</v>
      </c>
      <c r="F400" s="116">
        <v>56.7</v>
      </c>
      <c r="G400">
        <v>30297</v>
      </c>
      <c r="H400" s="116"/>
      <c r="I400" s="116"/>
      <c r="L400" s="166">
        <v>42590</v>
      </c>
      <c r="M400" s="116">
        <v>28.375</v>
      </c>
      <c r="N400" s="116">
        <v>28.7</v>
      </c>
      <c r="O400" s="116">
        <v>28.25</v>
      </c>
      <c r="P400" s="116">
        <v>28.25</v>
      </c>
      <c r="Q400" s="116">
        <v>56.75</v>
      </c>
      <c r="R400">
        <v>95725</v>
      </c>
    </row>
    <row r="401" spans="1:18" x14ac:dyDescent="0.25">
      <c r="A401" s="166">
        <v>42591</v>
      </c>
      <c r="B401" s="116">
        <v>28.5</v>
      </c>
      <c r="C401" s="116">
        <v>27.975000000000001</v>
      </c>
      <c r="D401" s="116">
        <v>27.65</v>
      </c>
      <c r="E401" s="116">
        <v>28.324999999999999</v>
      </c>
      <c r="F401" s="116">
        <v>55.95</v>
      </c>
      <c r="G401">
        <v>46077</v>
      </c>
      <c r="H401" s="116"/>
      <c r="I401" s="116"/>
      <c r="L401" s="166">
        <v>42591</v>
      </c>
      <c r="M401" s="116">
        <v>27.925000000000001</v>
      </c>
      <c r="N401" s="116">
        <v>28.5</v>
      </c>
      <c r="O401" s="116">
        <v>27.55</v>
      </c>
      <c r="P401" s="116">
        <v>28.375</v>
      </c>
      <c r="Q401" s="116">
        <v>55.85</v>
      </c>
      <c r="R401">
        <v>232473</v>
      </c>
    </row>
    <row r="402" spans="1:18" x14ac:dyDescent="0.25">
      <c r="A402" s="166">
        <v>42592</v>
      </c>
      <c r="B402" s="116">
        <v>28.25</v>
      </c>
      <c r="C402" s="116">
        <v>27.9</v>
      </c>
      <c r="D402" s="116">
        <v>27.75</v>
      </c>
      <c r="E402" s="116">
        <v>27.95</v>
      </c>
      <c r="F402" s="116">
        <v>55.8</v>
      </c>
      <c r="G402">
        <v>31663</v>
      </c>
      <c r="H402" s="116"/>
      <c r="I402" s="116"/>
      <c r="L402" s="166">
        <v>42592</v>
      </c>
      <c r="M402" s="116">
        <v>27.875</v>
      </c>
      <c r="N402" s="116">
        <v>28.2</v>
      </c>
      <c r="O402" s="116">
        <v>27.774999999999999</v>
      </c>
      <c r="P402" s="116">
        <v>28.175000000000001</v>
      </c>
      <c r="Q402" s="116">
        <v>55.75</v>
      </c>
      <c r="R402">
        <v>56444</v>
      </c>
    </row>
    <row r="403" spans="1:18" x14ac:dyDescent="0.25">
      <c r="A403" s="166">
        <v>42593</v>
      </c>
      <c r="B403" s="116">
        <v>27.95</v>
      </c>
      <c r="C403" s="116">
        <v>27.5</v>
      </c>
      <c r="D403" s="116">
        <v>27.4</v>
      </c>
      <c r="E403" s="116">
        <v>27.925000000000001</v>
      </c>
      <c r="F403" s="116">
        <v>55</v>
      </c>
      <c r="G403">
        <v>21783</v>
      </c>
      <c r="H403" s="116"/>
      <c r="I403" s="116"/>
      <c r="L403" s="166">
        <v>42593</v>
      </c>
      <c r="M403" s="116">
        <v>27.425000000000001</v>
      </c>
      <c r="N403" s="116">
        <v>28.2</v>
      </c>
      <c r="O403" s="116">
        <v>27.25</v>
      </c>
      <c r="P403" s="116">
        <v>28.2</v>
      </c>
      <c r="Q403" s="116">
        <v>54.85</v>
      </c>
      <c r="R403">
        <v>101614</v>
      </c>
    </row>
    <row r="404" spans="1:18" x14ac:dyDescent="0.25">
      <c r="A404" s="166">
        <v>42594</v>
      </c>
      <c r="B404" s="116">
        <v>28.25</v>
      </c>
      <c r="C404" s="116">
        <v>28.074999999999999</v>
      </c>
      <c r="D404" s="116">
        <v>27.7</v>
      </c>
      <c r="E404" s="116">
        <v>27.85</v>
      </c>
      <c r="F404" s="116">
        <v>56.15</v>
      </c>
      <c r="G404">
        <v>15173</v>
      </c>
      <c r="H404" s="116"/>
      <c r="I404" s="116"/>
      <c r="L404" s="166">
        <v>42594</v>
      </c>
      <c r="M404" s="116">
        <v>28.1</v>
      </c>
      <c r="N404" s="116">
        <v>28.35</v>
      </c>
      <c r="O404" s="116">
        <v>27.625</v>
      </c>
      <c r="P404" s="116">
        <v>27.625</v>
      </c>
      <c r="Q404" s="116">
        <v>56.2</v>
      </c>
      <c r="R404">
        <v>129227</v>
      </c>
    </row>
    <row r="405" spans="1:18" x14ac:dyDescent="0.25">
      <c r="A405" s="166">
        <v>42598</v>
      </c>
      <c r="B405" s="116">
        <v>29.15</v>
      </c>
      <c r="C405" s="116">
        <v>28.675000000000001</v>
      </c>
      <c r="D405" s="116">
        <v>28.05</v>
      </c>
      <c r="E405" s="116">
        <v>28.05</v>
      </c>
      <c r="F405" s="116">
        <v>57.35</v>
      </c>
      <c r="G405">
        <v>46535</v>
      </c>
      <c r="H405" s="116"/>
      <c r="I405" s="116"/>
      <c r="L405" s="166">
        <v>42598</v>
      </c>
      <c r="M405" s="116">
        <v>28.774999999999999</v>
      </c>
      <c r="N405" s="116">
        <v>29.2</v>
      </c>
      <c r="O405" s="116">
        <v>28.1</v>
      </c>
      <c r="P405" s="116">
        <v>28.574999999999999</v>
      </c>
      <c r="Q405" s="116">
        <v>57.55</v>
      </c>
      <c r="R405">
        <v>159315</v>
      </c>
    </row>
    <row r="406" spans="1:18" x14ac:dyDescent="0.25">
      <c r="A406" s="166">
        <v>42599</v>
      </c>
      <c r="B406" s="116">
        <v>29.225000000000001</v>
      </c>
      <c r="C406" s="116">
        <v>28.774999999999999</v>
      </c>
      <c r="D406" s="116">
        <v>28.625</v>
      </c>
      <c r="E406" s="116">
        <v>28.85</v>
      </c>
      <c r="F406" s="116">
        <v>57.55</v>
      </c>
      <c r="G406">
        <v>48764</v>
      </c>
      <c r="H406" s="116"/>
      <c r="I406" s="116"/>
      <c r="L406" s="166">
        <v>42599</v>
      </c>
      <c r="M406" s="116">
        <v>28.8</v>
      </c>
      <c r="N406" s="116">
        <v>29.25</v>
      </c>
      <c r="O406" s="116">
        <v>28.625</v>
      </c>
      <c r="P406" s="116">
        <v>28.875</v>
      </c>
      <c r="Q406" s="116">
        <v>57.6</v>
      </c>
      <c r="R406">
        <v>104881</v>
      </c>
    </row>
    <row r="407" spans="1:18" x14ac:dyDescent="0.25">
      <c r="A407" s="166">
        <v>42600</v>
      </c>
      <c r="B407" s="116">
        <v>29.05</v>
      </c>
      <c r="C407" s="116">
        <v>28.524999999999999</v>
      </c>
      <c r="D407" s="116">
        <v>28.475000000000001</v>
      </c>
      <c r="E407" s="116">
        <v>28.975000000000001</v>
      </c>
      <c r="F407" s="116">
        <v>57.05</v>
      </c>
      <c r="G407">
        <v>20875</v>
      </c>
      <c r="H407" s="116"/>
      <c r="I407" s="116"/>
      <c r="L407" s="166">
        <v>42600</v>
      </c>
      <c r="M407" s="116">
        <v>28.45</v>
      </c>
      <c r="N407" s="116">
        <v>29.125</v>
      </c>
      <c r="O407" s="116">
        <v>28.375</v>
      </c>
      <c r="P407" s="116">
        <v>28.75</v>
      </c>
      <c r="Q407" s="116">
        <v>56.9</v>
      </c>
      <c r="R407">
        <v>76394</v>
      </c>
    </row>
    <row r="408" spans="1:18" x14ac:dyDescent="0.25">
      <c r="A408" s="166">
        <v>42601</v>
      </c>
      <c r="B408" s="116">
        <v>28.774999999999999</v>
      </c>
      <c r="C408" s="116">
        <v>27.95</v>
      </c>
      <c r="D408" s="116">
        <v>27.85</v>
      </c>
      <c r="E408" s="116">
        <v>28.65</v>
      </c>
      <c r="F408" s="116">
        <v>55.9</v>
      </c>
      <c r="G408">
        <v>65799</v>
      </c>
      <c r="H408" s="116"/>
      <c r="I408" s="116"/>
      <c r="L408" s="166">
        <v>42601</v>
      </c>
      <c r="M408" s="116">
        <v>27.9</v>
      </c>
      <c r="N408" s="116">
        <v>28.75</v>
      </c>
      <c r="O408" s="116">
        <v>27.824999999999999</v>
      </c>
      <c r="P408" s="116">
        <v>28.625</v>
      </c>
      <c r="Q408" s="116">
        <v>55.8</v>
      </c>
      <c r="R408">
        <v>193360</v>
      </c>
    </row>
    <row r="409" spans="1:18" x14ac:dyDescent="0.25">
      <c r="A409" s="166">
        <v>42604</v>
      </c>
      <c r="B409" s="116">
        <v>28.75</v>
      </c>
      <c r="C409" s="116">
        <v>28.175000000000001</v>
      </c>
      <c r="D409" s="116">
        <v>27.975000000000001</v>
      </c>
      <c r="E409" s="116">
        <v>28.5</v>
      </c>
      <c r="F409" s="116">
        <v>56.35</v>
      </c>
      <c r="G409">
        <v>72494</v>
      </c>
      <c r="H409" s="116"/>
      <c r="I409" s="116"/>
      <c r="L409" s="166">
        <v>42604</v>
      </c>
      <c r="M409" s="116">
        <v>28.175000000000001</v>
      </c>
      <c r="N409" s="116">
        <v>28.725000000000001</v>
      </c>
      <c r="O409" s="116">
        <v>27.774999999999999</v>
      </c>
      <c r="P409" s="116">
        <v>28.05</v>
      </c>
      <c r="Q409" s="116">
        <v>56.35</v>
      </c>
      <c r="R409">
        <v>210939</v>
      </c>
    </row>
    <row r="410" spans="1:18" x14ac:dyDescent="0.25">
      <c r="A410" s="166">
        <v>42605</v>
      </c>
      <c r="B410" s="116">
        <v>28.475000000000001</v>
      </c>
      <c r="C410" s="116">
        <v>28.175000000000001</v>
      </c>
      <c r="D410" s="116">
        <v>28.024999999999999</v>
      </c>
      <c r="E410" s="116">
        <v>28.3</v>
      </c>
      <c r="F410" s="116">
        <v>56.35</v>
      </c>
      <c r="G410">
        <v>37248</v>
      </c>
      <c r="H410" s="116"/>
      <c r="I410" s="116"/>
      <c r="L410" s="166">
        <v>42605</v>
      </c>
      <c r="M410" s="116">
        <v>28.15</v>
      </c>
      <c r="N410" s="116">
        <v>28.425000000000001</v>
      </c>
      <c r="O410" s="116">
        <v>27.925000000000001</v>
      </c>
      <c r="P410" s="116">
        <v>27.925000000000001</v>
      </c>
      <c r="Q410" s="116">
        <v>56.3</v>
      </c>
      <c r="R410">
        <v>257229</v>
      </c>
    </row>
    <row r="411" spans="1:18" x14ac:dyDescent="0.25">
      <c r="A411" s="166">
        <v>42606</v>
      </c>
      <c r="B411" s="116">
        <v>28.5</v>
      </c>
      <c r="C411" s="116">
        <v>28.175000000000001</v>
      </c>
      <c r="D411" s="116">
        <v>28.074999999999999</v>
      </c>
      <c r="E411" s="116">
        <v>28.35</v>
      </c>
      <c r="F411" s="116">
        <v>56.35</v>
      </c>
      <c r="G411">
        <v>35888</v>
      </c>
      <c r="H411" s="116"/>
      <c r="I411" s="116"/>
      <c r="L411" s="166">
        <v>42606</v>
      </c>
      <c r="M411" s="116">
        <v>28.15</v>
      </c>
      <c r="N411" s="116">
        <v>28.574999999999999</v>
      </c>
      <c r="O411" s="116">
        <v>28.05</v>
      </c>
      <c r="P411" s="116">
        <v>28.375</v>
      </c>
      <c r="Q411" s="116">
        <v>56.3</v>
      </c>
      <c r="R411">
        <v>235050</v>
      </c>
    </row>
    <row r="412" spans="1:18" x14ac:dyDescent="0.25">
      <c r="A412" s="166">
        <v>42607</v>
      </c>
      <c r="B412" s="116">
        <v>30.7</v>
      </c>
      <c r="C412" s="116">
        <v>29.45</v>
      </c>
      <c r="D412" s="116">
        <v>28.274999999999999</v>
      </c>
      <c r="E412" s="116">
        <v>28.4</v>
      </c>
      <c r="F412" s="116">
        <v>58.9</v>
      </c>
      <c r="G412">
        <v>203874</v>
      </c>
      <c r="H412" s="116"/>
      <c r="I412" s="116"/>
      <c r="L412" s="166">
        <v>42607</v>
      </c>
      <c r="M412" s="116">
        <v>29.4</v>
      </c>
      <c r="N412" s="116">
        <v>30.75</v>
      </c>
      <c r="O412" s="116">
        <v>28.25</v>
      </c>
      <c r="P412" s="116">
        <v>28.375</v>
      </c>
      <c r="Q412" s="116">
        <v>58.8</v>
      </c>
      <c r="R412">
        <v>638026</v>
      </c>
    </row>
    <row r="413" spans="1:18" x14ac:dyDescent="0.25">
      <c r="A413" s="166">
        <v>42608</v>
      </c>
      <c r="B413" s="116">
        <v>30</v>
      </c>
      <c r="C413" s="116">
        <v>28.65</v>
      </c>
      <c r="D413" s="116">
        <v>28.475000000000001</v>
      </c>
      <c r="E413" s="116">
        <v>29.4</v>
      </c>
      <c r="F413" s="116">
        <v>57.3</v>
      </c>
      <c r="G413">
        <v>93147</v>
      </c>
      <c r="H413" s="116"/>
      <c r="I413" s="116"/>
      <c r="L413" s="166">
        <v>42608</v>
      </c>
      <c r="M413" s="116">
        <v>28.574999999999999</v>
      </c>
      <c r="N413" s="116">
        <v>30.074999999999999</v>
      </c>
      <c r="O413" s="116">
        <v>28.425000000000001</v>
      </c>
      <c r="P413" s="116">
        <v>29.375</v>
      </c>
      <c r="Q413" s="116">
        <v>57.15</v>
      </c>
      <c r="R413">
        <v>365178</v>
      </c>
    </row>
    <row r="414" spans="1:18" x14ac:dyDescent="0.25">
      <c r="A414" s="166">
        <v>42611</v>
      </c>
      <c r="B414" s="116">
        <v>28.7</v>
      </c>
      <c r="C414" s="116">
        <v>28.125</v>
      </c>
      <c r="D414" s="116">
        <v>28</v>
      </c>
      <c r="E414" s="116">
        <v>28.524999999999999</v>
      </c>
      <c r="F414" s="116">
        <v>56.25</v>
      </c>
      <c r="G414">
        <v>27902</v>
      </c>
      <c r="H414" s="116"/>
      <c r="I414" s="116"/>
      <c r="L414" s="166">
        <v>42611</v>
      </c>
      <c r="M414" s="116">
        <v>28.074999999999999</v>
      </c>
      <c r="N414" s="116">
        <v>28.75</v>
      </c>
      <c r="O414" s="116">
        <v>28.024999999999999</v>
      </c>
      <c r="P414" s="116">
        <v>28.524999999999999</v>
      </c>
      <c r="Q414" s="116">
        <v>56.15</v>
      </c>
      <c r="R414">
        <v>271767</v>
      </c>
    </row>
    <row r="415" spans="1:18" x14ac:dyDescent="0.25">
      <c r="A415" s="166">
        <v>42612</v>
      </c>
      <c r="B415" s="116">
        <v>29.45</v>
      </c>
      <c r="C415" s="116">
        <v>28.55</v>
      </c>
      <c r="D415" s="116">
        <v>28.024999999999999</v>
      </c>
      <c r="E415" s="116">
        <v>28.024999999999999</v>
      </c>
      <c r="F415" s="116">
        <v>57.1</v>
      </c>
      <c r="G415">
        <v>59296</v>
      </c>
      <c r="H415" s="116"/>
      <c r="I415" s="116"/>
      <c r="L415" s="166">
        <v>42612</v>
      </c>
      <c r="M415" s="116">
        <v>28.524999999999999</v>
      </c>
      <c r="N415" s="116">
        <v>29.375</v>
      </c>
      <c r="O415" s="116">
        <v>28.05</v>
      </c>
      <c r="P415" s="116">
        <v>28.15</v>
      </c>
      <c r="Q415" s="116">
        <v>57.05</v>
      </c>
      <c r="R415">
        <v>328074</v>
      </c>
    </row>
    <row r="416" spans="1:18" x14ac:dyDescent="0.25">
      <c r="A416" s="166">
        <v>42613</v>
      </c>
      <c r="B416" s="116">
        <v>29.024999999999999</v>
      </c>
      <c r="C416" s="116">
        <v>28.7</v>
      </c>
      <c r="D416" s="116">
        <v>28.55</v>
      </c>
      <c r="E416" s="116">
        <v>28.65</v>
      </c>
      <c r="F416" s="116">
        <v>57.4</v>
      </c>
      <c r="G416">
        <v>54633</v>
      </c>
      <c r="H416" s="116"/>
      <c r="I416" s="116"/>
      <c r="L416" s="166">
        <v>42613</v>
      </c>
      <c r="M416" s="116">
        <v>28.65</v>
      </c>
      <c r="N416" s="116">
        <v>29.05</v>
      </c>
      <c r="O416" s="116">
        <v>28.5</v>
      </c>
      <c r="P416" s="116">
        <v>28.55</v>
      </c>
      <c r="Q416" s="116">
        <v>57.3</v>
      </c>
      <c r="R416">
        <v>253326</v>
      </c>
    </row>
    <row r="417" spans="1:18" x14ac:dyDescent="0.25">
      <c r="A417" s="166">
        <v>42614</v>
      </c>
      <c r="B417" s="116">
        <v>29.074999999999999</v>
      </c>
      <c r="C417" s="116">
        <v>28.55</v>
      </c>
      <c r="D417" s="116">
        <v>28.324999999999999</v>
      </c>
      <c r="E417" s="116">
        <v>28.8</v>
      </c>
      <c r="F417" s="116">
        <v>57.1</v>
      </c>
      <c r="G417">
        <v>27087</v>
      </c>
      <c r="H417" s="116"/>
      <c r="I417" s="116"/>
      <c r="L417" s="166">
        <v>42614</v>
      </c>
      <c r="M417" s="116">
        <v>28.524999999999999</v>
      </c>
      <c r="N417" s="116">
        <v>29.1</v>
      </c>
      <c r="O417" s="116">
        <v>28.274999999999999</v>
      </c>
      <c r="P417" s="116">
        <v>28.675000000000001</v>
      </c>
      <c r="Q417" s="116">
        <v>57.05</v>
      </c>
      <c r="R417">
        <v>143474</v>
      </c>
    </row>
    <row r="418" spans="1:18" x14ac:dyDescent="0.25">
      <c r="A418" s="166">
        <v>42615</v>
      </c>
      <c r="B418" s="116">
        <v>29.475000000000001</v>
      </c>
      <c r="C418" s="116">
        <v>29.125</v>
      </c>
      <c r="D418" s="116">
        <v>28.85</v>
      </c>
      <c r="E418" s="116">
        <v>29.15</v>
      </c>
      <c r="F418" s="116">
        <v>58.25</v>
      </c>
      <c r="G418">
        <v>56945</v>
      </c>
      <c r="H418" s="116"/>
      <c r="I418" s="116"/>
      <c r="L418" s="166">
        <v>42615</v>
      </c>
      <c r="M418" s="116">
        <v>29.175000000000001</v>
      </c>
      <c r="N418" s="116">
        <v>29.5</v>
      </c>
      <c r="O418" s="116">
        <v>28.75</v>
      </c>
      <c r="P418" s="116">
        <v>28.95</v>
      </c>
      <c r="Q418" s="116">
        <v>58.35</v>
      </c>
      <c r="R418">
        <v>304157</v>
      </c>
    </row>
    <row r="419" spans="1:18" x14ac:dyDescent="0.25">
      <c r="A419" s="166">
        <v>42619</v>
      </c>
      <c r="B419" s="116">
        <v>29.75</v>
      </c>
      <c r="C419" s="116">
        <v>28.65</v>
      </c>
      <c r="D419" s="116">
        <v>28.6</v>
      </c>
      <c r="E419" s="116">
        <v>29.3</v>
      </c>
      <c r="F419" s="116">
        <v>57.3</v>
      </c>
      <c r="G419">
        <v>94045</v>
      </c>
      <c r="H419" s="116"/>
      <c r="I419" s="116"/>
      <c r="L419" s="166">
        <v>42619</v>
      </c>
      <c r="M419" s="116">
        <v>28.6</v>
      </c>
      <c r="N419" s="116">
        <v>29.8</v>
      </c>
      <c r="O419" s="116">
        <v>28.524999999999999</v>
      </c>
      <c r="P419" s="116">
        <v>29.274999999999999</v>
      </c>
      <c r="Q419" s="116">
        <v>57.2</v>
      </c>
      <c r="R419">
        <v>274188</v>
      </c>
    </row>
    <row r="420" spans="1:18" x14ac:dyDescent="0.25">
      <c r="A420" s="166">
        <v>42620</v>
      </c>
      <c r="B420" s="116">
        <v>29.074999999999999</v>
      </c>
      <c r="C420" s="116">
        <v>28.225000000000001</v>
      </c>
      <c r="D420" s="116">
        <v>27.95</v>
      </c>
      <c r="E420" s="116">
        <v>28.774999999999999</v>
      </c>
      <c r="F420" s="116">
        <v>56.45</v>
      </c>
      <c r="G420">
        <v>90680</v>
      </c>
      <c r="H420" s="116"/>
      <c r="I420" s="116"/>
      <c r="L420" s="166">
        <v>42620</v>
      </c>
      <c r="M420" s="116">
        <v>28.2</v>
      </c>
      <c r="N420" s="116">
        <v>28.975000000000001</v>
      </c>
      <c r="O420" s="116">
        <v>27.9</v>
      </c>
      <c r="P420" s="116">
        <v>28.6</v>
      </c>
      <c r="Q420" s="116">
        <v>56.4</v>
      </c>
      <c r="R420">
        <v>448381</v>
      </c>
    </row>
    <row r="421" spans="1:18" x14ac:dyDescent="0.25">
      <c r="A421" s="166">
        <v>42621</v>
      </c>
      <c r="B421" s="116">
        <v>30.274999999999999</v>
      </c>
      <c r="C421" s="116">
        <v>29.175000000000001</v>
      </c>
      <c r="D421" s="116">
        <v>28.25</v>
      </c>
      <c r="E421" s="116">
        <v>28.25</v>
      </c>
      <c r="F421" s="116">
        <v>58.35</v>
      </c>
      <c r="G421">
        <v>263697</v>
      </c>
      <c r="H421" s="116"/>
      <c r="I421" s="116"/>
      <c r="L421" s="166">
        <v>42621</v>
      </c>
      <c r="M421" s="116">
        <v>29.25</v>
      </c>
      <c r="N421" s="116">
        <v>30.3</v>
      </c>
      <c r="O421" s="116">
        <v>28.05</v>
      </c>
      <c r="P421" s="116">
        <v>28.35</v>
      </c>
      <c r="Q421" s="116">
        <v>58.5</v>
      </c>
      <c r="R421">
        <v>769968</v>
      </c>
    </row>
    <row r="422" spans="1:18" x14ac:dyDescent="0.25">
      <c r="A422" s="166">
        <v>42622</v>
      </c>
      <c r="B422" s="116">
        <v>30.225000000000001</v>
      </c>
      <c r="C422" s="116">
        <v>29.725000000000001</v>
      </c>
      <c r="D422" s="116">
        <v>29.25</v>
      </c>
      <c r="E422" s="116">
        <v>29.574999999999999</v>
      </c>
      <c r="F422" s="116">
        <v>59.45</v>
      </c>
      <c r="G422">
        <v>114006</v>
      </c>
      <c r="H422" s="116"/>
      <c r="I422" s="116"/>
      <c r="L422" s="166">
        <v>42622</v>
      </c>
      <c r="M422" s="116">
        <v>29.675000000000001</v>
      </c>
      <c r="N422" s="116">
        <v>30.25</v>
      </c>
      <c r="O422" s="116">
        <v>29.3</v>
      </c>
      <c r="P422" s="116">
        <v>29.324999999999999</v>
      </c>
      <c r="Q422" s="116">
        <v>59.35</v>
      </c>
      <c r="R422">
        <v>346218</v>
      </c>
    </row>
    <row r="423" spans="1:18" x14ac:dyDescent="0.25">
      <c r="A423" s="166">
        <v>42625</v>
      </c>
      <c r="B423" s="116">
        <v>29.375</v>
      </c>
      <c r="C423" s="116">
        <v>28.6</v>
      </c>
      <c r="D423" s="116">
        <v>28.5</v>
      </c>
      <c r="E423" s="116">
        <v>29.05</v>
      </c>
      <c r="F423" s="116">
        <v>57.2</v>
      </c>
      <c r="G423">
        <v>49255</v>
      </c>
      <c r="H423" s="116"/>
      <c r="I423" s="116"/>
      <c r="L423" s="166">
        <v>42625</v>
      </c>
      <c r="M423" s="116">
        <v>28.55</v>
      </c>
      <c r="N423" s="116">
        <v>29.375</v>
      </c>
      <c r="O423" s="116">
        <v>28.425000000000001</v>
      </c>
      <c r="P423" s="116">
        <v>29</v>
      </c>
      <c r="Q423" s="116">
        <v>57.1</v>
      </c>
      <c r="R423">
        <v>158368</v>
      </c>
    </row>
    <row r="424" spans="1:18" x14ac:dyDescent="0.25">
      <c r="A424" s="166">
        <v>42627</v>
      </c>
      <c r="B424" s="116">
        <v>29.45</v>
      </c>
      <c r="C424" s="116">
        <v>29.225000000000001</v>
      </c>
      <c r="D424" s="116">
        <v>28.5</v>
      </c>
      <c r="E424" s="116">
        <v>28.75</v>
      </c>
      <c r="F424" s="116">
        <v>58.45</v>
      </c>
      <c r="G424">
        <v>53347</v>
      </c>
      <c r="H424" s="116"/>
      <c r="I424" s="116"/>
      <c r="L424" s="166">
        <v>42627</v>
      </c>
      <c r="M424" s="116">
        <v>29.225000000000001</v>
      </c>
      <c r="N424" s="116">
        <v>29.45</v>
      </c>
      <c r="O424" s="116">
        <v>28.75</v>
      </c>
      <c r="P424" s="116">
        <v>28.95</v>
      </c>
      <c r="Q424" s="116">
        <v>58.45</v>
      </c>
      <c r="R424">
        <v>131001</v>
      </c>
    </row>
    <row r="425" spans="1:18" x14ac:dyDescent="0.25">
      <c r="A425" s="166">
        <v>42628</v>
      </c>
      <c r="B425" s="116">
        <v>29.8</v>
      </c>
      <c r="C425" s="116">
        <v>29.55</v>
      </c>
      <c r="D425" s="116">
        <v>29.324999999999999</v>
      </c>
      <c r="E425" s="116">
        <v>29.35</v>
      </c>
      <c r="F425" s="116">
        <v>59.1</v>
      </c>
      <c r="G425">
        <v>59528</v>
      </c>
      <c r="H425" s="116"/>
      <c r="I425" s="116"/>
      <c r="L425" s="166">
        <v>42628</v>
      </c>
      <c r="M425" s="116">
        <v>29.55</v>
      </c>
      <c r="N425" s="116">
        <v>29.85</v>
      </c>
      <c r="O425" s="116">
        <v>29.3</v>
      </c>
      <c r="P425" s="116">
        <v>29.3</v>
      </c>
      <c r="Q425" s="116">
        <v>59.1</v>
      </c>
      <c r="R425">
        <v>163740</v>
      </c>
    </row>
    <row r="426" spans="1:18" x14ac:dyDescent="0.25">
      <c r="A426" s="166">
        <v>42629</v>
      </c>
      <c r="B426" s="116">
        <v>30.7</v>
      </c>
      <c r="C426" s="116">
        <v>29.6</v>
      </c>
      <c r="D426" s="116">
        <v>29.524999999999999</v>
      </c>
      <c r="E426" s="116">
        <v>29.875</v>
      </c>
      <c r="F426" s="116">
        <v>59.2</v>
      </c>
      <c r="G426">
        <v>144868</v>
      </c>
      <c r="H426" s="116"/>
      <c r="I426" s="116"/>
      <c r="L426" s="166">
        <v>42629</v>
      </c>
      <c r="M426" s="116">
        <v>29.574999999999999</v>
      </c>
      <c r="N426" s="116">
        <v>30.8</v>
      </c>
      <c r="O426" s="116">
        <v>29.5</v>
      </c>
      <c r="P426" s="116">
        <v>29.574999999999999</v>
      </c>
      <c r="Q426" s="116">
        <v>59.15</v>
      </c>
      <c r="R426">
        <v>345281</v>
      </c>
    </row>
    <row r="427" spans="1:18" x14ac:dyDescent="0.25">
      <c r="A427" s="166">
        <v>42632</v>
      </c>
      <c r="B427" s="116">
        <v>30.85</v>
      </c>
      <c r="C427" s="116">
        <v>30.45</v>
      </c>
      <c r="D427" s="116">
        <v>29.475000000000001</v>
      </c>
      <c r="E427" s="116">
        <v>29.875</v>
      </c>
      <c r="F427" s="116">
        <v>60.9</v>
      </c>
      <c r="G427">
        <v>199607</v>
      </c>
      <c r="H427" s="116"/>
      <c r="I427" s="116"/>
      <c r="L427" s="166">
        <v>42632</v>
      </c>
      <c r="M427" s="116">
        <v>30.55</v>
      </c>
      <c r="N427" s="116">
        <v>30.95</v>
      </c>
      <c r="O427" s="116">
        <v>29.475000000000001</v>
      </c>
      <c r="P427" s="116">
        <v>29.625</v>
      </c>
      <c r="Q427" s="116">
        <v>61.1</v>
      </c>
      <c r="R427">
        <v>589126</v>
      </c>
    </row>
    <row r="428" spans="1:18" x14ac:dyDescent="0.25">
      <c r="A428" s="166">
        <v>42633</v>
      </c>
      <c r="B428" s="116">
        <v>30.925000000000001</v>
      </c>
      <c r="C428" s="116">
        <v>30.3</v>
      </c>
      <c r="D428" s="116">
        <v>30.024999999999999</v>
      </c>
      <c r="E428" s="116">
        <v>30.524999999999999</v>
      </c>
      <c r="F428" s="116">
        <v>60.6</v>
      </c>
      <c r="G428">
        <v>89831</v>
      </c>
      <c r="H428" s="116"/>
      <c r="I428" s="116"/>
      <c r="L428" s="166">
        <v>42633</v>
      </c>
      <c r="M428" s="116">
        <v>30.35</v>
      </c>
      <c r="N428" s="116">
        <v>30.9</v>
      </c>
      <c r="O428" s="116">
        <v>30.1</v>
      </c>
      <c r="P428" s="116">
        <v>30.55</v>
      </c>
      <c r="Q428" s="116">
        <v>60.7</v>
      </c>
      <c r="R428">
        <v>207240</v>
      </c>
    </row>
    <row r="429" spans="1:18" x14ac:dyDescent="0.25">
      <c r="A429" s="166">
        <v>42634</v>
      </c>
      <c r="B429" s="116">
        <v>31.6</v>
      </c>
      <c r="C429" s="116">
        <v>30.875</v>
      </c>
      <c r="D429" s="116">
        <v>30.25</v>
      </c>
      <c r="E429" s="116">
        <v>30.25</v>
      </c>
      <c r="F429" s="116">
        <v>61.75</v>
      </c>
      <c r="G429">
        <v>169212</v>
      </c>
      <c r="H429" s="116"/>
      <c r="I429" s="116"/>
      <c r="L429" s="166">
        <v>42634</v>
      </c>
      <c r="M429" s="116">
        <v>30.875</v>
      </c>
      <c r="N429" s="116">
        <v>31.574999999999999</v>
      </c>
      <c r="O429" s="116">
        <v>30.2</v>
      </c>
      <c r="P429" s="116">
        <v>30.324999999999999</v>
      </c>
      <c r="Q429" s="116">
        <v>61.75</v>
      </c>
      <c r="R429">
        <v>474540</v>
      </c>
    </row>
    <row r="430" spans="1:18" x14ac:dyDescent="0.25">
      <c r="A430" s="166">
        <v>42635</v>
      </c>
      <c r="B430" s="116">
        <v>32.024999999999999</v>
      </c>
      <c r="C430" s="116">
        <v>31.65</v>
      </c>
      <c r="D430" s="116">
        <v>30.675000000000001</v>
      </c>
      <c r="E430" s="116">
        <v>31.45</v>
      </c>
      <c r="F430" s="116">
        <v>63.3</v>
      </c>
      <c r="G430">
        <v>192399</v>
      </c>
      <c r="H430" s="116"/>
      <c r="I430" s="116"/>
      <c r="L430" s="166">
        <v>42635</v>
      </c>
      <c r="M430" s="116">
        <v>31.675000000000001</v>
      </c>
      <c r="N430" s="116">
        <v>32.125</v>
      </c>
      <c r="O430" s="116">
        <v>30.7</v>
      </c>
      <c r="P430" s="116">
        <v>31.274999999999999</v>
      </c>
      <c r="Q430" s="116">
        <v>63.35</v>
      </c>
      <c r="R430">
        <v>639967</v>
      </c>
    </row>
    <row r="431" spans="1:18" x14ac:dyDescent="0.25">
      <c r="A431" s="166">
        <v>42636</v>
      </c>
      <c r="B431" s="116">
        <v>31.75</v>
      </c>
      <c r="C431" s="116">
        <v>31.024999999999999</v>
      </c>
      <c r="D431" s="116">
        <v>30.9</v>
      </c>
      <c r="E431" s="116">
        <v>31.75</v>
      </c>
      <c r="F431" s="116">
        <v>62.05</v>
      </c>
      <c r="G431">
        <v>76555</v>
      </c>
      <c r="H431" s="116"/>
      <c r="I431" s="116"/>
      <c r="L431" s="166">
        <v>42636</v>
      </c>
      <c r="M431" s="116">
        <v>31</v>
      </c>
      <c r="N431" s="116">
        <v>31.75</v>
      </c>
      <c r="O431" s="116">
        <v>30.85</v>
      </c>
      <c r="P431" s="116">
        <v>31.725000000000001</v>
      </c>
      <c r="Q431" s="116">
        <v>62</v>
      </c>
      <c r="R431">
        <v>244372</v>
      </c>
    </row>
    <row r="432" spans="1:18" x14ac:dyDescent="0.25">
      <c r="A432" s="166">
        <v>42639</v>
      </c>
      <c r="B432" s="116">
        <v>31.05</v>
      </c>
      <c r="C432" s="116">
        <v>30.4</v>
      </c>
      <c r="D432" s="116">
        <v>30.35</v>
      </c>
      <c r="E432" s="116">
        <v>31.05</v>
      </c>
      <c r="F432" s="116">
        <v>60.8</v>
      </c>
      <c r="G432">
        <v>58937</v>
      </c>
      <c r="H432" s="116"/>
      <c r="I432" s="116"/>
      <c r="L432" s="166">
        <v>42639</v>
      </c>
      <c r="M432" s="116">
        <v>30.4</v>
      </c>
      <c r="N432" s="116">
        <v>31</v>
      </c>
      <c r="O432" s="116">
        <v>30.324999999999999</v>
      </c>
      <c r="P432" s="116">
        <v>31</v>
      </c>
      <c r="Q432" s="116">
        <v>60.8</v>
      </c>
      <c r="R432">
        <v>162302</v>
      </c>
    </row>
    <row r="433" spans="1:18" x14ac:dyDescent="0.25">
      <c r="A433" s="166">
        <v>42640</v>
      </c>
      <c r="B433" s="116">
        <v>30.824999999999999</v>
      </c>
      <c r="C433" s="116">
        <v>30.524999999999999</v>
      </c>
      <c r="D433" s="116">
        <v>30.425000000000001</v>
      </c>
      <c r="E433" s="116">
        <v>30.5</v>
      </c>
      <c r="F433" s="116">
        <v>61.05</v>
      </c>
      <c r="G433">
        <v>63846</v>
      </c>
      <c r="H433" s="116"/>
      <c r="I433" s="116"/>
      <c r="L433" s="166">
        <v>42640</v>
      </c>
      <c r="M433" s="116">
        <v>30.5</v>
      </c>
      <c r="N433" s="116">
        <v>30.85</v>
      </c>
      <c r="O433" s="116">
        <v>30.4</v>
      </c>
      <c r="P433" s="116">
        <v>30.6</v>
      </c>
      <c r="Q433" s="116">
        <v>61</v>
      </c>
      <c r="R433">
        <v>161383</v>
      </c>
    </row>
    <row r="434" spans="1:18" x14ac:dyDescent="0.25">
      <c r="A434" s="166">
        <v>42641</v>
      </c>
      <c r="B434" s="116">
        <v>31.4</v>
      </c>
      <c r="C434" s="116">
        <v>30.45</v>
      </c>
      <c r="D434" s="116">
        <v>30.25</v>
      </c>
      <c r="E434" s="116">
        <v>30.524999999999999</v>
      </c>
      <c r="F434" s="116">
        <v>60.9</v>
      </c>
      <c r="G434">
        <v>74847</v>
      </c>
      <c r="H434" s="116"/>
      <c r="I434" s="116"/>
      <c r="L434" s="166">
        <v>42641</v>
      </c>
      <c r="M434" s="116">
        <v>30.324999999999999</v>
      </c>
      <c r="N434" s="116">
        <v>31.45</v>
      </c>
      <c r="O434" s="116">
        <v>30.125</v>
      </c>
      <c r="P434" s="116">
        <v>30.524999999999999</v>
      </c>
      <c r="Q434" s="116">
        <v>60.65</v>
      </c>
      <c r="R434">
        <v>277809</v>
      </c>
    </row>
    <row r="435" spans="1:18" x14ac:dyDescent="0.25">
      <c r="A435" s="166">
        <v>42642</v>
      </c>
      <c r="B435" s="116">
        <v>30.975000000000001</v>
      </c>
      <c r="C435" s="116">
        <v>28.3</v>
      </c>
      <c r="D435" s="116">
        <v>27.95</v>
      </c>
      <c r="E435" s="116">
        <v>30.95</v>
      </c>
      <c r="F435" s="116">
        <v>56.6</v>
      </c>
      <c r="G435">
        <v>138852</v>
      </c>
      <c r="H435" s="116"/>
      <c r="I435" s="116"/>
      <c r="L435" s="166">
        <v>42642</v>
      </c>
      <c r="M435" s="116">
        <v>28.3</v>
      </c>
      <c r="N435" s="116">
        <v>31.074999999999999</v>
      </c>
      <c r="O435" s="116">
        <v>27.5</v>
      </c>
      <c r="P435" s="116">
        <v>30.5</v>
      </c>
      <c r="Q435" s="116">
        <v>56.6</v>
      </c>
      <c r="R435">
        <v>345781</v>
      </c>
    </row>
    <row r="436" spans="1:18" x14ac:dyDescent="0.25">
      <c r="A436" s="166">
        <v>42643</v>
      </c>
      <c r="B436" s="116">
        <v>29.125</v>
      </c>
      <c r="C436" s="116">
        <v>28.925000000000001</v>
      </c>
      <c r="D436" s="116">
        <v>28.1</v>
      </c>
      <c r="E436" s="116">
        <v>28.774999999999999</v>
      </c>
      <c r="F436" s="116">
        <v>57.85</v>
      </c>
      <c r="G436">
        <v>52636</v>
      </c>
      <c r="H436" s="116"/>
      <c r="I436" s="116"/>
      <c r="L436" s="166">
        <v>42643</v>
      </c>
      <c r="M436" s="116">
        <v>28.975000000000001</v>
      </c>
      <c r="N436" s="116">
        <v>29.125</v>
      </c>
      <c r="O436" s="116">
        <v>27.9</v>
      </c>
      <c r="P436" s="116">
        <v>27.9</v>
      </c>
      <c r="Q436" s="116">
        <v>57.95</v>
      </c>
      <c r="R436">
        <v>152003</v>
      </c>
    </row>
    <row r="437" spans="1:18" x14ac:dyDescent="0.25">
      <c r="A437" s="166">
        <v>42646</v>
      </c>
      <c r="B437" s="116">
        <v>30.4</v>
      </c>
      <c r="C437" s="116">
        <v>30</v>
      </c>
      <c r="D437" s="116">
        <v>28.6</v>
      </c>
      <c r="E437" s="116">
        <v>29.475000000000001</v>
      </c>
      <c r="F437" s="116">
        <v>60</v>
      </c>
      <c r="G437">
        <v>60807</v>
      </c>
      <c r="H437" s="116"/>
      <c r="I437" s="116"/>
      <c r="L437" s="166">
        <v>42646</v>
      </c>
      <c r="M437" s="116">
        <v>29.925000000000001</v>
      </c>
      <c r="N437" s="116">
        <v>30.35</v>
      </c>
      <c r="O437" s="116">
        <v>29.05</v>
      </c>
      <c r="P437" s="116">
        <v>29.5</v>
      </c>
      <c r="Q437" s="116">
        <v>59.85</v>
      </c>
      <c r="R437">
        <v>160083</v>
      </c>
    </row>
    <row r="438" spans="1:18" x14ac:dyDescent="0.25">
      <c r="A438" s="166">
        <v>42647</v>
      </c>
      <c r="B438" s="116">
        <v>30.425000000000001</v>
      </c>
      <c r="C438" s="116">
        <v>29.574999999999999</v>
      </c>
      <c r="D438" s="116">
        <v>29.274999999999999</v>
      </c>
      <c r="E438" s="116">
        <v>30.25</v>
      </c>
      <c r="F438" s="116">
        <v>59.15</v>
      </c>
      <c r="G438">
        <v>33398</v>
      </c>
      <c r="H438" s="116"/>
      <c r="I438" s="116"/>
      <c r="L438" s="166">
        <v>42647</v>
      </c>
      <c r="M438" s="116">
        <v>29.6</v>
      </c>
      <c r="N438" s="116">
        <v>30.4</v>
      </c>
      <c r="O438" s="116">
        <v>29.3</v>
      </c>
      <c r="P438" s="116">
        <v>30.024999999999999</v>
      </c>
      <c r="Q438" s="116">
        <v>59.2</v>
      </c>
      <c r="R438">
        <v>101255</v>
      </c>
    </row>
    <row r="439" spans="1:18" x14ac:dyDescent="0.25">
      <c r="A439" s="166">
        <v>42648</v>
      </c>
      <c r="B439" s="116">
        <v>30.6</v>
      </c>
      <c r="C439" s="116">
        <v>30.274999999999999</v>
      </c>
      <c r="D439" s="116">
        <v>29.6</v>
      </c>
      <c r="E439" s="116">
        <v>29.875</v>
      </c>
      <c r="F439" s="116">
        <v>60.55</v>
      </c>
      <c r="G439">
        <v>91935</v>
      </c>
      <c r="H439" s="116"/>
      <c r="I439" s="116"/>
      <c r="L439" s="166">
        <v>42648</v>
      </c>
      <c r="M439" s="116">
        <v>30.25</v>
      </c>
      <c r="N439" s="116">
        <v>30.6</v>
      </c>
      <c r="O439" s="116">
        <v>29.274999999999999</v>
      </c>
      <c r="P439" s="116">
        <v>29.274999999999999</v>
      </c>
      <c r="Q439" s="116">
        <v>60.5</v>
      </c>
      <c r="R439">
        <v>235492</v>
      </c>
    </row>
    <row r="440" spans="1:18" x14ac:dyDescent="0.25">
      <c r="A440" s="166">
        <v>42649</v>
      </c>
      <c r="B440" s="116">
        <v>32.5</v>
      </c>
      <c r="C440" s="116">
        <v>31.5</v>
      </c>
      <c r="D440" s="116">
        <v>30.4</v>
      </c>
      <c r="E440" s="116">
        <v>30.4</v>
      </c>
      <c r="F440" s="116">
        <v>63</v>
      </c>
      <c r="G440">
        <v>277849</v>
      </c>
      <c r="H440" s="116"/>
      <c r="I440" s="116"/>
      <c r="L440" s="166">
        <v>42649</v>
      </c>
      <c r="M440" s="116">
        <v>31.45</v>
      </c>
      <c r="N440" s="116">
        <v>32.4</v>
      </c>
      <c r="O440" s="116">
        <v>30.274999999999999</v>
      </c>
      <c r="P440" s="116">
        <v>30.475000000000001</v>
      </c>
      <c r="Q440" s="116">
        <v>62.9</v>
      </c>
      <c r="R440">
        <v>904220</v>
      </c>
    </row>
    <row r="441" spans="1:18" x14ac:dyDescent="0.25">
      <c r="A441" s="166">
        <v>42650</v>
      </c>
      <c r="B441" s="116">
        <v>31.9</v>
      </c>
      <c r="C441" s="116">
        <v>31.175000000000001</v>
      </c>
      <c r="D441" s="116">
        <v>30.6</v>
      </c>
      <c r="E441" s="116">
        <v>31.45</v>
      </c>
      <c r="F441" s="116">
        <v>62.35</v>
      </c>
      <c r="G441">
        <v>64828</v>
      </c>
      <c r="H441" s="116"/>
      <c r="I441" s="116"/>
      <c r="L441" s="166">
        <v>42650</v>
      </c>
      <c r="M441" s="116">
        <v>31.15</v>
      </c>
      <c r="N441" s="116">
        <v>31.875</v>
      </c>
      <c r="O441" s="116">
        <v>30.7</v>
      </c>
      <c r="P441" s="116">
        <v>31.7</v>
      </c>
      <c r="Q441" s="116">
        <v>62.3</v>
      </c>
      <c r="R441">
        <v>201116</v>
      </c>
    </row>
    <row r="442" spans="1:18" x14ac:dyDescent="0.25">
      <c r="A442" s="166">
        <v>42653</v>
      </c>
      <c r="B442" s="116">
        <v>32.6</v>
      </c>
      <c r="C442" s="116">
        <v>32.325000000000003</v>
      </c>
      <c r="D442" s="116">
        <v>31.074999999999999</v>
      </c>
      <c r="E442" s="116">
        <v>31.25</v>
      </c>
      <c r="F442" s="116">
        <v>64.650000000000006</v>
      </c>
      <c r="G442">
        <v>119707</v>
      </c>
      <c r="H442" s="116"/>
      <c r="I442" s="116"/>
      <c r="L442" s="166">
        <v>42653</v>
      </c>
      <c r="M442" s="116">
        <v>32.325000000000003</v>
      </c>
      <c r="N442" s="116">
        <v>32.65</v>
      </c>
      <c r="O442" s="116">
        <v>30.95</v>
      </c>
      <c r="P442" s="116">
        <v>31.324999999999999</v>
      </c>
      <c r="Q442" s="116">
        <v>64.650000000000006</v>
      </c>
      <c r="R442">
        <v>426479</v>
      </c>
    </row>
    <row r="443" spans="1:18" x14ac:dyDescent="0.25">
      <c r="A443" s="166">
        <v>42656</v>
      </c>
      <c r="B443" s="116">
        <v>32.625</v>
      </c>
      <c r="C443" s="116">
        <v>32.35</v>
      </c>
      <c r="D443" s="116">
        <v>31.7</v>
      </c>
      <c r="E443" s="116">
        <v>32.450000000000003</v>
      </c>
      <c r="F443" s="116">
        <v>64.7</v>
      </c>
      <c r="G443">
        <v>191870</v>
      </c>
      <c r="H443" s="116"/>
      <c r="I443" s="116"/>
      <c r="L443" s="166">
        <v>42656</v>
      </c>
      <c r="M443" s="116">
        <v>32.299999999999997</v>
      </c>
      <c r="N443" s="116">
        <v>32.75</v>
      </c>
      <c r="O443" s="116">
        <v>31.574999999999999</v>
      </c>
      <c r="P443" s="116">
        <v>32.450000000000003</v>
      </c>
      <c r="Q443" s="116">
        <v>64.599999999999994</v>
      </c>
      <c r="R443">
        <v>608180</v>
      </c>
    </row>
    <row r="444" spans="1:18" x14ac:dyDescent="0.25">
      <c r="A444" s="166">
        <v>42657</v>
      </c>
      <c r="B444" s="116">
        <v>34.450000000000003</v>
      </c>
      <c r="C444" s="116">
        <v>33.950000000000003</v>
      </c>
      <c r="D444" s="116">
        <v>32.274999999999999</v>
      </c>
      <c r="E444" s="116">
        <v>32.274999999999999</v>
      </c>
      <c r="F444" s="116">
        <v>67.900000000000006</v>
      </c>
      <c r="G444">
        <v>326782</v>
      </c>
      <c r="H444" s="116"/>
      <c r="I444" s="116"/>
      <c r="L444" s="166">
        <v>42657</v>
      </c>
      <c r="M444" s="116">
        <v>34.049999999999997</v>
      </c>
      <c r="N444" s="116">
        <v>34.450000000000003</v>
      </c>
      <c r="O444" s="116">
        <v>32.375</v>
      </c>
      <c r="P444" s="116">
        <v>32.475000000000001</v>
      </c>
      <c r="Q444" s="116">
        <v>68.099999999999994</v>
      </c>
      <c r="R444">
        <v>1256777</v>
      </c>
    </row>
    <row r="445" spans="1:18" x14ac:dyDescent="0.25">
      <c r="A445" s="166">
        <v>42660</v>
      </c>
      <c r="B445" s="116">
        <v>34.375</v>
      </c>
      <c r="C445" s="116">
        <v>33.25</v>
      </c>
      <c r="D445" s="116">
        <v>32.875</v>
      </c>
      <c r="E445" s="116">
        <v>34.1</v>
      </c>
      <c r="F445" s="116">
        <v>66.5</v>
      </c>
      <c r="G445">
        <v>104239</v>
      </c>
      <c r="H445" s="116"/>
      <c r="I445" s="116"/>
      <c r="L445" s="166">
        <v>42660</v>
      </c>
      <c r="M445" s="116">
        <v>33.25</v>
      </c>
      <c r="N445" s="116">
        <v>34.424999999999997</v>
      </c>
      <c r="O445" s="116">
        <v>32.875</v>
      </c>
      <c r="P445" s="116">
        <v>34.25</v>
      </c>
      <c r="Q445" s="116">
        <v>66.5</v>
      </c>
      <c r="R445">
        <v>570650</v>
      </c>
    </row>
    <row r="446" spans="1:18" x14ac:dyDescent="0.25">
      <c r="A446" s="166">
        <v>42661</v>
      </c>
      <c r="B446" s="116">
        <v>35.450000000000003</v>
      </c>
      <c r="C446" s="116">
        <v>35.274999999999999</v>
      </c>
      <c r="D446" s="116">
        <v>33.375</v>
      </c>
      <c r="E446" s="116">
        <v>33.424999999999997</v>
      </c>
      <c r="F446" s="116">
        <v>70.55</v>
      </c>
      <c r="G446">
        <v>344523</v>
      </c>
      <c r="H446" s="116"/>
      <c r="I446" s="116"/>
      <c r="L446" s="166">
        <v>42661</v>
      </c>
      <c r="M446" s="116">
        <v>35.25</v>
      </c>
      <c r="N446" s="116">
        <v>35.450000000000003</v>
      </c>
      <c r="O446" s="116">
        <v>33.450000000000003</v>
      </c>
      <c r="P446" s="116">
        <v>33.450000000000003</v>
      </c>
      <c r="Q446" s="116">
        <v>70.5</v>
      </c>
      <c r="R446">
        <v>1361807</v>
      </c>
    </row>
    <row r="447" spans="1:18" x14ac:dyDescent="0.25">
      <c r="A447" s="166">
        <v>42662</v>
      </c>
      <c r="B447" s="116">
        <v>37</v>
      </c>
      <c r="C447" s="116">
        <v>35.85</v>
      </c>
      <c r="D447" s="116">
        <v>35.200000000000003</v>
      </c>
      <c r="E447" s="116">
        <v>35.5</v>
      </c>
      <c r="F447" s="116">
        <v>71.7</v>
      </c>
      <c r="G447">
        <v>342924</v>
      </c>
      <c r="H447" s="116"/>
      <c r="I447" s="116"/>
      <c r="L447" s="166">
        <v>42662</v>
      </c>
      <c r="M447" s="116">
        <v>35.950000000000003</v>
      </c>
      <c r="N447" s="116">
        <v>36.9</v>
      </c>
      <c r="O447" s="116">
        <v>35.1</v>
      </c>
      <c r="P447" s="116">
        <v>35.5</v>
      </c>
      <c r="Q447" s="116">
        <v>71.900000000000006</v>
      </c>
      <c r="R447">
        <v>1054569</v>
      </c>
    </row>
    <row r="448" spans="1:18" x14ac:dyDescent="0.25">
      <c r="A448" s="166">
        <v>42663</v>
      </c>
      <c r="B448" s="116">
        <v>36.75</v>
      </c>
      <c r="C448" s="116">
        <v>35.299999999999997</v>
      </c>
      <c r="D448" s="116">
        <v>35.1</v>
      </c>
      <c r="E448" s="116">
        <v>36.325000000000003</v>
      </c>
      <c r="F448" s="116">
        <v>70.599999999999994</v>
      </c>
      <c r="G448">
        <v>120772</v>
      </c>
      <c r="H448" s="116"/>
      <c r="I448" s="116"/>
      <c r="L448" s="166">
        <v>42663</v>
      </c>
      <c r="M448" s="116">
        <v>35.25</v>
      </c>
      <c r="N448" s="116">
        <v>36.700000000000003</v>
      </c>
      <c r="O448" s="116">
        <v>35.125</v>
      </c>
      <c r="P448" s="116">
        <v>36</v>
      </c>
      <c r="Q448" s="116">
        <v>70.5</v>
      </c>
      <c r="R448">
        <v>406756</v>
      </c>
    </row>
    <row r="449" spans="1:18" x14ac:dyDescent="0.25">
      <c r="A449" s="166">
        <v>42664</v>
      </c>
      <c r="B449" s="116">
        <v>35.5</v>
      </c>
      <c r="C449" s="116">
        <v>34.4</v>
      </c>
      <c r="D449" s="116">
        <v>34.25</v>
      </c>
      <c r="E449" s="116">
        <v>35.450000000000003</v>
      </c>
      <c r="F449" s="116">
        <v>68.8</v>
      </c>
      <c r="G449">
        <v>62453</v>
      </c>
      <c r="H449" s="116"/>
      <c r="I449" s="116"/>
      <c r="L449" s="166">
        <v>42664</v>
      </c>
      <c r="M449" s="116">
        <v>34.450000000000003</v>
      </c>
      <c r="N449" s="116">
        <v>35.575000000000003</v>
      </c>
      <c r="O449" s="116">
        <v>34.200000000000003</v>
      </c>
      <c r="P449" s="116">
        <v>35.450000000000003</v>
      </c>
      <c r="Q449" s="116">
        <v>68.900000000000006</v>
      </c>
      <c r="R449">
        <v>270165</v>
      </c>
    </row>
    <row r="450" spans="1:18" x14ac:dyDescent="0.25">
      <c r="A450" s="166">
        <v>42667</v>
      </c>
      <c r="B450" s="116">
        <v>34.85</v>
      </c>
      <c r="C450" s="116">
        <v>33.5</v>
      </c>
      <c r="D450" s="116">
        <v>33.375</v>
      </c>
      <c r="E450" s="116">
        <v>34.575000000000003</v>
      </c>
      <c r="F450" s="116">
        <v>67</v>
      </c>
      <c r="G450">
        <v>102736</v>
      </c>
      <c r="H450" s="116"/>
      <c r="I450" s="116"/>
      <c r="L450" s="166">
        <v>42667</v>
      </c>
      <c r="M450" s="116">
        <v>33.450000000000003</v>
      </c>
      <c r="N450" s="116">
        <v>34.85</v>
      </c>
      <c r="O450" s="116">
        <v>33.325000000000003</v>
      </c>
      <c r="P450" s="116">
        <v>34.774999999999999</v>
      </c>
      <c r="Q450" s="116">
        <v>66.900000000000006</v>
      </c>
      <c r="R450">
        <v>361329</v>
      </c>
    </row>
    <row r="451" spans="1:18" x14ac:dyDescent="0.25">
      <c r="A451" s="166">
        <v>42668</v>
      </c>
      <c r="B451" s="116">
        <v>34.825000000000003</v>
      </c>
      <c r="C451" s="116">
        <v>34.1</v>
      </c>
      <c r="D451" s="116">
        <v>33.549999999999997</v>
      </c>
      <c r="E451" s="116">
        <v>33.674999999999997</v>
      </c>
      <c r="F451" s="116">
        <v>68.2</v>
      </c>
      <c r="G451">
        <v>109480</v>
      </c>
      <c r="H451" s="116"/>
      <c r="I451" s="116"/>
      <c r="L451" s="166">
        <v>42668</v>
      </c>
      <c r="M451" s="116">
        <v>34.049999999999997</v>
      </c>
      <c r="N451" s="116">
        <v>34.85</v>
      </c>
      <c r="O451" s="116">
        <v>33.549999999999997</v>
      </c>
      <c r="P451" s="116">
        <v>33.549999999999997</v>
      </c>
      <c r="Q451" s="116">
        <v>68.099999999999994</v>
      </c>
      <c r="R451">
        <v>290679</v>
      </c>
    </row>
    <row r="452" spans="1:18" x14ac:dyDescent="0.25">
      <c r="A452" s="166">
        <v>42669</v>
      </c>
      <c r="B452" s="116">
        <v>34.85</v>
      </c>
      <c r="C452" s="116">
        <v>33.4</v>
      </c>
      <c r="D452" s="116">
        <v>33.200000000000003</v>
      </c>
      <c r="E452" s="116">
        <v>33.700000000000003</v>
      </c>
      <c r="F452" s="116">
        <v>66.8</v>
      </c>
      <c r="G452">
        <v>111426</v>
      </c>
      <c r="H452" s="116"/>
      <c r="I452" s="116"/>
      <c r="L452" s="166">
        <v>42669</v>
      </c>
      <c r="M452" s="116">
        <v>33.35</v>
      </c>
      <c r="N452" s="116">
        <v>34.65</v>
      </c>
      <c r="O452" s="116">
        <v>33.174999999999997</v>
      </c>
      <c r="P452" s="116">
        <v>34.049999999999997</v>
      </c>
      <c r="Q452" s="116">
        <v>66.7</v>
      </c>
      <c r="R452">
        <v>220740</v>
      </c>
    </row>
    <row r="453" spans="1:18" x14ac:dyDescent="0.25">
      <c r="A453" s="166">
        <v>42670</v>
      </c>
      <c r="B453" s="116">
        <v>33.700000000000003</v>
      </c>
      <c r="C453" s="116">
        <v>33.1</v>
      </c>
      <c r="D453" s="116">
        <v>32.549999999999997</v>
      </c>
      <c r="E453" s="116">
        <v>33.475000000000001</v>
      </c>
      <c r="F453" s="116">
        <v>66.2</v>
      </c>
      <c r="G453">
        <v>60207</v>
      </c>
      <c r="H453" s="116"/>
      <c r="I453" s="116"/>
      <c r="L453" s="166">
        <v>42670</v>
      </c>
      <c r="M453" s="116">
        <v>32.975000000000001</v>
      </c>
      <c r="N453" s="116">
        <v>33.700000000000003</v>
      </c>
      <c r="O453" s="116">
        <v>32.5</v>
      </c>
      <c r="P453" s="116">
        <v>33.5</v>
      </c>
      <c r="Q453" s="116">
        <v>65.95</v>
      </c>
      <c r="R453">
        <v>205831</v>
      </c>
    </row>
    <row r="454" spans="1:18" x14ac:dyDescent="0.25">
      <c r="A454" s="166">
        <v>42671</v>
      </c>
      <c r="B454" s="116">
        <v>33.75</v>
      </c>
      <c r="C454" s="116">
        <v>33.225000000000001</v>
      </c>
      <c r="D454" s="116">
        <v>33.1</v>
      </c>
      <c r="E454" s="116">
        <v>33.4</v>
      </c>
      <c r="F454" s="116">
        <v>66.45</v>
      </c>
      <c r="G454">
        <v>25804</v>
      </c>
      <c r="H454" s="116"/>
      <c r="I454" s="116"/>
      <c r="L454" s="166">
        <v>42671</v>
      </c>
      <c r="M454" s="116">
        <v>33.25</v>
      </c>
      <c r="N454" s="116">
        <v>33.950000000000003</v>
      </c>
      <c r="O454" s="116">
        <v>32.85</v>
      </c>
      <c r="P454" s="116">
        <v>33.125</v>
      </c>
      <c r="Q454" s="116">
        <v>66.5</v>
      </c>
      <c r="R454">
        <v>118802</v>
      </c>
    </row>
    <row r="455" spans="1:18" x14ac:dyDescent="0.25">
      <c r="A455" s="166">
        <v>42673</v>
      </c>
      <c r="B455" s="116">
        <v>33.725000000000001</v>
      </c>
      <c r="C455" s="116">
        <v>33.35</v>
      </c>
      <c r="D455" s="116">
        <v>33.075000000000003</v>
      </c>
      <c r="E455" s="116">
        <v>33.700000000000003</v>
      </c>
      <c r="F455" s="116">
        <v>66.7</v>
      </c>
      <c r="G455">
        <v>20463</v>
      </c>
      <c r="H455" s="116"/>
      <c r="I455" s="116"/>
      <c r="L455" s="166">
        <v>42673</v>
      </c>
      <c r="M455" s="116">
        <v>33.424999999999997</v>
      </c>
      <c r="N455" s="116">
        <v>33.799999999999997</v>
      </c>
      <c r="O455" s="116">
        <v>33.25</v>
      </c>
      <c r="P455" s="116">
        <v>33.25</v>
      </c>
      <c r="Q455" s="116">
        <v>66.849999999999994</v>
      </c>
      <c r="R455">
        <v>56791</v>
      </c>
    </row>
    <row r="456" spans="1:18" x14ac:dyDescent="0.25">
      <c r="A456" s="166">
        <v>42675</v>
      </c>
      <c r="B456" s="116">
        <v>33.75</v>
      </c>
      <c r="C456" s="116">
        <v>33.4</v>
      </c>
      <c r="D456" s="116">
        <v>33.15</v>
      </c>
      <c r="E456" s="116">
        <v>33.674999999999997</v>
      </c>
      <c r="F456" s="116">
        <v>66.8</v>
      </c>
      <c r="G456">
        <v>28760</v>
      </c>
      <c r="H456" s="116"/>
      <c r="I456" s="116"/>
      <c r="L456" s="166">
        <v>42675</v>
      </c>
      <c r="M456" s="116">
        <v>33.424999999999997</v>
      </c>
      <c r="N456" s="116">
        <v>33.700000000000003</v>
      </c>
      <c r="O456" s="116">
        <v>33.1</v>
      </c>
      <c r="P456" s="116">
        <v>33.5</v>
      </c>
      <c r="Q456" s="116">
        <v>66.849999999999994</v>
      </c>
      <c r="R456">
        <v>164202</v>
      </c>
    </row>
    <row r="457" spans="1:18" x14ac:dyDescent="0.25">
      <c r="A457" s="166">
        <v>42676</v>
      </c>
      <c r="B457" s="116">
        <v>33</v>
      </c>
      <c r="C457" s="116">
        <v>32.325000000000003</v>
      </c>
      <c r="D457" s="116">
        <v>32.174999999999997</v>
      </c>
      <c r="E457" s="116">
        <v>32.924999999999997</v>
      </c>
      <c r="F457" s="116">
        <v>64.650000000000006</v>
      </c>
      <c r="G457">
        <v>30913</v>
      </c>
      <c r="H457" s="116"/>
      <c r="I457" s="116"/>
      <c r="L457" s="166">
        <v>42676</v>
      </c>
      <c r="M457" s="116">
        <v>32.225000000000001</v>
      </c>
      <c r="N457" s="116">
        <v>33.25</v>
      </c>
      <c r="O457" s="116">
        <v>32.075000000000003</v>
      </c>
      <c r="P457" s="116">
        <v>33.25</v>
      </c>
      <c r="Q457" s="116">
        <v>64.45</v>
      </c>
      <c r="R457">
        <v>225035</v>
      </c>
    </row>
    <row r="458" spans="1:18" x14ac:dyDescent="0.25">
      <c r="A458" s="166">
        <v>42677</v>
      </c>
      <c r="B458" s="116">
        <v>33.25</v>
      </c>
      <c r="C458" s="116">
        <v>31.975000000000001</v>
      </c>
      <c r="D458" s="116">
        <v>31.824999999999999</v>
      </c>
      <c r="E458" s="116">
        <v>32.15</v>
      </c>
      <c r="F458" s="116">
        <v>63.95</v>
      </c>
      <c r="G458">
        <v>88118</v>
      </c>
      <c r="H458" s="116"/>
      <c r="I458" s="116"/>
      <c r="L458" s="166">
        <v>42677</v>
      </c>
      <c r="M458" s="116">
        <v>32</v>
      </c>
      <c r="N458" s="116">
        <v>33.299999999999997</v>
      </c>
      <c r="O458" s="116">
        <v>31.75</v>
      </c>
      <c r="P458" s="116">
        <v>32.274999999999999</v>
      </c>
      <c r="Q458" s="116">
        <v>64</v>
      </c>
      <c r="R458">
        <v>220229</v>
      </c>
    </row>
    <row r="459" spans="1:18" x14ac:dyDescent="0.25">
      <c r="A459" s="166">
        <v>42678</v>
      </c>
      <c r="B459" s="116">
        <v>32.450000000000003</v>
      </c>
      <c r="C459" s="116">
        <v>30.65</v>
      </c>
      <c r="D459" s="116">
        <v>30.25</v>
      </c>
      <c r="E459" s="116">
        <v>32.450000000000003</v>
      </c>
      <c r="F459" s="116">
        <v>61.3</v>
      </c>
      <c r="G459">
        <v>66160</v>
      </c>
      <c r="H459" s="116"/>
      <c r="I459" s="116"/>
      <c r="L459" s="166">
        <v>42678</v>
      </c>
      <c r="M459" s="116">
        <v>30.6</v>
      </c>
      <c r="N459" s="116">
        <v>32.975000000000001</v>
      </c>
      <c r="O459" s="116">
        <v>30.15</v>
      </c>
      <c r="P459" s="116">
        <v>32.174999999999997</v>
      </c>
      <c r="Q459" s="116">
        <v>61.2</v>
      </c>
      <c r="R459">
        <v>223847</v>
      </c>
    </row>
    <row r="460" spans="1:18" x14ac:dyDescent="0.25">
      <c r="A460" s="166">
        <v>42681</v>
      </c>
      <c r="B460" s="116">
        <v>31.95</v>
      </c>
      <c r="C460" s="116">
        <v>31.2</v>
      </c>
      <c r="D460" s="116">
        <v>31</v>
      </c>
      <c r="E460" s="116">
        <v>31.35</v>
      </c>
      <c r="F460" s="116">
        <v>62.4</v>
      </c>
      <c r="G460">
        <v>47912</v>
      </c>
      <c r="H460" s="116"/>
      <c r="I460" s="116"/>
      <c r="L460" s="166">
        <v>42681</v>
      </c>
      <c r="M460" s="116">
        <v>31.3</v>
      </c>
      <c r="N460" s="116">
        <v>31.975000000000001</v>
      </c>
      <c r="O460" s="116">
        <v>31.05</v>
      </c>
      <c r="P460" s="116">
        <v>31.25</v>
      </c>
      <c r="Q460" s="116">
        <v>62.6</v>
      </c>
      <c r="R460">
        <v>100359</v>
      </c>
    </row>
    <row r="461" spans="1:18" x14ac:dyDescent="0.25">
      <c r="A461" s="166">
        <v>42682</v>
      </c>
      <c r="B461" s="116">
        <v>31.774999999999999</v>
      </c>
      <c r="C461" s="116">
        <v>31.024999999999999</v>
      </c>
      <c r="D461" s="116">
        <v>30.5</v>
      </c>
      <c r="E461" s="116">
        <v>31.475000000000001</v>
      </c>
      <c r="F461" s="116">
        <v>62.05</v>
      </c>
      <c r="G461">
        <v>46903</v>
      </c>
      <c r="H461" s="116"/>
      <c r="I461" s="116"/>
      <c r="L461" s="166">
        <v>42682</v>
      </c>
      <c r="M461" s="116">
        <v>30.85</v>
      </c>
      <c r="N461" s="116">
        <v>31.774999999999999</v>
      </c>
      <c r="O461" s="116">
        <v>30.5</v>
      </c>
      <c r="P461" s="116">
        <v>31.524999999999999</v>
      </c>
      <c r="Q461" s="116">
        <v>61.7</v>
      </c>
      <c r="R461">
        <v>83866</v>
      </c>
    </row>
    <row r="462" spans="1:18" x14ac:dyDescent="0.25">
      <c r="A462" s="166">
        <v>42683</v>
      </c>
      <c r="B462" s="116">
        <v>30.5</v>
      </c>
      <c r="C462" s="116">
        <v>30.1</v>
      </c>
      <c r="D462" s="116">
        <v>28.074999999999999</v>
      </c>
      <c r="E462" s="116">
        <v>30</v>
      </c>
      <c r="F462" s="116">
        <v>60.2</v>
      </c>
      <c r="G462">
        <v>69166</v>
      </c>
      <c r="H462" s="116"/>
      <c r="I462" s="116"/>
      <c r="L462" s="166">
        <v>42683</v>
      </c>
      <c r="M462" s="116">
        <v>30.2</v>
      </c>
      <c r="N462" s="116">
        <v>30.725000000000001</v>
      </c>
      <c r="O462" s="116">
        <v>27.85</v>
      </c>
      <c r="P462" s="116">
        <v>28.5</v>
      </c>
      <c r="Q462" s="116">
        <v>60.4</v>
      </c>
      <c r="R462">
        <v>139975</v>
      </c>
    </row>
    <row r="463" spans="1:18" x14ac:dyDescent="0.25">
      <c r="A463" s="166">
        <v>42684</v>
      </c>
      <c r="B463" s="116">
        <v>31.925000000000001</v>
      </c>
      <c r="C463" s="116">
        <v>28.975000000000001</v>
      </c>
      <c r="D463" s="116">
        <v>28.65</v>
      </c>
      <c r="E463" s="116">
        <v>30.975000000000001</v>
      </c>
      <c r="F463" s="116">
        <v>57.95</v>
      </c>
      <c r="G463">
        <v>219129</v>
      </c>
      <c r="H463" s="116"/>
      <c r="I463" s="116"/>
      <c r="L463" s="166">
        <v>42684</v>
      </c>
      <c r="M463" s="116">
        <v>28.925000000000001</v>
      </c>
      <c r="N463" s="116">
        <v>31.95</v>
      </c>
      <c r="O463" s="116">
        <v>28.675000000000001</v>
      </c>
      <c r="P463" s="116">
        <v>31</v>
      </c>
      <c r="Q463" s="116">
        <v>57.85</v>
      </c>
      <c r="R463">
        <v>570441</v>
      </c>
    </row>
    <row r="464" spans="1:18" x14ac:dyDescent="0.25">
      <c r="A464" s="166">
        <v>42685</v>
      </c>
      <c r="B464" s="116">
        <v>28.85</v>
      </c>
      <c r="C464" s="116">
        <v>27.425000000000001</v>
      </c>
      <c r="D464" s="116">
        <v>27.125</v>
      </c>
      <c r="E464" s="116">
        <v>28.85</v>
      </c>
      <c r="F464" s="116">
        <v>54.85</v>
      </c>
      <c r="G464">
        <v>121277</v>
      </c>
      <c r="H464" s="116"/>
      <c r="I464" s="116"/>
      <c r="L464" s="166">
        <v>42685</v>
      </c>
      <c r="M464" s="116">
        <v>27.35</v>
      </c>
      <c r="N464" s="116">
        <v>28.875</v>
      </c>
      <c r="O464" s="116">
        <v>26.7</v>
      </c>
      <c r="P464" s="116">
        <v>28.074999999999999</v>
      </c>
      <c r="Q464" s="116">
        <v>54.7</v>
      </c>
      <c r="R464">
        <v>352541</v>
      </c>
    </row>
    <row r="465" spans="1:18" x14ac:dyDescent="0.25">
      <c r="A465" s="166">
        <v>42689</v>
      </c>
      <c r="B465" s="116">
        <v>27.55</v>
      </c>
      <c r="C465" s="116">
        <v>25.225000000000001</v>
      </c>
      <c r="D465" s="116">
        <v>24.975000000000001</v>
      </c>
      <c r="E465" s="116">
        <v>27.475000000000001</v>
      </c>
      <c r="F465" s="116">
        <v>50.45</v>
      </c>
      <c r="G465">
        <v>69541</v>
      </c>
      <c r="H465" s="116"/>
      <c r="I465" s="116"/>
      <c r="L465" s="166">
        <v>42689</v>
      </c>
      <c r="M465" s="116">
        <v>25.2</v>
      </c>
      <c r="N465" s="116">
        <v>27.975000000000001</v>
      </c>
      <c r="O465" s="116">
        <v>24.875</v>
      </c>
      <c r="P465" s="116">
        <v>27.35</v>
      </c>
      <c r="Q465" s="116">
        <v>50.4</v>
      </c>
      <c r="R465">
        <v>166688</v>
      </c>
    </row>
    <row r="466" spans="1:18" x14ac:dyDescent="0.25">
      <c r="A466" s="166">
        <v>42690</v>
      </c>
      <c r="B466" s="116">
        <v>26.25</v>
      </c>
      <c r="C466" s="116">
        <v>24.175000000000001</v>
      </c>
      <c r="D466" s="116">
        <v>24.05</v>
      </c>
      <c r="E466" s="116">
        <v>25.65</v>
      </c>
      <c r="F466" s="116">
        <v>48.35</v>
      </c>
      <c r="G466">
        <v>106078</v>
      </c>
      <c r="H466" s="116"/>
      <c r="I466" s="116"/>
      <c r="L466" s="166">
        <v>42690</v>
      </c>
      <c r="M466" s="116">
        <v>24.1</v>
      </c>
      <c r="N466" s="116">
        <v>26.074999999999999</v>
      </c>
      <c r="O466" s="116">
        <v>23.975000000000001</v>
      </c>
      <c r="P466" s="116">
        <v>25.725000000000001</v>
      </c>
      <c r="Q466" s="116">
        <v>48.2</v>
      </c>
      <c r="R466">
        <v>188989</v>
      </c>
    </row>
    <row r="467" spans="1:18" x14ac:dyDescent="0.25">
      <c r="A467" s="166">
        <v>42691</v>
      </c>
      <c r="B467" s="116">
        <v>24.774999999999999</v>
      </c>
      <c r="C467" s="116">
        <v>24.475000000000001</v>
      </c>
      <c r="D467" s="116">
        <v>24.074999999999999</v>
      </c>
      <c r="E467" s="116">
        <v>24.425000000000001</v>
      </c>
      <c r="F467" s="116">
        <v>48.95</v>
      </c>
      <c r="G467">
        <v>81989</v>
      </c>
      <c r="H467" s="116"/>
      <c r="I467" s="116"/>
      <c r="L467" s="166">
        <v>42691</v>
      </c>
      <c r="M467" s="116">
        <v>24.4</v>
      </c>
      <c r="N467" s="116">
        <v>24.7</v>
      </c>
      <c r="O467" s="116">
        <v>24.024999999999999</v>
      </c>
      <c r="P467" s="116">
        <v>24.3</v>
      </c>
      <c r="Q467" s="116">
        <v>48.8</v>
      </c>
      <c r="R467">
        <v>114135</v>
      </c>
    </row>
    <row r="468" spans="1:18" x14ac:dyDescent="0.25">
      <c r="A468" s="166">
        <v>42692</v>
      </c>
      <c r="B468" s="116">
        <v>24.8</v>
      </c>
      <c r="C468" s="116">
        <v>24.35</v>
      </c>
      <c r="D468" s="116">
        <v>24.25</v>
      </c>
      <c r="E468" s="116">
        <v>24.425000000000001</v>
      </c>
      <c r="F468" s="116">
        <v>48.7</v>
      </c>
      <c r="G468">
        <v>60028</v>
      </c>
      <c r="H468" s="116"/>
      <c r="I468" s="116"/>
      <c r="L468" s="166">
        <v>42692</v>
      </c>
      <c r="M468" s="116">
        <v>24.324999999999999</v>
      </c>
      <c r="N468" s="116">
        <v>24.824999999999999</v>
      </c>
      <c r="O468" s="116">
        <v>24.15</v>
      </c>
      <c r="P468" s="116">
        <v>24.6</v>
      </c>
      <c r="Q468" s="116">
        <v>48.65</v>
      </c>
      <c r="R468">
        <v>177492</v>
      </c>
    </row>
    <row r="469" spans="1:18" x14ac:dyDescent="0.25">
      <c r="A469" s="166">
        <v>42695</v>
      </c>
      <c r="B469" s="116">
        <v>24.725000000000001</v>
      </c>
      <c r="C469" s="116">
        <v>23.425000000000001</v>
      </c>
      <c r="D469" s="116">
        <v>23.25</v>
      </c>
      <c r="E469" s="116">
        <v>24.524999999999999</v>
      </c>
      <c r="F469" s="116">
        <v>46.85</v>
      </c>
      <c r="G469">
        <v>58101</v>
      </c>
      <c r="H469" s="116"/>
      <c r="I469" s="116"/>
      <c r="L469" s="166">
        <v>42695</v>
      </c>
      <c r="M469" s="116">
        <v>23.45</v>
      </c>
      <c r="N469" s="116">
        <v>24.75</v>
      </c>
      <c r="O469" s="116">
        <v>23.25</v>
      </c>
      <c r="P469" s="116">
        <v>24.6</v>
      </c>
      <c r="Q469" s="116">
        <v>46.9</v>
      </c>
      <c r="R469">
        <v>93072</v>
      </c>
    </row>
    <row r="470" spans="1:18" x14ac:dyDescent="0.25">
      <c r="A470" s="166">
        <v>42696</v>
      </c>
      <c r="B470" s="116">
        <v>24.2</v>
      </c>
      <c r="C470" s="116">
        <v>22.824999999999999</v>
      </c>
      <c r="D470" s="116">
        <v>22.7</v>
      </c>
      <c r="E470" s="116">
        <v>23.5</v>
      </c>
      <c r="F470" s="116">
        <v>45.65</v>
      </c>
      <c r="G470">
        <v>74002</v>
      </c>
      <c r="H470" s="116"/>
      <c r="I470" s="116"/>
      <c r="L470" s="166">
        <v>42696</v>
      </c>
      <c r="M470" s="116">
        <v>22.8</v>
      </c>
      <c r="N470" s="116">
        <v>24.1</v>
      </c>
      <c r="O470" s="116">
        <v>22.675000000000001</v>
      </c>
      <c r="P470" s="116">
        <v>23.5</v>
      </c>
      <c r="Q470" s="116">
        <v>45.6</v>
      </c>
      <c r="R470">
        <v>240287</v>
      </c>
    </row>
    <row r="471" spans="1:18" x14ac:dyDescent="0.25">
      <c r="A471" s="166">
        <v>42697</v>
      </c>
      <c r="B471" s="116">
        <v>23.75</v>
      </c>
      <c r="C471" s="116">
        <v>23.5</v>
      </c>
      <c r="D471" s="116">
        <v>22.85</v>
      </c>
      <c r="E471" s="116">
        <v>23.25</v>
      </c>
      <c r="F471" s="116">
        <v>47</v>
      </c>
      <c r="G471">
        <v>78132</v>
      </c>
      <c r="H471" s="116"/>
      <c r="I471" s="116"/>
      <c r="L471" s="166">
        <v>42697</v>
      </c>
      <c r="M471" s="116">
        <v>23.574999999999999</v>
      </c>
      <c r="N471" s="116">
        <v>24</v>
      </c>
      <c r="O471" s="116">
        <v>22.8</v>
      </c>
      <c r="P471" s="116">
        <v>23.45</v>
      </c>
      <c r="Q471" s="116">
        <v>47.15</v>
      </c>
      <c r="R471">
        <v>107074</v>
      </c>
    </row>
    <row r="472" spans="1:18" x14ac:dyDescent="0.25">
      <c r="A472" s="166">
        <v>42698</v>
      </c>
      <c r="B472" s="116">
        <v>23.5</v>
      </c>
      <c r="C472" s="116">
        <v>23.274999999999999</v>
      </c>
      <c r="D472" s="116">
        <v>23</v>
      </c>
      <c r="E472" s="116">
        <v>23.5</v>
      </c>
      <c r="F472" s="116">
        <v>46.55</v>
      </c>
      <c r="G472">
        <v>30381</v>
      </c>
      <c r="H472" s="116"/>
      <c r="I472" s="116"/>
      <c r="L472" s="166">
        <v>42698</v>
      </c>
      <c r="M472" s="116">
        <v>23.3</v>
      </c>
      <c r="N472" s="116">
        <v>23.6</v>
      </c>
      <c r="O472" s="116">
        <v>23</v>
      </c>
      <c r="P472" s="116">
        <v>23.6</v>
      </c>
      <c r="Q472" s="116">
        <v>46.6</v>
      </c>
      <c r="R472">
        <v>66600</v>
      </c>
    </row>
    <row r="473" spans="1:18" x14ac:dyDescent="0.25">
      <c r="A473" s="166">
        <v>42699</v>
      </c>
      <c r="B473" s="116">
        <v>24.25</v>
      </c>
      <c r="C473" s="116">
        <v>24.074999999999999</v>
      </c>
      <c r="D473" s="116">
        <v>23.425000000000001</v>
      </c>
      <c r="E473" s="116">
        <v>23.425000000000001</v>
      </c>
      <c r="F473" s="116">
        <v>48.15</v>
      </c>
      <c r="G473">
        <v>90138</v>
      </c>
      <c r="H473" s="116"/>
      <c r="I473" s="116"/>
      <c r="L473" s="166">
        <v>42699</v>
      </c>
      <c r="M473" s="116">
        <v>24.074999999999999</v>
      </c>
      <c r="N473" s="116">
        <v>24.25</v>
      </c>
      <c r="O473" s="116">
        <v>23.375</v>
      </c>
      <c r="P473" s="116">
        <v>23.5</v>
      </c>
      <c r="Q473" s="116">
        <v>48.15</v>
      </c>
      <c r="R473">
        <v>258704</v>
      </c>
    </row>
    <row r="474" spans="1:18" x14ac:dyDescent="0.25">
      <c r="A474" s="166">
        <v>42702</v>
      </c>
      <c r="B474" s="116">
        <v>26.65</v>
      </c>
      <c r="C474" s="116">
        <v>26.1</v>
      </c>
      <c r="D474" s="116">
        <v>23.875</v>
      </c>
      <c r="E474" s="116">
        <v>24.274999999999999</v>
      </c>
      <c r="F474" s="116">
        <v>52.2</v>
      </c>
      <c r="G474">
        <v>167821</v>
      </c>
      <c r="H474" s="116"/>
      <c r="I474" s="116"/>
      <c r="L474" s="166">
        <v>42702</v>
      </c>
      <c r="M474" s="116">
        <v>26.125</v>
      </c>
      <c r="N474" s="116">
        <v>26.6</v>
      </c>
      <c r="O474" s="116">
        <v>23.75</v>
      </c>
      <c r="P474" s="116">
        <v>24.324999999999999</v>
      </c>
      <c r="Q474" s="116">
        <v>52.25</v>
      </c>
      <c r="R474">
        <v>529431</v>
      </c>
    </row>
    <row r="475" spans="1:18" x14ac:dyDescent="0.25">
      <c r="A475" s="166">
        <v>42703</v>
      </c>
      <c r="B475" s="116">
        <v>26.7</v>
      </c>
      <c r="C475" s="116">
        <v>26.05</v>
      </c>
      <c r="D475" s="116">
        <v>25.9</v>
      </c>
      <c r="E475" s="116">
        <v>26.5</v>
      </c>
      <c r="F475" s="116">
        <v>52.1</v>
      </c>
      <c r="G475">
        <v>59271</v>
      </c>
      <c r="H475" s="116"/>
      <c r="I475" s="116"/>
      <c r="L475" s="166">
        <v>42703</v>
      </c>
      <c r="M475" s="116">
        <v>26.024999999999999</v>
      </c>
      <c r="N475" s="116">
        <v>26.675000000000001</v>
      </c>
      <c r="O475" s="116">
        <v>25.875</v>
      </c>
      <c r="P475" s="116">
        <v>26.25</v>
      </c>
      <c r="Q475" s="116">
        <v>52.05</v>
      </c>
      <c r="R475">
        <v>148511</v>
      </c>
    </row>
    <row r="476" spans="1:18" x14ac:dyDescent="0.25">
      <c r="A476" s="166">
        <v>42704</v>
      </c>
      <c r="B476" s="116">
        <v>26.324999999999999</v>
      </c>
      <c r="C476" s="116">
        <v>26.175000000000001</v>
      </c>
      <c r="D476" s="116">
        <v>25.65</v>
      </c>
      <c r="E476" s="116">
        <v>26.324999999999999</v>
      </c>
      <c r="F476" s="116">
        <v>52.35</v>
      </c>
      <c r="G476">
        <v>41350</v>
      </c>
      <c r="H476" s="116"/>
      <c r="I476" s="116"/>
      <c r="L476" s="166">
        <v>42704</v>
      </c>
      <c r="M476" s="116">
        <v>26.15</v>
      </c>
      <c r="N476" s="116">
        <v>26.4</v>
      </c>
      <c r="O476" s="116">
        <v>25.75</v>
      </c>
      <c r="P476" s="116">
        <v>26.375</v>
      </c>
      <c r="Q476" s="116">
        <v>52.3</v>
      </c>
      <c r="R476">
        <v>98966</v>
      </c>
    </row>
    <row r="477" spans="1:18" x14ac:dyDescent="0.25">
      <c r="A477" s="166">
        <v>42705</v>
      </c>
      <c r="B477" s="116">
        <v>27.45</v>
      </c>
      <c r="C477" s="116">
        <v>26.9</v>
      </c>
      <c r="D477" s="116">
        <v>26.25</v>
      </c>
      <c r="E477" s="116">
        <v>26.25</v>
      </c>
      <c r="F477" s="116">
        <v>53.8</v>
      </c>
      <c r="G477">
        <v>164169</v>
      </c>
      <c r="H477" s="116"/>
      <c r="I477" s="116"/>
      <c r="L477" s="166">
        <v>42705</v>
      </c>
      <c r="M477" s="116">
        <v>27</v>
      </c>
      <c r="N477" s="116">
        <v>27.475000000000001</v>
      </c>
      <c r="O477" s="116">
        <v>26.175000000000001</v>
      </c>
      <c r="P477" s="116">
        <v>26.375</v>
      </c>
      <c r="Q477" s="116">
        <v>54</v>
      </c>
      <c r="R477">
        <v>436541</v>
      </c>
    </row>
    <row r="478" spans="1:18" x14ac:dyDescent="0.25">
      <c r="A478" s="166">
        <v>42706</v>
      </c>
      <c r="B478" s="116">
        <v>26.725000000000001</v>
      </c>
      <c r="C478" s="116">
        <v>26.125</v>
      </c>
      <c r="D478" s="116">
        <v>25.6</v>
      </c>
      <c r="E478" s="116">
        <v>26.5</v>
      </c>
      <c r="F478" s="116">
        <v>52.25</v>
      </c>
      <c r="G478">
        <v>112617</v>
      </c>
      <c r="H478" s="116"/>
      <c r="I478" s="116"/>
      <c r="L478" s="166">
        <v>42706</v>
      </c>
      <c r="M478" s="116">
        <v>26.175000000000001</v>
      </c>
      <c r="N478" s="116">
        <v>26.75</v>
      </c>
      <c r="O478" s="116">
        <v>25.65</v>
      </c>
      <c r="P478" s="116">
        <v>26.75</v>
      </c>
      <c r="Q478" s="116">
        <v>52.35</v>
      </c>
      <c r="R478">
        <v>187022</v>
      </c>
    </row>
    <row r="479" spans="1:18" x14ac:dyDescent="0.25">
      <c r="A479" s="166">
        <v>42709</v>
      </c>
      <c r="B479" s="116">
        <v>27.024999999999999</v>
      </c>
      <c r="C479" s="116">
        <v>26.675000000000001</v>
      </c>
      <c r="D479" s="116">
        <v>25.75</v>
      </c>
      <c r="E479" s="116">
        <v>26.05</v>
      </c>
      <c r="F479" s="116">
        <v>53.35</v>
      </c>
      <c r="G479">
        <v>36688</v>
      </c>
      <c r="H479" s="116"/>
      <c r="I479" s="116"/>
      <c r="L479" s="166">
        <v>42709</v>
      </c>
      <c r="M479" s="116">
        <v>26.675000000000001</v>
      </c>
      <c r="N479" s="116">
        <v>27</v>
      </c>
      <c r="O479" s="116">
        <v>25.5</v>
      </c>
      <c r="P479" s="116">
        <v>26.225000000000001</v>
      </c>
      <c r="Q479" s="116">
        <v>53.35</v>
      </c>
      <c r="R479">
        <v>94114</v>
      </c>
    </row>
    <row r="480" spans="1:18" x14ac:dyDescent="0.25">
      <c r="A480" s="166">
        <v>42710</v>
      </c>
      <c r="B480" s="116">
        <v>26.925000000000001</v>
      </c>
      <c r="C480" s="116">
        <v>26.55</v>
      </c>
      <c r="D480" s="116">
        <v>26.475000000000001</v>
      </c>
      <c r="E480" s="116">
        <v>26.75</v>
      </c>
      <c r="F480" s="116">
        <v>53.1</v>
      </c>
      <c r="G480">
        <v>45798</v>
      </c>
      <c r="H480" s="116"/>
      <c r="I480" s="116"/>
      <c r="L480" s="166">
        <v>42710</v>
      </c>
      <c r="M480" s="116">
        <v>26.55</v>
      </c>
      <c r="N480" s="116">
        <v>26.975000000000001</v>
      </c>
      <c r="O480" s="116">
        <v>26.4</v>
      </c>
      <c r="P480" s="116">
        <v>26.7</v>
      </c>
      <c r="Q480" s="116">
        <v>53.1</v>
      </c>
      <c r="R480">
        <v>86839</v>
      </c>
    </row>
    <row r="481" spans="1:18" x14ac:dyDescent="0.25">
      <c r="A481" s="166">
        <v>42711</v>
      </c>
      <c r="B481" s="116">
        <v>27.4</v>
      </c>
      <c r="C481" s="116">
        <v>26.425000000000001</v>
      </c>
      <c r="D481" s="116">
        <v>26.15</v>
      </c>
      <c r="E481" s="116">
        <v>26.425000000000001</v>
      </c>
      <c r="F481" s="116">
        <v>52.85</v>
      </c>
      <c r="G481">
        <v>73227</v>
      </c>
      <c r="H481" s="116"/>
      <c r="I481" s="116"/>
      <c r="L481" s="166">
        <v>42711</v>
      </c>
      <c r="M481" s="116">
        <v>26.3</v>
      </c>
      <c r="N481" s="116">
        <v>27.425000000000001</v>
      </c>
      <c r="O481" s="116">
        <v>26</v>
      </c>
      <c r="P481" s="116">
        <v>26.574999999999999</v>
      </c>
      <c r="Q481" s="116">
        <v>52.6</v>
      </c>
      <c r="R481">
        <v>194906</v>
      </c>
    </row>
    <row r="482" spans="1:18" x14ac:dyDescent="0.25">
      <c r="A482" s="166">
        <v>42712</v>
      </c>
      <c r="B482" s="116">
        <v>27.975000000000001</v>
      </c>
      <c r="C482" s="116">
        <v>26.85</v>
      </c>
      <c r="D482" s="116">
        <v>26.65</v>
      </c>
      <c r="E482" s="116">
        <v>26.8</v>
      </c>
      <c r="F482" s="116">
        <v>53.7</v>
      </c>
      <c r="G482">
        <v>114705</v>
      </c>
      <c r="H482" s="116"/>
      <c r="I482" s="116"/>
      <c r="L482" s="166">
        <v>42712</v>
      </c>
      <c r="M482" s="116">
        <v>26.875</v>
      </c>
      <c r="N482" s="116">
        <v>28.024999999999999</v>
      </c>
      <c r="O482" s="116">
        <v>26.574999999999999</v>
      </c>
      <c r="P482" s="116">
        <v>26.574999999999999</v>
      </c>
      <c r="Q482" s="116">
        <v>53.75</v>
      </c>
      <c r="R482">
        <v>407128</v>
      </c>
    </row>
    <row r="483" spans="1:18" x14ac:dyDescent="0.25">
      <c r="A483" s="166">
        <v>42713</v>
      </c>
      <c r="B483" s="116">
        <v>31.7</v>
      </c>
      <c r="C483" s="116">
        <v>30.274999999999999</v>
      </c>
      <c r="D483" s="116">
        <v>26.9</v>
      </c>
      <c r="E483" s="116">
        <v>27.074999999999999</v>
      </c>
      <c r="F483" s="116">
        <v>60.55</v>
      </c>
      <c r="G483">
        <v>444041</v>
      </c>
      <c r="H483" s="116"/>
      <c r="I483" s="116"/>
      <c r="L483" s="166">
        <v>42713</v>
      </c>
      <c r="M483" s="116">
        <v>30.35</v>
      </c>
      <c r="N483" s="116">
        <v>32.25</v>
      </c>
      <c r="O483" s="116">
        <v>26.875</v>
      </c>
      <c r="P483" s="116">
        <v>27.225000000000001</v>
      </c>
      <c r="Q483" s="116">
        <v>60.7</v>
      </c>
      <c r="R483">
        <v>1362820</v>
      </c>
    </row>
    <row r="484" spans="1:18" x14ac:dyDescent="0.25">
      <c r="A484" s="166">
        <v>42716</v>
      </c>
      <c r="B484" s="116">
        <v>31.25</v>
      </c>
      <c r="C484" s="116">
        <v>29.824999999999999</v>
      </c>
      <c r="D484" s="116">
        <v>29.6</v>
      </c>
      <c r="E484" s="116">
        <v>30.274999999999999</v>
      </c>
      <c r="F484" s="116">
        <v>59.65</v>
      </c>
      <c r="G484">
        <v>123481</v>
      </c>
      <c r="H484" s="116"/>
      <c r="I484" s="116"/>
      <c r="L484" s="166">
        <v>42716</v>
      </c>
      <c r="M484" s="116">
        <v>29.925000000000001</v>
      </c>
      <c r="N484" s="116">
        <v>31.25</v>
      </c>
      <c r="O484" s="116">
        <v>29.65</v>
      </c>
      <c r="P484" s="116">
        <v>30.225000000000001</v>
      </c>
      <c r="Q484" s="116">
        <v>59.85</v>
      </c>
      <c r="R484">
        <v>309063</v>
      </c>
    </row>
    <row r="485" spans="1:18" x14ac:dyDescent="0.25">
      <c r="A485" s="166">
        <v>42717</v>
      </c>
      <c r="B485" s="116">
        <v>31.65</v>
      </c>
      <c r="C485" s="116">
        <v>30.65</v>
      </c>
      <c r="D485" s="116">
        <v>29.3</v>
      </c>
      <c r="E485" s="116">
        <v>29.3</v>
      </c>
      <c r="F485" s="116">
        <v>61.3</v>
      </c>
      <c r="G485">
        <v>185146</v>
      </c>
      <c r="H485" s="116"/>
      <c r="I485" s="116"/>
      <c r="L485" s="166">
        <v>42717</v>
      </c>
      <c r="M485" s="116">
        <v>30.625</v>
      </c>
      <c r="N485" s="116">
        <v>31.7</v>
      </c>
      <c r="O485" s="116">
        <v>29.6</v>
      </c>
      <c r="P485" s="116">
        <v>30.024999999999999</v>
      </c>
      <c r="Q485" s="116">
        <v>61.25</v>
      </c>
      <c r="R485">
        <v>462553</v>
      </c>
    </row>
    <row r="486" spans="1:18" x14ac:dyDescent="0.25">
      <c r="A486" s="166">
        <v>42718</v>
      </c>
      <c r="B486" s="116">
        <v>30.875</v>
      </c>
      <c r="C486" s="116">
        <v>29.425000000000001</v>
      </c>
      <c r="D486" s="116">
        <v>29.15</v>
      </c>
      <c r="E486" s="116">
        <v>30.875</v>
      </c>
      <c r="F486" s="116">
        <v>58.85</v>
      </c>
      <c r="G486">
        <v>65786</v>
      </c>
      <c r="H486" s="116"/>
      <c r="I486" s="116"/>
      <c r="L486" s="166">
        <v>42718</v>
      </c>
      <c r="M486" s="116">
        <v>29.5</v>
      </c>
      <c r="N486" s="116">
        <v>30.9</v>
      </c>
      <c r="O486" s="116">
        <v>29.125</v>
      </c>
      <c r="P486" s="116">
        <v>30.725000000000001</v>
      </c>
      <c r="Q486" s="116">
        <v>59</v>
      </c>
      <c r="R486">
        <v>294896</v>
      </c>
    </row>
    <row r="487" spans="1:18" x14ac:dyDescent="0.25">
      <c r="A487" s="166">
        <v>42719</v>
      </c>
      <c r="B487" s="116">
        <v>30.2</v>
      </c>
      <c r="C487" s="116">
        <v>29.6</v>
      </c>
      <c r="D487" s="116">
        <v>29.2</v>
      </c>
      <c r="E487" s="116">
        <v>29.2</v>
      </c>
      <c r="F487" s="116">
        <v>59.2</v>
      </c>
      <c r="G487">
        <v>62412</v>
      </c>
      <c r="H487" s="116"/>
      <c r="I487" s="116"/>
      <c r="L487" s="166">
        <v>42719</v>
      </c>
      <c r="M487" s="116">
        <v>29.6</v>
      </c>
      <c r="N487" s="116">
        <v>30.225000000000001</v>
      </c>
      <c r="O487" s="116">
        <v>29.25</v>
      </c>
      <c r="P487" s="116">
        <v>29.5</v>
      </c>
      <c r="Q487" s="116">
        <v>59.2</v>
      </c>
      <c r="R487">
        <v>100845</v>
      </c>
    </row>
    <row r="488" spans="1:18" x14ac:dyDescent="0.25">
      <c r="A488" s="166">
        <v>42720</v>
      </c>
      <c r="B488" s="116">
        <v>30.975000000000001</v>
      </c>
      <c r="C488" s="116">
        <v>30.074999999999999</v>
      </c>
      <c r="D488" s="116">
        <v>29.7</v>
      </c>
      <c r="E488" s="116">
        <v>30</v>
      </c>
      <c r="F488" s="116">
        <v>60.15</v>
      </c>
      <c r="G488">
        <v>84265</v>
      </c>
      <c r="H488" s="116"/>
      <c r="I488" s="116"/>
      <c r="L488" s="166">
        <v>42720</v>
      </c>
      <c r="M488" s="116">
        <v>30.1</v>
      </c>
      <c r="N488" s="116">
        <v>31.05</v>
      </c>
      <c r="O488" s="116">
        <v>29.65</v>
      </c>
      <c r="P488" s="116">
        <v>29.65</v>
      </c>
      <c r="Q488" s="116">
        <v>60.2</v>
      </c>
      <c r="R488">
        <v>461591</v>
      </c>
    </row>
    <row r="489" spans="1:18" x14ac:dyDescent="0.25">
      <c r="A489" s="166">
        <v>42723</v>
      </c>
      <c r="B489" s="116">
        <v>30.274999999999999</v>
      </c>
      <c r="C489" s="116">
        <v>29.15</v>
      </c>
      <c r="D489" s="116">
        <v>29.05</v>
      </c>
      <c r="E489" s="116">
        <v>29.9</v>
      </c>
      <c r="F489" s="116">
        <v>58.3</v>
      </c>
      <c r="G489">
        <v>48303</v>
      </c>
      <c r="H489" s="116"/>
      <c r="I489" s="116"/>
      <c r="L489" s="166">
        <v>42723</v>
      </c>
      <c r="M489" s="116">
        <v>29.125</v>
      </c>
      <c r="N489" s="116">
        <v>30.25</v>
      </c>
      <c r="O489" s="116">
        <v>28.975000000000001</v>
      </c>
      <c r="P489" s="116">
        <v>30.1</v>
      </c>
      <c r="Q489" s="116">
        <v>58.25</v>
      </c>
      <c r="R489">
        <v>139537</v>
      </c>
    </row>
    <row r="490" spans="1:18" x14ac:dyDescent="0.25">
      <c r="A490" s="166">
        <v>42724</v>
      </c>
      <c r="B490" s="116">
        <v>29.75</v>
      </c>
      <c r="C490" s="116">
        <v>28.524999999999999</v>
      </c>
      <c r="D490" s="116">
        <v>28.375</v>
      </c>
      <c r="E490" s="116">
        <v>29.225000000000001</v>
      </c>
      <c r="F490" s="116">
        <v>57.05</v>
      </c>
      <c r="G490">
        <v>62877</v>
      </c>
      <c r="H490" s="116"/>
      <c r="I490" s="116"/>
      <c r="L490" s="166">
        <v>42724</v>
      </c>
      <c r="M490" s="116">
        <v>28.5</v>
      </c>
      <c r="N490" s="116">
        <v>29.75</v>
      </c>
      <c r="O490" s="116">
        <v>28.3</v>
      </c>
      <c r="P490" s="116">
        <v>29.3</v>
      </c>
      <c r="Q490" s="116">
        <v>57</v>
      </c>
      <c r="R490">
        <v>133890</v>
      </c>
    </row>
    <row r="491" spans="1:18" x14ac:dyDescent="0.25">
      <c r="A491" s="166">
        <v>42725</v>
      </c>
      <c r="B491" s="116">
        <v>29.4</v>
      </c>
      <c r="C491" s="116">
        <v>28.574999999999999</v>
      </c>
      <c r="D491" s="116">
        <v>28.5</v>
      </c>
      <c r="E491" s="116">
        <v>28.6</v>
      </c>
      <c r="F491" s="116">
        <v>57.15</v>
      </c>
      <c r="G491">
        <v>59907</v>
      </c>
      <c r="H491" s="116"/>
      <c r="I491" s="116"/>
      <c r="L491" s="166">
        <v>42725</v>
      </c>
      <c r="M491" s="116">
        <v>28.6</v>
      </c>
      <c r="N491" s="116">
        <v>29.45</v>
      </c>
      <c r="O491" s="116">
        <v>28.5</v>
      </c>
      <c r="P491" s="116">
        <v>28.625</v>
      </c>
      <c r="Q491" s="116">
        <v>57.2</v>
      </c>
      <c r="R491">
        <v>106888</v>
      </c>
    </row>
    <row r="492" spans="1:18" x14ac:dyDescent="0.25">
      <c r="A492" s="166">
        <v>42726</v>
      </c>
      <c r="B492" s="116">
        <v>28.65</v>
      </c>
      <c r="C492" s="116">
        <v>28.125</v>
      </c>
      <c r="D492" s="116">
        <v>28.1</v>
      </c>
      <c r="E492" s="116">
        <v>28.625</v>
      </c>
      <c r="F492" s="116">
        <v>56.25</v>
      </c>
      <c r="G492">
        <v>36821</v>
      </c>
      <c r="H492" s="116"/>
      <c r="I492" s="116"/>
      <c r="L492" s="166">
        <v>42726</v>
      </c>
      <c r="M492" s="116">
        <v>28.125</v>
      </c>
      <c r="N492" s="116">
        <v>28.725000000000001</v>
      </c>
      <c r="O492" s="116">
        <v>28.024999999999999</v>
      </c>
      <c r="P492" s="116">
        <v>28.7</v>
      </c>
      <c r="Q492" s="116">
        <v>56.25</v>
      </c>
      <c r="R492">
        <v>69242</v>
      </c>
    </row>
    <row r="493" spans="1:18" x14ac:dyDescent="0.25">
      <c r="A493" s="166">
        <v>42727</v>
      </c>
      <c r="B493" s="116">
        <v>28.475000000000001</v>
      </c>
      <c r="C493" s="116">
        <v>27.925000000000001</v>
      </c>
      <c r="D493" s="116">
        <v>27.675000000000001</v>
      </c>
      <c r="E493" s="116">
        <v>28.475000000000001</v>
      </c>
      <c r="F493" s="116">
        <v>55.85</v>
      </c>
      <c r="G493">
        <v>108480</v>
      </c>
      <c r="H493" s="116"/>
      <c r="I493" s="116"/>
      <c r="L493" s="166">
        <v>42727</v>
      </c>
      <c r="M493" s="116">
        <v>27.925000000000001</v>
      </c>
      <c r="N493" s="116">
        <v>28.45</v>
      </c>
      <c r="O493" s="116">
        <v>27.7</v>
      </c>
      <c r="P493" s="116">
        <v>28.425000000000001</v>
      </c>
      <c r="Q493" s="116">
        <v>55.85</v>
      </c>
      <c r="R493">
        <v>100804</v>
      </c>
    </row>
    <row r="494" spans="1:18" x14ac:dyDescent="0.25">
      <c r="A494" s="166">
        <v>42730</v>
      </c>
      <c r="B494" s="116">
        <v>28</v>
      </c>
      <c r="C494" s="116">
        <v>26.875</v>
      </c>
      <c r="D494" s="116">
        <v>26.75</v>
      </c>
      <c r="E494" s="116">
        <v>27.65</v>
      </c>
      <c r="F494" s="116">
        <v>53.75</v>
      </c>
      <c r="G494">
        <v>45289</v>
      </c>
      <c r="H494" s="116"/>
      <c r="I494" s="116"/>
      <c r="L494" s="166">
        <v>42730</v>
      </c>
      <c r="M494" s="116">
        <v>26.824999999999999</v>
      </c>
      <c r="N494" s="116">
        <v>28.225000000000001</v>
      </c>
      <c r="O494" s="116">
        <v>26.75</v>
      </c>
      <c r="P494" s="116">
        <v>27.524999999999999</v>
      </c>
      <c r="Q494" s="116">
        <v>53.65</v>
      </c>
      <c r="R494">
        <v>84752</v>
      </c>
    </row>
    <row r="495" spans="1:18" x14ac:dyDescent="0.25">
      <c r="A495" s="166">
        <v>42731</v>
      </c>
      <c r="B495" s="116">
        <v>27.65</v>
      </c>
      <c r="C495" s="116">
        <v>27.574999999999999</v>
      </c>
      <c r="D495" s="116">
        <v>26.7</v>
      </c>
      <c r="E495" s="116">
        <v>27.15</v>
      </c>
      <c r="F495" s="116">
        <v>55.15</v>
      </c>
      <c r="G495">
        <v>28385</v>
      </c>
      <c r="H495" s="116"/>
      <c r="I495" s="116"/>
      <c r="L495" s="166">
        <v>42731</v>
      </c>
      <c r="M495" s="116">
        <v>27.6</v>
      </c>
      <c r="N495" s="116">
        <v>27.7</v>
      </c>
      <c r="O495" s="116">
        <v>26.55</v>
      </c>
      <c r="P495" s="116">
        <v>27.175000000000001</v>
      </c>
      <c r="Q495" s="116">
        <v>55.2</v>
      </c>
      <c r="R495">
        <v>82926</v>
      </c>
    </row>
    <row r="496" spans="1:18" x14ac:dyDescent="0.25">
      <c r="A496" s="166">
        <v>42732</v>
      </c>
      <c r="B496" s="116">
        <v>28.95</v>
      </c>
      <c r="C496" s="116">
        <v>28.225000000000001</v>
      </c>
      <c r="D496" s="116">
        <v>27.625</v>
      </c>
      <c r="E496" s="116">
        <v>27.675000000000001</v>
      </c>
      <c r="F496" s="116">
        <v>56.45</v>
      </c>
      <c r="G496">
        <v>49531</v>
      </c>
      <c r="H496" s="116"/>
      <c r="I496" s="116"/>
      <c r="L496" s="166">
        <v>42732</v>
      </c>
      <c r="M496" s="116">
        <v>28.3</v>
      </c>
      <c r="N496" s="116">
        <v>29</v>
      </c>
      <c r="O496" s="116">
        <v>27.675000000000001</v>
      </c>
      <c r="P496" s="116">
        <v>27.725000000000001</v>
      </c>
      <c r="Q496" s="116">
        <v>56.6</v>
      </c>
      <c r="R496">
        <v>140960</v>
      </c>
    </row>
    <row r="497" spans="1:18" x14ac:dyDescent="0.25">
      <c r="A497" s="166">
        <v>42733</v>
      </c>
      <c r="B497" s="116">
        <v>29</v>
      </c>
      <c r="C497" s="116">
        <v>28.5</v>
      </c>
      <c r="D497" s="116">
        <v>28.2</v>
      </c>
      <c r="E497" s="116">
        <v>28.524999999999999</v>
      </c>
      <c r="F497" s="116">
        <v>57</v>
      </c>
      <c r="G497">
        <v>19855</v>
      </c>
      <c r="H497" s="116"/>
      <c r="I497" s="116"/>
      <c r="L497" s="166">
        <v>42733</v>
      </c>
      <c r="M497" s="116">
        <v>28.75</v>
      </c>
      <c r="N497" s="116">
        <v>29.1</v>
      </c>
      <c r="O497" s="116">
        <v>28.05</v>
      </c>
      <c r="P497" s="116">
        <v>28.35</v>
      </c>
      <c r="Q497" s="116">
        <v>57.5</v>
      </c>
      <c r="R497">
        <v>85824</v>
      </c>
    </row>
    <row r="498" spans="1:18" x14ac:dyDescent="0.25">
      <c r="A498" s="166">
        <v>42734</v>
      </c>
      <c r="B498" s="116">
        <v>29.074999999999999</v>
      </c>
      <c r="C498" s="116">
        <v>28.5</v>
      </c>
      <c r="D498" s="116">
        <v>28.375</v>
      </c>
      <c r="E498" s="116">
        <v>28.774999999999999</v>
      </c>
      <c r="F498" s="116">
        <v>57</v>
      </c>
      <c r="G498">
        <v>28767</v>
      </c>
      <c r="H498" s="116"/>
      <c r="I498" s="116"/>
      <c r="L498" s="166">
        <v>42734</v>
      </c>
      <c r="M498" s="116">
        <v>28.45</v>
      </c>
      <c r="N498" s="116">
        <v>29.024999999999999</v>
      </c>
      <c r="O498" s="116">
        <v>28.25</v>
      </c>
      <c r="P498" s="116">
        <v>28.824999999999999</v>
      </c>
      <c r="Q498" s="116">
        <v>56.9</v>
      </c>
      <c r="R498">
        <v>70123</v>
      </c>
    </row>
    <row r="499" spans="1:18" x14ac:dyDescent="0.25">
      <c r="A499" s="166">
        <v>42737</v>
      </c>
      <c r="B499" s="116">
        <v>28.75</v>
      </c>
      <c r="C499" s="116">
        <v>28.2</v>
      </c>
      <c r="D499" s="116">
        <v>27.5</v>
      </c>
      <c r="E499" s="116">
        <v>28.75</v>
      </c>
      <c r="F499" s="116">
        <v>56.4</v>
      </c>
      <c r="G499">
        <v>69809</v>
      </c>
      <c r="H499" s="116"/>
      <c r="I499" s="116"/>
      <c r="L499" s="166">
        <v>42737</v>
      </c>
      <c r="M499" s="116">
        <v>28.2</v>
      </c>
      <c r="N499" s="116">
        <v>28.875</v>
      </c>
      <c r="O499" s="116">
        <v>28</v>
      </c>
      <c r="P499" s="116">
        <v>28.574999999999999</v>
      </c>
      <c r="Q499" s="116">
        <v>56.4</v>
      </c>
      <c r="R499">
        <v>145938</v>
      </c>
    </row>
    <row r="500" spans="1:18" x14ac:dyDescent="0.25">
      <c r="A500" s="166">
        <v>42738</v>
      </c>
      <c r="B500" s="116">
        <v>29.225000000000001</v>
      </c>
      <c r="C500" s="116">
        <v>28.524999999999999</v>
      </c>
      <c r="D500" s="116">
        <v>28.35</v>
      </c>
      <c r="E500" s="116">
        <v>28.475000000000001</v>
      </c>
      <c r="F500" s="116">
        <v>57.05</v>
      </c>
      <c r="G500">
        <v>100608</v>
      </c>
      <c r="H500" s="116"/>
      <c r="I500" s="116"/>
      <c r="L500" s="166">
        <v>42738</v>
      </c>
      <c r="M500" s="116">
        <v>28.524999999999999</v>
      </c>
      <c r="N500" s="116">
        <v>29.175000000000001</v>
      </c>
      <c r="O500" s="116">
        <v>28.25</v>
      </c>
      <c r="P500" s="116">
        <v>28.3</v>
      </c>
      <c r="Q500" s="116">
        <v>57.05</v>
      </c>
      <c r="R500">
        <v>363625</v>
      </c>
    </row>
    <row r="501" spans="1:18" x14ac:dyDescent="0.25">
      <c r="A501" s="166">
        <v>42739</v>
      </c>
      <c r="B501" s="116">
        <v>28.925000000000001</v>
      </c>
      <c r="C501" s="116">
        <v>28.375</v>
      </c>
      <c r="D501" s="116">
        <v>28.25</v>
      </c>
      <c r="E501" s="116">
        <v>28.85</v>
      </c>
      <c r="F501" s="116">
        <v>56.75</v>
      </c>
      <c r="G501">
        <v>26363</v>
      </c>
      <c r="H501" s="116"/>
      <c r="I501" s="116"/>
      <c r="L501" s="166">
        <v>42739</v>
      </c>
      <c r="M501" s="116">
        <v>28.4</v>
      </c>
      <c r="N501" s="116">
        <v>28.925000000000001</v>
      </c>
      <c r="O501" s="116">
        <v>28.25</v>
      </c>
      <c r="P501" s="116">
        <v>28.55</v>
      </c>
      <c r="Q501" s="116">
        <v>56.8</v>
      </c>
      <c r="R501">
        <v>147396</v>
      </c>
    </row>
    <row r="502" spans="1:18" x14ac:dyDescent="0.25">
      <c r="A502" s="166">
        <v>42740</v>
      </c>
      <c r="B502" s="116">
        <v>29.35</v>
      </c>
      <c r="C502" s="116">
        <v>28.85</v>
      </c>
      <c r="D502" s="116">
        <v>28.55</v>
      </c>
      <c r="E502" s="116">
        <v>28.7</v>
      </c>
      <c r="F502" s="116">
        <v>57.7</v>
      </c>
      <c r="G502">
        <v>59204</v>
      </c>
      <c r="H502" s="116"/>
      <c r="I502" s="116"/>
      <c r="L502" s="166">
        <v>42740</v>
      </c>
      <c r="M502" s="116">
        <v>28.95</v>
      </c>
      <c r="N502" s="116">
        <v>29.375</v>
      </c>
      <c r="O502" s="116">
        <v>28.5</v>
      </c>
      <c r="P502" s="116">
        <v>28.65</v>
      </c>
      <c r="Q502" s="116">
        <v>57.9</v>
      </c>
      <c r="R502">
        <v>152369</v>
      </c>
    </row>
    <row r="503" spans="1:18" x14ac:dyDescent="0.25">
      <c r="A503" s="166">
        <v>42741</v>
      </c>
      <c r="B503" s="116">
        <v>29.25</v>
      </c>
      <c r="C503" s="116">
        <v>28.574999999999999</v>
      </c>
      <c r="D503" s="116">
        <v>28.5</v>
      </c>
      <c r="E503" s="116">
        <v>28.55</v>
      </c>
      <c r="F503" s="116">
        <v>57.15</v>
      </c>
      <c r="G503">
        <v>45047</v>
      </c>
      <c r="H503" s="116"/>
      <c r="I503" s="116"/>
      <c r="L503" s="166">
        <v>42741</v>
      </c>
      <c r="M503" s="116">
        <v>28.65</v>
      </c>
      <c r="N503" s="116">
        <v>29.3</v>
      </c>
      <c r="O503" s="116">
        <v>28.574999999999999</v>
      </c>
      <c r="P503" s="116">
        <v>29.05</v>
      </c>
      <c r="Q503" s="116">
        <v>57.3</v>
      </c>
      <c r="R503">
        <v>80577</v>
      </c>
    </row>
    <row r="504" spans="1:18" x14ac:dyDescent="0.25">
      <c r="A504" s="166">
        <v>42744</v>
      </c>
      <c r="B504" s="116">
        <v>28.75</v>
      </c>
      <c r="C504" s="116">
        <v>28.45</v>
      </c>
      <c r="D504" s="116">
        <v>28.375</v>
      </c>
      <c r="E504" s="116">
        <v>28.675000000000001</v>
      </c>
      <c r="F504" s="116">
        <v>56.9</v>
      </c>
      <c r="G504">
        <v>40268</v>
      </c>
      <c r="H504" s="116"/>
      <c r="I504" s="116"/>
      <c r="L504" s="166">
        <v>42744</v>
      </c>
      <c r="M504" s="116">
        <v>28.4</v>
      </c>
      <c r="N504" s="116">
        <v>28.7</v>
      </c>
      <c r="O504" s="116">
        <v>28.274999999999999</v>
      </c>
      <c r="P504" s="116">
        <v>28.65</v>
      </c>
      <c r="Q504" s="116">
        <v>56.8</v>
      </c>
      <c r="R504">
        <v>119856</v>
      </c>
    </row>
    <row r="505" spans="1:18" x14ac:dyDescent="0.25">
      <c r="A505" s="166">
        <v>42745</v>
      </c>
      <c r="B505" s="116">
        <v>28.725000000000001</v>
      </c>
      <c r="C505" s="116">
        <v>28.425000000000001</v>
      </c>
      <c r="D505" s="116">
        <v>28.074999999999999</v>
      </c>
      <c r="E505" s="116">
        <v>28.625</v>
      </c>
      <c r="F505" s="116">
        <v>56.85</v>
      </c>
      <c r="G505">
        <v>57664</v>
      </c>
      <c r="H505" s="116"/>
      <c r="I505" s="116"/>
      <c r="L505" s="166">
        <v>42745</v>
      </c>
      <c r="M505" s="116">
        <v>28.475000000000001</v>
      </c>
      <c r="N505" s="116">
        <v>28.7</v>
      </c>
      <c r="O505" s="116">
        <v>27.85</v>
      </c>
      <c r="P505" s="116">
        <v>28.6</v>
      </c>
      <c r="Q505" s="116">
        <v>56.95</v>
      </c>
      <c r="R505">
        <v>101360</v>
      </c>
    </row>
    <row r="506" spans="1:18" x14ac:dyDescent="0.25">
      <c r="A506" s="166">
        <v>42746</v>
      </c>
      <c r="B506" s="116">
        <v>30.45</v>
      </c>
      <c r="C506" s="116">
        <v>29.625</v>
      </c>
      <c r="D506" s="116">
        <v>28.6</v>
      </c>
      <c r="E506" s="116">
        <v>28.675000000000001</v>
      </c>
      <c r="F506" s="116">
        <v>59.25</v>
      </c>
      <c r="G506">
        <v>188165</v>
      </c>
      <c r="H506" s="116"/>
      <c r="I506" s="116"/>
      <c r="L506" s="166">
        <v>42746</v>
      </c>
      <c r="M506" s="116">
        <v>29.675000000000001</v>
      </c>
      <c r="N506" s="116">
        <v>30.5</v>
      </c>
      <c r="O506" s="116">
        <v>28.475000000000001</v>
      </c>
      <c r="P506" s="116">
        <v>28.475000000000001</v>
      </c>
      <c r="Q506" s="116">
        <v>59.35</v>
      </c>
      <c r="R506">
        <v>669224</v>
      </c>
    </row>
    <row r="507" spans="1:18" x14ac:dyDescent="0.25">
      <c r="A507" s="166">
        <v>42747</v>
      </c>
      <c r="B507" s="116">
        <v>30</v>
      </c>
      <c r="C507" s="116">
        <v>29.25</v>
      </c>
      <c r="D507" s="116">
        <v>29.1</v>
      </c>
      <c r="E507" s="116">
        <v>29.95</v>
      </c>
      <c r="F507" s="116">
        <v>58.5</v>
      </c>
      <c r="G507">
        <v>61717</v>
      </c>
      <c r="H507" s="116"/>
      <c r="I507" s="116"/>
      <c r="L507" s="166">
        <v>42747</v>
      </c>
      <c r="M507" s="116">
        <v>29.225000000000001</v>
      </c>
      <c r="N507" s="116">
        <v>30</v>
      </c>
      <c r="O507" s="116">
        <v>29.024999999999999</v>
      </c>
      <c r="P507" s="116">
        <v>29.9</v>
      </c>
      <c r="Q507" s="116">
        <v>58.45</v>
      </c>
      <c r="R507">
        <v>179374</v>
      </c>
    </row>
    <row r="508" spans="1:18" x14ac:dyDescent="0.25">
      <c r="A508" s="166">
        <v>42748</v>
      </c>
      <c r="B508" s="116">
        <v>30.225000000000001</v>
      </c>
      <c r="C508" s="116">
        <v>29.875</v>
      </c>
      <c r="D508" s="116">
        <v>29.1</v>
      </c>
      <c r="E508" s="116">
        <v>29.375</v>
      </c>
      <c r="F508" s="116">
        <v>59.75</v>
      </c>
      <c r="G508">
        <v>46433</v>
      </c>
      <c r="H508" s="116"/>
      <c r="I508" s="116"/>
      <c r="L508" s="166">
        <v>42748</v>
      </c>
      <c r="M508" s="116">
        <v>29.8</v>
      </c>
      <c r="N508" s="116">
        <v>30.074999999999999</v>
      </c>
      <c r="O508" s="116">
        <v>28.95</v>
      </c>
      <c r="P508" s="116">
        <v>29.4</v>
      </c>
      <c r="Q508" s="116">
        <v>59.6</v>
      </c>
      <c r="R508">
        <v>211700</v>
      </c>
    </row>
    <row r="509" spans="1:18" x14ac:dyDescent="0.25">
      <c r="A509" s="166">
        <v>42751</v>
      </c>
      <c r="B509" s="116">
        <v>30.175000000000001</v>
      </c>
      <c r="C509" s="116">
        <v>29.324999999999999</v>
      </c>
      <c r="D509" s="116">
        <v>29.25</v>
      </c>
      <c r="E509" s="116">
        <v>29.75</v>
      </c>
      <c r="F509" s="116">
        <v>58.65</v>
      </c>
      <c r="G509">
        <v>18449</v>
      </c>
      <c r="H509" s="116"/>
      <c r="I509" s="116"/>
      <c r="L509" s="166">
        <v>42751</v>
      </c>
      <c r="M509" s="116">
        <v>29.375</v>
      </c>
      <c r="N509" s="116">
        <v>29.85</v>
      </c>
      <c r="O509" s="116">
        <v>29.274999999999999</v>
      </c>
      <c r="P509" s="116">
        <v>29.8</v>
      </c>
      <c r="Q509" s="116">
        <v>58.75</v>
      </c>
      <c r="R509">
        <v>73282</v>
      </c>
    </row>
    <row r="510" spans="1:18" x14ac:dyDescent="0.25">
      <c r="A510" s="166">
        <v>42752</v>
      </c>
      <c r="B510" s="116">
        <v>29.975000000000001</v>
      </c>
      <c r="C510" s="116">
        <v>29.024999999999999</v>
      </c>
      <c r="D510" s="116">
        <v>28.824999999999999</v>
      </c>
      <c r="E510" s="116">
        <v>29.824999999999999</v>
      </c>
      <c r="F510" s="116">
        <v>58.05</v>
      </c>
      <c r="G510">
        <v>49919</v>
      </c>
      <c r="H510" s="116"/>
      <c r="I510" s="116"/>
      <c r="L510" s="166">
        <v>42752</v>
      </c>
      <c r="M510" s="116">
        <v>28.95</v>
      </c>
      <c r="N510" s="116">
        <v>30.3</v>
      </c>
      <c r="O510" s="116">
        <v>28.8</v>
      </c>
      <c r="P510" s="116">
        <v>29.5</v>
      </c>
      <c r="Q510" s="116">
        <v>57.9</v>
      </c>
      <c r="R510">
        <v>109591</v>
      </c>
    </row>
    <row r="511" spans="1:18" x14ac:dyDescent="0.25">
      <c r="A511" s="166">
        <v>42753</v>
      </c>
      <c r="B511" s="116">
        <v>29.574999999999999</v>
      </c>
      <c r="C511" s="116">
        <v>29.05</v>
      </c>
      <c r="D511" s="116">
        <v>29</v>
      </c>
      <c r="E511" s="116">
        <v>29</v>
      </c>
      <c r="F511" s="116">
        <v>58.1</v>
      </c>
      <c r="G511">
        <v>36484</v>
      </c>
      <c r="H511" s="116"/>
      <c r="I511" s="116"/>
      <c r="L511" s="166">
        <v>42753</v>
      </c>
      <c r="M511" s="116">
        <v>29.125</v>
      </c>
      <c r="N511" s="116">
        <v>29.625</v>
      </c>
      <c r="O511" s="116">
        <v>29.05</v>
      </c>
      <c r="P511" s="116">
        <v>29.2</v>
      </c>
      <c r="Q511" s="116">
        <v>58.25</v>
      </c>
      <c r="R511">
        <v>69638</v>
      </c>
    </row>
    <row r="512" spans="1:18" x14ac:dyDescent="0.25">
      <c r="A512" s="166">
        <v>42754</v>
      </c>
      <c r="B512" s="116">
        <v>29.95</v>
      </c>
      <c r="C512" s="116">
        <v>29.2</v>
      </c>
      <c r="D512" s="116">
        <v>29.05</v>
      </c>
      <c r="E512" s="116">
        <v>29.4</v>
      </c>
      <c r="F512" s="116">
        <v>58.4</v>
      </c>
      <c r="G512">
        <v>72522</v>
      </c>
      <c r="H512" s="116"/>
      <c r="I512" s="116"/>
      <c r="L512" s="166">
        <v>42754</v>
      </c>
      <c r="M512" s="116">
        <v>29.25</v>
      </c>
      <c r="N512" s="116">
        <v>29.925000000000001</v>
      </c>
      <c r="O512" s="116">
        <v>29.05</v>
      </c>
      <c r="P512" s="116">
        <v>29.225000000000001</v>
      </c>
      <c r="Q512" s="116">
        <v>58.5</v>
      </c>
      <c r="R512">
        <v>151620</v>
      </c>
    </row>
    <row r="513" spans="1:18" x14ac:dyDescent="0.25">
      <c r="A513" s="166">
        <v>42755</v>
      </c>
      <c r="B513" s="116">
        <v>29.725000000000001</v>
      </c>
      <c r="C513" s="116">
        <v>28.675000000000001</v>
      </c>
      <c r="D513" s="116">
        <v>28.6</v>
      </c>
      <c r="E513" s="116">
        <v>29.4</v>
      </c>
      <c r="F513" s="116">
        <v>57.35</v>
      </c>
      <c r="G513">
        <v>70798</v>
      </c>
      <c r="H513" s="116"/>
      <c r="I513" s="116"/>
      <c r="L513" s="166">
        <v>42755</v>
      </c>
      <c r="M513" s="116">
        <v>28.675000000000001</v>
      </c>
      <c r="N513" s="116">
        <v>29.7</v>
      </c>
      <c r="O513" s="116">
        <v>28.574999999999999</v>
      </c>
      <c r="P513" s="116">
        <v>29.25</v>
      </c>
      <c r="Q513" s="116">
        <v>57.35</v>
      </c>
      <c r="R513">
        <v>119026</v>
      </c>
    </row>
    <row r="514" spans="1:18" x14ac:dyDescent="0.25">
      <c r="A514" s="166">
        <v>42758</v>
      </c>
      <c r="B514" s="116">
        <v>29.1</v>
      </c>
      <c r="C514" s="116">
        <v>28.725000000000001</v>
      </c>
      <c r="D514" s="116">
        <v>28.5</v>
      </c>
      <c r="E514" s="116">
        <v>29.1</v>
      </c>
      <c r="F514" s="116">
        <v>57.45</v>
      </c>
      <c r="G514">
        <v>18508</v>
      </c>
      <c r="H514" s="116"/>
      <c r="I514" s="116"/>
      <c r="L514" s="166">
        <v>42758</v>
      </c>
      <c r="M514" s="116">
        <v>28.574999999999999</v>
      </c>
      <c r="N514" s="116">
        <v>29</v>
      </c>
      <c r="O514" s="116">
        <v>28.45</v>
      </c>
      <c r="P514" s="116">
        <v>28.75</v>
      </c>
      <c r="Q514" s="116">
        <v>57.15</v>
      </c>
      <c r="R514">
        <v>54552</v>
      </c>
    </row>
    <row r="515" spans="1:18" x14ac:dyDescent="0.25">
      <c r="A515" s="166">
        <v>42759</v>
      </c>
      <c r="B515" s="116">
        <v>28.975000000000001</v>
      </c>
      <c r="C515" s="116">
        <v>28.8</v>
      </c>
      <c r="D515" s="116">
        <v>28.6</v>
      </c>
      <c r="E515" s="116">
        <v>28.824999999999999</v>
      </c>
      <c r="F515" s="116">
        <v>57.6</v>
      </c>
      <c r="G515">
        <v>27570</v>
      </c>
      <c r="H515" s="116"/>
      <c r="I515" s="116"/>
      <c r="L515" s="166">
        <v>42759</v>
      </c>
      <c r="M515" s="116">
        <v>28.75</v>
      </c>
      <c r="N515" s="116">
        <v>28.975000000000001</v>
      </c>
      <c r="O515" s="116">
        <v>28.55</v>
      </c>
      <c r="P515" s="116">
        <v>28.55</v>
      </c>
      <c r="Q515" s="116">
        <v>57.5</v>
      </c>
      <c r="R515">
        <v>73497</v>
      </c>
    </row>
    <row r="516" spans="1:18" x14ac:dyDescent="0.25">
      <c r="A516" s="166">
        <v>42760</v>
      </c>
      <c r="B516" s="116">
        <v>29.125</v>
      </c>
      <c r="C516" s="116">
        <v>28.824999999999999</v>
      </c>
      <c r="D516" s="116">
        <v>28.7</v>
      </c>
      <c r="E516" s="116">
        <v>29.074999999999999</v>
      </c>
      <c r="F516" s="116">
        <v>57.65</v>
      </c>
      <c r="G516">
        <v>21728</v>
      </c>
      <c r="H516" s="116"/>
      <c r="I516" s="116"/>
      <c r="L516" s="166">
        <v>42760</v>
      </c>
      <c r="M516" s="116">
        <v>28.675000000000001</v>
      </c>
      <c r="N516" s="116">
        <v>29.25</v>
      </c>
      <c r="O516" s="116">
        <v>28.5</v>
      </c>
      <c r="P516" s="116">
        <v>28.75</v>
      </c>
      <c r="Q516" s="116">
        <v>57.35</v>
      </c>
      <c r="R516">
        <v>115188</v>
      </c>
    </row>
    <row r="517" spans="1:18" x14ac:dyDescent="0.25">
      <c r="A517" s="166">
        <v>42762</v>
      </c>
      <c r="B517" s="116">
        <v>29.675000000000001</v>
      </c>
      <c r="C517" s="116">
        <v>29.1</v>
      </c>
      <c r="D517" s="116">
        <v>28.824999999999999</v>
      </c>
      <c r="E517" s="116">
        <v>28.95</v>
      </c>
      <c r="F517" s="116">
        <v>58.2</v>
      </c>
      <c r="G517">
        <v>39719</v>
      </c>
      <c r="H517" s="116"/>
      <c r="I517" s="116"/>
      <c r="L517" s="166">
        <v>42762</v>
      </c>
      <c r="M517" s="116">
        <v>29.1</v>
      </c>
      <c r="N517" s="116">
        <v>29.65</v>
      </c>
      <c r="O517" s="116">
        <v>28.7</v>
      </c>
      <c r="P517" s="116">
        <v>28.75</v>
      </c>
      <c r="Q517" s="116">
        <v>58.2</v>
      </c>
      <c r="R517">
        <v>255027</v>
      </c>
    </row>
    <row r="518" spans="1:18" x14ac:dyDescent="0.25">
      <c r="A518" s="166">
        <v>42765</v>
      </c>
      <c r="B518" s="116">
        <v>29.125</v>
      </c>
      <c r="C518" s="116">
        <v>28.7</v>
      </c>
      <c r="D518" s="116">
        <v>28.625</v>
      </c>
      <c r="E518" s="116">
        <v>28.8</v>
      </c>
      <c r="F518" s="116">
        <v>57.4</v>
      </c>
      <c r="G518">
        <v>26442</v>
      </c>
      <c r="H518" s="116"/>
      <c r="I518" s="116"/>
      <c r="L518" s="166">
        <v>42765</v>
      </c>
      <c r="M518" s="116">
        <v>28.675000000000001</v>
      </c>
      <c r="N518" s="116">
        <v>29.225000000000001</v>
      </c>
      <c r="O518" s="116">
        <v>28.574999999999999</v>
      </c>
      <c r="P518" s="116">
        <v>29.024999999999999</v>
      </c>
      <c r="Q518" s="116">
        <v>57.35</v>
      </c>
      <c r="R518">
        <v>115721</v>
      </c>
    </row>
    <row r="519" spans="1:18" x14ac:dyDescent="0.25">
      <c r="A519" s="166">
        <v>42766</v>
      </c>
      <c r="B519" s="116">
        <v>28.725000000000001</v>
      </c>
      <c r="C519" s="116">
        <v>28.125</v>
      </c>
      <c r="D519" s="116">
        <v>28.05</v>
      </c>
      <c r="E519" s="116">
        <v>28.6</v>
      </c>
      <c r="F519" s="116">
        <v>56.25</v>
      </c>
      <c r="G519">
        <v>42281</v>
      </c>
      <c r="H519" s="116"/>
      <c r="I519" s="116"/>
      <c r="L519" s="166">
        <v>42766</v>
      </c>
      <c r="M519" s="116">
        <v>28.074999999999999</v>
      </c>
      <c r="N519" s="116">
        <v>28.875</v>
      </c>
      <c r="O519" s="116">
        <v>28.05</v>
      </c>
      <c r="P519" s="116">
        <v>28.675000000000001</v>
      </c>
      <c r="Q519" s="116">
        <v>56.15</v>
      </c>
      <c r="R519">
        <v>151769</v>
      </c>
    </row>
    <row r="520" spans="1:18" x14ac:dyDescent="0.25">
      <c r="A520" s="166">
        <v>42767</v>
      </c>
      <c r="B520" s="116">
        <v>28.7</v>
      </c>
      <c r="C520" s="116">
        <v>28.524999999999999</v>
      </c>
      <c r="D520" s="116">
        <v>28</v>
      </c>
      <c r="E520" s="116">
        <v>28.1</v>
      </c>
      <c r="F520" s="116">
        <v>57.05</v>
      </c>
      <c r="G520">
        <v>55381</v>
      </c>
      <c r="H520" s="116"/>
      <c r="I520" s="116"/>
      <c r="L520" s="166">
        <v>42767</v>
      </c>
      <c r="M520" s="116">
        <v>28.55</v>
      </c>
      <c r="N520" s="116">
        <v>28.75</v>
      </c>
      <c r="O520" s="116">
        <v>28</v>
      </c>
      <c r="P520" s="116">
        <v>28.175000000000001</v>
      </c>
      <c r="Q520" s="116">
        <v>57.1</v>
      </c>
      <c r="R520">
        <v>111649</v>
      </c>
    </row>
    <row r="521" spans="1:18" x14ac:dyDescent="0.25">
      <c r="A521" s="166">
        <v>42768</v>
      </c>
      <c r="B521" s="116">
        <v>28.75</v>
      </c>
      <c r="C521" s="116">
        <v>28.3</v>
      </c>
      <c r="D521" s="116">
        <v>28.15</v>
      </c>
      <c r="E521" s="116">
        <v>28.524999999999999</v>
      </c>
      <c r="F521" s="116">
        <v>56.6</v>
      </c>
      <c r="G521">
        <v>43743</v>
      </c>
      <c r="H521" s="116"/>
      <c r="I521" s="116"/>
      <c r="L521" s="166">
        <v>42768</v>
      </c>
      <c r="M521" s="116">
        <v>28.25</v>
      </c>
      <c r="N521" s="116">
        <v>28.875</v>
      </c>
      <c r="O521" s="116">
        <v>28.05</v>
      </c>
      <c r="P521" s="116">
        <v>28.875</v>
      </c>
      <c r="Q521" s="116">
        <v>56.5</v>
      </c>
      <c r="R521">
        <v>185083</v>
      </c>
    </row>
    <row r="522" spans="1:18" x14ac:dyDescent="0.25">
      <c r="A522" s="166">
        <v>42769</v>
      </c>
      <c r="B522" s="116">
        <v>28.7</v>
      </c>
      <c r="C522" s="116">
        <v>28.5</v>
      </c>
      <c r="D522" s="116">
        <v>28.2</v>
      </c>
      <c r="E522" s="116">
        <v>28.2</v>
      </c>
      <c r="F522" s="116">
        <v>57</v>
      </c>
      <c r="G522">
        <v>32202</v>
      </c>
      <c r="H522" s="116"/>
      <c r="I522" s="116"/>
      <c r="L522" s="166">
        <v>42769</v>
      </c>
      <c r="M522" s="116">
        <v>28.6</v>
      </c>
      <c r="N522" s="116">
        <v>28.75</v>
      </c>
      <c r="O522" s="116">
        <v>27.975000000000001</v>
      </c>
      <c r="P522" s="116">
        <v>28.274999999999999</v>
      </c>
      <c r="Q522" s="116">
        <v>57.2</v>
      </c>
      <c r="R522">
        <v>126512</v>
      </c>
    </row>
    <row r="523" spans="1:18" x14ac:dyDescent="0.25">
      <c r="A523" s="166">
        <v>42772</v>
      </c>
      <c r="B523" s="116">
        <v>30.2</v>
      </c>
      <c r="C523" s="116">
        <v>29.225000000000001</v>
      </c>
      <c r="D523" s="116">
        <v>28.75</v>
      </c>
      <c r="E523" s="116">
        <v>30</v>
      </c>
      <c r="F523" s="116">
        <v>58.45</v>
      </c>
      <c r="G523">
        <v>45046</v>
      </c>
      <c r="H523" s="116"/>
      <c r="I523" s="116"/>
      <c r="L523" s="166">
        <v>42772</v>
      </c>
      <c r="M523" s="116">
        <v>29.15</v>
      </c>
      <c r="N523" s="116">
        <v>29.35</v>
      </c>
      <c r="O523" s="116">
        <v>28.625</v>
      </c>
      <c r="P523" s="116">
        <v>28.75</v>
      </c>
      <c r="Q523" s="116">
        <v>58.3</v>
      </c>
      <c r="R523">
        <v>125022</v>
      </c>
    </row>
    <row r="524" spans="1:18" x14ac:dyDescent="0.25">
      <c r="A524" s="166">
        <v>42773</v>
      </c>
      <c r="B524" s="116">
        <v>29.95</v>
      </c>
      <c r="C524" s="116">
        <v>29.175000000000001</v>
      </c>
      <c r="D524" s="116">
        <v>29.05</v>
      </c>
      <c r="E524" s="116">
        <v>29.35</v>
      </c>
      <c r="F524" s="116">
        <v>58.35</v>
      </c>
      <c r="G524">
        <v>64979</v>
      </c>
      <c r="H524" s="116"/>
      <c r="I524" s="116"/>
      <c r="L524" s="166">
        <v>42773</v>
      </c>
      <c r="M524" s="116">
        <v>29.2</v>
      </c>
      <c r="N524" s="116">
        <v>29.925000000000001</v>
      </c>
      <c r="O524" s="116">
        <v>28.9</v>
      </c>
      <c r="P524" s="116">
        <v>29.3</v>
      </c>
      <c r="Q524" s="116">
        <v>58.4</v>
      </c>
      <c r="R524">
        <v>198263</v>
      </c>
    </row>
    <row r="525" spans="1:18" x14ac:dyDescent="0.25">
      <c r="A525" s="166">
        <v>42774</v>
      </c>
      <c r="B525" s="116">
        <v>30</v>
      </c>
      <c r="C525" s="116">
        <v>28.55</v>
      </c>
      <c r="D525" s="116">
        <v>28.274999999999999</v>
      </c>
      <c r="E525" s="116">
        <v>29.375</v>
      </c>
      <c r="F525" s="116">
        <v>57.1</v>
      </c>
      <c r="G525">
        <v>259220</v>
      </c>
      <c r="H525" s="116"/>
      <c r="I525" s="116"/>
      <c r="L525" s="166">
        <v>42774</v>
      </c>
      <c r="M525" s="116">
        <v>28.475000000000001</v>
      </c>
      <c r="N525" s="116">
        <v>29.925000000000001</v>
      </c>
      <c r="O525" s="116">
        <v>28.25</v>
      </c>
      <c r="P525" s="116">
        <v>29.475000000000001</v>
      </c>
      <c r="Q525" s="116">
        <v>56.95</v>
      </c>
      <c r="R525">
        <v>870790</v>
      </c>
    </row>
    <row r="526" spans="1:18" x14ac:dyDescent="0.25">
      <c r="A526" s="166">
        <v>42775</v>
      </c>
      <c r="B526" s="116">
        <v>28.7</v>
      </c>
      <c r="C526" s="116">
        <v>27.75</v>
      </c>
      <c r="D526" s="116">
        <v>27.625</v>
      </c>
      <c r="E526" s="116">
        <v>28.3</v>
      </c>
      <c r="F526" s="116">
        <v>55.5</v>
      </c>
      <c r="G526">
        <v>98299</v>
      </c>
      <c r="H526" s="116"/>
      <c r="I526" s="116"/>
      <c r="L526" s="166">
        <v>42775</v>
      </c>
      <c r="M526" s="116">
        <v>27.725000000000001</v>
      </c>
      <c r="N526" s="116">
        <v>28.65</v>
      </c>
      <c r="O526" s="116">
        <v>27.5</v>
      </c>
      <c r="P526" s="116">
        <v>27.975000000000001</v>
      </c>
      <c r="Q526" s="116">
        <v>55.45</v>
      </c>
      <c r="R526">
        <v>299835</v>
      </c>
    </row>
    <row r="527" spans="1:18" x14ac:dyDescent="0.25">
      <c r="A527" s="166">
        <v>42776</v>
      </c>
      <c r="B527" s="116">
        <v>28.5</v>
      </c>
      <c r="C527" s="116">
        <v>27.8</v>
      </c>
      <c r="D527" s="116">
        <v>27.7</v>
      </c>
      <c r="E527" s="116">
        <v>28.475000000000001</v>
      </c>
      <c r="F527" s="116">
        <v>55.6</v>
      </c>
      <c r="G527">
        <v>40642</v>
      </c>
      <c r="H527" s="116"/>
      <c r="I527" s="116"/>
      <c r="L527" s="166">
        <v>42776</v>
      </c>
      <c r="M527" s="116">
        <v>27.725000000000001</v>
      </c>
      <c r="N527" s="116">
        <v>28.274999999999999</v>
      </c>
      <c r="O527" s="116">
        <v>27.625</v>
      </c>
      <c r="P527" s="116">
        <v>27.925000000000001</v>
      </c>
      <c r="Q527" s="116">
        <v>55.45</v>
      </c>
      <c r="R527">
        <v>140599</v>
      </c>
    </row>
    <row r="528" spans="1:18" x14ac:dyDescent="0.25">
      <c r="A528" s="166">
        <v>42779</v>
      </c>
      <c r="B528" s="116">
        <v>28.225000000000001</v>
      </c>
      <c r="C528" s="116">
        <v>27.574999999999999</v>
      </c>
      <c r="D528" s="116">
        <v>27.5</v>
      </c>
      <c r="E528" s="116">
        <v>27.8</v>
      </c>
      <c r="F528" s="116">
        <v>55.15</v>
      </c>
      <c r="G528">
        <v>58093</v>
      </c>
      <c r="H528" s="116"/>
      <c r="I528" s="116"/>
      <c r="L528" s="166">
        <v>42779</v>
      </c>
      <c r="M528" s="116">
        <v>27.625</v>
      </c>
      <c r="N528" s="116">
        <v>28.4</v>
      </c>
      <c r="O528" s="116">
        <v>27.524999999999999</v>
      </c>
      <c r="P528" s="116">
        <v>27.6</v>
      </c>
      <c r="Q528" s="116">
        <v>55.25</v>
      </c>
      <c r="R528">
        <v>153508</v>
      </c>
    </row>
    <row r="529" spans="1:18" x14ac:dyDescent="0.25">
      <c r="A529" s="166">
        <v>42780</v>
      </c>
      <c r="B529" s="116">
        <v>27.774999999999999</v>
      </c>
      <c r="C529" s="116">
        <v>27.4</v>
      </c>
      <c r="D529" s="116">
        <v>27.3</v>
      </c>
      <c r="E529" s="116">
        <v>27.524999999999999</v>
      </c>
      <c r="F529" s="116">
        <v>54.8</v>
      </c>
      <c r="G529">
        <v>22822</v>
      </c>
      <c r="H529" s="116"/>
      <c r="I529" s="116"/>
      <c r="L529" s="166">
        <v>42780</v>
      </c>
      <c r="M529" s="116">
        <v>27.425000000000001</v>
      </c>
      <c r="N529" s="116">
        <v>27.824999999999999</v>
      </c>
      <c r="O529" s="116">
        <v>27.25</v>
      </c>
      <c r="P529" s="116">
        <v>27.75</v>
      </c>
      <c r="Q529" s="116">
        <v>54.85</v>
      </c>
      <c r="R529">
        <v>61140</v>
      </c>
    </row>
    <row r="530" spans="1:18" x14ac:dyDescent="0.25">
      <c r="A530" s="166">
        <v>42781</v>
      </c>
      <c r="B530" s="116">
        <v>27.45</v>
      </c>
      <c r="C530" s="116">
        <v>26.475000000000001</v>
      </c>
      <c r="D530" s="116">
        <v>26.35</v>
      </c>
      <c r="E530" s="116">
        <v>27.4</v>
      </c>
      <c r="F530" s="116">
        <v>52.95</v>
      </c>
      <c r="G530">
        <v>72790</v>
      </c>
      <c r="H530" s="116"/>
      <c r="I530" s="116"/>
      <c r="L530" s="166">
        <v>42781</v>
      </c>
      <c r="M530" s="116">
        <v>26.5</v>
      </c>
      <c r="N530" s="116">
        <v>27.5</v>
      </c>
      <c r="O530" s="116">
        <v>26.375</v>
      </c>
      <c r="P530" s="116">
        <v>27.5</v>
      </c>
      <c r="Q530" s="116">
        <v>53</v>
      </c>
      <c r="R530">
        <v>106639</v>
      </c>
    </row>
    <row r="531" spans="1:18" x14ac:dyDescent="0.25">
      <c r="A531" s="166">
        <v>42782</v>
      </c>
      <c r="B531" s="116">
        <v>26.95</v>
      </c>
      <c r="C531" s="116">
        <v>26.324999999999999</v>
      </c>
      <c r="D531" s="116">
        <v>26.1</v>
      </c>
      <c r="E531" s="116">
        <v>26.95</v>
      </c>
      <c r="F531" s="116">
        <v>52.65</v>
      </c>
      <c r="G531">
        <v>85199</v>
      </c>
      <c r="H531" s="116"/>
      <c r="I531" s="116"/>
      <c r="L531" s="166">
        <v>42782</v>
      </c>
      <c r="M531" s="116">
        <v>26.274999999999999</v>
      </c>
      <c r="N531" s="116">
        <v>26.725000000000001</v>
      </c>
      <c r="O531" s="116">
        <v>26.05</v>
      </c>
      <c r="P531" s="116">
        <v>26.7</v>
      </c>
      <c r="Q531" s="116">
        <v>52.55</v>
      </c>
      <c r="R531">
        <v>138368</v>
      </c>
    </row>
    <row r="532" spans="1:18" x14ac:dyDescent="0.25">
      <c r="A532" s="166">
        <v>42783</v>
      </c>
      <c r="B532" s="116">
        <v>26.9</v>
      </c>
      <c r="C532" s="116">
        <v>26.524999999999999</v>
      </c>
      <c r="D532" s="116">
        <v>26.324999999999999</v>
      </c>
      <c r="E532" s="116">
        <v>26.4</v>
      </c>
      <c r="F532" s="116">
        <v>53.05</v>
      </c>
      <c r="G532">
        <v>42303</v>
      </c>
      <c r="H532" s="116"/>
      <c r="I532" s="116"/>
      <c r="L532" s="166">
        <v>42783</v>
      </c>
      <c r="M532" s="116">
        <v>26.524999999999999</v>
      </c>
      <c r="N532" s="116">
        <v>27.074999999999999</v>
      </c>
      <c r="O532" s="116">
        <v>26.3</v>
      </c>
      <c r="P532" s="116">
        <v>26.4</v>
      </c>
      <c r="Q532" s="116">
        <v>53.05</v>
      </c>
      <c r="R532">
        <v>119509</v>
      </c>
    </row>
    <row r="533" spans="1:18" x14ac:dyDescent="0.25">
      <c r="A533" s="166">
        <v>42786</v>
      </c>
      <c r="B533" s="116">
        <v>26.824999999999999</v>
      </c>
      <c r="C533" s="116">
        <v>26.675000000000001</v>
      </c>
      <c r="D533" s="116">
        <v>26.524999999999999</v>
      </c>
      <c r="E533" s="116">
        <v>26.55</v>
      </c>
      <c r="F533" s="116">
        <v>53.35</v>
      </c>
      <c r="G533">
        <v>44459</v>
      </c>
      <c r="H533" s="116"/>
      <c r="I533" s="116"/>
      <c r="L533" s="166">
        <v>42786</v>
      </c>
      <c r="M533" s="116">
        <v>26.675000000000001</v>
      </c>
      <c r="N533" s="116">
        <v>26.925000000000001</v>
      </c>
      <c r="O533" s="116">
        <v>26.324999999999999</v>
      </c>
      <c r="P533" s="116">
        <v>26.55</v>
      </c>
      <c r="Q533" s="116">
        <v>53.35</v>
      </c>
      <c r="R533">
        <v>107211</v>
      </c>
    </row>
    <row r="534" spans="1:18" x14ac:dyDescent="0.25">
      <c r="A534" s="166">
        <v>42787</v>
      </c>
      <c r="B534" s="116">
        <v>28.15</v>
      </c>
      <c r="C534" s="116">
        <v>27.4</v>
      </c>
      <c r="D534" s="116">
        <v>26.675000000000001</v>
      </c>
      <c r="E534" s="116">
        <v>26.7</v>
      </c>
      <c r="F534" s="116">
        <v>54.8</v>
      </c>
      <c r="G534">
        <v>159985</v>
      </c>
      <c r="H534" s="116"/>
      <c r="I534" s="116"/>
      <c r="L534" s="166">
        <v>42787</v>
      </c>
      <c r="M534" s="116">
        <v>27.375</v>
      </c>
      <c r="N534" s="116">
        <v>28.1</v>
      </c>
      <c r="O534" s="116">
        <v>26.6</v>
      </c>
      <c r="P534" s="116">
        <v>26.8</v>
      </c>
      <c r="Q534" s="116">
        <v>54.75</v>
      </c>
      <c r="R534">
        <v>607471</v>
      </c>
    </row>
    <row r="535" spans="1:18" x14ac:dyDescent="0.25">
      <c r="A535" s="166">
        <v>42788</v>
      </c>
      <c r="B535" s="116">
        <v>27.625</v>
      </c>
      <c r="C535" s="116">
        <v>27.2</v>
      </c>
      <c r="D535" s="116">
        <v>27.1</v>
      </c>
      <c r="E535" s="116">
        <v>27.4</v>
      </c>
      <c r="F535" s="116">
        <v>54.4</v>
      </c>
      <c r="G535">
        <v>30124</v>
      </c>
      <c r="H535" s="116"/>
      <c r="I535" s="116"/>
      <c r="L535" s="166">
        <v>42788</v>
      </c>
      <c r="M535" s="116">
        <v>27.1</v>
      </c>
      <c r="N535" s="116">
        <v>27.625</v>
      </c>
      <c r="O535" s="116">
        <v>27.024999999999999</v>
      </c>
      <c r="P535" s="116">
        <v>27.475000000000001</v>
      </c>
      <c r="Q535" s="116">
        <v>54.2</v>
      </c>
      <c r="R535">
        <v>140114</v>
      </c>
    </row>
    <row r="536" spans="1:18" x14ac:dyDescent="0.25">
      <c r="A536" s="166">
        <v>42789</v>
      </c>
      <c r="B536" s="116">
        <v>27.25</v>
      </c>
      <c r="C536" s="116">
        <v>26.774999999999999</v>
      </c>
      <c r="D536" s="116">
        <v>26.65</v>
      </c>
      <c r="E536" s="116">
        <v>27.15</v>
      </c>
      <c r="F536" s="116">
        <v>53.55</v>
      </c>
      <c r="G536">
        <v>25087</v>
      </c>
      <c r="H536" s="116"/>
      <c r="I536" s="116"/>
      <c r="L536" s="166">
        <v>42789</v>
      </c>
      <c r="M536" s="116">
        <v>26.75</v>
      </c>
      <c r="N536" s="116">
        <v>27.274999999999999</v>
      </c>
      <c r="O536" s="116">
        <v>26.675000000000001</v>
      </c>
      <c r="P536" s="116">
        <v>27.1</v>
      </c>
      <c r="Q536" s="116">
        <v>53.5</v>
      </c>
      <c r="R536">
        <v>101583</v>
      </c>
    </row>
    <row r="537" spans="1:18" x14ac:dyDescent="0.25">
      <c r="A537" s="166">
        <v>42793</v>
      </c>
      <c r="B537" s="116">
        <v>27.05</v>
      </c>
      <c r="C537" s="116">
        <v>26.55</v>
      </c>
      <c r="D537" s="116">
        <v>26.5</v>
      </c>
      <c r="E537" s="116">
        <v>27</v>
      </c>
      <c r="F537" s="116">
        <v>53.1</v>
      </c>
      <c r="G537">
        <v>40976</v>
      </c>
      <c r="H537" s="116"/>
      <c r="I537" s="116"/>
      <c r="L537" s="166">
        <v>42793</v>
      </c>
      <c r="M537" s="116">
        <v>26.6</v>
      </c>
      <c r="N537" s="116">
        <v>27.1</v>
      </c>
      <c r="O537" s="116">
        <v>26.524999999999999</v>
      </c>
      <c r="P537" s="116">
        <v>26.8</v>
      </c>
      <c r="Q537" s="116">
        <v>53.2</v>
      </c>
      <c r="R537">
        <v>119216</v>
      </c>
    </row>
    <row r="538" spans="1:18" x14ac:dyDescent="0.25">
      <c r="A538" s="166">
        <v>42794</v>
      </c>
      <c r="B538" s="116">
        <v>27.4</v>
      </c>
      <c r="C538" s="116">
        <v>26.85</v>
      </c>
      <c r="D538" s="116">
        <v>26.5</v>
      </c>
      <c r="E538" s="116">
        <v>26.5</v>
      </c>
      <c r="F538" s="116">
        <v>53.7</v>
      </c>
      <c r="G538">
        <v>59508</v>
      </c>
      <c r="H538" s="116"/>
      <c r="I538" s="116"/>
      <c r="L538" s="166">
        <v>42794</v>
      </c>
      <c r="M538" s="116">
        <v>26.824999999999999</v>
      </c>
      <c r="N538" s="116">
        <v>27.425000000000001</v>
      </c>
      <c r="O538" s="116">
        <v>26.425000000000001</v>
      </c>
      <c r="P538" s="116">
        <v>26.55</v>
      </c>
      <c r="Q538" s="116">
        <v>53.65</v>
      </c>
      <c r="R538">
        <v>163849</v>
      </c>
    </row>
    <row r="539" spans="1:18" x14ac:dyDescent="0.25">
      <c r="A539" s="166">
        <v>42795</v>
      </c>
      <c r="B539" s="116">
        <v>27.625</v>
      </c>
      <c r="C539" s="116">
        <v>27.274999999999999</v>
      </c>
      <c r="D539" s="116">
        <v>26.95</v>
      </c>
      <c r="E539" s="116">
        <v>27.15</v>
      </c>
      <c r="F539" s="116">
        <v>54.55</v>
      </c>
      <c r="G539">
        <v>55613</v>
      </c>
      <c r="H539" s="116"/>
      <c r="I539" s="116"/>
      <c r="L539" s="166">
        <v>42795</v>
      </c>
      <c r="M539" s="116">
        <v>27.324999999999999</v>
      </c>
      <c r="N539" s="116">
        <v>27.65</v>
      </c>
      <c r="O539" s="116">
        <v>26.875</v>
      </c>
      <c r="P539" s="116">
        <v>27.175000000000001</v>
      </c>
      <c r="Q539" s="116">
        <v>54.65</v>
      </c>
      <c r="R539">
        <v>280479</v>
      </c>
    </row>
    <row r="540" spans="1:18" x14ac:dyDescent="0.25">
      <c r="A540" s="166">
        <v>42796</v>
      </c>
      <c r="B540" s="116">
        <v>27.574999999999999</v>
      </c>
      <c r="C540" s="116">
        <v>26.65</v>
      </c>
      <c r="D540" s="116">
        <v>26.55</v>
      </c>
      <c r="E540" s="116">
        <v>27.3</v>
      </c>
      <c r="F540" s="116">
        <v>53.3</v>
      </c>
      <c r="G540">
        <v>48491</v>
      </c>
      <c r="H540" s="116"/>
      <c r="I540" s="116"/>
      <c r="L540" s="166">
        <v>42796</v>
      </c>
      <c r="M540" s="116">
        <v>26.675000000000001</v>
      </c>
      <c r="N540" s="116">
        <v>27.55</v>
      </c>
      <c r="O540" s="116">
        <v>26.5</v>
      </c>
      <c r="P540" s="116">
        <v>27.524999999999999</v>
      </c>
      <c r="Q540" s="116">
        <v>53.35</v>
      </c>
      <c r="R540">
        <v>135031</v>
      </c>
    </row>
    <row r="541" spans="1:18" x14ac:dyDescent="0.25">
      <c r="A541" s="166">
        <v>42797</v>
      </c>
      <c r="B541" s="116">
        <v>27.35</v>
      </c>
      <c r="C541" s="116">
        <v>26.65</v>
      </c>
      <c r="D541" s="116">
        <v>26.55</v>
      </c>
      <c r="E541" s="116">
        <v>26.8</v>
      </c>
      <c r="F541" s="116">
        <v>53.3</v>
      </c>
      <c r="G541">
        <v>72563</v>
      </c>
      <c r="H541" s="116"/>
      <c r="I541" s="116"/>
      <c r="L541" s="166">
        <v>42797</v>
      </c>
      <c r="M541" s="116">
        <v>26.65</v>
      </c>
      <c r="N541" s="116">
        <v>27.35</v>
      </c>
      <c r="O541" s="116">
        <v>26.5</v>
      </c>
      <c r="P541" s="116">
        <v>26.75</v>
      </c>
      <c r="Q541" s="116">
        <v>53.3</v>
      </c>
      <c r="R541">
        <v>108593</v>
      </c>
    </row>
    <row r="542" spans="1:18" x14ac:dyDescent="0.25">
      <c r="A542" s="166">
        <v>42800</v>
      </c>
      <c r="B542" s="116">
        <v>27.5</v>
      </c>
      <c r="C542" s="116">
        <v>26.7</v>
      </c>
      <c r="D542" s="116">
        <v>26.574999999999999</v>
      </c>
      <c r="E542" s="116">
        <v>27.45</v>
      </c>
      <c r="F542" s="116">
        <v>53.4</v>
      </c>
      <c r="G542">
        <v>44790</v>
      </c>
      <c r="H542" s="116"/>
      <c r="I542" s="116"/>
      <c r="L542" s="166">
        <v>42800</v>
      </c>
      <c r="M542" s="116">
        <v>26.625</v>
      </c>
      <c r="N542" s="116">
        <v>26.975000000000001</v>
      </c>
      <c r="O542" s="116">
        <v>26.55</v>
      </c>
      <c r="P542" s="116">
        <v>26.925000000000001</v>
      </c>
      <c r="Q542" s="116">
        <v>53.25</v>
      </c>
      <c r="R542">
        <v>170541</v>
      </c>
    </row>
    <row r="543" spans="1:18" x14ac:dyDescent="0.25">
      <c r="A543" s="166">
        <v>42801</v>
      </c>
      <c r="B543" s="116">
        <v>26.975000000000001</v>
      </c>
      <c r="C543" s="116">
        <v>26.75</v>
      </c>
      <c r="D543" s="116">
        <v>26.5</v>
      </c>
      <c r="E543" s="116">
        <v>26.675000000000001</v>
      </c>
      <c r="F543" s="116">
        <v>53.5</v>
      </c>
      <c r="G543">
        <v>39331</v>
      </c>
      <c r="H543" s="116"/>
      <c r="I543" s="116"/>
      <c r="L543" s="166">
        <v>42801</v>
      </c>
      <c r="M543" s="116">
        <v>26.675000000000001</v>
      </c>
      <c r="N543" s="116">
        <v>26.925000000000001</v>
      </c>
      <c r="O543" s="116">
        <v>26.45</v>
      </c>
      <c r="P543" s="116">
        <v>26.55</v>
      </c>
      <c r="Q543" s="116">
        <v>53.35</v>
      </c>
      <c r="R543">
        <v>116153</v>
      </c>
    </row>
    <row r="544" spans="1:18" x14ac:dyDescent="0.25">
      <c r="A544" s="166">
        <v>42802</v>
      </c>
      <c r="B544" s="116">
        <v>26.8</v>
      </c>
      <c r="C544" s="116">
        <v>26.4</v>
      </c>
      <c r="D544" s="116">
        <v>26.35</v>
      </c>
      <c r="E544" s="116">
        <v>26.7</v>
      </c>
      <c r="F544" s="116">
        <v>52.8</v>
      </c>
      <c r="G544">
        <v>42596</v>
      </c>
      <c r="H544" s="116"/>
      <c r="I544" s="116"/>
      <c r="L544" s="166">
        <v>42802</v>
      </c>
      <c r="M544" s="116">
        <v>26.375</v>
      </c>
      <c r="N544" s="116">
        <v>26.875</v>
      </c>
      <c r="O544" s="116">
        <v>26.324999999999999</v>
      </c>
      <c r="P544" s="116">
        <v>26.875</v>
      </c>
      <c r="Q544" s="116">
        <v>52.75</v>
      </c>
      <c r="R544">
        <v>89133</v>
      </c>
    </row>
    <row r="545" spans="1:18" x14ac:dyDescent="0.25">
      <c r="A545" s="166">
        <v>42803</v>
      </c>
      <c r="B545" s="116">
        <v>26.6</v>
      </c>
      <c r="C545" s="116">
        <v>26.2</v>
      </c>
      <c r="D545" s="116">
        <v>26.1</v>
      </c>
      <c r="E545" s="116">
        <v>26.3</v>
      </c>
      <c r="F545" s="116">
        <v>52.4</v>
      </c>
      <c r="G545">
        <v>32130</v>
      </c>
      <c r="H545" s="116"/>
      <c r="I545" s="116"/>
      <c r="L545" s="166">
        <v>42803</v>
      </c>
      <c r="M545" s="116">
        <v>26.2</v>
      </c>
      <c r="N545" s="116">
        <v>26.574999999999999</v>
      </c>
      <c r="O545" s="116">
        <v>26.15</v>
      </c>
      <c r="P545" s="116">
        <v>26.5</v>
      </c>
      <c r="Q545" s="116">
        <v>52.4</v>
      </c>
      <c r="R545">
        <v>105959</v>
      </c>
    </row>
    <row r="546" spans="1:18" x14ac:dyDescent="0.25">
      <c r="A546" s="166">
        <v>42804</v>
      </c>
      <c r="B546" s="116">
        <v>26.5</v>
      </c>
      <c r="C546" s="116">
        <v>26.024999999999999</v>
      </c>
      <c r="D546" s="116">
        <v>25.975000000000001</v>
      </c>
      <c r="E546" s="116">
        <v>26.3</v>
      </c>
      <c r="F546" s="116">
        <v>52.05</v>
      </c>
      <c r="G546">
        <v>52559</v>
      </c>
      <c r="H546" s="116"/>
      <c r="I546" s="116"/>
      <c r="L546" s="166">
        <v>42804</v>
      </c>
      <c r="M546" s="116">
        <v>26.1</v>
      </c>
      <c r="N546" s="116">
        <v>26.475000000000001</v>
      </c>
      <c r="O546" s="116">
        <v>26.024999999999999</v>
      </c>
      <c r="P546" s="116">
        <v>26.375</v>
      </c>
      <c r="Q546" s="116">
        <v>52.2</v>
      </c>
      <c r="R546">
        <v>86958</v>
      </c>
    </row>
    <row r="547" spans="1:18" x14ac:dyDescent="0.25">
      <c r="A547" s="166">
        <v>42808</v>
      </c>
      <c r="B547" s="116">
        <v>26.8</v>
      </c>
      <c r="C547" s="116">
        <v>26.25</v>
      </c>
      <c r="D547" s="116">
        <v>26.2</v>
      </c>
      <c r="E547" s="116">
        <v>26.4</v>
      </c>
      <c r="F547" s="116">
        <v>52.5</v>
      </c>
      <c r="G547">
        <v>37325</v>
      </c>
      <c r="H547" s="116"/>
      <c r="I547" s="116"/>
      <c r="L547" s="166">
        <v>42808</v>
      </c>
      <c r="M547" s="116">
        <v>26.274999999999999</v>
      </c>
      <c r="N547" s="116">
        <v>26.875</v>
      </c>
      <c r="O547" s="116">
        <v>26.225000000000001</v>
      </c>
      <c r="P547" s="116">
        <v>26.574999999999999</v>
      </c>
      <c r="Q547" s="116">
        <v>52.55</v>
      </c>
      <c r="R547">
        <v>103370</v>
      </c>
    </row>
    <row r="548" spans="1:18" x14ac:dyDescent="0.25">
      <c r="A548" s="166">
        <v>42809</v>
      </c>
      <c r="B548" s="116">
        <v>26.725000000000001</v>
      </c>
      <c r="C548" s="116">
        <v>26.625</v>
      </c>
      <c r="D548" s="116">
        <v>26.125</v>
      </c>
      <c r="E548" s="116">
        <v>26.25</v>
      </c>
      <c r="F548" s="116">
        <v>53.25</v>
      </c>
      <c r="G548">
        <v>62018</v>
      </c>
      <c r="H548" s="116"/>
      <c r="I548" s="116"/>
      <c r="L548" s="166">
        <v>42809</v>
      </c>
      <c r="M548" s="116">
        <v>26.55</v>
      </c>
      <c r="N548" s="116">
        <v>26.8</v>
      </c>
      <c r="O548" s="116">
        <v>26.15</v>
      </c>
      <c r="P548" s="116">
        <v>26.3</v>
      </c>
      <c r="Q548" s="116">
        <v>53.1</v>
      </c>
      <c r="R548">
        <v>142633</v>
      </c>
    </row>
    <row r="549" spans="1:18" x14ac:dyDescent="0.25">
      <c r="A549" s="166">
        <v>42810</v>
      </c>
      <c r="B549" s="116">
        <v>27.425000000000001</v>
      </c>
      <c r="C549" s="116">
        <v>27.1</v>
      </c>
      <c r="D549" s="116">
        <v>26.55</v>
      </c>
      <c r="E549" s="116">
        <v>27</v>
      </c>
      <c r="F549" s="116">
        <v>54.2</v>
      </c>
      <c r="G549">
        <v>85811</v>
      </c>
      <c r="H549" s="116"/>
      <c r="I549" s="116"/>
      <c r="L549" s="166">
        <v>42810</v>
      </c>
      <c r="M549" s="116">
        <v>27.074999999999999</v>
      </c>
      <c r="N549" s="116">
        <v>27.475000000000001</v>
      </c>
      <c r="O549" s="116">
        <v>26.55</v>
      </c>
      <c r="P549" s="116">
        <v>26.774999999999999</v>
      </c>
      <c r="Q549" s="116">
        <v>54.15</v>
      </c>
      <c r="R549">
        <v>236025</v>
      </c>
    </row>
    <row r="550" spans="1:18" x14ac:dyDescent="0.25">
      <c r="A550" s="166">
        <v>42811</v>
      </c>
      <c r="B550" s="116">
        <v>27.2</v>
      </c>
      <c r="C550" s="116">
        <v>26.7</v>
      </c>
      <c r="D550" s="116">
        <v>26.5</v>
      </c>
      <c r="E550" s="116">
        <v>27.024999999999999</v>
      </c>
      <c r="F550" s="116">
        <v>53.4</v>
      </c>
      <c r="G550">
        <v>40719</v>
      </c>
      <c r="H550" s="116"/>
      <c r="I550" s="116"/>
      <c r="L550" s="166">
        <v>42811</v>
      </c>
      <c r="M550" s="116">
        <v>26.625</v>
      </c>
      <c r="N550" s="116">
        <v>27.225000000000001</v>
      </c>
      <c r="O550" s="116">
        <v>26.4</v>
      </c>
      <c r="P550" s="116">
        <v>27.225000000000001</v>
      </c>
      <c r="Q550" s="116">
        <v>53.25</v>
      </c>
      <c r="R550">
        <v>143172</v>
      </c>
    </row>
    <row r="551" spans="1:18" x14ac:dyDescent="0.25">
      <c r="A551" s="166">
        <v>42814</v>
      </c>
      <c r="B551" s="116">
        <v>26.925000000000001</v>
      </c>
      <c r="C551" s="116">
        <v>26.35</v>
      </c>
      <c r="D551" s="116">
        <v>26.3</v>
      </c>
      <c r="E551" s="116">
        <v>26.8</v>
      </c>
      <c r="F551" s="116">
        <v>52.7</v>
      </c>
      <c r="G551">
        <v>44537</v>
      </c>
      <c r="H551" s="116"/>
      <c r="I551" s="116"/>
      <c r="L551" s="166">
        <v>42814</v>
      </c>
      <c r="M551" s="116">
        <v>26.4</v>
      </c>
      <c r="N551" s="116">
        <v>26.875</v>
      </c>
      <c r="O551" s="116">
        <v>26.3</v>
      </c>
      <c r="P551" s="116">
        <v>26.65</v>
      </c>
      <c r="Q551" s="116">
        <v>52.8</v>
      </c>
      <c r="R551">
        <v>114654</v>
      </c>
    </row>
    <row r="552" spans="1:18" x14ac:dyDescent="0.25">
      <c r="A552" s="166">
        <v>42815</v>
      </c>
      <c r="B552" s="116">
        <v>26.9</v>
      </c>
      <c r="C552" s="116">
        <v>26.25</v>
      </c>
      <c r="D552" s="116">
        <v>26.2</v>
      </c>
      <c r="E552" s="116">
        <v>26.675000000000001</v>
      </c>
      <c r="F552" s="116">
        <v>52.5</v>
      </c>
      <c r="G552">
        <v>62783</v>
      </c>
      <c r="H552" s="116"/>
      <c r="I552" s="116"/>
      <c r="L552" s="166">
        <v>42815</v>
      </c>
      <c r="M552" s="116">
        <v>26.225000000000001</v>
      </c>
      <c r="N552" s="116">
        <v>26.9</v>
      </c>
      <c r="O552" s="116">
        <v>26.05</v>
      </c>
      <c r="P552" s="116">
        <v>26.6</v>
      </c>
      <c r="Q552" s="116">
        <v>52.45</v>
      </c>
      <c r="R552">
        <v>197936</v>
      </c>
    </row>
    <row r="553" spans="1:18" x14ac:dyDescent="0.25">
      <c r="A553" s="166">
        <v>42816</v>
      </c>
      <c r="B553" s="116">
        <v>26.225000000000001</v>
      </c>
      <c r="C553" s="116">
        <v>25.6</v>
      </c>
      <c r="D553" s="116">
        <v>25.5</v>
      </c>
      <c r="E553" s="116">
        <v>26.05</v>
      </c>
      <c r="F553" s="116">
        <v>51.2</v>
      </c>
      <c r="G553">
        <v>44973</v>
      </c>
      <c r="H553" s="116"/>
      <c r="I553" s="116"/>
      <c r="L553" s="166">
        <v>42816</v>
      </c>
      <c r="M553" s="116">
        <v>25.55</v>
      </c>
      <c r="N553" s="116">
        <v>26.4</v>
      </c>
      <c r="O553" s="116">
        <v>25.475000000000001</v>
      </c>
      <c r="P553" s="116">
        <v>26</v>
      </c>
      <c r="Q553" s="116">
        <v>51.1</v>
      </c>
      <c r="R553">
        <v>182345</v>
      </c>
    </row>
    <row r="554" spans="1:18" x14ac:dyDescent="0.25">
      <c r="A554" s="166">
        <v>42817</v>
      </c>
      <c r="B554" s="116">
        <v>26.225000000000001</v>
      </c>
      <c r="C554" s="116">
        <v>25.85</v>
      </c>
      <c r="D554" s="116">
        <v>25.675000000000001</v>
      </c>
      <c r="E554" s="116">
        <v>25.75</v>
      </c>
      <c r="F554" s="116">
        <v>51.7</v>
      </c>
      <c r="G554">
        <v>31273</v>
      </c>
      <c r="H554" s="116"/>
      <c r="I554" s="116"/>
      <c r="L554" s="166">
        <v>42817</v>
      </c>
      <c r="M554" s="116">
        <v>25.9</v>
      </c>
      <c r="N554" s="116">
        <v>26.25</v>
      </c>
      <c r="O554" s="116">
        <v>25.675000000000001</v>
      </c>
      <c r="P554" s="116">
        <v>25.725000000000001</v>
      </c>
      <c r="Q554" s="116">
        <v>51.8</v>
      </c>
      <c r="R554">
        <v>125248</v>
      </c>
    </row>
    <row r="555" spans="1:18" x14ac:dyDescent="0.25">
      <c r="A555" s="166">
        <v>42818</v>
      </c>
      <c r="B555" s="116">
        <v>26.675000000000001</v>
      </c>
      <c r="C555" s="116">
        <v>26.074999999999999</v>
      </c>
      <c r="D555" s="116">
        <v>25.95</v>
      </c>
      <c r="E555" s="116">
        <v>25.95</v>
      </c>
      <c r="F555" s="116">
        <v>52.15</v>
      </c>
      <c r="G555">
        <v>32821</v>
      </c>
      <c r="H555" s="116"/>
      <c r="I555" s="116"/>
      <c r="L555" s="166">
        <v>42818</v>
      </c>
      <c r="M555" s="116">
        <v>26.125</v>
      </c>
      <c r="N555" s="116">
        <v>26.7</v>
      </c>
      <c r="O555" s="116">
        <v>25.875</v>
      </c>
      <c r="P555" s="116">
        <v>26.05</v>
      </c>
      <c r="Q555" s="116">
        <v>52.25</v>
      </c>
      <c r="R555">
        <v>120979</v>
      </c>
    </row>
    <row r="556" spans="1:18" x14ac:dyDescent="0.25">
      <c r="A556" s="166">
        <v>42821</v>
      </c>
      <c r="B556" s="116">
        <v>26.3</v>
      </c>
      <c r="C556" s="116">
        <v>25.85</v>
      </c>
      <c r="D556" s="116">
        <v>25.75</v>
      </c>
      <c r="E556" s="116">
        <v>26.1</v>
      </c>
      <c r="F556" s="116">
        <v>51.7</v>
      </c>
      <c r="G556">
        <v>42621</v>
      </c>
      <c r="H556" s="116"/>
      <c r="I556" s="116"/>
      <c r="L556" s="166">
        <v>42821</v>
      </c>
      <c r="M556" s="116">
        <v>25.75</v>
      </c>
      <c r="N556" s="116">
        <v>26.375</v>
      </c>
      <c r="O556" s="116">
        <v>25.55</v>
      </c>
      <c r="P556" s="116">
        <v>25.95</v>
      </c>
      <c r="Q556" s="116">
        <v>51.5</v>
      </c>
      <c r="R556">
        <v>118897</v>
      </c>
    </row>
    <row r="557" spans="1:18" x14ac:dyDescent="0.25">
      <c r="A557" s="166">
        <v>42822</v>
      </c>
      <c r="B557" s="116">
        <v>26.125</v>
      </c>
      <c r="C557" s="116">
        <v>25.824999999999999</v>
      </c>
      <c r="D557" s="116">
        <v>25.75</v>
      </c>
      <c r="E557" s="116">
        <v>26</v>
      </c>
      <c r="F557" s="116">
        <v>51.65</v>
      </c>
      <c r="G557">
        <v>56257</v>
      </c>
      <c r="H557" s="116"/>
      <c r="I557" s="116"/>
      <c r="L557" s="166">
        <v>42822</v>
      </c>
      <c r="M557" s="116">
        <v>25.85</v>
      </c>
      <c r="N557" s="116">
        <v>26.125</v>
      </c>
      <c r="O557" s="116">
        <v>25.75</v>
      </c>
      <c r="P557" s="116">
        <v>25.95</v>
      </c>
      <c r="Q557" s="116">
        <v>51.7</v>
      </c>
      <c r="R557">
        <v>168288</v>
      </c>
    </row>
    <row r="558" spans="1:18" x14ac:dyDescent="0.25">
      <c r="A558" s="166">
        <v>42823</v>
      </c>
      <c r="B558" s="116">
        <v>26.1</v>
      </c>
      <c r="C558" s="116">
        <v>25.7</v>
      </c>
      <c r="D558" s="116">
        <v>25.6</v>
      </c>
      <c r="E558" s="116">
        <v>26.074999999999999</v>
      </c>
      <c r="F558" s="116">
        <v>51.4</v>
      </c>
      <c r="G558">
        <v>39748</v>
      </c>
      <c r="H558" s="116"/>
      <c r="I558" s="116"/>
      <c r="L558" s="166">
        <v>42823</v>
      </c>
      <c r="M558" s="116">
        <v>25.7</v>
      </c>
      <c r="N558" s="116">
        <v>26.074999999999999</v>
      </c>
      <c r="O558" s="116">
        <v>25.6</v>
      </c>
      <c r="P558" s="116">
        <v>26</v>
      </c>
      <c r="Q558" s="116">
        <v>51.4</v>
      </c>
      <c r="R558">
        <v>152696</v>
      </c>
    </row>
    <row r="559" spans="1:18" x14ac:dyDescent="0.25">
      <c r="A559" s="166">
        <v>42824</v>
      </c>
      <c r="B559" s="116">
        <v>26.85</v>
      </c>
      <c r="C559" s="116">
        <v>26.574999999999999</v>
      </c>
      <c r="D559" s="116">
        <v>25.6</v>
      </c>
      <c r="E559" s="116">
        <v>25.6</v>
      </c>
      <c r="F559" s="116">
        <v>53.15</v>
      </c>
      <c r="G559">
        <v>161401</v>
      </c>
      <c r="H559" s="116"/>
      <c r="I559" s="116"/>
      <c r="L559" s="166">
        <v>42824</v>
      </c>
      <c r="M559" s="116">
        <v>26.524999999999999</v>
      </c>
      <c r="N559" s="116">
        <v>26.9</v>
      </c>
      <c r="O559" s="116">
        <v>25.75</v>
      </c>
      <c r="P559" s="116">
        <v>25.875</v>
      </c>
      <c r="Q559" s="116">
        <v>53.05</v>
      </c>
      <c r="R559">
        <v>331204</v>
      </c>
    </row>
    <row r="560" spans="1:18" x14ac:dyDescent="0.25">
      <c r="A560" s="166">
        <v>42825</v>
      </c>
      <c r="B560" s="116">
        <v>26.95</v>
      </c>
      <c r="C560" s="116">
        <v>26.425000000000001</v>
      </c>
      <c r="D560" s="116">
        <v>26.324999999999999</v>
      </c>
      <c r="E560" s="116">
        <v>26.6</v>
      </c>
      <c r="F560" s="116">
        <v>52.85</v>
      </c>
      <c r="G560">
        <v>25921</v>
      </c>
      <c r="H560" s="116"/>
      <c r="I560" s="116"/>
      <c r="L560" s="166">
        <v>42825</v>
      </c>
      <c r="M560" s="116">
        <v>26.375</v>
      </c>
      <c r="N560" s="116">
        <v>26.95</v>
      </c>
      <c r="O560" s="116">
        <v>26.25</v>
      </c>
      <c r="P560" s="116">
        <v>26.625</v>
      </c>
      <c r="Q560" s="116">
        <v>52.75</v>
      </c>
      <c r="R560">
        <v>147766</v>
      </c>
    </row>
    <row r="561" spans="1:18" x14ac:dyDescent="0.25">
      <c r="A561" s="166">
        <v>42828</v>
      </c>
      <c r="B561" s="116">
        <v>28.125</v>
      </c>
      <c r="C561" s="116">
        <v>27.9</v>
      </c>
      <c r="D561" s="116">
        <v>27.274999999999999</v>
      </c>
      <c r="E561" s="116">
        <v>27.5</v>
      </c>
      <c r="F561" s="116">
        <v>55.8</v>
      </c>
      <c r="G561">
        <v>211982</v>
      </c>
      <c r="H561" s="116"/>
      <c r="I561" s="116"/>
      <c r="L561" s="166">
        <v>42828</v>
      </c>
      <c r="M561" s="116">
        <v>28</v>
      </c>
      <c r="N561" s="116">
        <v>28.35</v>
      </c>
      <c r="O561" s="116">
        <v>27.25</v>
      </c>
      <c r="P561" s="116">
        <v>27.25</v>
      </c>
      <c r="Q561" s="116">
        <v>56</v>
      </c>
      <c r="R561">
        <v>887878</v>
      </c>
    </row>
    <row r="562" spans="1:18" x14ac:dyDescent="0.25">
      <c r="A562" s="166">
        <v>42830</v>
      </c>
      <c r="B562" s="116">
        <v>29.1</v>
      </c>
      <c r="C562" s="116">
        <v>28.824999999999999</v>
      </c>
      <c r="D562" s="116">
        <v>28</v>
      </c>
      <c r="E562" s="116">
        <v>28</v>
      </c>
      <c r="F562" s="116">
        <v>57.65</v>
      </c>
      <c r="G562">
        <v>153911</v>
      </c>
      <c r="H562" s="116"/>
      <c r="I562" s="116"/>
      <c r="L562" s="166">
        <v>42830</v>
      </c>
      <c r="M562" s="116">
        <v>28.875</v>
      </c>
      <c r="N562" s="116">
        <v>29.2</v>
      </c>
      <c r="O562" s="116">
        <v>27.975000000000001</v>
      </c>
      <c r="P562" s="116">
        <v>28.425000000000001</v>
      </c>
      <c r="Q562" s="116">
        <v>57.75</v>
      </c>
      <c r="R562">
        <v>455971</v>
      </c>
    </row>
    <row r="563" spans="1:18" x14ac:dyDescent="0.25">
      <c r="A563" s="166">
        <v>42831</v>
      </c>
      <c r="B563" s="116">
        <v>29.25</v>
      </c>
      <c r="C563" s="116">
        <v>28.625</v>
      </c>
      <c r="D563" s="116">
        <v>28.4</v>
      </c>
      <c r="E563" s="116">
        <v>28.9</v>
      </c>
      <c r="F563" s="116">
        <v>57.25</v>
      </c>
      <c r="G563">
        <v>47387</v>
      </c>
      <c r="H563" s="116"/>
      <c r="I563" s="116"/>
      <c r="L563" s="166">
        <v>42831</v>
      </c>
      <c r="M563" s="116">
        <v>28.675000000000001</v>
      </c>
      <c r="N563" s="116">
        <v>29.25</v>
      </c>
      <c r="O563" s="116">
        <v>28.425000000000001</v>
      </c>
      <c r="P563" s="116">
        <v>28.85</v>
      </c>
      <c r="Q563" s="116">
        <v>57.35</v>
      </c>
      <c r="R563">
        <v>198214</v>
      </c>
    </row>
    <row r="564" spans="1:18" x14ac:dyDescent="0.25">
      <c r="A564" s="166">
        <v>42832</v>
      </c>
      <c r="B564" s="116">
        <v>29.725000000000001</v>
      </c>
      <c r="C564" s="116">
        <v>28.824999999999999</v>
      </c>
      <c r="D564" s="116">
        <v>28.4</v>
      </c>
      <c r="E564" s="116">
        <v>28.75</v>
      </c>
      <c r="F564" s="116">
        <v>57.65</v>
      </c>
      <c r="G564">
        <v>147165</v>
      </c>
      <c r="H564" s="116"/>
      <c r="I564" s="116"/>
      <c r="L564" s="166">
        <v>42832</v>
      </c>
      <c r="M564" s="116">
        <v>28.8</v>
      </c>
      <c r="N564" s="116">
        <v>29.75</v>
      </c>
      <c r="O564" s="116">
        <v>28.324999999999999</v>
      </c>
      <c r="P564" s="116">
        <v>28.574999999999999</v>
      </c>
      <c r="Q564" s="116">
        <v>57.6</v>
      </c>
      <c r="R564">
        <v>640880</v>
      </c>
    </row>
    <row r="565" spans="1:18" x14ac:dyDescent="0.25">
      <c r="A565" s="166">
        <v>42835</v>
      </c>
      <c r="B565" s="116">
        <v>30.25</v>
      </c>
      <c r="C565" s="116">
        <v>29.9</v>
      </c>
      <c r="D565" s="116">
        <v>28.55</v>
      </c>
      <c r="E565" s="116">
        <v>29.1</v>
      </c>
      <c r="F565" s="116">
        <v>59.8</v>
      </c>
      <c r="G565">
        <v>193121</v>
      </c>
      <c r="H565" s="116"/>
      <c r="I565" s="116"/>
      <c r="L565" s="166">
        <v>42835</v>
      </c>
      <c r="M565" s="116">
        <v>29.925000000000001</v>
      </c>
      <c r="N565" s="116">
        <v>30.25</v>
      </c>
      <c r="O565" s="116">
        <v>28.6</v>
      </c>
      <c r="P565" s="116">
        <v>28.975000000000001</v>
      </c>
      <c r="Q565" s="116">
        <v>59.85</v>
      </c>
      <c r="R565">
        <v>846789</v>
      </c>
    </row>
    <row r="566" spans="1:18" x14ac:dyDescent="0.25">
      <c r="A566" s="166">
        <v>42836</v>
      </c>
      <c r="B566" s="116">
        <v>30.375</v>
      </c>
      <c r="C566" s="116">
        <v>29.524999999999999</v>
      </c>
      <c r="D566" s="116">
        <v>29.324999999999999</v>
      </c>
      <c r="E566" s="116">
        <v>30</v>
      </c>
      <c r="F566" s="116">
        <v>59.05</v>
      </c>
      <c r="G566">
        <v>157419</v>
      </c>
      <c r="H566" s="116"/>
      <c r="I566" s="116"/>
      <c r="L566" s="166">
        <v>42836</v>
      </c>
      <c r="M566" s="116">
        <v>29.524999999999999</v>
      </c>
      <c r="N566" s="116">
        <v>30.425000000000001</v>
      </c>
      <c r="O566" s="116">
        <v>29.35</v>
      </c>
      <c r="P566" s="116">
        <v>30.1</v>
      </c>
      <c r="Q566" s="116">
        <v>59.05</v>
      </c>
      <c r="R566">
        <v>333655</v>
      </c>
    </row>
    <row r="567" spans="1:18" x14ac:dyDescent="0.25">
      <c r="A567" s="166">
        <v>42837</v>
      </c>
      <c r="B567" s="116">
        <v>31.125</v>
      </c>
      <c r="C567" s="116">
        <v>30.4</v>
      </c>
      <c r="D567" s="116">
        <v>29.85</v>
      </c>
      <c r="E567" s="116">
        <v>30.524999999999999</v>
      </c>
      <c r="F567" s="116">
        <v>60.8</v>
      </c>
      <c r="G567">
        <v>263540</v>
      </c>
      <c r="H567" s="116"/>
      <c r="I567" s="116"/>
      <c r="L567" s="166">
        <v>42837</v>
      </c>
      <c r="M567" s="116">
        <v>30.475000000000001</v>
      </c>
      <c r="N567" s="116">
        <v>31.1</v>
      </c>
      <c r="O567" s="116">
        <v>29.85</v>
      </c>
      <c r="P567" s="116">
        <v>30.524999999999999</v>
      </c>
      <c r="Q567" s="116">
        <v>60.95</v>
      </c>
      <c r="R567">
        <v>875899</v>
      </c>
    </row>
    <row r="568" spans="1:18" x14ac:dyDescent="0.25">
      <c r="A568" s="166">
        <v>42838</v>
      </c>
      <c r="B568" s="116">
        <v>31.5</v>
      </c>
      <c r="C568" s="116">
        <v>31.074999999999999</v>
      </c>
      <c r="D568" s="116">
        <v>30.475000000000001</v>
      </c>
      <c r="E568" s="116">
        <v>30.5</v>
      </c>
      <c r="F568" s="116">
        <v>62.15</v>
      </c>
      <c r="G568">
        <v>179798</v>
      </c>
      <c r="H568" s="116"/>
      <c r="I568" s="116"/>
      <c r="L568" s="166">
        <v>42838</v>
      </c>
      <c r="M568" s="116">
        <v>31.074999999999999</v>
      </c>
      <c r="N568" s="116">
        <v>31.6</v>
      </c>
      <c r="O568" s="116">
        <v>30.4</v>
      </c>
      <c r="P568" s="116">
        <v>30.625</v>
      </c>
      <c r="Q568" s="116">
        <v>62.15</v>
      </c>
      <c r="R568">
        <v>622141</v>
      </c>
    </row>
    <row r="569" spans="1:18" x14ac:dyDescent="0.25">
      <c r="A569" s="166">
        <v>42842</v>
      </c>
      <c r="B569" s="116">
        <v>31.574999999999999</v>
      </c>
      <c r="C569" s="116">
        <v>31.15</v>
      </c>
      <c r="D569" s="116">
        <v>30.675000000000001</v>
      </c>
      <c r="E569" s="116">
        <v>31.225000000000001</v>
      </c>
      <c r="F569" s="116">
        <v>62.3</v>
      </c>
      <c r="G569">
        <v>119884</v>
      </c>
      <c r="H569" s="116"/>
      <c r="I569" s="116"/>
      <c r="L569" s="166">
        <v>42842</v>
      </c>
      <c r="M569" s="116">
        <v>31.225000000000001</v>
      </c>
      <c r="N569" s="116">
        <v>31.625</v>
      </c>
      <c r="O569" s="116">
        <v>30.675000000000001</v>
      </c>
      <c r="P569" s="116">
        <v>31.25</v>
      </c>
      <c r="Q569" s="116">
        <v>62.45</v>
      </c>
      <c r="R569">
        <v>382137</v>
      </c>
    </row>
    <row r="570" spans="1:18" x14ac:dyDescent="0.25">
      <c r="A570" s="166">
        <v>42843</v>
      </c>
      <c r="B570" s="116">
        <v>31.7</v>
      </c>
      <c r="C570" s="116">
        <v>30.274999999999999</v>
      </c>
      <c r="D570" s="116">
        <v>30.1</v>
      </c>
      <c r="E570" s="116">
        <v>31.15</v>
      </c>
      <c r="F570" s="116">
        <v>60.55</v>
      </c>
      <c r="G570">
        <v>169609</v>
      </c>
      <c r="H570" s="116"/>
      <c r="I570" s="116"/>
      <c r="L570" s="166">
        <v>42843</v>
      </c>
      <c r="M570" s="116">
        <v>30.274999999999999</v>
      </c>
      <c r="N570" s="116">
        <v>31.75</v>
      </c>
      <c r="O570" s="116">
        <v>30.15</v>
      </c>
      <c r="P570" s="116">
        <v>31.375</v>
      </c>
      <c r="Q570" s="116">
        <v>60.55</v>
      </c>
      <c r="R570">
        <v>411923</v>
      </c>
    </row>
    <row r="571" spans="1:18" x14ac:dyDescent="0.25">
      <c r="A571" s="166">
        <v>42844</v>
      </c>
      <c r="B571" s="116">
        <v>30.574999999999999</v>
      </c>
      <c r="C571" s="116">
        <v>30.274999999999999</v>
      </c>
      <c r="D571" s="116">
        <v>30.024999999999999</v>
      </c>
      <c r="E571" s="116">
        <v>30.574999999999999</v>
      </c>
      <c r="F571" s="116">
        <v>60.55</v>
      </c>
      <c r="G571">
        <v>78173</v>
      </c>
      <c r="H571" s="116"/>
      <c r="I571" s="116"/>
      <c r="L571" s="166">
        <v>42844</v>
      </c>
      <c r="M571" s="116">
        <v>30.324999999999999</v>
      </c>
      <c r="N571" s="116">
        <v>30.574999999999999</v>
      </c>
      <c r="O571" s="116">
        <v>30.05</v>
      </c>
      <c r="P571" s="116">
        <v>30.5</v>
      </c>
      <c r="Q571" s="116">
        <v>60.65</v>
      </c>
      <c r="R571">
        <v>159125</v>
      </c>
    </row>
    <row r="572" spans="1:18" x14ac:dyDescent="0.25">
      <c r="A572" s="166">
        <v>42845</v>
      </c>
      <c r="B572" s="116">
        <v>31.3</v>
      </c>
      <c r="C572" s="116">
        <v>30.524999999999999</v>
      </c>
      <c r="D572" s="116">
        <v>30.35</v>
      </c>
      <c r="E572" s="116">
        <v>30.55</v>
      </c>
      <c r="F572" s="116">
        <v>61.05</v>
      </c>
      <c r="G572">
        <v>78109</v>
      </c>
      <c r="H572" s="116"/>
      <c r="I572" s="116"/>
      <c r="L572" s="166">
        <v>42845</v>
      </c>
      <c r="M572" s="116">
        <v>30.425000000000001</v>
      </c>
      <c r="N572" s="116">
        <v>31.35</v>
      </c>
      <c r="O572" s="116">
        <v>30.15</v>
      </c>
      <c r="P572" s="116">
        <v>30.5</v>
      </c>
      <c r="Q572" s="116">
        <v>60.85</v>
      </c>
      <c r="R572">
        <v>277203</v>
      </c>
    </row>
    <row r="573" spans="1:18" x14ac:dyDescent="0.25">
      <c r="A573" s="166">
        <v>42846</v>
      </c>
      <c r="B573" s="116">
        <v>32.299999999999997</v>
      </c>
      <c r="C573" s="116">
        <v>31.524999999999999</v>
      </c>
      <c r="D573" s="116">
        <v>30.6</v>
      </c>
      <c r="E573" s="116">
        <v>30.7</v>
      </c>
      <c r="F573" s="116">
        <v>63.05</v>
      </c>
      <c r="G573">
        <v>217202</v>
      </c>
      <c r="H573" s="116"/>
      <c r="I573" s="116"/>
      <c r="L573" s="166">
        <v>42846</v>
      </c>
      <c r="M573" s="116">
        <v>31.6</v>
      </c>
      <c r="N573" s="116">
        <v>32.325000000000003</v>
      </c>
      <c r="O573" s="116">
        <v>30.5</v>
      </c>
      <c r="P573" s="116">
        <v>30.5</v>
      </c>
      <c r="Q573" s="116">
        <v>63.2</v>
      </c>
      <c r="R573">
        <v>589712</v>
      </c>
    </row>
    <row r="574" spans="1:18" x14ac:dyDescent="0.25">
      <c r="A574" s="166">
        <v>42849</v>
      </c>
      <c r="B574" s="116">
        <v>32</v>
      </c>
      <c r="C574" s="116">
        <v>31.824999999999999</v>
      </c>
      <c r="D574" s="116">
        <v>31.55</v>
      </c>
      <c r="E574" s="116">
        <v>31.65</v>
      </c>
      <c r="F574" s="116">
        <v>63.65</v>
      </c>
      <c r="G574">
        <v>68758</v>
      </c>
      <c r="H574" s="116"/>
      <c r="I574" s="116"/>
      <c r="L574" s="166">
        <v>42849</v>
      </c>
      <c r="M574" s="116">
        <v>31.925000000000001</v>
      </c>
      <c r="N574" s="116">
        <v>32.1</v>
      </c>
      <c r="O574" s="116">
        <v>31.55</v>
      </c>
      <c r="P574" s="116">
        <v>31.55</v>
      </c>
      <c r="Q574" s="116">
        <v>63.85</v>
      </c>
      <c r="R574">
        <v>301216</v>
      </c>
    </row>
    <row r="575" spans="1:18" x14ac:dyDescent="0.25">
      <c r="A575" s="166">
        <v>42850</v>
      </c>
      <c r="B575" s="116">
        <v>32.15</v>
      </c>
      <c r="C575" s="116">
        <v>31.425000000000001</v>
      </c>
      <c r="D575" s="116">
        <v>31.25</v>
      </c>
      <c r="E575" s="116">
        <v>32.15</v>
      </c>
      <c r="F575" s="116">
        <v>62.85</v>
      </c>
      <c r="G575">
        <v>51956</v>
      </c>
      <c r="H575" s="116"/>
      <c r="I575" s="116"/>
      <c r="L575" s="166">
        <v>42850</v>
      </c>
      <c r="M575" s="116">
        <v>31.375</v>
      </c>
      <c r="N575" s="116">
        <v>32.15</v>
      </c>
      <c r="O575" s="116">
        <v>31.25</v>
      </c>
      <c r="P575" s="116">
        <v>32.075000000000003</v>
      </c>
      <c r="Q575" s="116">
        <v>62.75</v>
      </c>
      <c r="R575">
        <v>169312</v>
      </c>
    </row>
    <row r="576" spans="1:18" x14ac:dyDescent="0.25">
      <c r="A576" s="166">
        <v>42851</v>
      </c>
      <c r="B576" s="116">
        <v>32.049999999999997</v>
      </c>
      <c r="C576" s="116">
        <v>30.574999999999999</v>
      </c>
      <c r="D576" s="116">
        <v>30.3</v>
      </c>
      <c r="E576" s="116">
        <v>31.5</v>
      </c>
      <c r="F576" s="116">
        <v>61.15</v>
      </c>
      <c r="G576">
        <v>60382</v>
      </c>
      <c r="H576" s="116"/>
      <c r="I576" s="116"/>
      <c r="L576" s="166">
        <v>42851</v>
      </c>
      <c r="M576" s="116">
        <v>30.5</v>
      </c>
      <c r="N576" s="116">
        <v>31.8</v>
      </c>
      <c r="O576" s="116">
        <v>30.175000000000001</v>
      </c>
      <c r="P576" s="116">
        <v>31.475000000000001</v>
      </c>
      <c r="Q576" s="116">
        <v>61</v>
      </c>
      <c r="R576">
        <v>252251</v>
      </c>
    </row>
    <row r="577" spans="1:18" x14ac:dyDescent="0.25">
      <c r="A577" s="166">
        <v>42852</v>
      </c>
      <c r="B577" s="116">
        <v>30.725000000000001</v>
      </c>
      <c r="C577" s="116">
        <v>30.425000000000001</v>
      </c>
      <c r="D577" s="116">
        <v>30.3</v>
      </c>
      <c r="E577" s="116">
        <v>30.35</v>
      </c>
      <c r="F577" s="116">
        <v>60.85</v>
      </c>
      <c r="G577">
        <v>29849</v>
      </c>
      <c r="H577" s="116"/>
      <c r="I577" s="116"/>
      <c r="L577" s="166">
        <v>42852</v>
      </c>
      <c r="M577" s="116">
        <v>30.425000000000001</v>
      </c>
      <c r="N577" s="116">
        <v>30.8</v>
      </c>
      <c r="O577" s="116">
        <v>30.274999999999999</v>
      </c>
      <c r="P577" s="116">
        <v>30.6</v>
      </c>
      <c r="Q577" s="116">
        <v>60.85</v>
      </c>
      <c r="R577">
        <v>150935</v>
      </c>
    </row>
    <row r="578" spans="1:18" x14ac:dyDescent="0.25">
      <c r="A578" s="166">
        <v>42853</v>
      </c>
      <c r="B578" s="116">
        <v>30.75</v>
      </c>
      <c r="C578" s="116">
        <v>30.225000000000001</v>
      </c>
      <c r="D578" s="116">
        <v>30.1</v>
      </c>
      <c r="E578" s="116">
        <v>30.4</v>
      </c>
      <c r="F578" s="116">
        <v>60.45</v>
      </c>
      <c r="G578">
        <v>65369</v>
      </c>
      <c r="H578" s="116"/>
      <c r="I578" s="116"/>
      <c r="L578" s="166">
        <v>42853</v>
      </c>
      <c r="M578" s="116">
        <v>30.324999999999999</v>
      </c>
      <c r="N578" s="116">
        <v>30.824999999999999</v>
      </c>
      <c r="O578" s="116">
        <v>30.25</v>
      </c>
      <c r="P578" s="116">
        <v>30.5</v>
      </c>
      <c r="Q578" s="116">
        <v>60.65</v>
      </c>
      <c r="R578">
        <v>196331</v>
      </c>
    </row>
    <row r="579" spans="1:18" x14ac:dyDescent="0.25">
      <c r="A579" s="166">
        <v>42857</v>
      </c>
      <c r="B579" s="116">
        <v>30.75</v>
      </c>
      <c r="C579" s="116">
        <v>30.2</v>
      </c>
      <c r="D579" s="116">
        <v>30.074999999999999</v>
      </c>
      <c r="E579" s="116">
        <v>30.5</v>
      </c>
      <c r="F579" s="116">
        <v>60.4</v>
      </c>
      <c r="G579">
        <v>25461</v>
      </c>
      <c r="H579" s="116"/>
      <c r="I579" s="116"/>
      <c r="L579" s="166">
        <v>42857</v>
      </c>
      <c r="M579" s="116">
        <v>30.2</v>
      </c>
      <c r="N579" s="116">
        <v>30.824999999999999</v>
      </c>
      <c r="O579" s="116">
        <v>30.125</v>
      </c>
      <c r="P579" s="116">
        <v>30.475000000000001</v>
      </c>
      <c r="Q579" s="116">
        <v>60.4</v>
      </c>
      <c r="R579">
        <v>130283</v>
      </c>
    </row>
    <row r="580" spans="1:18" x14ac:dyDescent="0.25">
      <c r="A580" s="166">
        <v>42858</v>
      </c>
      <c r="B580" s="116">
        <v>30.475000000000001</v>
      </c>
      <c r="C580" s="116">
        <v>30.074999999999999</v>
      </c>
      <c r="D580" s="116">
        <v>30</v>
      </c>
      <c r="E580" s="116">
        <v>30.4</v>
      </c>
      <c r="F580" s="116">
        <v>60.15</v>
      </c>
      <c r="G580">
        <v>51091</v>
      </c>
      <c r="H580" s="116"/>
      <c r="I580" s="116"/>
      <c r="L580" s="166">
        <v>42858</v>
      </c>
      <c r="M580" s="116">
        <v>30.125</v>
      </c>
      <c r="N580" s="116">
        <v>30.625</v>
      </c>
      <c r="O580" s="116">
        <v>30</v>
      </c>
      <c r="P580" s="116">
        <v>30.35</v>
      </c>
      <c r="Q580" s="116">
        <v>60.25</v>
      </c>
      <c r="R580">
        <v>144301</v>
      </c>
    </row>
    <row r="581" spans="1:18" x14ac:dyDescent="0.25">
      <c r="A581" s="166">
        <v>42859</v>
      </c>
      <c r="B581" s="116">
        <v>31.375</v>
      </c>
      <c r="C581" s="116">
        <v>30.95</v>
      </c>
      <c r="D581" s="116">
        <v>30.175000000000001</v>
      </c>
      <c r="E581" s="116">
        <v>30.25</v>
      </c>
      <c r="F581" s="116">
        <v>61.9</v>
      </c>
      <c r="G581">
        <v>56762</v>
      </c>
      <c r="H581" s="116"/>
      <c r="I581" s="116"/>
      <c r="L581" s="166">
        <v>42859</v>
      </c>
      <c r="M581" s="116">
        <v>31.024999999999999</v>
      </c>
      <c r="N581" s="116">
        <v>31.4</v>
      </c>
      <c r="O581" s="116">
        <v>30.2</v>
      </c>
      <c r="P581" s="116">
        <v>30.225000000000001</v>
      </c>
      <c r="Q581" s="116">
        <v>62.05</v>
      </c>
      <c r="R581">
        <v>217253</v>
      </c>
    </row>
    <row r="582" spans="1:18" x14ac:dyDescent="0.25">
      <c r="A582" s="166">
        <v>42860</v>
      </c>
      <c r="B582" s="116">
        <v>31.425000000000001</v>
      </c>
      <c r="C582" s="116">
        <v>30.4</v>
      </c>
      <c r="D582" s="116">
        <v>30.2</v>
      </c>
      <c r="E582" s="116">
        <v>31</v>
      </c>
      <c r="F582" s="116">
        <v>60.8</v>
      </c>
      <c r="G582">
        <v>114254</v>
      </c>
      <c r="H582" s="116"/>
      <c r="I582" s="116"/>
      <c r="L582" s="166">
        <v>42860</v>
      </c>
      <c r="M582" s="116">
        <v>30.324999999999999</v>
      </c>
      <c r="N582" s="116">
        <v>31.375</v>
      </c>
      <c r="O582" s="116">
        <v>30.125</v>
      </c>
      <c r="P582" s="116">
        <v>31.274999999999999</v>
      </c>
      <c r="Q582" s="116">
        <v>60.65</v>
      </c>
      <c r="R582">
        <v>185627</v>
      </c>
    </row>
    <row r="583" spans="1:18" x14ac:dyDescent="0.25">
      <c r="A583" s="166">
        <v>42863</v>
      </c>
      <c r="B583" s="116">
        <v>31.375</v>
      </c>
      <c r="C583" s="116">
        <v>30.425000000000001</v>
      </c>
      <c r="D583" s="116">
        <v>30.175000000000001</v>
      </c>
      <c r="E583" s="116">
        <v>31.375</v>
      </c>
      <c r="F583" s="116">
        <v>60.85</v>
      </c>
      <c r="G583">
        <v>35245</v>
      </c>
      <c r="H583" s="116"/>
      <c r="I583" s="116"/>
      <c r="L583" s="166">
        <v>42863</v>
      </c>
      <c r="M583" s="116">
        <v>30.5</v>
      </c>
      <c r="N583" s="116">
        <v>30.8</v>
      </c>
      <c r="O583" s="116">
        <v>30.274999999999999</v>
      </c>
      <c r="P583" s="116">
        <v>30.6</v>
      </c>
      <c r="Q583" s="116">
        <v>61</v>
      </c>
      <c r="R583">
        <v>101433</v>
      </c>
    </row>
    <row r="584" spans="1:18" x14ac:dyDescent="0.25">
      <c r="A584" s="166">
        <v>42864</v>
      </c>
      <c r="B584" s="116">
        <v>31.375</v>
      </c>
      <c r="C584" s="116">
        <v>30.925000000000001</v>
      </c>
      <c r="D584" s="116">
        <v>30.5</v>
      </c>
      <c r="E584" s="116">
        <v>30.7</v>
      </c>
      <c r="F584" s="116">
        <v>61.85</v>
      </c>
      <c r="G584">
        <v>92046</v>
      </c>
      <c r="H584" s="116"/>
      <c r="I584" s="116"/>
      <c r="L584" s="166">
        <v>42864</v>
      </c>
      <c r="M584" s="116">
        <v>30.8</v>
      </c>
      <c r="N584" s="116">
        <v>31.425000000000001</v>
      </c>
      <c r="O584" s="116">
        <v>30.425000000000001</v>
      </c>
      <c r="P584" s="116">
        <v>30.7</v>
      </c>
      <c r="Q584" s="116">
        <v>61.6</v>
      </c>
      <c r="R584">
        <v>211921</v>
      </c>
    </row>
    <row r="585" spans="1:18" x14ac:dyDescent="0.25">
      <c r="A585" s="166">
        <v>42865</v>
      </c>
      <c r="B585" s="116">
        <v>31.975000000000001</v>
      </c>
      <c r="C585" s="116">
        <v>31.574999999999999</v>
      </c>
      <c r="D585" s="116">
        <v>30.725000000000001</v>
      </c>
      <c r="E585" s="116">
        <v>30.75</v>
      </c>
      <c r="F585" s="116">
        <v>63.15</v>
      </c>
      <c r="G585">
        <v>135474</v>
      </c>
      <c r="H585" s="116"/>
      <c r="I585" s="116"/>
      <c r="L585" s="166">
        <v>42865</v>
      </c>
      <c r="M585" s="116">
        <v>31.625</v>
      </c>
      <c r="N585" s="116">
        <v>32.15</v>
      </c>
      <c r="O585" s="116">
        <v>30.85</v>
      </c>
      <c r="P585" s="116">
        <v>30.875</v>
      </c>
      <c r="Q585" s="116">
        <v>63.25</v>
      </c>
      <c r="R585">
        <v>324830</v>
      </c>
    </row>
    <row r="586" spans="1:18" x14ac:dyDescent="0.25">
      <c r="A586" s="166">
        <v>42866</v>
      </c>
      <c r="B586" s="116">
        <v>31.85</v>
      </c>
      <c r="C586" s="116">
        <v>31.175000000000001</v>
      </c>
      <c r="D586" s="116">
        <v>31.125</v>
      </c>
      <c r="E586" s="116">
        <v>31.85</v>
      </c>
      <c r="F586" s="116">
        <v>62.35</v>
      </c>
      <c r="G586">
        <v>75728</v>
      </c>
      <c r="H586" s="116"/>
      <c r="I586" s="116"/>
      <c r="L586" s="166">
        <v>42866</v>
      </c>
      <c r="M586" s="116">
        <v>31.1</v>
      </c>
      <c r="N586" s="116">
        <v>31.85</v>
      </c>
      <c r="O586" s="116">
        <v>31</v>
      </c>
      <c r="P586" s="116">
        <v>31.625</v>
      </c>
      <c r="Q586" s="116">
        <v>62.2</v>
      </c>
      <c r="R586">
        <v>140831</v>
      </c>
    </row>
    <row r="587" spans="1:18" x14ac:dyDescent="0.25">
      <c r="A587" s="166">
        <v>42867</v>
      </c>
      <c r="B587" s="116">
        <v>31.375</v>
      </c>
      <c r="C587" s="116">
        <v>30.55</v>
      </c>
      <c r="D587" s="116">
        <v>30.425000000000001</v>
      </c>
      <c r="E587" s="116">
        <v>31.225000000000001</v>
      </c>
      <c r="F587" s="116">
        <v>61.1</v>
      </c>
      <c r="G587">
        <v>24480</v>
      </c>
      <c r="H587" s="116"/>
      <c r="I587" s="116"/>
      <c r="L587" s="166">
        <v>42867</v>
      </c>
      <c r="M587" s="116">
        <v>30.55</v>
      </c>
      <c r="N587" s="116">
        <v>31.25</v>
      </c>
      <c r="O587" s="116">
        <v>30.425000000000001</v>
      </c>
      <c r="P587" s="116">
        <v>31.1</v>
      </c>
      <c r="Q587" s="116">
        <v>61.1</v>
      </c>
      <c r="R587">
        <v>97540</v>
      </c>
    </row>
    <row r="588" spans="1:18" x14ac:dyDescent="0.25">
      <c r="A588" s="166">
        <v>42870</v>
      </c>
      <c r="B588" s="116">
        <v>30.85</v>
      </c>
      <c r="C588" s="116">
        <v>30.5</v>
      </c>
      <c r="D588" s="116">
        <v>30.324999999999999</v>
      </c>
      <c r="E588" s="116">
        <v>30.8</v>
      </c>
      <c r="F588" s="116">
        <v>61</v>
      </c>
      <c r="G588">
        <v>66473</v>
      </c>
      <c r="H588" s="116"/>
      <c r="I588" s="116"/>
      <c r="L588" s="166">
        <v>42870</v>
      </c>
      <c r="M588" s="116">
        <v>30.574999999999999</v>
      </c>
      <c r="N588" s="116">
        <v>30.875</v>
      </c>
      <c r="O588" s="116">
        <v>30.425000000000001</v>
      </c>
      <c r="P588" s="116">
        <v>30.574999999999999</v>
      </c>
      <c r="Q588" s="116">
        <v>61.15</v>
      </c>
      <c r="R588">
        <v>106478</v>
      </c>
    </row>
    <row r="589" spans="1:18" x14ac:dyDescent="0.25">
      <c r="A589" s="166">
        <v>42871</v>
      </c>
      <c r="B589" s="116">
        <v>30.75</v>
      </c>
      <c r="C589" s="116">
        <v>30.225000000000001</v>
      </c>
      <c r="D589" s="116">
        <v>30.1</v>
      </c>
      <c r="E589" s="116">
        <v>30.75</v>
      </c>
      <c r="F589" s="116">
        <v>60.45</v>
      </c>
      <c r="G589">
        <v>23609</v>
      </c>
      <c r="H589" s="116"/>
      <c r="I589" s="116"/>
      <c r="L589" s="166">
        <v>42871</v>
      </c>
      <c r="M589" s="116">
        <v>30.225000000000001</v>
      </c>
      <c r="N589" s="116">
        <v>30.75</v>
      </c>
      <c r="O589" s="116">
        <v>30.024999999999999</v>
      </c>
      <c r="P589" s="116">
        <v>30.6</v>
      </c>
      <c r="Q589" s="116">
        <v>60.45</v>
      </c>
      <c r="R589">
        <v>131094</v>
      </c>
    </row>
    <row r="590" spans="1:18" x14ac:dyDescent="0.25">
      <c r="A590" s="166">
        <v>42872</v>
      </c>
      <c r="B590" s="116">
        <v>30.875</v>
      </c>
      <c r="C590" s="116">
        <v>30.675000000000001</v>
      </c>
      <c r="D590" s="116">
        <v>30.175000000000001</v>
      </c>
      <c r="E590" s="116">
        <v>30.225000000000001</v>
      </c>
      <c r="F590" s="116">
        <v>61.35</v>
      </c>
      <c r="G590">
        <v>28930</v>
      </c>
      <c r="H590" s="116"/>
      <c r="I590" s="116"/>
      <c r="L590" s="166">
        <v>42872</v>
      </c>
      <c r="M590" s="116">
        <v>30.725000000000001</v>
      </c>
      <c r="N590" s="116">
        <v>30.875</v>
      </c>
      <c r="O590" s="116">
        <v>30.024999999999999</v>
      </c>
      <c r="P590" s="116">
        <v>30.4</v>
      </c>
      <c r="Q590" s="116">
        <v>61.45</v>
      </c>
      <c r="R590">
        <v>198705</v>
      </c>
    </row>
    <row r="591" spans="1:18" x14ac:dyDescent="0.25">
      <c r="A591" s="166">
        <v>42873</v>
      </c>
      <c r="B591" s="116">
        <v>30.524999999999999</v>
      </c>
      <c r="C591" s="116">
        <v>29.95</v>
      </c>
      <c r="D591" s="116">
        <v>29.85</v>
      </c>
      <c r="E591" s="116">
        <v>30.524999999999999</v>
      </c>
      <c r="F591" s="116">
        <v>59.9</v>
      </c>
      <c r="G591">
        <v>34984</v>
      </c>
      <c r="H591" s="116"/>
      <c r="I591" s="116"/>
      <c r="L591" s="166">
        <v>42873</v>
      </c>
      <c r="M591" s="116">
        <v>29.95</v>
      </c>
      <c r="N591" s="116">
        <v>30.524999999999999</v>
      </c>
      <c r="O591" s="116">
        <v>29.8</v>
      </c>
      <c r="P591" s="116">
        <v>30.5</v>
      </c>
      <c r="Q591" s="116">
        <v>59.9</v>
      </c>
      <c r="R591">
        <v>159600</v>
      </c>
    </row>
    <row r="592" spans="1:18" x14ac:dyDescent="0.25">
      <c r="A592" s="166">
        <v>42874</v>
      </c>
      <c r="B592" s="116">
        <v>30.375</v>
      </c>
      <c r="C592" s="116">
        <v>29.375</v>
      </c>
      <c r="D592" s="116">
        <v>29</v>
      </c>
      <c r="E592" s="116">
        <v>30.15</v>
      </c>
      <c r="F592" s="116">
        <v>58.75</v>
      </c>
      <c r="G592">
        <v>52437</v>
      </c>
      <c r="H592" s="116"/>
      <c r="I592" s="116"/>
      <c r="L592" s="166">
        <v>42874</v>
      </c>
      <c r="M592" s="116">
        <v>29.524999999999999</v>
      </c>
      <c r="N592" s="116">
        <v>30.375</v>
      </c>
      <c r="O592" s="116">
        <v>28.95</v>
      </c>
      <c r="P592" s="116">
        <v>30.375</v>
      </c>
      <c r="Q592" s="116">
        <v>59.05</v>
      </c>
      <c r="R592">
        <v>175596</v>
      </c>
    </row>
    <row r="593" spans="1:18" x14ac:dyDescent="0.25">
      <c r="A593" s="166">
        <v>42877</v>
      </c>
      <c r="B593" s="116">
        <v>31.5</v>
      </c>
      <c r="C593" s="116">
        <v>30.725000000000001</v>
      </c>
      <c r="D593" s="116">
        <v>30.6</v>
      </c>
      <c r="E593" s="116">
        <v>31.15</v>
      </c>
      <c r="F593" s="116">
        <v>61.45</v>
      </c>
      <c r="G593">
        <v>177446</v>
      </c>
      <c r="H593" s="116"/>
      <c r="I593" s="116"/>
      <c r="L593" s="166">
        <v>42877</v>
      </c>
      <c r="M593" s="116">
        <v>30.774999999999999</v>
      </c>
      <c r="N593" s="116">
        <v>31.45</v>
      </c>
      <c r="O593" s="116">
        <v>30.55</v>
      </c>
      <c r="P593" s="116">
        <v>31</v>
      </c>
      <c r="Q593" s="116">
        <v>61.55</v>
      </c>
      <c r="R593">
        <v>782254</v>
      </c>
    </row>
    <row r="594" spans="1:18" x14ac:dyDescent="0.25">
      <c r="A594" s="166">
        <v>42878</v>
      </c>
      <c r="B594" s="116">
        <v>31.125</v>
      </c>
      <c r="C594" s="116">
        <v>29.675000000000001</v>
      </c>
      <c r="D594" s="116">
        <v>29.5</v>
      </c>
      <c r="E594" s="116">
        <v>30.95</v>
      </c>
      <c r="F594" s="116">
        <v>59.35</v>
      </c>
      <c r="G594">
        <v>51969</v>
      </c>
      <c r="H594" s="116"/>
      <c r="I594" s="116"/>
      <c r="L594" s="166">
        <v>42878</v>
      </c>
      <c r="M594" s="116">
        <v>29.7</v>
      </c>
      <c r="N594" s="116">
        <v>31.125</v>
      </c>
      <c r="O594" s="116">
        <v>29.5</v>
      </c>
      <c r="P594" s="116">
        <v>31</v>
      </c>
      <c r="Q594" s="116">
        <v>59.4</v>
      </c>
      <c r="R594">
        <v>273088</v>
      </c>
    </row>
    <row r="595" spans="1:18" x14ac:dyDescent="0.25">
      <c r="A595" s="166">
        <v>42879</v>
      </c>
      <c r="B595" s="116">
        <v>29.925000000000001</v>
      </c>
      <c r="C595" s="116">
        <v>28.9</v>
      </c>
      <c r="D595" s="116">
        <v>28.7</v>
      </c>
      <c r="E595" s="116">
        <v>29.925000000000001</v>
      </c>
      <c r="F595" s="116">
        <v>57.8</v>
      </c>
      <c r="G595">
        <v>44988</v>
      </c>
      <c r="H595" s="116"/>
      <c r="I595" s="116"/>
      <c r="L595" s="166">
        <v>42879</v>
      </c>
      <c r="M595" s="116">
        <v>28.824999999999999</v>
      </c>
      <c r="N595" s="116">
        <v>29.95</v>
      </c>
      <c r="O595" s="116">
        <v>28.5</v>
      </c>
      <c r="P595" s="116">
        <v>29.95</v>
      </c>
      <c r="Q595" s="116">
        <v>57.65</v>
      </c>
      <c r="R595">
        <v>153432</v>
      </c>
    </row>
    <row r="596" spans="1:18" x14ac:dyDescent="0.25">
      <c r="A596" s="166">
        <v>42880</v>
      </c>
      <c r="B596" s="116">
        <v>30.15</v>
      </c>
      <c r="C596" s="116">
        <v>29.925000000000001</v>
      </c>
      <c r="D596" s="116">
        <v>28.725000000000001</v>
      </c>
      <c r="E596" s="116">
        <v>28.95</v>
      </c>
      <c r="F596" s="116">
        <v>59.85</v>
      </c>
      <c r="G596">
        <v>37641</v>
      </c>
      <c r="H596" s="116"/>
      <c r="I596" s="116"/>
      <c r="L596" s="166">
        <v>42880</v>
      </c>
      <c r="M596" s="116">
        <v>29.925000000000001</v>
      </c>
      <c r="N596" s="116">
        <v>30.15</v>
      </c>
      <c r="O596" s="116">
        <v>28.7</v>
      </c>
      <c r="P596" s="116">
        <v>29.05</v>
      </c>
      <c r="Q596" s="116">
        <v>59.85</v>
      </c>
      <c r="R596">
        <v>143973</v>
      </c>
    </row>
    <row r="597" spans="1:18" x14ac:dyDescent="0.25">
      <c r="A597" s="166">
        <v>42881</v>
      </c>
      <c r="B597" s="116">
        <v>31.5</v>
      </c>
      <c r="C597" s="116">
        <v>31.05</v>
      </c>
      <c r="D597" s="116">
        <v>29.824999999999999</v>
      </c>
      <c r="E597" s="116">
        <v>29.824999999999999</v>
      </c>
      <c r="F597" s="116">
        <v>62.1</v>
      </c>
      <c r="G597">
        <v>77799</v>
      </c>
      <c r="H597" s="116"/>
      <c r="I597" s="116"/>
      <c r="L597" s="166">
        <v>42881</v>
      </c>
      <c r="M597" s="116">
        <v>31.074999999999999</v>
      </c>
      <c r="N597" s="116">
        <v>31.5</v>
      </c>
      <c r="O597" s="116">
        <v>29.925000000000001</v>
      </c>
      <c r="P597" s="116">
        <v>30.15</v>
      </c>
      <c r="Q597" s="116">
        <v>62.15</v>
      </c>
      <c r="R597">
        <v>312484</v>
      </c>
    </row>
    <row r="598" spans="1:18" x14ac:dyDescent="0.25">
      <c r="A598" s="166">
        <v>42884</v>
      </c>
      <c r="B598" s="116">
        <v>32.9</v>
      </c>
      <c r="C598" s="116">
        <v>31.9</v>
      </c>
      <c r="D598" s="116">
        <v>30.65</v>
      </c>
      <c r="E598" s="116">
        <v>31.25</v>
      </c>
      <c r="F598" s="116">
        <v>63.8</v>
      </c>
      <c r="G598">
        <v>281451</v>
      </c>
      <c r="H598" s="116"/>
      <c r="I598" s="116"/>
      <c r="L598" s="166">
        <v>42884</v>
      </c>
      <c r="M598" s="116">
        <v>31.95</v>
      </c>
      <c r="N598" s="116">
        <v>32.9</v>
      </c>
      <c r="O598" s="116">
        <v>30.6</v>
      </c>
      <c r="P598" s="116">
        <v>31.25</v>
      </c>
      <c r="Q598" s="116">
        <v>63.9</v>
      </c>
      <c r="R598">
        <v>774636</v>
      </c>
    </row>
    <row r="599" spans="1:18" x14ac:dyDescent="0.25">
      <c r="A599" s="166">
        <v>42885</v>
      </c>
      <c r="B599" s="116">
        <v>32.225000000000001</v>
      </c>
      <c r="C599" s="116">
        <v>31.725000000000001</v>
      </c>
      <c r="D599" s="116">
        <v>31.35</v>
      </c>
      <c r="E599" s="116">
        <v>31.975000000000001</v>
      </c>
      <c r="F599" s="116">
        <v>63.45</v>
      </c>
      <c r="G599">
        <v>81439</v>
      </c>
      <c r="H599" s="116"/>
      <c r="I599" s="116"/>
      <c r="L599" s="166">
        <v>42885</v>
      </c>
      <c r="M599" s="116">
        <v>31.675000000000001</v>
      </c>
      <c r="N599" s="116">
        <v>32.274999999999999</v>
      </c>
      <c r="O599" s="116">
        <v>31.324999999999999</v>
      </c>
      <c r="P599" s="116">
        <v>31.95</v>
      </c>
      <c r="Q599" s="116">
        <v>63.35</v>
      </c>
      <c r="R599">
        <v>250938</v>
      </c>
    </row>
    <row r="600" spans="1:18" x14ac:dyDescent="0.25">
      <c r="A600" s="166">
        <v>42886</v>
      </c>
      <c r="B600" s="116">
        <v>32.424999999999997</v>
      </c>
      <c r="C600" s="116">
        <v>32</v>
      </c>
      <c r="D600" s="116">
        <v>31.55</v>
      </c>
      <c r="E600" s="116">
        <v>31.8</v>
      </c>
      <c r="F600" s="116">
        <v>64</v>
      </c>
      <c r="G600">
        <v>72415</v>
      </c>
      <c r="H600" s="116"/>
      <c r="I600" s="116"/>
      <c r="L600" s="166">
        <v>42886</v>
      </c>
      <c r="M600" s="116">
        <v>32</v>
      </c>
      <c r="N600" s="116">
        <v>32.450000000000003</v>
      </c>
      <c r="O600" s="116">
        <v>31.55</v>
      </c>
      <c r="P600" s="116">
        <v>31.774999999999999</v>
      </c>
      <c r="Q600" s="116">
        <v>64</v>
      </c>
      <c r="R600">
        <v>245850</v>
      </c>
    </row>
    <row r="601" spans="1:18" x14ac:dyDescent="0.25">
      <c r="A601" s="166">
        <v>42887</v>
      </c>
      <c r="B601" s="116">
        <v>32.5</v>
      </c>
      <c r="C601" s="116">
        <v>32.1</v>
      </c>
      <c r="D601" s="116">
        <v>31.725000000000001</v>
      </c>
      <c r="E601" s="116">
        <v>31.725000000000001</v>
      </c>
      <c r="F601" s="116">
        <v>64.2</v>
      </c>
      <c r="G601">
        <v>44267</v>
      </c>
      <c r="H601" s="116"/>
      <c r="I601" s="116"/>
      <c r="L601" s="166">
        <v>42887</v>
      </c>
      <c r="M601" s="116">
        <v>32.1</v>
      </c>
      <c r="N601" s="116">
        <v>32.450000000000003</v>
      </c>
      <c r="O601" s="116">
        <v>31.75</v>
      </c>
      <c r="P601" s="116">
        <v>32</v>
      </c>
      <c r="Q601" s="116">
        <v>64.2</v>
      </c>
      <c r="R601">
        <v>133305</v>
      </c>
    </row>
    <row r="602" spans="1:18" x14ac:dyDescent="0.25">
      <c r="A602" s="166">
        <v>42888</v>
      </c>
      <c r="B602" s="116">
        <v>32.375</v>
      </c>
      <c r="C602" s="116">
        <v>31.925000000000001</v>
      </c>
      <c r="D602" s="116">
        <v>31.85</v>
      </c>
      <c r="E602" s="116">
        <v>32.325000000000003</v>
      </c>
      <c r="F602" s="116">
        <v>63.85</v>
      </c>
      <c r="G602">
        <v>99071</v>
      </c>
      <c r="H602" s="116"/>
      <c r="I602" s="116"/>
      <c r="L602" s="166">
        <v>42888</v>
      </c>
      <c r="M602" s="116">
        <v>32</v>
      </c>
      <c r="N602" s="116">
        <v>32.424999999999997</v>
      </c>
      <c r="O602" s="116">
        <v>31.95</v>
      </c>
      <c r="P602" s="116">
        <v>32.325000000000003</v>
      </c>
      <c r="Q602" s="116">
        <v>64</v>
      </c>
      <c r="R602">
        <v>160253</v>
      </c>
    </row>
    <row r="603" spans="1:18" x14ac:dyDescent="0.25">
      <c r="A603" s="166">
        <v>42891</v>
      </c>
      <c r="B603" s="116">
        <v>32.65</v>
      </c>
      <c r="C603" s="116">
        <v>32.299999999999997</v>
      </c>
      <c r="D603" s="116">
        <v>31.9</v>
      </c>
      <c r="E603" s="116">
        <v>31.9</v>
      </c>
      <c r="F603" s="116">
        <v>64.599999999999994</v>
      </c>
      <c r="G603">
        <v>81138</v>
      </c>
      <c r="H603" s="116"/>
      <c r="I603" s="116"/>
      <c r="L603" s="166">
        <v>42891</v>
      </c>
      <c r="M603" s="116">
        <v>32.274999999999999</v>
      </c>
      <c r="N603" s="116">
        <v>32.674999999999997</v>
      </c>
      <c r="O603" s="116">
        <v>32</v>
      </c>
      <c r="P603" s="116">
        <v>32</v>
      </c>
      <c r="Q603" s="116">
        <v>64.55</v>
      </c>
      <c r="R603">
        <v>208100</v>
      </c>
    </row>
    <row r="604" spans="1:18" x14ac:dyDescent="0.25">
      <c r="A604" s="166">
        <v>42892</v>
      </c>
      <c r="B604" s="116">
        <v>32.5</v>
      </c>
      <c r="C604" s="116">
        <v>31.574999999999999</v>
      </c>
      <c r="D604" s="116">
        <v>31.3</v>
      </c>
      <c r="E604" s="116">
        <v>32.5</v>
      </c>
      <c r="F604" s="116">
        <v>63.15</v>
      </c>
      <c r="G604">
        <v>30536</v>
      </c>
      <c r="H604" s="116"/>
      <c r="I604" s="116"/>
      <c r="L604" s="166">
        <v>42892</v>
      </c>
      <c r="M604" s="116">
        <v>31.5</v>
      </c>
      <c r="N604" s="116">
        <v>32.424999999999997</v>
      </c>
      <c r="O604" s="116">
        <v>31.324999999999999</v>
      </c>
      <c r="P604" s="116">
        <v>31.875</v>
      </c>
      <c r="Q604" s="116">
        <v>63</v>
      </c>
      <c r="R604">
        <v>150354</v>
      </c>
    </row>
    <row r="605" spans="1:18" x14ac:dyDescent="0.25">
      <c r="A605" s="166">
        <v>42893</v>
      </c>
      <c r="B605" s="116">
        <v>31.824999999999999</v>
      </c>
      <c r="C605" s="116">
        <v>31.05</v>
      </c>
      <c r="D605" s="116">
        <v>30.95</v>
      </c>
      <c r="E605" s="116">
        <v>31.5</v>
      </c>
      <c r="F605" s="116">
        <v>62.1</v>
      </c>
      <c r="G605">
        <v>23327</v>
      </c>
      <c r="H605" s="116"/>
      <c r="I605" s="116"/>
      <c r="L605" s="166">
        <v>42893</v>
      </c>
      <c r="M605" s="116">
        <v>31.1</v>
      </c>
      <c r="N605" s="116">
        <v>31.925000000000001</v>
      </c>
      <c r="O605" s="116">
        <v>31</v>
      </c>
      <c r="P605" s="116">
        <v>31.8</v>
      </c>
      <c r="Q605" s="116">
        <v>62.2</v>
      </c>
      <c r="R605">
        <v>101462</v>
      </c>
    </row>
    <row r="606" spans="1:18" x14ac:dyDescent="0.25">
      <c r="A606" s="166">
        <v>42894</v>
      </c>
      <c r="B606" s="116">
        <v>31.475000000000001</v>
      </c>
      <c r="C606" s="116">
        <v>31.024999999999999</v>
      </c>
      <c r="D606" s="116">
        <v>31</v>
      </c>
      <c r="E606" s="116">
        <v>31.1</v>
      </c>
      <c r="F606" s="116">
        <v>62.05</v>
      </c>
      <c r="G606">
        <v>36354</v>
      </c>
      <c r="H606" s="116"/>
      <c r="I606" s="116"/>
      <c r="L606" s="166">
        <v>42894</v>
      </c>
      <c r="M606" s="116">
        <v>31.024999999999999</v>
      </c>
      <c r="N606" s="116">
        <v>31.475000000000001</v>
      </c>
      <c r="O606" s="116">
        <v>31</v>
      </c>
      <c r="P606" s="116">
        <v>31.274999999999999</v>
      </c>
      <c r="Q606" s="116">
        <v>62.05</v>
      </c>
      <c r="R606">
        <v>156461</v>
      </c>
    </row>
    <row r="607" spans="1:18" x14ac:dyDescent="0.25">
      <c r="A607" s="166">
        <v>42895</v>
      </c>
      <c r="B607" s="116">
        <v>32.075000000000003</v>
      </c>
      <c r="C607" s="116">
        <v>31.7</v>
      </c>
      <c r="D607" s="116">
        <v>30.9</v>
      </c>
      <c r="E607" s="116">
        <v>31.25</v>
      </c>
      <c r="F607" s="116">
        <v>63.4</v>
      </c>
      <c r="G607">
        <v>81851</v>
      </c>
      <c r="H607" s="116"/>
      <c r="I607" s="116"/>
      <c r="L607" s="166">
        <v>42895</v>
      </c>
      <c r="M607" s="116">
        <v>31.725000000000001</v>
      </c>
      <c r="N607" s="116">
        <v>32.1</v>
      </c>
      <c r="O607" s="116">
        <v>30.8</v>
      </c>
      <c r="P607" s="116">
        <v>31.024999999999999</v>
      </c>
      <c r="Q607" s="116">
        <v>63.45</v>
      </c>
      <c r="R607">
        <v>277373</v>
      </c>
    </row>
    <row r="608" spans="1:18" x14ac:dyDescent="0.25">
      <c r="A608" s="166">
        <v>42898</v>
      </c>
      <c r="B608" s="116">
        <v>31.774999999999999</v>
      </c>
      <c r="C608" s="116">
        <v>31</v>
      </c>
      <c r="D608" s="116">
        <v>30.75</v>
      </c>
      <c r="E608" s="116">
        <v>31.5</v>
      </c>
      <c r="F608" s="116">
        <v>62</v>
      </c>
      <c r="G608">
        <v>43672</v>
      </c>
      <c r="H608" s="116"/>
      <c r="I608" s="116"/>
      <c r="L608" s="166">
        <v>42898</v>
      </c>
      <c r="M608" s="116">
        <v>30.95</v>
      </c>
      <c r="N608" s="116">
        <v>31.75</v>
      </c>
      <c r="O608" s="116">
        <v>30.774999999999999</v>
      </c>
      <c r="P608" s="116">
        <v>31.225000000000001</v>
      </c>
      <c r="Q608" s="116">
        <v>61.9</v>
      </c>
      <c r="R608">
        <v>175852</v>
      </c>
    </row>
    <row r="609" spans="1:18" x14ac:dyDescent="0.25">
      <c r="A609" s="166">
        <v>42899</v>
      </c>
      <c r="B609" s="116">
        <v>31.2</v>
      </c>
      <c r="C609" s="116">
        <v>30.774999999999999</v>
      </c>
      <c r="D609" s="116">
        <v>30.6</v>
      </c>
      <c r="E609" s="116">
        <v>30.95</v>
      </c>
      <c r="F609" s="116">
        <v>61.55</v>
      </c>
      <c r="G609">
        <v>34195</v>
      </c>
      <c r="H609" s="116"/>
      <c r="I609" s="116"/>
      <c r="L609" s="166">
        <v>42899</v>
      </c>
      <c r="M609" s="116">
        <v>30.65</v>
      </c>
      <c r="N609" s="116">
        <v>31.125</v>
      </c>
      <c r="O609" s="116">
        <v>30.5</v>
      </c>
      <c r="P609" s="116">
        <v>31.024999999999999</v>
      </c>
      <c r="Q609" s="116">
        <v>61.3</v>
      </c>
      <c r="R609">
        <v>124568</v>
      </c>
    </row>
    <row r="610" spans="1:18" x14ac:dyDescent="0.25">
      <c r="A610" s="166">
        <v>42900</v>
      </c>
      <c r="B610" s="116">
        <v>30.8</v>
      </c>
      <c r="C610" s="116">
        <v>30.25</v>
      </c>
      <c r="D610" s="116">
        <v>30</v>
      </c>
      <c r="E610" s="116">
        <v>30.75</v>
      </c>
      <c r="F610" s="116">
        <v>60.5</v>
      </c>
      <c r="G610">
        <v>30616</v>
      </c>
      <c r="H610" s="116"/>
      <c r="I610" s="116"/>
      <c r="L610" s="166">
        <v>42900</v>
      </c>
      <c r="M610" s="116">
        <v>30.225000000000001</v>
      </c>
      <c r="N610" s="116">
        <v>30.85</v>
      </c>
      <c r="O610" s="116">
        <v>29.95</v>
      </c>
      <c r="P610" s="116">
        <v>30.675000000000001</v>
      </c>
      <c r="Q610" s="116">
        <v>60.45</v>
      </c>
      <c r="R610">
        <v>127379</v>
      </c>
    </row>
    <row r="611" spans="1:18" x14ac:dyDescent="0.25">
      <c r="A611" s="166">
        <v>42901</v>
      </c>
      <c r="B611" s="116">
        <v>30.625</v>
      </c>
      <c r="C611" s="116">
        <v>30.5</v>
      </c>
      <c r="D611" s="116">
        <v>30.225000000000001</v>
      </c>
      <c r="E611" s="116">
        <v>30.475000000000001</v>
      </c>
      <c r="F611" s="116">
        <v>61</v>
      </c>
      <c r="G611">
        <v>40675</v>
      </c>
      <c r="H611" s="116"/>
      <c r="I611" s="116"/>
      <c r="L611" s="166">
        <v>42901</v>
      </c>
      <c r="M611" s="116">
        <v>30.425000000000001</v>
      </c>
      <c r="N611" s="116">
        <v>30.574999999999999</v>
      </c>
      <c r="O611" s="116">
        <v>30.024999999999999</v>
      </c>
      <c r="P611" s="116">
        <v>30.375</v>
      </c>
      <c r="Q611" s="116">
        <v>60.85</v>
      </c>
      <c r="R611">
        <v>108219</v>
      </c>
    </row>
    <row r="612" spans="1:18" x14ac:dyDescent="0.25">
      <c r="A612" s="166">
        <v>42902</v>
      </c>
      <c r="B612" s="116">
        <v>30.975000000000001</v>
      </c>
      <c r="C612" s="116">
        <v>30.45</v>
      </c>
      <c r="D612" s="116">
        <v>30.35</v>
      </c>
      <c r="E612" s="116">
        <v>30.45</v>
      </c>
      <c r="F612" s="116">
        <v>60.9</v>
      </c>
      <c r="G612">
        <v>33657</v>
      </c>
      <c r="H612" s="116"/>
      <c r="I612" s="116"/>
      <c r="L612" s="166">
        <v>42902</v>
      </c>
      <c r="M612" s="116">
        <v>30.35</v>
      </c>
      <c r="N612" s="116">
        <v>31.1</v>
      </c>
      <c r="O612" s="116">
        <v>30.274999999999999</v>
      </c>
      <c r="P612" s="116">
        <v>30.425000000000001</v>
      </c>
      <c r="Q612" s="116">
        <v>60.7</v>
      </c>
      <c r="R612">
        <v>152472</v>
      </c>
    </row>
    <row r="613" spans="1:18" x14ac:dyDescent="0.25">
      <c r="A613" s="166">
        <v>42905</v>
      </c>
      <c r="B613" s="116">
        <v>30.75</v>
      </c>
      <c r="C613" s="116">
        <v>30</v>
      </c>
      <c r="D613" s="116">
        <v>29.824999999999999</v>
      </c>
      <c r="E613" s="116">
        <v>30.75</v>
      </c>
      <c r="F613" s="116">
        <v>60</v>
      </c>
      <c r="G613">
        <v>32639</v>
      </c>
      <c r="H613" s="116"/>
      <c r="I613" s="116"/>
      <c r="L613" s="166">
        <v>42905</v>
      </c>
      <c r="M613" s="116">
        <v>29.9</v>
      </c>
      <c r="N613" s="116">
        <v>30.6</v>
      </c>
      <c r="O613" s="116">
        <v>29.75</v>
      </c>
      <c r="P613" s="116">
        <v>30.5</v>
      </c>
      <c r="Q613" s="116">
        <v>59.8</v>
      </c>
      <c r="R613">
        <v>113405</v>
      </c>
    </row>
    <row r="614" spans="1:18" x14ac:dyDescent="0.25">
      <c r="A614" s="166">
        <v>42906</v>
      </c>
      <c r="B614" s="116">
        <v>30.1</v>
      </c>
      <c r="C614" s="116">
        <v>29.85</v>
      </c>
      <c r="D614" s="116">
        <v>29.75</v>
      </c>
      <c r="E614" s="116">
        <v>30.1</v>
      </c>
      <c r="F614" s="116">
        <v>59.7</v>
      </c>
      <c r="G614">
        <v>27282</v>
      </c>
      <c r="H614" s="116"/>
      <c r="I614" s="116"/>
      <c r="L614" s="166">
        <v>42906</v>
      </c>
      <c r="M614" s="116">
        <v>29.9</v>
      </c>
      <c r="N614" s="116">
        <v>30.05</v>
      </c>
      <c r="O614" s="116">
        <v>29.75</v>
      </c>
      <c r="P614" s="116">
        <v>29.925000000000001</v>
      </c>
      <c r="Q614" s="116">
        <v>59.8</v>
      </c>
      <c r="R614">
        <v>73180</v>
      </c>
    </row>
    <row r="615" spans="1:18" x14ac:dyDescent="0.25">
      <c r="A615" s="166">
        <v>42907</v>
      </c>
      <c r="B615" s="116">
        <v>30.975000000000001</v>
      </c>
      <c r="C615" s="116">
        <v>30.125</v>
      </c>
      <c r="D615" s="116">
        <v>29.9</v>
      </c>
      <c r="E615" s="116">
        <v>30</v>
      </c>
      <c r="F615" s="116">
        <v>60.25</v>
      </c>
      <c r="G615">
        <v>87333</v>
      </c>
      <c r="H615" s="116"/>
      <c r="I615" s="116"/>
      <c r="L615" s="166">
        <v>42907</v>
      </c>
      <c r="M615" s="116">
        <v>30.15</v>
      </c>
      <c r="N615" s="116">
        <v>31</v>
      </c>
      <c r="O615" s="116">
        <v>29.8</v>
      </c>
      <c r="P615" s="116">
        <v>29.9</v>
      </c>
      <c r="Q615" s="116">
        <v>60.3</v>
      </c>
      <c r="R615">
        <v>196236</v>
      </c>
    </row>
    <row r="616" spans="1:18" x14ac:dyDescent="0.25">
      <c r="A616" s="166">
        <v>42908</v>
      </c>
      <c r="B616" s="116">
        <v>30.375</v>
      </c>
      <c r="C616" s="116">
        <v>29.875</v>
      </c>
      <c r="D616" s="116">
        <v>29.774999999999999</v>
      </c>
      <c r="E616" s="116">
        <v>30.125</v>
      </c>
      <c r="F616" s="116">
        <v>59.75</v>
      </c>
      <c r="G616">
        <v>32495</v>
      </c>
      <c r="H616" s="116"/>
      <c r="I616" s="116"/>
      <c r="L616" s="166">
        <v>42908</v>
      </c>
      <c r="M616" s="116">
        <v>29.824999999999999</v>
      </c>
      <c r="N616" s="116">
        <v>30.3</v>
      </c>
      <c r="O616" s="116">
        <v>29.774999999999999</v>
      </c>
      <c r="P616" s="116">
        <v>30.175000000000001</v>
      </c>
      <c r="Q616" s="116">
        <v>59.65</v>
      </c>
      <c r="R616">
        <v>98367</v>
      </c>
    </row>
    <row r="617" spans="1:18" x14ac:dyDescent="0.25">
      <c r="A617" s="166">
        <v>42909</v>
      </c>
      <c r="B617" s="116">
        <v>29.8</v>
      </c>
      <c r="C617" s="116">
        <v>28.824999999999999</v>
      </c>
      <c r="D617" s="116">
        <v>28.65</v>
      </c>
      <c r="E617" s="116">
        <v>29.8</v>
      </c>
      <c r="F617" s="116">
        <v>57.65</v>
      </c>
      <c r="G617">
        <v>46976</v>
      </c>
      <c r="H617" s="116"/>
      <c r="I617" s="116"/>
      <c r="L617" s="166">
        <v>42909</v>
      </c>
      <c r="M617" s="116">
        <v>28.85</v>
      </c>
      <c r="N617" s="116">
        <v>29.975000000000001</v>
      </c>
      <c r="O617" s="116">
        <v>28.625</v>
      </c>
      <c r="P617" s="116">
        <v>29.975000000000001</v>
      </c>
      <c r="Q617" s="116">
        <v>57.7</v>
      </c>
      <c r="R617">
        <v>153674</v>
      </c>
    </row>
    <row r="618" spans="1:18" x14ac:dyDescent="0.25">
      <c r="A618" s="166">
        <v>42913</v>
      </c>
      <c r="B618" s="116">
        <v>28.975000000000001</v>
      </c>
      <c r="C618" s="116">
        <v>28.125</v>
      </c>
      <c r="D618" s="116">
        <v>27.85</v>
      </c>
      <c r="E618" s="116">
        <v>28.95</v>
      </c>
      <c r="F618" s="116">
        <v>56.25</v>
      </c>
      <c r="G618">
        <v>29915</v>
      </c>
      <c r="H618" s="116"/>
      <c r="I618" s="116"/>
      <c r="L618" s="166">
        <v>42913</v>
      </c>
      <c r="M618" s="116">
        <v>28.05</v>
      </c>
      <c r="N618" s="116">
        <v>29.175000000000001</v>
      </c>
      <c r="O618" s="116">
        <v>27.774999999999999</v>
      </c>
      <c r="P618" s="116">
        <v>29</v>
      </c>
      <c r="Q618" s="116">
        <v>56.1</v>
      </c>
      <c r="R618">
        <v>119511</v>
      </c>
    </row>
    <row r="619" spans="1:18" x14ac:dyDescent="0.25">
      <c r="A619" s="166">
        <v>42914</v>
      </c>
      <c r="B619" s="116">
        <v>28.375</v>
      </c>
      <c r="C619" s="116">
        <v>28.125</v>
      </c>
      <c r="D619" s="116">
        <v>27.65</v>
      </c>
      <c r="E619" s="116">
        <v>28.125</v>
      </c>
      <c r="F619" s="116">
        <v>56.25</v>
      </c>
      <c r="G619">
        <v>28477</v>
      </c>
      <c r="H619" s="116"/>
      <c r="I619" s="116"/>
      <c r="L619" s="166">
        <v>42914</v>
      </c>
      <c r="M619" s="116">
        <v>28.024999999999999</v>
      </c>
      <c r="N619" s="116">
        <v>28.324999999999999</v>
      </c>
      <c r="O619" s="116">
        <v>27.55</v>
      </c>
      <c r="P619" s="116">
        <v>28.05</v>
      </c>
      <c r="Q619" s="116">
        <v>56.05</v>
      </c>
      <c r="R619">
        <v>81139</v>
      </c>
    </row>
    <row r="620" spans="1:18" x14ac:dyDescent="0.25">
      <c r="A620" s="166">
        <v>42915</v>
      </c>
      <c r="B620" s="116">
        <v>28.574999999999999</v>
      </c>
      <c r="C620" s="116">
        <v>28.3</v>
      </c>
      <c r="D620" s="116">
        <v>27.7</v>
      </c>
      <c r="E620" s="116">
        <v>28.5</v>
      </c>
      <c r="F620" s="116">
        <v>56.6</v>
      </c>
      <c r="G620">
        <v>20883</v>
      </c>
      <c r="H620" s="116"/>
      <c r="I620" s="116"/>
      <c r="L620" s="166">
        <v>42915</v>
      </c>
      <c r="M620" s="116">
        <v>28.2</v>
      </c>
      <c r="N620" s="116">
        <v>28.675000000000001</v>
      </c>
      <c r="O620" s="116">
        <v>27.625</v>
      </c>
      <c r="P620" s="116">
        <v>28.475000000000001</v>
      </c>
      <c r="Q620" s="116">
        <v>56.4</v>
      </c>
      <c r="R620">
        <v>128880</v>
      </c>
    </row>
    <row r="621" spans="1:18" x14ac:dyDescent="0.25">
      <c r="A621" s="166">
        <v>42916</v>
      </c>
      <c r="B621" s="116">
        <v>29</v>
      </c>
      <c r="C621" s="116">
        <v>28.6</v>
      </c>
      <c r="D621" s="116">
        <v>27.85</v>
      </c>
      <c r="E621" s="116">
        <v>27.95</v>
      </c>
      <c r="F621" s="116">
        <v>57.2</v>
      </c>
      <c r="G621">
        <v>46974</v>
      </c>
      <c r="H621" s="116"/>
      <c r="I621" s="116"/>
      <c r="L621" s="166">
        <v>42916</v>
      </c>
      <c r="M621" s="116">
        <v>28.524999999999999</v>
      </c>
      <c r="N621" s="116">
        <v>28.95</v>
      </c>
      <c r="O621" s="116">
        <v>27.65</v>
      </c>
      <c r="P621" s="116">
        <v>28.125</v>
      </c>
      <c r="Q621" s="116">
        <v>57.05</v>
      </c>
      <c r="R621">
        <v>97895</v>
      </c>
    </row>
    <row r="622" spans="1:18" x14ac:dyDescent="0.25">
      <c r="A622" s="166">
        <v>42919</v>
      </c>
      <c r="B622" s="116">
        <v>29.65</v>
      </c>
      <c r="C622" s="116">
        <v>29.475000000000001</v>
      </c>
      <c r="D622" s="116">
        <v>28.475000000000001</v>
      </c>
      <c r="E622" s="116">
        <v>28.6</v>
      </c>
      <c r="F622" s="116">
        <v>58.95</v>
      </c>
      <c r="G622">
        <v>32863</v>
      </c>
      <c r="H622" s="116"/>
      <c r="I622" s="116"/>
      <c r="L622" s="166">
        <v>42919</v>
      </c>
      <c r="M622" s="116">
        <v>29.475000000000001</v>
      </c>
      <c r="N622" s="116">
        <v>29.7</v>
      </c>
      <c r="O622" s="116">
        <v>28.45</v>
      </c>
      <c r="P622" s="116">
        <v>28.524999999999999</v>
      </c>
      <c r="Q622" s="116">
        <v>58.95</v>
      </c>
      <c r="R622">
        <v>332351</v>
      </c>
    </row>
    <row r="623" spans="1:18" x14ac:dyDescent="0.25">
      <c r="A623" s="166">
        <v>42920</v>
      </c>
      <c r="B623" s="116">
        <v>30.774999999999999</v>
      </c>
      <c r="C623" s="116">
        <v>29.85</v>
      </c>
      <c r="D623" s="116">
        <v>29.5</v>
      </c>
      <c r="E623" s="116">
        <v>29.5</v>
      </c>
      <c r="F623" s="116">
        <v>59.7</v>
      </c>
      <c r="G623">
        <v>42289</v>
      </c>
      <c r="H623" s="116"/>
      <c r="I623" s="116"/>
      <c r="L623" s="166">
        <v>42920</v>
      </c>
      <c r="M623" s="116">
        <v>29.95</v>
      </c>
      <c r="N623" s="116">
        <v>30.75</v>
      </c>
      <c r="O623" s="116">
        <v>29.5</v>
      </c>
      <c r="P623" s="116">
        <v>29.675000000000001</v>
      </c>
      <c r="Q623" s="116">
        <v>59.9</v>
      </c>
      <c r="R623">
        <v>254351</v>
      </c>
    </row>
    <row r="624" spans="1:18" x14ac:dyDescent="0.25">
      <c r="A624" s="166">
        <v>42921</v>
      </c>
      <c r="B624" s="116">
        <v>30.65</v>
      </c>
      <c r="C624" s="116">
        <v>30.05</v>
      </c>
      <c r="D624" s="116">
        <v>29.774999999999999</v>
      </c>
      <c r="E624" s="116">
        <v>29.875</v>
      </c>
      <c r="F624" s="116">
        <v>60.1</v>
      </c>
      <c r="G624">
        <v>45600</v>
      </c>
      <c r="H624" s="116"/>
      <c r="I624" s="116"/>
      <c r="L624" s="166">
        <v>42921</v>
      </c>
      <c r="M624" s="116">
        <v>30.074999999999999</v>
      </c>
      <c r="N624" s="116">
        <v>30.65</v>
      </c>
      <c r="O624" s="116">
        <v>29.7</v>
      </c>
      <c r="P624" s="116">
        <v>29.95</v>
      </c>
      <c r="Q624" s="116">
        <v>60.15</v>
      </c>
      <c r="R624">
        <v>112684</v>
      </c>
    </row>
    <row r="625" spans="1:18" x14ac:dyDescent="0.25">
      <c r="A625" s="166">
        <v>42922</v>
      </c>
      <c r="B625" s="116">
        <v>30.3</v>
      </c>
      <c r="C625" s="116">
        <v>30.024999999999999</v>
      </c>
      <c r="D625" s="116">
        <v>29.9</v>
      </c>
      <c r="E625" s="116">
        <v>30.125</v>
      </c>
      <c r="F625" s="116">
        <v>60.05</v>
      </c>
      <c r="G625">
        <v>74685</v>
      </c>
      <c r="H625" s="116"/>
      <c r="I625" s="116"/>
      <c r="L625" s="166">
        <v>42922</v>
      </c>
      <c r="M625" s="116">
        <v>30.024999999999999</v>
      </c>
      <c r="N625" s="116">
        <v>30.7</v>
      </c>
      <c r="O625" s="116">
        <v>29.95</v>
      </c>
      <c r="P625" s="116">
        <v>30.7</v>
      </c>
      <c r="Q625" s="116">
        <v>60.05</v>
      </c>
      <c r="R625">
        <v>120214</v>
      </c>
    </row>
    <row r="626" spans="1:18" x14ac:dyDescent="0.25">
      <c r="A626" s="166">
        <v>42923</v>
      </c>
      <c r="B626" s="116">
        <v>31.074999999999999</v>
      </c>
      <c r="C626" s="116">
        <v>30.725000000000001</v>
      </c>
      <c r="D626" s="116">
        <v>29.625</v>
      </c>
      <c r="E626" s="116">
        <v>30.05</v>
      </c>
      <c r="F626" s="116">
        <v>61.45</v>
      </c>
      <c r="G626">
        <v>92951</v>
      </c>
      <c r="H626" s="116"/>
      <c r="I626" s="116"/>
      <c r="L626" s="166">
        <v>42923</v>
      </c>
      <c r="M626" s="116">
        <v>30.85</v>
      </c>
      <c r="N626" s="116">
        <v>31.125</v>
      </c>
      <c r="O626" s="116">
        <v>29.625</v>
      </c>
      <c r="P626" s="116">
        <v>30.024999999999999</v>
      </c>
      <c r="Q626" s="116">
        <v>61.7</v>
      </c>
      <c r="R626">
        <v>292730</v>
      </c>
    </row>
    <row r="627" spans="1:18" x14ac:dyDescent="0.25">
      <c r="A627" s="166">
        <v>42926</v>
      </c>
      <c r="B627" s="116">
        <v>31.225000000000001</v>
      </c>
      <c r="C627" s="116">
        <v>30.375</v>
      </c>
      <c r="D627" s="116">
        <v>30.25</v>
      </c>
      <c r="E627" s="116">
        <v>31</v>
      </c>
      <c r="F627" s="116">
        <v>60.75</v>
      </c>
      <c r="G627">
        <v>96074</v>
      </c>
      <c r="H627" s="116"/>
      <c r="I627" s="116"/>
      <c r="L627" s="166">
        <v>42926</v>
      </c>
      <c r="M627" s="116">
        <v>30.35</v>
      </c>
      <c r="N627" s="116">
        <v>31.1</v>
      </c>
      <c r="O627" s="116">
        <v>30.25</v>
      </c>
      <c r="P627" s="116">
        <v>31</v>
      </c>
      <c r="Q627" s="116">
        <v>60.7</v>
      </c>
      <c r="R627">
        <v>37056</v>
      </c>
    </row>
    <row r="628" spans="1:18" x14ac:dyDescent="0.25">
      <c r="A628" s="166">
        <v>42927</v>
      </c>
      <c r="B628" s="116">
        <v>31.625</v>
      </c>
      <c r="C628" s="116">
        <v>30.625</v>
      </c>
      <c r="D628" s="116">
        <v>30.4</v>
      </c>
      <c r="E628" s="116">
        <v>30.75</v>
      </c>
      <c r="F628" s="116">
        <v>61.25</v>
      </c>
      <c r="G628">
        <v>159212</v>
      </c>
      <c r="H628" s="116"/>
      <c r="I628" s="116"/>
      <c r="L628" s="166">
        <v>42927</v>
      </c>
      <c r="M628" s="116">
        <v>30.65</v>
      </c>
      <c r="N628" s="116">
        <v>31.6</v>
      </c>
      <c r="O628" s="116">
        <v>30.25</v>
      </c>
      <c r="P628" s="116">
        <v>30.725000000000001</v>
      </c>
      <c r="Q628" s="116">
        <v>61.3</v>
      </c>
      <c r="R628">
        <v>348085</v>
      </c>
    </row>
    <row r="629" spans="1:18" x14ac:dyDescent="0.25">
      <c r="A629" s="166">
        <v>42928</v>
      </c>
      <c r="B629" s="116">
        <v>31.024999999999999</v>
      </c>
      <c r="C629" s="116">
        <v>30.35</v>
      </c>
      <c r="D629" s="116">
        <v>30.1</v>
      </c>
      <c r="E629" s="116">
        <v>31</v>
      </c>
      <c r="F629" s="116">
        <v>60.7</v>
      </c>
      <c r="G629">
        <v>26059</v>
      </c>
      <c r="H629" s="116"/>
      <c r="I629" s="116"/>
      <c r="L629" s="166">
        <v>42928</v>
      </c>
      <c r="M629" s="116">
        <v>30.324999999999999</v>
      </c>
      <c r="N629" s="116">
        <v>31</v>
      </c>
      <c r="O629" s="116">
        <v>30.2</v>
      </c>
      <c r="P629" s="116">
        <v>30.75</v>
      </c>
      <c r="Q629" s="116">
        <v>60.65</v>
      </c>
      <c r="R629">
        <v>126597</v>
      </c>
    </row>
    <row r="630" spans="1:18" x14ac:dyDescent="0.25">
      <c r="A630" s="166">
        <v>42929</v>
      </c>
      <c r="B630" s="116">
        <v>32.200000000000003</v>
      </c>
      <c r="C630" s="116">
        <v>31.875</v>
      </c>
      <c r="D630" s="116">
        <v>30.35</v>
      </c>
      <c r="E630" s="116">
        <v>30.35</v>
      </c>
      <c r="F630" s="116">
        <v>63.75</v>
      </c>
      <c r="G630">
        <v>214422</v>
      </c>
      <c r="H630" s="116"/>
      <c r="I630" s="116"/>
      <c r="L630" s="166">
        <v>42929</v>
      </c>
      <c r="M630" s="116">
        <v>31.925000000000001</v>
      </c>
      <c r="N630" s="116">
        <v>32.299999999999997</v>
      </c>
      <c r="O630" s="116">
        <v>30.4</v>
      </c>
      <c r="P630" s="116">
        <v>30.4</v>
      </c>
      <c r="Q630" s="116">
        <v>63.85</v>
      </c>
      <c r="R630">
        <v>762027</v>
      </c>
    </row>
    <row r="631" spans="1:18" x14ac:dyDescent="0.25">
      <c r="A631" s="166">
        <v>42930</v>
      </c>
      <c r="B631" s="116">
        <v>32.25</v>
      </c>
      <c r="C631" s="116">
        <v>30.875</v>
      </c>
      <c r="D631" s="116">
        <v>30.625</v>
      </c>
      <c r="E631" s="116">
        <v>31.95</v>
      </c>
      <c r="F631" s="116">
        <v>61.75</v>
      </c>
      <c r="G631">
        <v>118236</v>
      </c>
      <c r="H631" s="116"/>
      <c r="I631" s="116"/>
      <c r="L631" s="166">
        <v>42930</v>
      </c>
      <c r="M631" s="116">
        <v>30.95</v>
      </c>
      <c r="N631" s="116">
        <v>32.174999999999997</v>
      </c>
      <c r="O631" s="116">
        <v>30.675000000000001</v>
      </c>
      <c r="P631" s="116">
        <v>31.8</v>
      </c>
      <c r="Q631" s="116">
        <v>61.9</v>
      </c>
      <c r="R631">
        <v>295169</v>
      </c>
    </row>
    <row r="632" spans="1:18" x14ac:dyDescent="0.25">
      <c r="A632" s="166">
        <v>42933</v>
      </c>
      <c r="B632" s="116">
        <v>31.175000000000001</v>
      </c>
      <c r="C632" s="116">
        <v>30.55</v>
      </c>
      <c r="D632" s="116">
        <v>30.5</v>
      </c>
      <c r="E632" s="116">
        <v>31.175000000000001</v>
      </c>
      <c r="F632" s="116">
        <v>61.1</v>
      </c>
      <c r="G632">
        <v>29373</v>
      </c>
      <c r="H632" s="116"/>
      <c r="I632" s="116"/>
      <c r="L632" s="166">
        <v>42933</v>
      </c>
      <c r="M632" s="116">
        <v>30.65</v>
      </c>
      <c r="N632" s="116">
        <v>31.15</v>
      </c>
      <c r="O632" s="116">
        <v>30.475000000000001</v>
      </c>
      <c r="P632" s="116">
        <v>30.95</v>
      </c>
      <c r="Q632" s="116">
        <v>61.3</v>
      </c>
      <c r="R632">
        <v>126643</v>
      </c>
    </row>
    <row r="633" spans="1:18" x14ac:dyDescent="0.25">
      <c r="A633" s="166">
        <v>42934</v>
      </c>
      <c r="B633" s="116">
        <v>31</v>
      </c>
      <c r="C633" s="116">
        <v>30.15</v>
      </c>
      <c r="D633" s="116">
        <v>29.975000000000001</v>
      </c>
      <c r="E633" s="116">
        <v>30.3</v>
      </c>
      <c r="F633" s="116">
        <v>60.3</v>
      </c>
      <c r="G633">
        <v>102993</v>
      </c>
      <c r="H633" s="116"/>
      <c r="I633" s="116"/>
      <c r="L633" s="166">
        <v>42934</v>
      </c>
      <c r="M633" s="116">
        <v>30.074999999999999</v>
      </c>
      <c r="N633" s="116">
        <v>31.074999999999999</v>
      </c>
      <c r="O633" s="116">
        <v>29.95</v>
      </c>
      <c r="P633" s="116">
        <v>30.65</v>
      </c>
      <c r="Q633" s="116">
        <v>60.15</v>
      </c>
      <c r="R633">
        <v>265938</v>
      </c>
    </row>
    <row r="634" spans="1:18" x14ac:dyDescent="0.25">
      <c r="A634" s="166">
        <v>42935</v>
      </c>
      <c r="B634" s="116">
        <v>30.625</v>
      </c>
      <c r="C634" s="116">
        <v>29.95</v>
      </c>
      <c r="D634" s="116">
        <v>29.75</v>
      </c>
      <c r="E634" s="116">
        <v>30.175000000000001</v>
      </c>
      <c r="F634" s="116">
        <v>59.9</v>
      </c>
      <c r="G634">
        <v>73183</v>
      </c>
      <c r="H634" s="116"/>
      <c r="I634" s="116"/>
      <c r="L634" s="166">
        <v>42935</v>
      </c>
      <c r="M634" s="116">
        <v>29.975000000000001</v>
      </c>
      <c r="N634" s="116">
        <v>30.7</v>
      </c>
      <c r="O634" s="116">
        <v>29.9</v>
      </c>
      <c r="P634" s="116">
        <v>30.25</v>
      </c>
      <c r="Q634" s="116">
        <v>59.95</v>
      </c>
      <c r="R634">
        <v>221829</v>
      </c>
    </row>
    <row r="635" spans="1:18" x14ac:dyDescent="0.25">
      <c r="A635" s="166">
        <v>42936</v>
      </c>
      <c r="B635" s="116">
        <v>30.3</v>
      </c>
      <c r="C635" s="116">
        <v>30</v>
      </c>
      <c r="D635" s="116">
        <v>29.675000000000001</v>
      </c>
      <c r="E635" s="116">
        <v>30.225000000000001</v>
      </c>
      <c r="F635" s="116">
        <v>60</v>
      </c>
      <c r="G635">
        <v>120043</v>
      </c>
      <c r="H635" s="116"/>
      <c r="I635" s="116"/>
      <c r="L635" s="166">
        <v>42936</v>
      </c>
      <c r="M635" s="116">
        <v>29.95</v>
      </c>
      <c r="N635" s="116">
        <v>30.25</v>
      </c>
      <c r="O635" s="116">
        <v>29.35</v>
      </c>
      <c r="P635" s="116">
        <v>30.2</v>
      </c>
      <c r="Q635" s="116">
        <v>59.9</v>
      </c>
      <c r="R635">
        <v>216860</v>
      </c>
    </row>
    <row r="636" spans="1:18" x14ac:dyDescent="0.25">
      <c r="A636" s="166">
        <v>42937</v>
      </c>
      <c r="B636" s="116">
        <v>30.2</v>
      </c>
      <c r="C636" s="116">
        <v>29.6</v>
      </c>
      <c r="D636" s="116">
        <v>29.274999999999999</v>
      </c>
      <c r="E636" s="116">
        <v>30</v>
      </c>
      <c r="F636" s="116">
        <v>59.2</v>
      </c>
      <c r="G636">
        <v>90475</v>
      </c>
      <c r="H636" s="116"/>
      <c r="I636" s="116"/>
      <c r="L636" s="166">
        <v>42937</v>
      </c>
      <c r="M636" s="116">
        <v>29.6</v>
      </c>
      <c r="N636" s="116">
        <v>30.125</v>
      </c>
      <c r="O636" s="116">
        <v>29.125</v>
      </c>
      <c r="P636" s="116">
        <v>29.95</v>
      </c>
      <c r="Q636" s="116">
        <v>59.2</v>
      </c>
      <c r="R636">
        <v>146634</v>
      </c>
    </row>
    <row r="637" spans="1:18" x14ac:dyDescent="0.25">
      <c r="A637" s="166">
        <v>42940</v>
      </c>
      <c r="B637" s="116">
        <v>30.6</v>
      </c>
      <c r="C637" s="116">
        <v>30.25</v>
      </c>
      <c r="D637" s="116">
        <v>29.55</v>
      </c>
      <c r="E637" s="116">
        <v>30.6</v>
      </c>
      <c r="F637" s="116">
        <v>60.5</v>
      </c>
      <c r="G637">
        <v>38683</v>
      </c>
      <c r="H637" s="116"/>
      <c r="I637" s="116"/>
      <c r="L637" s="166">
        <v>42940</v>
      </c>
      <c r="M637" s="116">
        <v>30.274999999999999</v>
      </c>
      <c r="N637" s="116">
        <v>30.5</v>
      </c>
      <c r="O637" s="116">
        <v>29.4</v>
      </c>
      <c r="P637" s="116">
        <v>29.725000000000001</v>
      </c>
      <c r="Q637" s="116">
        <v>60.55</v>
      </c>
      <c r="R637">
        <v>346575</v>
      </c>
    </row>
    <row r="638" spans="1:18" x14ac:dyDescent="0.25">
      <c r="A638" s="166">
        <v>42941</v>
      </c>
      <c r="B638" s="116">
        <v>31.125</v>
      </c>
      <c r="C638" s="116">
        <v>30.55</v>
      </c>
      <c r="D638" s="116">
        <v>30</v>
      </c>
      <c r="E638" s="116">
        <v>30.5</v>
      </c>
      <c r="F638" s="116">
        <v>61.1</v>
      </c>
      <c r="G638">
        <v>132763</v>
      </c>
      <c r="H638" s="116"/>
      <c r="I638" s="116"/>
      <c r="L638" s="166">
        <v>42941</v>
      </c>
      <c r="M638" s="116">
        <v>30.55</v>
      </c>
      <c r="N638" s="116">
        <v>31.225000000000001</v>
      </c>
      <c r="O638" s="116">
        <v>29.925000000000001</v>
      </c>
      <c r="P638" s="116">
        <v>30.375</v>
      </c>
      <c r="Q638" s="116">
        <v>61.1</v>
      </c>
      <c r="R638">
        <v>368161</v>
      </c>
    </row>
    <row r="639" spans="1:18" x14ac:dyDescent="0.25">
      <c r="A639" s="166">
        <v>42942</v>
      </c>
      <c r="B639" s="116">
        <v>31</v>
      </c>
      <c r="C639" s="116">
        <v>30.6</v>
      </c>
      <c r="D639" s="116">
        <v>30.3</v>
      </c>
      <c r="E639" s="116">
        <v>30.324999999999999</v>
      </c>
      <c r="F639" s="116">
        <v>61.2</v>
      </c>
      <c r="G639">
        <v>81149</v>
      </c>
      <c r="H639" s="116"/>
      <c r="I639" s="116"/>
      <c r="L639" s="166">
        <v>42942</v>
      </c>
      <c r="M639" s="116">
        <v>30.85</v>
      </c>
      <c r="N639" s="116">
        <v>31.05</v>
      </c>
      <c r="O639" s="116">
        <v>30.274999999999999</v>
      </c>
      <c r="P639" s="116">
        <v>30.4</v>
      </c>
      <c r="Q639" s="116">
        <v>61.7</v>
      </c>
      <c r="R639">
        <v>227526</v>
      </c>
    </row>
    <row r="640" spans="1:18" x14ac:dyDescent="0.25">
      <c r="A640" s="166">
        <v>42943</v>
      </c>
      <c r="B640" s="116">
        <v>31.2</v>
      </c>
      <c r="C640" s="116">
        <v>29.975000000000001</v>
      </c>
      <c r="D640" s="116">
        <v>29.9</v>
      </c>
      <c r="E640" s="116">
        <v>30.8</v>
      </c>
      <c r="F640" s="116">
        <v>59.95</v>
      </c>
      <c r="G640">
        <v>68835</v>
      </c>
      <c r="H640" s="116"/>
      <c r="I640" s="116"/>
      <c r="L640" s="166">
        <v>42943</v>
      </c>
      <c r="M640" s="116">
        <v>30.1</v>
      </c>
      <c r="N640" s="116">
        <v>31.25</v>
      </c>
      <c r="O640" s="116">
        <v>30.024999999999999</v>
      </c>
      <c r="P640" s="116">
        <v>30.85</v>
      </c>
      <c r="Q640" s="116">
        <v>60.2</v>
      </c>
      <c r="R640">
        <v>141149</v>
      </c>
    </row>
    <row r="641" spans="1:18" x14ac:dyDescent="0.25">
      <c r="A641" s="166">
        <v>42944</v>
      </c>
      <c r="B641" s="116">
        <v>30.324999999999999</v>
      </c>
      <c r="C641" s="116">
        <v>30.024999999999999</v>
      </c>
      <c r="D641" s="116">
        <v>29.75</v>
      </c>
      <c r="E641" s="116">
        <v>29.9</v>
      </c>
      <c r="F641" s="116">
        <v>60.05</v>
      </c>
      <c r="G641">
        <v>53562</v>
      </c>
      <c r="H641" s="116"/>
      <c r="I641" s="116"/>
      <c r="L641" s="166">
        <v>42944</v>
      </c>
      <c r="M641" s="116">
        <v>30.125</v>
      </c>
      <c r="N641" s="116">
        <v>30.5</v>
      </c>
      <c r="O641" s="116">
        <v>29.8</v>
      </c>
      <c r="P641" s="116">
        <v>29.925000000000001</v>
      </c>
      <c r="Q641" s="116">
        <v>60.25</v>
      </c>
      <c r="R641">
        <v>119501</v>
      </c>
    </row>
    <row r="642" spans="1:18" x14ac:dyDescent="0.25">
      <c r="A642" s="166">
        <v>42947</v>
      </c>
      <c r="B642" s="116">
        <v>31.85</v>
      </c>
      <c r="C642" s="116">
        <v>31.5</v>
      </c>
      <c r="D642" s="116">
        <v>30.05</v>
      </c>
      <c r="E642" s="116">
        <v>30.125</v>
      </c>
      <c r="F642" s="116">
        <v>63</v>
      </c>
      <c r="G642">
        <v>170228</v>
      </c>
      <c r="H642" s="116"/>
      <c r="I642" s="116"/>
      <c r="L642" s="166">
        <v>42947</v>
      </c>
      <c r="M642" s="116">
        <v>31.625</v>
      </c>
      <c r="N642" s="116">
        <v>32</v>
      </c>
      <c r="O642" s="116">
        <v>30.125</v>
      </c>
      <c r="P642" s="116">
        <v>30.175000000000001</v>
      </c>
      <c r="Q642" s="116">
        <v>63.25</v>
      </c>
      <c r="R642">
        <v>518484</v>
      </c>
    </row>
    <row r="643" spans="1:18" x14ac:dyDescent="0.25">
      <c r="A643" s="166">
        <v>42948</v>
      </c>
      <c r="B643" s="116">
        <v>32</v>
      </c>
      <c r="C643" s="116">
        <v>31.3</v>
      </c>
      <c r="D643" s="116">
        <v>31</v>
      </c>
      <c r="E643" s="116">
        <v>31.5</v>
      </c>
      <c r="F643" s="116">
        <v>62.6</v>
      </c>
      <c r="G643">
        <v>57894</v>
      </c>
      <c r="H643" s="116"/>
      <c r="I643" s="116"/>
      <c r="L643" s="166">
        <v>42948</v>
      </c>
      <c r="M643" s="116">
        <v>31.324999999999999</v>
      </c>
      <c r="N643" s="116">
        <v>31.95</v>
      </c>
      <c r="O643" s="116">
        <v>31.05</v>
      </c>
      <c r="P643" s="116">
        <v>31.524999999999999</v>
      </c>
      <c r="Q643" s="116">
        <v>62.65</v>
      </c>
      <c r="R643">
        <v>212643</v>
      </c>
    </row>
    <row r="644" spans="1:18" x14ac:dyDescent="0.25">
      <c r="A644" s="166">
        <v>42949</v>
      </c>
      <c r="B644" s="116">
        <v>31.55</v>
      </c>
      <c r="C644" s="116">
        <v>30.75</v>
      </c>
      <c r="D644" s="116">
        <v>30.45</v>
      </c>
      <c r="E644" s="116">
        <v>31.55</v>
      </c>
      <c r="F644" s="116">
        <v>61.5</v>
      </c>
      <c r="G644">
        <v>40689</v>
      </c>
      <c r="H644" s="116"/>
      <c r="I644" s="116"/>
      <c r="L644" s="166">
        <v>42949</v>
      </c>
      <c r="M644" s="116">
        <v>30.85</v>
      </c>
      <c r="N644" s="116">
        <v>31.3</v>
      </c>
      <c r="O644" s="116">
        <v>30.35</v>
      </c>
      <c r="P644" s="116">
        <v>31.3</v>
      </c>
      <c r="Q644" s="116">
        <v>61.7</v>
      </c>
      <c r="R644">
        <v>99465</v>
      </c>
    </row>
    <row r="645" spans="1:18" x14ac:dyDescent="0.25">
      <c r="A645" s="166">
        <v>42950</v>
      </c>
      <c r="B645" s="116">
        <v>31</v>
      </c>
      <c r="C645" s="116">
        <v>27.175000000000001</v>
      </c>
      <c r="D645" s="116">
        <v>26.75</v>
      </c>
      <c r="E645" s="116">
        <v>31</v>
      </c>
      <c r="F645" s="116">
        <v>54.35</v>
      </c>
      <c r="G645">
        <v>261244</v>
      </c>
      <c r="H645" s="116"/>
      <c r="I645" s="116"/>
      <c r="L645" s="166">
        <v>42950</v>
      </c>
      <c r="M645" s="116">
        <v>27.024999999999999</v>
      </c>
      <c r="N645" s="116">
        <v>30.975000000000001</v>
      </c>
      <c r="O645" s="116">
        <v>26.4</v>
      </c>
      <c r="P645" s="116">
        <v>30.85</v>
      </c>
      <c r="Q645" s="116">
        <v>54.05</v>
      </c>
      <c r="R645">
        <v>971665</v>
      </c>
    </row>
    <row r="646" spans="1:18" x14ac:dyDescent="0.25">
      <c r="A646" s="166">
        <v>42951</v>
      </c>
      <c r="B646" s="116">
        <v>27.45</v>
      </c>
      <c r="C646" s="116">
        <v>26.824999999999999</v>
      </c>
      <c r="D646" s="116">
        <v>26.4</v>
      </c>
      <c r="E646" s="116">
        <v>27.05</v>
      </c>
      <c r="F646" s="116">
        <v>53.65</v>
      </c>
      <c r="G646">
        <v>136875</v>
      </c>
      <c r="H646" s="116"/>
      <c r="I646" s="116"/>
      <c r="L646" s="166">
        <v>42951</v>
      </c>
      <c r="M646" s="116">
        <v>26.824999999999999</v>
      </c>
      <c r="N646" s="116">
        <v>27.425000000000001</v>
      </c>
      <c r="O646" s="116">
        <v>26.35</v>
      </c>
      <c r="P646" s="116">
        <v>27.074999999999999</v>
      </c>
      <c r="Q646" s="116">
        <v>53.65</v>
      </c>
      <c r="R646">
        <v>432313</v>
      </c>
    </row>
    <row r="647" spans="1:18" x14ac:dyDescent="0.25">
      <c r="A647" s="166">
        <v>42954</v>
      </c>
      <c r="B647" s="116">
        <v>27.45</v>
      </c>
      <c r="C647" s="116">
        <v>25.8</v>
      </c>
      <c r="D647" s="116">
        <v>25.1</v>
      </c>
      <c r="E647" s="116">
        <v>27.1</v>
      </c>
      <c r="F647" s="116">
        <v>51.6</v>
      </c>
      <c r="G647">
        <v>107622</v>
      </c>
      <c r="H647" s="116"/>
      <c r="I647" s="116"/>
      <c r="L647" s="166">
        <v>42954</v>
      </c>
      <c r="M647" s="116">
        <v>25.774999999999999</v>
      </c>
      <c r="N647" s="116">
        <v>27.35</v>
      </c>
      <c r="O647" s="116">
        <v>25.4</v>
      </c>
      <c r="P647" s="116">
        <v>26.824999999999999</v>
      </c>
      <c r="Q647" s="116">
        <v>51.55</v>
      </c>
      <c r="R647">
        <v>277470</v>
      </c>
    </row>
    <row r="648" spans="1:18" x14ac:dyDescent="0.25">
      <c r="A648" s="166">
        <v>42955</v>
      </c>
      <c r="B648" s="116">
        <v>25.925000000000001</v>
      </c>
      <c r="C648" s="116">
        <v>24.55</v>
      </c>
      <c r="D648" s="116">
        <v>24.2</v>
      </c>
      <c r="E648" s="116">
        <v>25.875</v>
      </c>
      <c r="F648" s="116">
        <v>49.1</v>
      </c>
      <c r="G648">
        <v>77598</v>
      </c>
      <c r="H648" s="116"/>
      <c r="I648" s="116"/>
      <c r="L648" s="166">
        <v>42955</v>
      </c>
      <c r="M648" s="116">
        <v>24.4</v>
      </c>
      <c r="N648" s="116">
        <v>25.95</v>
      </c>
      <c r="O648" s="116">
        <v>24</v>
      </c>
      <c r="P648" s="116">
        <v>25.8</v>
      </c>
      <c r="Q648" s="116">
        <v>48.8</v>
      </c>
      <c r="R648">
        <v>352867</v>
      </c>
    </row>
    <row r="649" spans="1:18" x14ac:dyDescent="0.25">
      <c r="A649" s="166">
        <v>42956</v>
      </c>
      <c r="B649" s="116">
        <v>24.225000000000001</v>
      </c>
      <c r="C649" s="116">
        <v>23.45</v>
      </c>
      <c r="D649" s="116">
        <v>23.3</v>
      </c>
      <c r="E649" s="116">
        <v>24.074999999999999</v>
      </c>
      <c r="F649" s="116">
        <v>46.9</v>
      </c>
      <c r="G649">
        <v>61293</v>
      </c>
      <c r="H649" s="116"/>
      <c r="I649" s="116"/>
      <c r="L649" s="166">
        <v>42956</v>
      </c>
      <c r="M649" s="116">
        <v>23.45</v>
      </c>
      <c r="N649" s="116">
        <v>24.3</v>
      </c>
      <c r="O649" s="116">
        <v>23.4</v>
      </c>
      <c r="P649" s="116">
        <v>24.3</v>
      </c>
      <c r="Q649" s="116">
        <v>46.9</v>
      </c>
      <c r="R649">
        <v>250330</v>
      </c>
    </row>
    <row r="650" spans="1:18" x14ac:dyDescent="0.25">
      <c r="A650" s="166">
        <v>42957</v>
      </c>
      <c r="B650" s="116">
        <v>23.574999999999999</v>
      </c>
      <c r="C650" s="116">
        <v>23.1</v>
      </c>
      <c r="D650" s="116">
        <v>22.925000000000001</v>
      </c>
      <c r="E650" s="116">
        <v>23.274999999999999</v>
      </c>
      <c r="F650" s="116">
        <v>46.2</v>
      </c>
      <c r="G650">
        <v>61892</v>
      </c>
      <c r="H650" s="116"/>
      <c r="I650" s="116"/>
      <c r="L650" s="166">
        <v>42957</v>
      </c>
      <c r="M650" s="116">
        <v>23.05</v>
      </c>
      <c r="N650" s="116">
        <v>23.5</v>
      </c>
      <c r="O650" s="116">
        <v>22.85</v>
      </c>
      <c r="P650" s="116">
        <v>23.25</v>
      </c>
      <c r="Q650" s="116">
        <v>46.1</v>
      </c>
      <c r="R650">
        <v>100197</v>
      </c>
    </row>
    <row r="651" spans="1:18" x14ac:dyDescent="0.25">
      <c r="A651" s="166">
        <v>42958</v>
      </c>
      <c r="B651" s="116">
        <v>24.175000000000001</v>
      </c>
      <c r="C651" s="116">
        <v>23.024999999999999</v>
      </c>
      <c r="D651" s="116">
        <v>22.5</v>
      </c>
      <c r="E651" s="116">
        <v>24.175000000000001</v>
      </c>
      <c r="F651" s="116">
        <v>46.05</v>
      </c>
      <c r="G651">
        <v>65072</v>
      </c>
      <c r="H651" s="116"/>
      <c r="I651" s="116"/>
      <c r="L651" s="166">
        <v>42958</v>
      </c>
      <c r="M651" s="116">
        <v>23.024999999999999</v>
      </c>
      <c r="N651" s="116">
        <v>23.875</v>
      </c>
      <c r="O651" s="116">
        <v>22.5</v>
      </c>
      <c r="P651" s="116">
        <v>23.875</v>
      </c>
      <c r="Q651" s="116">
        <v>46.05</v>
      </c>
      <c r="R651">
        <v>170998</v>
      </c>
    </row>
    <row r="652" spans="1:18" x14ac:dyDescent="0.25">
      <c r="A652" s="166">
        <v>42961</v>
      </c>
      <c r="B652" s="116">
        <v>23.75</v>
      </c>
      <c r="C652" s="116">
        <v>23.5</v>
      </c>
      <c r="D652" s="116">
        <v>22.774999999999999</v>
      </c>
      <c r="E652" s="116">
        <v>23.024999999999999</v>
      </c>
      <c r="F652" s="116">
        <v>47</v>
      </c>
      <c r="G652">
        <v>53974</v>
      </c>
      <c r="H652" s="116"/>
      <c r="I652" s="116"/>
      <c r="L652" s="166">
        <v>42961</v>
      </c>
      <c r="M652" s="116">
        <v>23.574999999999999</v>
      </c>
      <c r="N652" s="116">
        <v>23.774999999999999</v>
      </c>
      <c r="O652" s="116">
        <v>22.574999999999999</v>
      </c>
      <c r="P652" s="116">
        <v>22.6</v>
      </c>
      <c r="Q652" s="116">
        <v>47.15</v>
      </c>
      <c r="R652">
        <v>80453</v>
      </c>
    </row>
    <row r="653" spans="1:18" x14ac:dyDescent="0.25">
      <c r="A653" s="166">
        <v>42963</v>
      </c>
      <c r="B653" s="116">
        <v>24.15</v>
      </c>
      <c r="C653" s="116">
        <v>24.074999999999999</v>
      </c>
      <c r="D653" s="116">
        <v>23.25</v>
      </c>
      <c r="E653" s="116">
        <v>23.675000000000001</v>
      </c>
      <c r="F653" s="116">
        <v>48.15</v>
      </c>
      <c r="G653">
        <v>83487</v>
      </c>
      <c r="H653" s="116"/>
      <c r="I653" s="116"/>
      <c r="L653" s="166">
        <v>42963</v>
      </c>
      <c r="M653" s="116">
        <v>24.05</v>
      </c>
      <c r="N653" s="116">
        <v>24.2</v>
      </c>
      <c r="O653" s="116">
        <v>23.274999999999999</v>
      </c>
      <c r="P653" s="116">
        <v>23.5</v>
      </c>
      <c r="Q653" s="116">
        <v>48.1</v>
      </c>
      <c r="R653">
        <v>184234</v>
      </c>
    </row>
    <row r="654" spans="1:18" x14ac:dyDescent="0.25">
      <c r="A654" s="166">
        <v>42964</v>
      </c>
      <c r="B654" s="116">
        <v>24.8</v>
      </c>
      <c r="C654" s="116">
        <v>24.4</v>
      </c>
      <c r="D654" s="116">
        <v>24</v>
      </c>
      <c r="E654" s="116">
        <v>24.074999999999999</v>
      </c>
      <c r="F654" s="116">
        <v>48.8</v>
      </c>
      <c r="G654">
        <v>103568</v>
      </c>
      <c r="H654" s="116"/>
      <c r="I654" s="116"/>
      <c r="L654" s="166">
        <v>42964</v>
      </c>
      <c r="M654" s="116">
        <v>24.5</v>
      </c>
      <c r="N654" s="116">
        <v>24.9</v>
      </c>
      <c r="O654" s="116">
        <v>24</v>
      </c>
      <c r="P654" s="116">
        <v>24.25</v>
      </c>
      <c r="Q654" s="116">
        <v>49</v>
      </c>
      <c r="R654">
        <v>174329</v>
      </c>
    </row>
    <row r="655" spans="1:18" x14ac:dyDescent="0.25">
      <c r="A655" s="166">
        <v>42965</v>
      </c>
      <c r="B655" s="116">
        <v>25.324999999999999</v>
      </c>
      <c r="C655" s="116">
        <v>25</v>
      </c>
      <c r="D655" s="116">
        <v>23.9</v>
      </c>
      <c r="E655" s="116">
        <v>24.074999999999999</v>
      </c>
      <c r="F655" s="116">
        <v>50</v>
      </c>
      <c r="G655">
        <v>77279</v>
      </c>
      <c r="H655" s="116"/>
      <c r="I655" s="116"/>
      <c r="L655" s="166">
        <v>42965</v>
      </c>
      <c r="M655" s="116">
        <v>25.15</v>
      </c>
      <c r="N655" s="116">
        <v>25.475000000000001</v>
      </c>
      <c r="O655" s="116">
        <v>23.824999999999999</v>
      </c>
      <c r="P655" s="116">
        <v>24</v>
      </c>
      <c r="Q655" s="116">
        <v>50.3</v>
      </c>
      <c r="R655">
        <v>226286</v>
      </c>
    </row>
    <row r="656" spans="1:18" x14ac:dyDescent="0.25">
      <c r="A656" s="166">
        <v>42968</v>
      </c>
      <c r="B656" s="116">
        <v>25.3</v>
      </c>
      <c r="C656" s="116">
        <v>24.074999999999999</v>
      </c>
      <c r="D656" s="116">
        <v>24</v>
      </c>
      <c r="E656" s="116">
        <v>25.175000000000001</v>
      </c>
      <c r="F656" s="116">
        <v>48.15</v>
      </c>
      <c r="G656">
        <v>20234</v>
      </c>
      <c r="H656" s="116"/>
      <c r="I656" s="116"/>
      <c r="L656" s="166">
        <v>42968</v>
      </c>
      <c r="M656" s="116">
        <v>24.25</v>
      </c>
      <c r="N656" s="116">
        <v>25.35</v>
      </c>
      <c r="O656" s="116">
        <v>24.024999999999999</v>
      </c>
      <c r="P656" s="116">
        <v>25.2</v>
      </c>
      <c r="Q656" s="116">
        <v>48.5</v>
      </c>
      <c r="R656">
        <v>93170</v>
      </c>
    </row>
    <row r="657" spans="1:18" x14ac:dyDescent="0.25">
      <c r="A657" s="166">
        <v>42969</v>
      </c>
      <c r="B657" s="116">
        <v>24.425000000000001</v>
      </c>
      <c r="C657" s="116">
        <v>23.875</v>
      </c>
      <c r="D657" s="116">
        <v>23.55</v>
      </c>
      <c r="E657" s="116">
        <v>24.1</v>
      </c>
      <c r="F657" s="116">
        <v>47.75</v>
      </c>
      <c r="G657">
        <v>17123</v>
      </c>
      <c r="H657" s="116"/>
      <c r="I657" s="116"/>
      <c r="L657" s="166">
        <v>42969</v>
      </c>
      <c r="M657" s="116">
        <v>23.85</v>
      </c>
      <c r="N657" s="116">
        <v>24.5</v>
      </c>
      <c r="O657" s="116">
        <v>23.3</v>
      </c>
      <c r="P657" s="116">
        <v>24.25</v>
      </c>
      <c r="Q657" s="116">
        <v>47.7</v>
      </c>
      <c r="R657">
        <v>74807</v>
      </c>
    </row>
    <row r="658" spans="1:18" x14ac:dyDescent="0.25">
      <c r="A658" s="166">
        <v>42970</v>
      </c>
      <c r="B658" s="116">
        <v>24.3</v>
      </c>
      <c r="C658" s="116">
        <v>23.95</v>
      </c>
      <c r="D658" s="116">
        <v>23.75</v>
      </c>
      <c r="E658" s="116">
        <v>24.25</v>
      </c>
      <c r="F658" s="116">
        <v>47.9</v>
      </c>
      <c r="G658">
        <v>21402</v>
      </c>
      <c r="H658" s="116"/>
      <c r="I658" s="116"/>
      <c r="L658" s="166">
        <v>42970</v>
      </c>
      <c r="M658" s="116">
        <v>23.95</v>
      </c>
      <c r="N658" s="116">
        <v>24.274999999999999</v>
      </c>
      <c r="O658" s="116">
        <v>23.8</v>
      </c>
      <c r="P658" s="116">
        <v>24.125</v>
      </c>
      <c r="Q658" s="116">
        <v>47.9</v>
      </c>
      <c r="R658">
        <v>56632</v>
      </c>
    </row>
    <row r="659" spans="1:18" x14ac:dyDescent="0.25">
      <c r="A659" s="166">
        <v>42971</v>
      </c>
      <c r="B659" s="116">
        <v>24.3</v>
      </c>
      <c r="C659" s="116">
        <v>24.05</v>
      </c>
      <c r="D659" s="116">
        <v>23.625</v>
      </c>
      <c r="E659" s="116">
        <v>24.1</v>
      </c>
      <c r="F659" s="116">
        <v>48.1</v>
      </c>
      <c r="G659">
        <v>27669</v>
      </c>
      <c r="H659" s="116"/>
      <c r="I659" s="116"/>
      <c r="L659" s="166">
        <v>42971</v>
      </c>
      <c r="M659" s="116">
        <v>23.925000000000001</v>
      </c>
      <c r="N659" s="116">
        <v>24.25</v>
      </c>
      <c r="O659" s="116">
        <v>23.6</v>
      </c>
      <c r="P659" s="116">
        <v>24.1</v>
      </c>
      <c r="Q659" s="116">
        <v>47.85</v>
      </c>
      <c r="R659">
        <v>154907</v>
      </c>
    </row>
    <row r="660" spans="1:18" x14ac:dyDescent="0.25">
      <c r="A660" s="166">
        <v>42975</v>
      </c>
      <c r="B660" s="116">
        <v>24.225000000000001</v>
      </c>
      <c r="C660" s="116">
        <v>23.9</v>
      </c>
      <c r="D660" s="116">
        <v>23.75</v>
      </c>
      <c r="E660" s="116">
        <v>24.074999999999999</v>
      </c>
      <c r="F660" s="116">
        <v>47.8</v>
      </c>
      <c r="G660">
        <v>24371</v>
      </c>
      <c r="H660" s="116"/>
      <c r="I660" s="116"/>
      <c r="L660" s="166">
        <v>42975</v>
      </c>
      <c r="M660" s="116">
        <v>23.9</v>
      </c>
      <c r="N660" s="116">
        <v>24.15</v>
      </c>
      <c r="O660" s="116">
        <v>23.7</v>
      </c>
      <c r="P660" s="116">
        <v>24.1</v>
      </c>
      <c r="Q660" s="116">
        <v>47.8</v>
      </c>
      <c r="R660">
        <v>77348</v>
      </c>
    </row>
    <row r="661" spans="1:18" x14ac:dyDescent="0.25">
      <c r="A661" s="166">
        <v>42976</v>
      </c>
      <c r="B661" s="116">
        <v>24.1</v>
      </c>
      <c r="C661" s="116">
        <v>23.65</v>
      </c>
      <c r="D661" s="116">
        <v>23.5</v>
      </c>
      <c r="E661" s="116">
        <v>23.675000000000001</v>
      </c>
      <c r="F661" s="116">
        <v>47.3</v>
      </c>
      <c r="G661">
        <v>22975</v>
      </c>
      <c r="H661" s="116"/>
      <c r="I661" s="116"/>
      <c r="L661" s="166">
        <v>42976</v>
      </c>
      <c r="M661" s="116">
        <v>23.625</v>
      </c>
      <c r="N661" s="116">
        <v>23.975000000000001</v>
      </c>
      <c r="O661" s="116">
        <v>23.574999999999999</v>
      </c>
      <c r="P661" s="116">
        <v>23.925000000000001</v>
      </c>
      <c r="Q661" s="116">
        <v>47.25</v>
      </c>
      <c r="R661">
        <v>56718</v>
      </c>
    </row>
    <row r="662" spans="1:18" x14ac:dyDescent="0.25">
      <c r="A662" s="166">
        <v>42977</v>
      </c>
      <c r="B662" s="116">
        <v>24</v>
      </c>
      <c r="C662" s="116">
        <v>23.9</v>
      </c>
      <c r="D662" s="116">
        <v>23.5</v>
      </c>
      <c r="E662" s="116">
        <v>23.55</v>
      </c>
      <c r="F662" s="116">
        <v>47.8</v>
      </c>
      <c r="G662">
        <v>27979</v>
      </c>
      <c r="H662" s="116"/>
      <c r="I662" s="116"/>
      <c r="L662" s="166">
        <v>42977</v>
      </c>
      <c r="M662" s="116">
        <v>23.824999999999999</v>
      </c>
      <c r="N662" s="116">
        <v>23.975000000000001</v>
      </c>
      <c r="O662" s="116">
        <v>23.625</v>
      </c>
      <c r="P662" s="116">
        <v>23.824999999999999</v>
      </c>
      <c r="Q662" s="116">
        <v>47.65</v>
      </c>
      <c r="R662">
        <v>48103</v>
      </c>
    </row>
    <row r="663" spans="1:18" x14ac:dyDescent="0.25">
      <c r="A663" s="166">
        <v>42978</v>
      </c>
      <c r="B663" s="116">
        <v>24.95</v>
      </c>
      <c r="C663" s="116">
        <v>24.524999999999999</v>
      </c>
      <c r="D663" s="116">
        <v>23.5</v>
      </c>
      <c r="E663" s="116">
        <v>23.5</v>
      </c>
      <c r="F663" s="116">
        <v>49.05</v>
      </c>
      <c r="G663">
        <v>69269</v>
      </c>
      <c r="H663" s="116"/>
      <c r="I663" s="116"/>
      <c r="L663" s="166">
        <v>42978</v>
      </c>
      <c r="M663" s="116">
        <v>24.324999999999999</v>
      </c>
      <c r="N663" s="116">
        <v>24.8</v>
      </c>
      <c r="O663" s="116">
        <v>23.65</v>
      </c>
      <c r="P663" s="116">
        <v>23.824999999999999</v>
      </c>
      <c r="Q663" s="116">
        <v>48.65</v>
      </c>
      <c r="R663">
        <v>161281</v>
      </c>
    </row>
    <row r="664" spans="1:18" x14ac:dyDescent="0.25">
      <c r="A664" s="166">
        <v>42979</v>
      </c>
      <c r="B664" s="116">
        <v>24.774999999999999</v>
      </c>
      <c r="C664" s="116">
        <v>24.55</v>
      </c>
      <c r="D664" s="116">
        <v>24.375</v>
      </c>
      <c r="E664" s="116">
        <v>24.375</v>
      </c>
      <c r="F664" s="116">
        <v>49.1</v>
      </c>
      <c r="G664">
        <v>35711</v>
      </c>
      <c r="H664" s="116"/>
      <c r="I664" s="116"/>
      <c r="L664" s="166">
        <v>42979</v>
      </c>
      <c r="M664" s="116">
        <v>24.475000000000001</v>
      </c>
      <c r="N664" s="116">
        <v>24.8</v>
      </c>
      <c r="O664" s="116">
        <v>24.324999999999999</v>
      </c>
      <c r="P664" s="116">
        <v>24.324999999999999</v>
      </c>
      <c r="Q664" s="116">
        <v>48.95</v>
      </c>
      <c r="R664">
        <v>96981</v>
      </c>
    </row>
    <row r="665" spans="1:18" x14ac:dyDescent="0.25">
      <c r="A665" s="166">
        <v>42982</v>
      </c>
      <c r="B665" s="116">
        <v>25.75</v>
      </c>
      <c r="C665" s="116">
        <v>25.024999999999999</v>
      </c>
      <c r="D665" s="116">
        <v>24.5</v>
      </c>
      <c r="E665" s="116">
        <v>24.5</v>
      </c>
      <c r="F665" s="116">
        <v>50.05</v>
      </c>
      <c r="G665">
        <v>57108</v>
      </c>
      <c r="H665" s="116"/>
      <c r="I665" s="116"/>
      <c r="L665" s="166">
        <v>42982</v>
      </c>
      <c r="M665" s="116">
        <v>25.05</v>
      </c>
      <c r="N665" s="116">
        <v>25.725000000000001</v>
      </c>
      <c r="O665" s="116">
        <v>24.625</v>
      </c>
      <c r="P665" s="116">
        <v>24.85</v>
      </c>
      <c r="Q665" s="116">
        <v>50.1</v>
      </c>
      <c r="R665">
        <v>167166</v>
      </c>
    </row>
    <row r="666" spans="1:18" x14ac:dyDescent="0.25">
      <c r="A666" s="166">
        <v>42983</v>
      </c>
      <c r="B666" s="116">
        <v>25.925000000000001</v>
      </c>
      <c r="C666" s="116">
        <v>25.65</v>
      </c>
      <c r="D666" s="116">
        <v>25.15</v>
      </c>
      <c r="E666" s="116">
        <v>25.45</v>
      </c>
      <c r="F666" s="116">
        <v>51.3</v>
      </c>
      <c r="G666">
        <v>75407</v>
      </c>
      <c r="H666" s="116"/>
      <c r="I666" s="116"/>
      <c r="L666" s="166">
        <v>42983</v>
      </c>
      <c r="M666" s="116">
        <v>25.625</v>
      </c>
      <c r="N666" s="116">
        <v>25.975000000000001</v>
      </c>
      <c r="O666" s="116">
        <v>25.074999999999999</v>
      </c>
      <c r="P666" s="116">
        <v>25.074999999999999</v>
      </c>
      <c r="Q666" s="116">
        <v>51.25</v>
      </c>
      <c r="R666">
        <v>218653</v>
      </c>
    </row>
    <row r="667" spans="1:18" x14ac:dyDescent="0.25">
      <c r="A667" s="166">
        <v>42984</v>
      </c>
      <c r="B667" s="116">
        <v>26.15</v>
      </c>
      <c r="C667" s="116">
        <v>25.675000000000001</v>
      </c>
      <c r="D667" s="116">
        <v>25.35</v>
      </c>
      <c r="E667" s="116">
        <v>25.425000000000001</v>
      </c>
      <c r="F667" s="116">
        <v>51.35</v>
      </c>
      <c r="G667">
        <v>39683</v>
      </c>
      <c r="H667" s="116"/>
      <c r="I667" s="116"/>
      <c r="L667" s="166">
        <v>42984</v>
      </c>
      <c r="M667" s="116">
        <v>25.6</v>
      </c>
      <c r="N667" s="116">
        <v>26.225000000000001</v>
      </c>
      <c r="O667" s="116">
        <v>25.324999999999999</v>
      </c>
      <c r="P667" s="116">
        <v>25.625</v>
      </c>
      <c r="Q667" s="116">
        <v>51.2</v>
      </c>
      <c r="R667">
        <v>137346</v>
      </c>
    </row>
    <row r="668" spans="1:18" x14ac:dyDescent="0.25">
      <c r="A668" s="166">
        <v>42985</v>
      </c>
      <c r="B668" s="116">
        <v>25.875</v>
      </c>
      <c r="C668" s="116">
        <v>24.024999999999999</v>
      </c>
      <c r="D668" s="116">
        <v>23.725000000000001</v>
      </c>
      <c r="E668" s="116">
        <v>25.875</v>
      </c>
      <c r="F668" s="116">
        <v>48.05</v>
      </c>
      <c r="G668">
        <v>77305</v>
      </c>
      <c r="H668" s="116"/>
      <c r="I668" s="116"/>
      <c r="L668" s="166">
        <v>42985</v>
      </c>
      <c r="M668" s="116">
        <v>24.074999999999999</v>
      </c>
      <c r="N668" s="116">
        <v>25.925000000000001</v>
      </c>
      <c r="O668" s="116">
        <v>23.8</v>
      </c>
      <c r="P668" s="116">
        <v>25.65</v>
      </c>
      <c r="Q668" s="116">
        <v>48.15</v>
      </c>
      <c r="R668">
        <v>298309</v>
      </c>
    </row>
    <row r="669" spans="1:18" x14ac:dyDescent="0.25">
      <c r="A669" s="166">
        <v>42986</v>
      </c>
      <c r="B669" s="116">
        <v>25.5</v>
      </c>
      <c r="C669" s="116">
        <v>25.2</v>
      </c>
      <c r="D669" s="116">
        <v>24.45</v>
      </c>
      <c r="E669" s="116">
        <v>24.45</v>
      </c>
      <c r="F669" s="116">
        <v>50.4</v>
      </c>
      <c r="G669">
        <v>69127</v>
      </c>
      <c r="H669" s="116"/>
      <c r="I669" s="116"/>
      <c r="L669" s="166">
        <v>42986</v>
      </c>
      <c r="M669" s="116">
        <v>25.1</v>
      </c>
      <c r="N669" s="116">
        <v>25.574999999999999</v>
      </c>
      <c r="O669" s="116">
        <v>24.15</v>
      </c>
      <c r="P669" s="116">
        <v>24.175000000000001</v>
      </c>
      <c r="Q669" s="116">
        <v>50.2</v>
      </c>
      <c r="R669">
        <v>397740</v>
      </c>
    </row>
    <row r="670" spans="1:18" x14ac:dyDescent="0.25">
      <c r="A670" s="166">
        <v>42989</v>
      </c>
      <c r="B670" s="116">
        <v>26.1</v>
      </c>
      <c r="C670" s="116">
        <v>25.774999999999999</v>
      </c>
      <c r="D670" s="116">
        <v>25.274999999999999</v>
      </c>
      <c r="E670" s="116">
        <v>25.5</v>
      </c>
      <c r="F670" s="116">
        <v>51.55</v>
      </c>
      <c r="G670">
        <v>63487</v>
      </c>
      <c r="H670" s="116"/>
      <c r="I670" s="116"/>
      <c r="L670" s="166">
        <v>42989</v>
      </c>
      <c r="M670" s="116">
        <v>25.85</v>
      </c>
      <c r="N670" s="116">
        <v>26.15</v>
      </c>
      <c r="O670" s="116">
        <v>25.25</v>
      </c>
      <c r="P670" s="116">
        <v>25.45</v>
      </c>
      <c r="Q670" s="116">
        <v>51.7</v>
      </c>
      <c r="R670">
        <v>262041</v>
      </c>
    </row>
    <row r="671" spans="1:18" x14ac:dyDescent="0.25">
      <c r="A671" s="166">
        <v>42990</v>
      </c>
      <c r="B671" s="116">
        <v>26.35</v>
      </c>
      <c r="C671" s="116">
        <v>25.75</v>
      </c>
      <c r="D671" s="116">
        <v>25.65</v>
      </c>
      <c r="E671" s="116">
        <v>26.15</v>
      </c>
      <c r="F671" s="116">
        <v>51.5</v>
      </c>
      <c r="G671">
        <v>48387</v>
      </c>
      <c r="H671" s="116"/>
      <c r="I671" s="116"/>
      <c r="L671" s="166">
        <v>42990</v>
      </c>
      <c r="M671" s="116">
        <v>25.85</v>
      </c>
      <c r="N671" s="116">
        <v>26.475000000000001</v>
      </c>
      <c r="O671" s="116">
        <v>25.725000000000001</v>
      </c>
      <c r="P671" s="116">
        <v>26.05</v>
      </c>
      <c r="Q671" s="116">
        <v>51.7</v>
      </c>
      <c r="R671">
        <v>169552</v>
      </c>
    </row>
    <row r="672" spans="1:18" x14ac:dyDescent="0.25">
      <c r="A672" s="166">
        <v>42991</v>
      </c>
      <c r="B672" s="116">
        <v>27.4</v>
      </c>
      <c r="C672" s="116">
        <v>26.774999999999999</v>
      </c>
      <c r="D672" s="116">
        <v>25.574999999999999</v>
      </c>
      <c r="E672" s="116">
        <v>25.725000000000001</v>
      </c>
      <c r="F672" s="116">
        <v>53.55</v>
      </c>
      <c r="G672">
        <v>129210</v>
      </c>
      <c r="H672" s="116"/>
      <c r="I672" s="116"/>
      <c r="L672" s="166">
        <v>42991</v>
      </c>
      <c r="M672" s="116">
        <v>26.7</v>
      </c>
      <c r="N672" s="116">
        <v>27.4</v>
      </c>
      <c r="O672" s="116">
        <v>25.5</v>
      </c>
      <c r="P672" s="116">
        <v>25.875</v>
      </c>
      <c r="Q672" s="116">
        <v>53.4</v>
      </c>
      <c r="R672">
        <v>726046</v>
      </c>
    </row>
    <row r="673" spans="1:18" x14ac:dyDescent="0.25">
      <c r="A673" s="166">
        <v>42992</v>
      </c>
      <c r="B673" s="116">
        <v>27.35</v>
      </c>
      <c r="C673" s="116">
        <v>27.05</v>
      </c>
      <c r="D673" s="116">
        <v>26.55</v>
      </c>
      <c r="E673" s="116">
        <v>27</v>
      </c>
      <c r="F673" s="116">
        <v>54.1</v>
      </c>
      <c r="G673">
        <v>66522</v>
      </c>
      <c r="H673" s="116"/>
      <c r="I673" s="116"/>
      <c r="L673" s="166">
        <v>42992</v>
      </c>
      <c r="M673" s="116">
        <v>27.15</v>
      </c>
      <c r="N673" s="116">
        <v>27.3</v>
      </c>
      <c r="O673" s="116">
        <v>26.524999999999999</v>
      </c>
      <c r="P673" s="116">
        <v>26.875</v>
      </c>
      <c r="Q673" s="116">
        <v>54.3</v>
      </c>
      <c r="R673">
        <v>338838</v>
      </c>
    </row>
    <row r="674" spans="1:18" x14ac:dyDescent="0.25">
      <c r="A674" s="166">
        <v>42993</v>
      </c>
      <c r="B674" s="116">
        <v>26.975000000000001</v>
      </c>
      <c r="C674" s="116">
        <v>26.25</v>
      </c>
      <c r="D674" s="116">
        <v>25.975000000000001</v>
      </c>
      <c r="E674" s="116">
        <v>26.95</v>
      </c>
      <c r="F674" s="116">
        <v>52.5</v>
      </c>
      <c r="G674">
        <v>27901</v>
      </c>
      <c r="H674" s="116"/>
      <c r="I674" s="116"/>
      <c r="L674" s="166">
        <v>42993</v>
      </c>
      <c r="M674" s="116">
        <v>26.125</v>
      </c>
      <c r="N674" s="116">
        <v>27.05</v>
      </c>
      <c r="O674" s="116">
        <v>25.9</v>
      </c>
      <c r="P674" s="116">
        <v>26.9</v>
      </c>
      <c r="Q674" s="116">
        <v>52.25</v>
      </c>
      <c r="R674">
        <v>181718</v>
      </c>
    </row>
    <row r="675" spans="1:18" x14ac:dyDescent="0.25">
      <c r="A675" s="166">
        <v>42996</v>
      </c>
      <c r="B675" s="116">
        <v>26.675000000000001</v>
      </c>
      <c r="C675" s="116">
        <v>26.35</v>
      </c>
      <c r="D675" s="116">
        <v>25.975000000000001</v>
      </c>
      <c r="E675" s="116">
        <v>26.5</v>
      </c>
      <c r="F675" s="116">
        <v>52.7</v>
      </c>
      <c r="G675">
        <v>36233</v>
      </c>
      <c r="H675" s="116"/>
      <c r="I675" s="116"/>
      <c r="L675" s="166">
        <v>42996</v>
      </c>
      <c r="M675" s="116">
        <v>26.3</v>
      </c>
      <c r="N675" s="116">
        <v>26.725000000000001</v>
      </c>
      <c r="O675" s="116">
        <v>26.05</v>
      </c>
      <c r="P675" s="116">
        <v>26.35</v>
      </c>
      <c r="Q675" s="116">
        <v>52.6</v>
      </c>
      <c r="R675">
        <v>111965</v>
      </c>
    </row>
    <row r="676" spans="1:18" x14ac:dyDescent="0.25">
      <c r="A676" s="166">
        <v>42997</v>
      </c>
      <c r="B676" s="116">
        <v>26.725000000000001</v>
      </c>
      <c r="C676" s="116">
        <v>25.925000000000001</v>
      </c>
      <c r="D676" s="116">
        <v>25.675000000000001</v>
      </c>
      <c r="E676" s="116">
        <v>26.375</v>
      </c>
      <c r="F676" s="116">
        <v>51.85</v>
      </c>
      <c r="G676">
        <v>27010</v>
      </c>
      <c r="H676" s="116"/>
      <c r="I676" s="116"/>
      <c r="L676" s="166">
        <v>42997</v>
      </c>
      <c r="M676" s="116">
        <v>25.975000000000001</v>
      </c>
      <c r="N676" s="116">
        <v>26.6</v>
      </c>
      <c r="O676" s="116">
        <v>25.574999999999999</v>
      </c>
      <c r="P676" s="116">
        <v>26.475000000000001</v>
      </c>
      <c r="Q676" s="116">
        <v>51.95</v>
      </c>
      <c r="R676">
        <v>138002</v>
      </c>
    </row>
    <row r="677" spans="1:18" x14ac:dyDescent="0.25">
      <c r="A677" s="166">
        <v>42998</v>
      </c>
      <c r="B677" s="116">
        <v>29.75</v>
      </c>
      <c r="C677" s="116">
        <v>29.05</v>
      </c>
      <c r="D677" s="116">
        <v>26.1</v>
      </c>
      <c r="E677" s="116">
        <v>26.1</v>
      </c>
      <c r="F677" s="116">
        <v>58.1</v>
      </c>
      <c r="G677">
        <v>322258</v>
      </c>
      <c r="H677" s="116"/>
      <c r="I677" s="116"/>
      <c r="L677" s="166">
        <v>42998</v>
      </c>
      <c r="M677" s="116">
        <v>28.9</v>
      </c>
      <c r="N677" s="116">
        <v>29.75</v>
      </c>
      <c r="O677" s="116">
        <v>25.824999999999999</v>
      </c>
      <c r="P677" s="116">
        <v>25.824999999999999</v>
      </c>
      <c r="Q677" s="116">
        <v>57.8</v>
      </c>
      <c r="R677">
        <v>1521444</v>
      </c>
    </row>
    <row r="678" spans="1:18" x14ac:dyDescent="0.25">
      <c r="A678" s="166">
        <v>42999</v>
      </c>
      <c r="B678" s="116">
        <v>29.5</v>
      </c>
      <c r="C678" s="116">
        <v>29</v>
      </c>
      <c r="D678" s="116">
        <v>27.475000000000001</v>
      </c>
      <c r="E678" s="116">
        <v>29.074999999999999</v>
      </c>
      <c r="F678" s="116">
        <v>58</v>
      </c>
      <c r="G678">
        <v>118914</v>
      </c>
      <c r="H678" s="116"/>
      <c r="I678" s="116"/>
      <c r="L678" s="166">
        <v>42999</v>
      </c>
      <c r="M678" s="116">
        <v>28.95</v>
      </c>
      <c r="N678" s="116">
        <v>29.4</v>
      </c>
      <c r="O678" s="116">
        <v>27.524999999999999</v>
      </c>
      <c r="P678" s="116">
        <v>28.95</v>
      </c>
      <c r="Q678" s="116">
        <v>57.9</v>
      </c>
      <c r="R678">
        <v>650309</v>
      </c>
    </row>
    <row r="679" spans="1:18" x14ac:dyDescent="0.25">
      <c r="A679" s="166">
        <v>43000</v>
      </c>
      <c r="B679" s="116">
        <v>29</v>
      </c>
      <c r="C679" s="116">
        <v>28.725000000000001</v>
      </c>
      <c r="D679" s="116">
        <v>27.725000000000001</v>
      </c>
      <c r="E679" s="116">
        <v>28.65</v>
      </c>
      <c r="F679" s="116">
        <v>57.45</v>
      </c>
      <c r="G679">
        <v>86741</v>
      </c>
      <c r="H679" s="116"/>
      <c r="I679" s="116"/>
      <c r="L679" s="166">
        <v>43000</v>
      </c>
      <c r="M679" s="116">
        <v>28.975000000000001</v>
      </c>
      <c r="N679" s="116">
        <v>29.225000000000001</v>
      </c>
      <c r="O679" s="116">
        <v>27.875</v>
      </c>
      <c r="P679" s="116">
        <v>28.75</v>
      </c>
      <c r="Q679" s="116">
        <v>57.95</v>
      </c>
      <c r="R679">
        <v>634487</v>
      </c>
    </row>
    <row r="680" spans="1:18" x14ac:dyDescent="0.25">
      <c r="A680" s="166">
        <v>43003</v>
      </c>
      <c r="B680" s="116">
        <v>29.125</v>
      </c>
      <c r="C680" s="116">
        <v>27.074999999999999</v>
      </c>
      <c r="D680" s="116">
        <v>26.85</v>
      </c>
      <c r="E680" s="116">
        <v>29.125</v>
      </c>
      <c r="F680" s="116">
        <v>54.15</v>
      </c>
      <c r="G680">
        <v>66511</v>
      </c>
      <c r="H680" s="116"/>
      <c r="I680" s="116"/>
      <c r="L680" s="166">
        <v>43003</v>
      </c>
      <c r="M680" s="116">
        <v>27.15</v>
      </c>
      <c r="N680" s="116">
        <v>29.35</v>
      </c>
      <c r="O680" s="116">
        <v>26.975000000000001</v>
      </c>
      <c r="P680" s="116">
        <v>29</v>
      </c>
      <c r="Q680" s="116">
        <v>54.3</v>
      </c>
      <c r="R680">
        <v>254044</v>
      </c>
    </row>
    <row r="681" spans="1:18" x14ac:dyDescent="0.25">
      <c r="A681" s="166">
        <v>43004</v>
      </c>
      <c r="B681" s="116">
        <v>27.7</v>
      </c>
      <c r="C681" s="116">
        <v>27.35</v>
      </c>
      <c r="D681" s="116">
        <v>26.725000000000001</v>
      </c>
      <c r="E681" s="116">
        <v>27.25</v>
      </c>
      <c r="F681" s="116">
        <v>54.7</v>
      </c>
      <c r="G681">
        <v>38201</v>
      </c>
      <c r="H681" s="116"/>
      <c r="I681" s="116"/>
      <c r="L681" s="166">
        <v>43004</v>
      </c>
      <c r="M681" s="116">
        <v>27.324999999999999</v>
      </c>
      <c r="N681" s="116">
        <v>27.675000000000001</v>
      </c>
      <c r="O681" s="116">
        <v>26.55</v>
      </c>
      <c r="P681" s="116">
        <v>27.425000000000001</v>
      </c>
      <c r="Q681" s="116">
        <v>54.65</v>
      </c>
      <c r="R681">
        <v>148243</v>
      </c>
    </row>
    <row r="682" spans="1:18" x14ac:dyDescent="0.25">
      <c r="A682" s="166">
        <v>43005</v>
      </c>
      <c r="B682" s="116">
        <v>27.625</v>
      </c>
      <c r="C682" s="116">
        <v>26.024999999999999</v>
      </c>
      <c r="D682" s="116">
        <v>25.5</v>
      </c>
      <c r="E682" s="116">
        <v>27.625</v>
      </c>
      <c r="F682" s="116">
        <v>52.05</v>
      </c>
      <c r="G682">
        <v>71447</v>
      </c>
      <c r="H682" s="116"/>
      <c r="I682" s="116"/>
      <c r="L682" s="166">
        <v>43005</v>
      </c>
      <c r="M682" s="116">
        <v>26.05</v>
      </c>
      <c r="N682" s="116">
        <v>27.7</v>
      </c>
      <c r="O682" s="116">
        <v>25.5</v>
      </c>
      <c r="P682" s="116">
        <v>27.7</v>
      </c>
      <c r="Q682" s="116">
        <v>52.1</v>
      </c>
      <c r="R682">
        <v>175266</v>
      </c>
    </row>
    <row r="683" spans="1:18" x14ac:dyDescent="0.25">
      <c r="A683" s="166">
        <v>43006</v>
      </c>
      <c r="B683" s="116">
        <v>27.4</v>
      </c>
      <c r="C683" s="116">
        <v>27.05</v>
      </c>
      <c r="D683" s="116">
        <v>26.274999999999999</v>
      </c>
      <c r="E683" s="116">
        <v>26.274999999999999</v>
      </c>
      <c r="F683" s="116">
        <v>54.1</v>
      </c>
      <c r="G683">
        <v>50000</v>
      </c>
      <c r="H683" s="116"/>
      <c r="I683" s="116"/>
      <c r="L683" s="166">
        <v>43006</v>
      </c>
      <c r="M683" s="116">
        <v>27.05</v>
      </c>
      <c r="N683" s="116">
        <v>27.45</v>
      </c>
      <c r="O683" s="116">
        <v>26.1</v>
      </c>
      <c r="P683" s="116">
        <v>26.1</v>
      </c>
      <c r="Q683" s="116">
        <v>54.1</v>
      </c>
      <c r="R683">
        <v>165980</v>
      </c>
    </row>
    <row r="684" spans="1:18" x14ac:dyDescent="0.25">
      <c r="A684" s="166">
        <v>43007</v>
      </c>
      <c r="B684" s="116">
        <v>29.625</v>
      </c>
      <c r="C684" s="116">
        <v>28.774999999999999</v>
      </c>
      <c r="D684" s="116">
        <v>27.15</v>
      </c>
      <c r="E684" s="116">
        <v>27.15</v>
      </c>
      <c r="F684" s="116">
        <v>57.55</v>
      </c>
      <c r="G684">
        <v>106011</v>
      </c>
      <c r="H684" s="116"/>
      <c r="I684" s="116"/>
      <c r="L684" s="166">
        <v>43007</v>
      </c>
      <c r="M684" s="116">
        <v>28.8</v>
      </c>
      <c r="N684" s="116">
        <v>29.75</v>
      </c>
      <c r="O684" s="116">
        <v>26.95</v>
      </c>
      <c r="P684" s="116">
        <v>27.05</v>
      </c>
      <c r="Q684" s="116">
        <v>57.6</v>
      </c>
      <c r="R684">
        <v>534961</v>
      </c>
    </row>
    <row r="685" spans="1:18" x14ac:dyDescent="0.25">
      <c r="A685" s="166">
        <v>43011</v>
      </c>
      <c r="B685" s="116">
        <v>29.225000000000001</v>
      </c>
      <c r="C685" s="116">
        <v>27.925000000000001</v>
      </c>
      <c r="D685" s="116">
        <v>27.725000000000001</v>
      </c>
      <c r="E685" s="116">
        <v>28.95</v>
      </c>
      <c r="F685" s="116">
        <v>55.85</v>
      </c>
      <c r="G685">
        <v>43201</v>
      </c>
      <c r="H685" s="116"/>
      <c r="I685" s="116"/>
      <c r="L685" s="166">
        <v>43011</v>
      </c>
      <c r="M685" s="116">
        <v>27.925000000000001</v>
      </c>
      <c r="N685" s="116">
        <v>29.175000000000001</v>
      </c>
      <c r="O685" s="116">
        <v>27.675000000000001</v>
      </c>
      <c r="P685" s="116">
        <v>29.175000000000001</v>
      </c>
      <c r="Q685" s="116">
        <v>55.85</v>
      </c>
      <c r="R685">
        <v>185676</v>
      </c>
    </row>
    <row r="686" spans="1:18" x14ac:dyDescent="0.25">
      <c r="A686" s="166">
        <v>43012</v>
      </c>
      <c r="B686" s="116">
        <v>32.125</v>
      </c>
      <c r="C686" s="116">
        <v>31.475000000000001</v>
      </c>
      <c r="D686" s="116">
        <v>27.8</v>
      </c>
      <c r="E686" s="116">
        <v>28.125</v>
      </c>
      <c r="F686" s="116">
        <v>62.95</v>
      </c>
      <c r="G686">
        <v>562872</v>
      </c>
      <c r="H686" s="116"/>
      <c r="I686" s="116"/>
      <c r="L686" s="166">
        <v>43012</v>
      </c>
      <c r="M686" s="116">
        <v>31.55</v>
      </c>
      <c r="N686" s="116">
        <v>32.200000000000003</v>
      </c>
      <c r="O686" s="116">
        <v>27.6</v>
      </c>
      <c r="P686" s="116">
        <v>27.95</v>
      </c>
      <c r="Q686" s="116">
        <v>63.1</v>
      </c>
      <c r="R686">
        <v>2734978</v>
      </c>
    </row>
    <row r="687" spans="1:18" x14ac:dyDescent="0.25">
      <c r="A687" s="166">
        <v>43013</v>
      </c>
      <c r="B687" s="116">
        <v>31.875</v>
      </c>
      <c r="C687" s="116">
        <v>30.225000000000001</v>
      </c>
      <c r="D687" s="116">
        <v>29.675000000000001</v>
      </c>
      <c r="E687" s="116">
        <v>31.625</v>
      </c>
      <c r="F687" s="116">
        <v>60.45</v>
      </c>
      <c r="G687">
        <v>155663</v>
      </c>
      <c r="H687" s="116"/>
      <c r="I687" s="116"/>
      <c r="L687" s="166">
        <v>43013</v>
      </c>
      <c r="M687" s="116">
        <v>30.074999999999999</v>
      </c>
      <c r="N687" s="116">
        <v>31.875</v>
      </c>
      <c r="O687" s="116">
        <v>29.5</v>
      </c>
      <c r="P687" s="116">
        <v>31.5</v>
      </c>
      <c r="Q687" s="116">
        <v>60.15</v>
      </c>
      <c r="R687">
        <v>812356</v>
      </c>
    </row>
    <row r="688" spans="1:18" x14ac:dyDescent="0.25">
      <c r="A688" s="166">
        <v>43014</v>
      </c>
      <c r="B688" s="116">
        <v>33.125</v>
      </c>
      <c r="C688" s="116">
        <v>32.125</v>
      </c>
      <c r="D688" s="116">
        <v>30.4</v>
      </c>
      <c r="E688" s="116">
        <v>30.4</v>
      </c>
      <c r="F688" s="116">
        <v>64.25</v>
      </c>
      <c r="G688">
        <v>276200</v>
      </c>
      <c r="H688" s="116"/>
      <c r="I688" s="116"/>
      <c r="L688" s="166">
        <v>43014</v>
      </c>
      <c r="M688" s="116">
        <v>32.225000000000001</v>
      </c>
      <c r="N688" s="116">
        <v>33.174999999999997</v>
      </c>
      <c r="O688" s="116">
        <v>30.3</v>
      </c>
      <c r="P688" s="116">
        <v>30.4</v>
      </c>
      <c r="Q688" s="116">
        <v>64.45</v>
      </c>
      <c r="R688">
        <v>1633526</v>
      </c>
    </row>
    <row r="689" spans="1:18" x14ac:dyDescent="0.25">
      <c r="A689" s="166">
        <v>43017</v>
      </c>
      <c r="B689" s="116">
        <v>32.5</v>
      </c>
      <c r="C689" s="116">
        <v>31.4</v>
      </c>
      <c r="D689" s="116">
        <v>30.925000000000001</v>
      </c>
      <c r="E689" s="116">
        <v>32.450000000000003</v>
      </c>
      <c r="F689" s="116">
        <v>62.8</v>
      </c>
      <c r="G689">
        <v>68024</v>
      </c>
      <c r="H689" s="116"/>
      <c r="I689" s="116"/>
      <c r="L689" s="166">
        <v>43017</v>
      </c>
      <c r="M689" s="116">
        <v>31.425000000000001</v>
      </c>
      <c r="N689" s="116">
        <v>32.35</v>
      </c>
      <c r="O689" s="116">
        <v>31.074999999999999</v>
      </c>
      <c r="P689" s="116">
        <v>32.25</v>
      </c>
      <c r="Q689" s="116">
        <v>62.85</v>
      </c>
      <c r="R689">
        <v>346488</v>
      </c>
    </row>
    <row r="690" spans="1:18" x14ac:dyDescent="0.25">
      <c r="A690" s="166">
        <v>43018</v>
      </c>
      <c r="B690" s="116">
        <v>34.25</v>
      </c>
      <c r="C690" s="116">
        <v>33.75</v>
      </c>
      <c r="D690" s="116">
        <v>31.35</v>
      </c>
      <c r="E690" s="116">
        <v>31.65</v>
      </c>
      <c r="F690" s="116">
        <v>67.5</v>
      </c>
      <c r="G690">
        <v>370294</v>
      </c>
      <c r="H690" s="116"/>
      <c r="I690" s="116"/>
      <c r="L690" s="166">
        <v>43018</v>
      </c>
      <c r="M690" s="116">
        <v>33.924999999999997</v>
      </c>
      <c r="N690" s="116">
        <v>34.225000000000001</v>
      </c>
      <c r="O690" s="116">
        <v>31.125</v>
      </c>
      <c r="P690" s="116">
        <v>31.45</v>
      </c>
      <c r="Q690" s="116">
        <v>67.849999999999994</v>
      </c>
      <c r="R690">
        <v>1518256</v>
      </c>
    </row>
    <row r="691" spans="1:18" x14ac:dyDescent="0.25">
      <c r="A691" s="166">
        <v>43019</v>
      </c>
      <c r="B691" s="116">
        <v>35.625</v>
      </c>
      <c r="C691" s="116">
        <v>32.825000000000003</v>
      </c>
      <c r="D691" s="116">
        <v>32.524999999999999</v>
      </c>
      <c r="E691" s="116">
        <v>33.799999999999997</v>
      </c>
      <c r="F691" s="116">
        <v>65.650000000000006</v>
      </c>
      <c r="G691">
        <v>336823</v>
      </c>
      <c r="H691" s="116"/>
      <c r="I691" s="116"/>
      <c r="L691" s="166">
        <v>43019</v>
      </c>
      <c r="M691" s="116">
        <v>32.774999999999999</v>
      </c>
      <c r="N691" s="116">
        <v>35.700000000000003</v>
      </c>
      <c r="O691" s="116">
        <v>32.5</v>
      </c>
      <c r="P691" s="116">
        <v>33.924999999999997</v>
      </c>
      <c r="Q691" s="116">
        <v>65.55</v>
      </c>
      <c r="R691">
        <v>1414373</v>
      </c>
    </row>
    <row r="692" spans="1:18" x14ac:dyDescent="0.25">
      <c r="A692" s="166">
        <v>43020</v>
      </c>
      <c r="B692" s="116">
        <v>34.049999999999997</v>
      </c>
      <c r="C692" s="116">
        <v>33.274999999999999</v>
      </c>
      <c r="D692" s="116">
        <v>33.15</v>
      </c>
      <c r="E692" s="116">
        <v>33.475000000000001</v>
      </c>
      <c r="F692" s="116">
        <v>66.55</v>
      </c>
      <c r="G692">
        <v>77158</v>
      </c>
      <c r="H692" s="116"/>
      <c r="I692" s="116"/>
      <c r="L692" s="166">
        <v>43020</v>
      </c>
      <c r="M692" s="116">
        <v>33.299999999999997</v>
      </c>
      <c r="N692" s="116">
        <v>33.975000000000001</v>
      </c>
      <c r="O692" s="116">
        <v>33.049999999999997</v>
      </c>
      <c r="P692" s="116">
        <v>33.200000000000003</v>
      </c>
      <c r="Q692" s="116">
        <v>66.599999999999994</v>
      </c>
      <c r="R692">
        <v>315865</v>
      </c>
    </row>
    <row r="693" spans="1:18" x14ac:dyDescent="0.25">
      <c r="A693" s="166">
        <v>43021</v>
      </c>
      <c r="B693" s="116">
        <v>35</v>
      </c>
      <c r="C693" s="116">
        <v>33.575000000000003</v>
      </c>
      <c r="D693" s="116">
        <v>33.325000000000003</v>
      </c>
      <c r="E693" s="116">
        <v>33.625</v>
      </c>
      <c r="F693" s="116">
        <v>67.150000000000006</v>
      </c>
      <c r="G693">
        <v>252284</v>
      </c>
      <c r="H693" s="116"/>
      <c r="I693" s="116"/>
      <c r="L693" s="166">
        <v>43021</v>
      </c>
      <c r="M693" s="116">
        <v>33.674999999999997</v>
      </c>
      <c r="N693" s="116">
        <v>35</v>
      </c>
      <c r="O693" s="116">
        <v>33.25</v>
      </c>
      <c r="P693" s="116">
        <v>33.5</v>
      </c>
      <c r="Q693" s="116">
        <v>67.349999999999994</v>
      </c>
      <c r="R693">
        <v>777577</v>
      </c>
    </row>
    <row r="694" spans="1:18" x14ac:dyDescent="0.25">
      <c r="A694" s="166">
        <v>43024</v>
      </c>
      <c r="B694" s="116">
        <v>34.15</v>
      </c>
      <c r="C694" s="116">
        <v>32.950000000000003</v>
      </c>
      <c r="D694" s="116">
        <v>32.65</v>
      </c>
      <c r="E694" s="116">
        <v>33.975000000000001</v>
      </c>
      <c r="F694" s="116">
        <v>65.900000000000006</v>
      </c>
      <c r="G694">
        <v>64413</v>
      </c>
      <c r="H694" s="116"/>
      <c r="I694" s="116"/>
      <c r="L694" s="166">
        <v>43024</v>
      </c>
      <c r="M694" s="116">
        <v>33.049999999999997</v>
      </c>
      <c r="N694" s="116">
        <v>34.25</v>
      </c>
      <c r="O694" s="116">
        <v>33</v>
      </c>
      <c r="P694" s="116">
        <v>33.924999999999997</v>
      </c>
      <c r="Q694" s="116">
        <v>66.099999999999994</v>
      </c>
      <c r="R694">
        <v>184485</v>
      </c>
    </row>
    <row r="695" spans="1:18" x14ac:dyDescent="0.25">
      <c r="A695" s="166">
        <v>43025</v>
      </c>
      <c r="B695" s="116">
        <v>34.65</v>
      </c>
      <c r="C695" s="116">
        <v>33.625</v>
      </c>
      <c r="D695" s="116">
        <v>32.700000000000003</v>
      </c>
      <c r="E695" s="116">
        <v>33.174999999999997</v>
      </c>
      <c r="F695" s="116">
        <v>67.25</v>
      </c>
      <c r="G695">
        <v>202540</v>
      </c>
      <c r="H695" s="116"/>
      <c r="I695" s="116"/>
      <c r="L695" s="166">
        <v>43025</v>
      </c>
      <c r="M695" s="116">
        <v>33.65</v>
      </c>
      <c r="N695" s="116">
        <v>34.700000000000003</v>
      </c>
      <c r="O695" s="116">
        <v>32.700000000000003</v>
      </c>
      <c r="P695" s="116">
        <v>33.1</v>
      </c>
      <c r="Q695" s="116">
        <v>67.3</v>
      </c>
      <c r="R695">
        <v>1144095</v>
      </c>
    </row>
    <row r="696" spans="1:18" x14ac:dyDescent="0.25">
      <c r="A696" s="166">
        <v>43026</v>
      </c>
      <c r="B696" s="116">
        <v>34.85</v>
      </c>
      <c r="C696" s="116">
        <v>33.950000000000003</v>
      </c>
      <c r="D696" s="116">
        <v>33</v>
      </c>
      <c r="E696" s="116">
        <v>33.65</v>
      </c>
      <c r="F696" s="116">
        <v>67.900000000000006</v>
      </c>
      <c r="G696">
        <v>148454</v>
      </c>
      <c r="H696" s="116"/>
      <c r="I696" s="116"/>
      <c r="L696" s="166">
        <v>43026</v>
      </c>
      <c r="M696" s="116">
        <v>33.85</v>
      </c>
      <c r="N696" s="116">
        <v>34.75</v>
      </c>
      <c r="O696" s="116">
        <v>33.25</v>
      </c>
      <c r="P696" s="116">
        <v>33.65</v>
      </c>
      <c r="Q696" s="116">
        <v>67.7</v>
      </c>
      <c r="R696">
        <v>668209</v>
      </c>
    </row>
    <row r="697" spans="1:18" x14ac:dyDescent="0.25">
      <c r="A697" s="166">
        <v>43027</v>
      </c>
      <c r="B697" s="116">
        <v>34.024999999999999</v>
      </c>
      <c r="C697" s="116">
        <v>33.35</v>
      </c>
      <c r="D697" s="116">
        <v>33.049999999999997</v>
      </c>
      <c r="E697" s="116">
        <v>33.524999999999999</v>
      </c>
      <c r="F697" s="116">
        <v>66.7</v>
      </c>
      <c r="G697">
        <v>32517</v>
      </c>
      <c r="H697" s="116"/>
      <c r="I697" s="116"/>
      <c r="L697" s="166">
        <v>43027</v>
      </c>
      <c r="M697" s="116">
        <v>33.274999999999999</v>
      </c>
      <c r="N697" s="116">
        <v>33.975000000000001</v>
      </c>
      <c r="O697" s="116">
        <v>33.1</v>
      </c>
      <c r="P697" s="116">
        <v>33.825000000000003</v>
      </c>
      <c r="Q697" s="116">
        <v>66.55</v>
      </c>
      <c r="R697">
        <v>119274</v>
      </c>
    </row>
    <row r="698" spans="1:18" x14ac:dyDescent="0.25">
      <c r="A698" s="166">
        <v>43031</v>
      </c>
      <c r="B698" s="116">
        <v>35.549999999999997</v>
      </c>
      <c r="C698" s="116">
        <v>34.15</v>
      </c>
      <c r="D698" s="116">
        <v>33.274999999999999</v>
      </c>
      <c r="E698" s="116">
        <v>33.575000000000003</v>
      </c>
      <c r="F698" s="116">
        <v>68.3</v>
      </c>
      <c r="G698">
        <v>253893</v>
      </c>
      <c r="H698" s="116"/>
      <c r="I698" s="116"/>
      <c r="L698" s="166">
        <v>43031</v>
      </c>
      <c r="M698" s="116">
        <v>34.225000000000001</v>
      </c>
      <c r="N698" s="116">
        <v>35.450000000000003</v>
      </c>
      <c r="O698" s="116">
        <v>33.299999999999997</v>
      </c>
      <c r="P698" s="116">
        <v>33.375</v>
      </c>
      <c r="Q698" s="116">
        <v>68.45</v>
      </c>
      <c r="R698">
        <v>732679</v>
      </c>
    </row>
    <row r="699" spans="1:18" x14ac:dyDescent="0.25">
      <c r="A699" s="166">
        <v>43032</v>
      </c>
      <c r="B699" s="116">
        <v>35.174999999999997</v>
      </c>
      <c r="C699" s="116">
        <v>33.975000000000001</v>
      </c>
      <c r="D699" s="116">
        <v>33.75</v>
      </c>
      <c r="E699" s="116">
        <v>34.5</v>
      </c>
      <c r="F699" s="116">
        <v>67.95</v>
      </c>
      <c r="G699">
        <v>119310</v>
      </c>
      <c r="H699" s="116"/>
      <c r="I699" s="116"/>
      <c r="L699" s="166">
        <v>43032</v>
      </c>
      <c r="M699" s="116">
        <v>34.049999999999997</v>
      </c>
      <c r="N699" s="116">
        <v>35.174999999999997</v>
      </c>
      <c r="O699" s="116">
        <v>33.9</v>
      </c>
      <c r="P699" s="116">
        <v>34.4</v>
      </c>
      <c r="Q699" s="116">
        <v>68.099999999999994</v>
      </c>
      <c r="R699">
        <v>407527</v>
      </c>
    </row>
    <row r="700" spans="1:18" x14ac:dyDescent="0.25">
      <c r="A700" s="166">
        <v>43033</v>
      </c>
      <c r="B700" s="116">
        <v>35.5</v>
      </c>
      <c r="C700" s="116">
        <v>35.174999999999997</v>
      </c>
      <c r="D700" s="116">
        <v>34</v>
      </c>
      <c r="E700" s="116">
        <v>34.35</v>
      </c>
      <c r="F700" s="116">
        <v>70.349999999999994</v>
      </c>
      <c r="G700">
        <v>155816</v>
      </c>
      <c r="H700" s="116"/>
      <c r="I700" s="116"/>
      <c r="L700" s="166">
        <v>43033</v>
      </c>
      <c r="M700" s="116">
        <v>35.174999999999997</v>
      </c>
      <c r="N700" s="116">
        <v>35.5</v>
      </c>
      <c r="O700" s="116">
        <v>33.85</v>
      </c>
      <c r="P700" s="116">
        <v>34.325000000000003</v>
      </c>
      <c r="Q700" s="116">
        <v>70.349999999999994</v>
      </c>
      <c r="R700">
        <v>883353</v>
      </c>
    </row>
    <row r="701" spans="1:18" x14ac:dyDescent="0.25">
      <c r="A701" s="166">
        <v>43034</v>
      </c>
      <c r="B701" s="116">
        <v>36.25</v>
      </c>
      <c r="C701" s="116">
        <v>35.225000000000001</v>
      </c>
      <c r="D701" s="116">
        <v>34.875</v>
      </c>
      <c r="E701" s="116">
        <v>35.625</v>
      </c>
      <c r="F701" s="116">
        <v>70.45</v>
      </c>
      <c r="G701">
        <v>164572</v>
      </c>
      <c r="H701" s="116"/>
      <c r="I701" s="116"/>
      <c r="L701" s="166">
        <v>43034</v>
      </c>
      <c r="M701" s="116">
        <v>35.25</v>
      </c>
      <c r="N701" s="116">
        <v>37</v>
      </c>
      <c r="O701" s="116">
        <v>34.825000000000003</v>
      </c>
      <c r="P701" s="116">
        <v>35.174999999999997</v>
      </c>
      <c r="Q701" s="116">
        <v>70.5</v>
      </c>
      <c r="R701">
        <v>819884</v>
      </c>
    </row>
    <row r="702" spans="1:18" x14ac:dyDescent="0.25">
      <c r="A702" s="166">
        <v>43035</v>
      </c>
      <c r="B702" s="116">
        <v>37.6</v>
      </c>
      <c r="C702" s="116">
        <v>36.625</v>
      </c>
      <c r="D702" s="116">
        <v>34.299999999999997</v>
      </c>
      <c r="E702" s="116">
        <v>35.35</v>
      </c>
      <c r="F702" s="116">
        <v>73.25</v>
      </c>
      <c r="G702">
        <v>399662</v>
      </c>
      <c r="H702" s="116"/>
      <c r="I702" s="116"/>
      <c r="L702" s="166">
        <v>43035</v>
      </c>
      <c r="M702" s="116">
        <v>36.549999999999997</v>
      </c>
      <c r="N702" s="116">
        <v>37.450000000000003</v>
      </c>
      <c r="O702" s="116">
        <v>34.174999999999997</v>
      </c>
      <c r="P702" s="116">
        <v>35.4</v>
      </c>
      <c r="Q702" s="116">
        <v>73.099999999999994</v>
      </c>
      <c r="R702">
        <v>1373455</v>
      </c>
    </row>
    <row r="703" spans="1:18" x14ac:dyDescent="0.25">
      <c r="A703" s="166">
        <v>43038</v>
      </c>
      <c r="B703" s="116">
        <v>37.1</v>
      </c>
      <c r="C703" s="116">
        <v>36.25</v>
      </c>
      <c r="D703" s="116">
        <v>36</v>
      </c>
      <c r="E703" s="116">
        <v>37.1</v>
      </c>
      <c r="F703" s="116">
        <v>72.5</v>
      </c>
      <c r="G703">
        <v>104874</v>
      </c>
      <c r="H703" s="116"/>
      <c r="I703" s="116"/>
      <c r="L703" s="166">
        <v>43038</v>
      </c>
      <c r="M703" s="116">
        <v>36.325000000000003</v>
      </c>
      <c r="N703" s="116">
        <v>37</v>
      </c>
      <c r="O703" s="116">
        <v>36.274999999999999</v>
      </c>
      <c r="P703" s="116">
        <v>37</v>
      </c>
      <c r="Q703" s="116">
        <v>72.650000000000006</v>
      </c>
      <c r="R703">
        <v>501443</v>
      </c>
    </row>
    <row r="704" spans="1:18" x14ac:dyDescent="0.25">
      <c r="A704" s="166">
        <v>43039</v>
      </c>
      <c r="B704" s="116">
        <v>37.875</v>
      </c>
      <c r="C704" s="116">
        <v>37.299999999999997</v>
      </c>
      <c r="D704" s="116">
        <v>35.375</v>
      </c>
      <c r="E704" s="116">
        <v>36.299999999999997</v>
      </c>
      <c r="F704" s="116">
        <v>74.599999999999994</v>
      </c>
      <c r="G704">
        <v>244579</v>
      </c>
      <c r="H704" s="116"/>
      <c r="I704" s="116"/>
      <c r="L704" s="166">
        <v>43039</v>
      </c>
      <c r="M704" s="116">
        <v>37.35</v>
      </c>
      <c r="N704" s="116">
        <v>37.950000000000003</v>
      </c>
      <c r="O704" s="116">
        <v>35.35</v>
      </c>
      <c r="P704" s="116">
        <v>36.65</v>
      </c>
      <c r="Q704" s="116">
        <v>74.7</v>
      </c>
      <c r="R704">
        <v>1208966</v>
      </c>
    </row>
    <row r="705" spans="1:18" x14ac:dyDescent="0.25">
      <c r="A705" s="166">
        <v>43040</v>
      </c>
      <c r="B705" s="116">
        <v>38.35</v>
      </c>
      <c r="C705" s="116">
        <v>37.075000000000003</v>
      </c>
      <c r="D705" s="116">
        <v>36.6</v>
      </c>
      <c r="E705" s="116">
        <v>37.75</v>
      </c>
      <c r="F705" s="116">
        <v>74.150000000000006</v>
      </c>
      <c r="G705">
        <v>295998</v>
      </c>
      <c r="H705" s="116"/>
      <c r="I705" s="116"/>
      <c r="L705" s="166">
        <v>43040</v>
      </c>
      <c r="M705" s="116">
        <v>37.200000000000003</v>
      </c>
      <c r="N705" s="116">
        <v>38.299999999999997</v>
      </c>
      <c r="O705" s="116">
        <v>36.9</v>
      </c>
      <c r="P705" s="116">
        <v>37.799999999999997</v>
      </c>
      <c r="Q705" s="116">
        <v>74.400000000000006</v>
      </c>
      <c r="R705">
        <v>1258458</v>
      </c>
    </row>
    <row r="706" spans="1:18" x14ac:dyDescent="0.25">
      <c r="A706" s="166">
        <v>43041</v>
      </c>
      <c r="B706" s="116">
        <v>37.549999999999997</v>
      </c>
      <c r="C706" s="116">
        <v>36.299999999999997</v>
      </c>
      <c r="D706" s="116">
        <v>36.174999999999997</v>
      </c>
      <c r="E706" s="116">
        <v>37.5</v>
      </c>
      <c r="F706" s="116">
        <v>72.599999999999994</v>
      </c>
      <c r="G706">
        <v>76817</v>
      </c>
      <c r="H706" s="116"/>
      <c r="I706" s="116"/>
      <c r="L706" s="166">
        <v>43041</v>
      </c>
      <c r="M706" s="116">
        <v>36.35</v>
      </c>
      <c r="N706" s="116">
        <v>37.6</v>
      </c>
      <c r="O706" s="116">
        <v>36.274999999999999</v>
      </c>
      <c r="P706" s="116">
        <v>37.299999999999997</v>
      </c>
      <c r="Q706" s="116">
        <v>72.7</v>
      </c>
      <c r="R706">
        <v>257572</v>
      </c>
    </row>
    <row r="707" spans="1:18" x14ac:dyDescent="0.25">
      <c r="A707" s="166">
        <v>43042</v>
      </c>
      <c r="B707" s="116">
        <v>38.825000000000003</v>
      </c>
      <c r="C707" s="116">
        <v>37.549999999999997</v>
      </c>
      <c r="D707" s="116">
        <v>36.475000000000001</v>
      </c>
      <c r="E707" s="116">
        <v>36.75</v>
      </c>
      <c r="F707" s="116">
        <v>75.099999999999994</v>
      </c>
      <c r="G707">
        <v>866877</v>
      </c>
      <c r="H707" s="116"/>
      <c r="I707" s="116"/>
      <c r="L707" s="166">
        <v>43042</v>
      </c>
      <c r="M707" s="116">
        <v>37.450000000000003</v>
      </c>
      <c r="N707" s="116">
        <v>38.9</v>
      </c>
      <c r="O707" s="116">
        <v>36.35</v>
      </c>
      <c r="P707" s="116">
        <v>36.5</v>
      </c>
      <c r="Q707" s="116">
        <v>74.900000000000006</v>
      </c>
      <c r="R707">
        <v>3336328</v>
      </c>
    </row>
    <row r="708" spans="1:18" x14ac:dyDescent="0.25">
      <c r="A708" s="166">
        <v>43045</v>
      </c>
      <c r="B708" s="116">
        <v>39.725000000000001</v>
      </c>
      <c r="C708" s="116">
        <v>39</v>
      </c>
      <c r="D708" s="116">
        <v>37</v>
      </c>
      <c r="E708" s="116">
        <v>37.5</v>
      </c>
      <c r="F708" s="116">
        <v>78</v>
      </c>
      <c r="G708">
        <v>374827</v>
      </c>
      <c r="H708" s="116"/>
      <c r="I708" s="116"/>
      <c r="L708" s="166">
        <v>43045</v>
      </c>
      <c r="M708" s="116">
        <v>38.950000000000003</v>
      </c>
      <c r="N708" s="116">
        <v>39.725000000000001</v>
      </c>
      <c r="O708" s="116">
        <v>37.075000000000003</v>
      </c>
      <c r="P708" s="116">
        <v>37.4</v>
      </c>
      <c r="Q708" s="116">
        <v>77.900000000000006</v>
      </c>
      <c r="R708">
        <v>1425677</v>
      </c>
    </row>
    <row r="709" spans="1:18" x14ac:dyDescent="0.25">
      <c r="A709" s="166">
        <v>43046</v>
      </c>
      <c r="B709" s="116">
        <v>42.524999999999999</v>
      </c>
      <c r="C709" s="116">
        <v>41.875</v>
      </c>
      <c r="D709" s="116">
        <v>39.35</v>
      </c>
      <c r="E709" s="116">
        <v>39.5</v>
      </c>
      <c r="F709" s="116">
        <v>83.75</v>
      </c>
      <c r="G709">
        <v>818748</v>
      </c>
      <c r="H709" s="116"/>
      <c r="I709" s="116"/>
      <c r="L709" s="166">
        <v>43046</v>
      </c>
      <c r="M709" s="116">
        <v>41.975000000000001</v>
      </c>
      <c r="N709" s="116">
        <v>42.7</v>
      </c>
      <c r="O709" s="116">
        <v>39.325000000000003</v>
      </c>
      <c r="P709" s="116">
        <v>39.4</v>
      </c>
      <c r="Q709" s="116">
        <v>83.95</v>
      </c>
      <c r="R709">
        <v>3217996</v>
      </c>
    </row>
    <row r="710" spans="1:18" x14ac:dyDescent="0.25">
      <c r="A710" s="166">
        <v>43047</v>
      </c>
      <c r="B710" s="116">
        <v>42.375</v>
      </c>
      <c r="C710" s="116">
        <v>36.1</v>
      </c>
      <c r="D710" s="116">
        <v>35.700000000000003</v>
      </c>
      <c r="E710" s="116">
        <v>41.975000000000001</v>
      </c>
      <c r="F710" s="116">
        <v>72.2</v>
      </c>
      <c r="G710">
        <v>625005</v>
      </c>
      <c r="H710" s="116"/>
      <c r="I710" s="116"/>
      <c r="L710" s="166">
        <v>43047</v>
      </c>
      <c r="M710" s="116">
        <v>36.15</v>
      </c>
      <c r="N710" s="116">
        <v>42.35</v>
      </c>
      <c r="O710" s="116">
        <v>35.6</v>
      </c>
      <c r="P710" s="116">
        <v>41.975000000000001</v>
      </c>
      <c r="Q710" s="116">
        <v>72.3</v>
      </c>
      <c r="R710">
        <v>1964339</v>
      </c>
    </row>
    <row r="711" spans="1:18" x14ac:dyDescent="0.25">
      <c r="A711" s="166">
        <v>43048</v>
      </c>
      <c r="B711" s="116">
        <v>38.174999999999997</v>
      </c>
      <c r="C711" s="116">
        <v>37.225000000000001</v>
      </c>
      <c r="D711" s="116">
        <v>35.75</v>
      </c>
      <c r="E711" s="116">
        <v>36.049999999999997</v>
      </c>
      <c r="F711" s="116">
        <v>74.45</v>
      </c>
      <c r="G711">
        <v>298679</v>
      </c>
      <c r="H711" s="116"/>
      <c r="I711" s="116"/>
      <c r="L711" s="166">
        <v>43048</v>
      </c>
      <c r="M711" s="116">
        <v>37.15</v>
      </c>
      <c r="N711" s="116">
        <v>38.200000000000003</v>
      </c>
      <c r="O711" s="116">
        <v>35.700000000000003</v>
      </c>
      <c r="P711" s="116">
        <v>36</v>
      </c>
      <c r="Q711" s="116">
        <v>74.3</v>
      </c>
      <c r="R711">
        <v>1103375</v>
      </c>
    </row>
    <row r="712" spans="1:18" x14ac:dyDescent="0.25">
      <c r="A712" s="166">
        <v>43049</v>
      </c>
      <c r="B712" s="116">
        <v>37.5</v>
      </c>
      <c r="C712" s="116">
        <v>36.424999999999997</v>
      </c>
      <c r="D712" s="116">
        <v>36.174999999999997</v>
      </c>
      <c r="E712" s="116">
        <v>36.625</v>
      </c>
      <c r="F712" s="116">
        <v>72.849999999999994</v>
      </c>
      <c r="G712">
        <v>65303</v>
      </c>
      <c r="H712" s="116"/>
      <c r="I712" s="116"/>
      <c r="L712" s="166">
        <v>43049</v>
      </c>
      <c r="M712" s="116">
        <v>36.375</v>
      </c>
      <c r="N712" s="116">
        <v>37.5</v>
      </c>
      <c r="O712" s="116">
        <v>36.1</v>
      </c>
      <c r="P712" s="116">
        <v>37.125</v>
      </c>
      <c r="Q712" s="116">
        <v>72.75</v>
      </c>
      <c r="R712">
        <v>297242</v>
      </c>
    </row>
    <row r="713" spans="1:18" x14ac:dyDescent="0.25">
      <c r="A713" s="166">
        <v>43052</v>
      </c>
      <c r="B713" s="116">
        <v>36.6</v>
      </c>
      <c r="C713" s="116">
        <v>34.65</v>
      </c>
      <c r="D713" s="116">
        <v>34.5</v>
      </c>
      <c r="E713" s="116">
        <v>36.25</v>
      </c>
      <c r="F713" s="116">
        <v>69.3</v>
      </c>
      <c r="G713">
        <v>108729</v>
      </c>
      <c r="H713" s="116"/>
      <c r="I713" s="116"/>
      <c r="L713" s="166">
        <v>43052</v>
      </c>
      <c r="M713" s="116">
        <v>34.725000000000001</v>
      </c>
      <c r="N713" s="116">
        <v>36.625</v>
      </c>
      <c r="O713" s="116">
        <v>34.549999999999997</v>
      </c>
      <c r="P713" s="116">
        <v>36.125</v>
      </c>
      <c r="Q713" s="116">
        <v>69.45</v>
      </c>
      <c r="R713">
        <v>280323</v>
      </c>
    </row>
    <row r="714" spans="1:18" x14ac:dyDescent="0.25">
      <c r="A714" s="166">
        <v>43053</v>
      </c>
      <c r="B714" s="116">
        <v>35.700000000000003</v>
      </c>
      <c r="C714" s="116">
        <v>34.9</v>
      </c>
      <c r="D714" s="116">
        <v>33.1</v>
      </c>
      <c r="E714" s="116">
        <v>34.85</v>
      </c>
      <c r="F714" s="116">
        <v>69.8</v>
      </c>
      <c r="G714">
        <v>88533</v>
      </c>
      <c r="H714" s="116"/>
      <c r="I714" s="116"/>
      <c r="L714" s="166">
        <v>43053</v>
      </c>
      <c r="M714" s="116">
        <v>34.799999999999997</v>
      </c>
      <c r="N714" s="116">
        <v>35.5</v>
      </c>
      <c r="O714" s="116">
        <v>33</v>
      </c>
      <c r="P714" s="116">
        <v>34.950000000000003</v>
      </c>
      <c r="Q714" s="116">
        <v>69.599999999999994</v>
      </c>
      <c r="R714">
        <v>463910</v>
      </c>
    </row>
    <row r="715" spans="1:18" x14ac:dyDescent="0.25">
      <c r="A715" s="166">
        <v>43054</v>
      </c>
      <c r="B715" s="116">
        <v>36.5</v>
      </c>
      <c r="C715" s="116">
        <v>35.024999999999999</v>
      </c>
      <c r="D715" s="116">
        <v>34.475000000000001</v>
      </c>
      <c r="E715" s="116">
        <v>34.5</v>
      </c>
      <c r="F715" s="116">
        <v>70.05</v>
      </c>
      <c r="G715">
        <v>234064</v>
      </c>
      <c r="H715" s="116"/>
      <c r="I715" s="116"/>
      <c r="L715" s="166">
        <v>43054</v>
      </c>
      <c r="M715" s="116">
        <v>35</v>
      </c>
      <c r="N715" s="116">
        <v>36.5</v>
      </c>
      <c r="O715" s="116">
        <v>34.4</v>
      </c>
      <c r="P715" s="116">
        <v>35.15</v>
      </c>
      <c r="Q715" s="116">
        <v>70</v>
      </c>
      <c r="R715">
        <v>1131045</v>
      </c>
    </row>
    <row r="716" spans="1:18" x14ac:dyDescent="0.25">
      <c r="A716" s="166">
        <v>43055</v>
      </c>
      <c r="B716" s="116">
        <v>37.375</v>
      </c>
      <c r="C716" s="116">
        <v>36.875</v>
      </c>
      <c r="D716" s="116">
        <v>35.049999999999997</v>
      </c>
      <c r="E716" s="116">
        <v>35.049999999999997</v>
      </c>
      <c r="F716" s="116">
        <v>73.75</v>
      </c>
      <c r="G716">
        <v>196479</v>
      </c>
      <c r="H716" s="116"/>
      <c r="I716" s="116"/>
      <c r="L716" s="166">
        <v>43055</v>
      </c>
      <c r="M716" s="116">
        <v>36.75</v>
      </c>
      <c r="N716" s="116">
        <v>37.4</v>
      </c>
      <c r="O716" s="116">
        <v>35.200000000000003</v>
      </c>
      <c r="P716" s="116">
        <v>35.200000000000003</v>
      </c>
      <c r="Q716" s="116">
        <v>73.5</v>
      </c>
      <c r="R716">
        <v>934561</v>
      </c>
    </row>
    <row r="717" spans="1:18" x14ac:dyDescent="0.25">
      <c r="A717" s="166">
        <v>43056</v>
      </c>
      <c r="B717" s="116">
        <v>38.450000000000003</v>
      </c>
      <c r="C717" s="116">
        <v>37.125</v>
      </c>
      <c r="D717" s="116">
        <v>36.625</v>
      </c>
      <c r="E717" s="116">
        <v>37.225000000000001</v>
      </c>
      <c r="F717" s="116">
        <v>74.25</v>
      </c>
      <c r="G717">
        <v>207683</v>
      </c>
      <c r="H717" s="116"/>
      <c r="I717" s="116"/>
      <c r="L717" s="166">
        <v>43056</v>
      </c>
      <c r="M717" s="116">
        <v>37.125</v>
      </c>
      <c r="N717" s="116">
        <v>38.450000000000003</v>
      </c>
      <c r="O717" s="116">
        <v>36.625</v>
      </c>
      <c r="P717" s="116">
        <v>37.125</v>
      </c>
      <c r="Q717" s="116">
        <v>74.25</v>
      </c>
      <c r="R717">
        <v>953526</v>
      </c>
    </row>
    <row r="718" spans="1:18" x14ac:dyDescent="0.25">
      <c r="A718" s="166">
        <v>43059</v>
      </c>
      <c r="B718" s="116">
        <v>39.575000000000003</v>
      </c>
      <c r="C718" s="116">
        <v>39.325000000000003</v>
      </c>
      <c r="D718" s="116">
        <v>36.975000000000001</v>
      </c>
      <c r="E718" s="116">
        <v>37.200000000000003</v>
      </c>
      <c r="F718" s="116">
        <v>78.650000000000006</v>
      </c>
      <c r="G718">
        <v>252024</v>
      </c>
      <c r="H718" s="116"/>
      <c r="I718" s="116"/>
      <c r="L718" s="166">
        <v>43059</v>
      </c>
      <c r="M718" s="116">
        <v>39.15</v>
      </c>
      <c r="N718" s="116">
        <v>39.625</v>
      </c>
      <c r="O718" s="116">
        <v>36.9</v>
      </c>
      <c r="P718" s="116">
        <v>37.225000000000001</v>
      </c>
      <c r="Q718" s="116">
        <v>78.3</v>
      </c>
      <c r="R718">
        <v>1619797</v>
      </c>
    </row>
    <row r="719" spans="1:18" x14ac:dyDescent="0.25">
      <c r="A719" s="166">
        <v>43060</v>
      </c>
      <c r="B719" s="116">
        <v>39.75</v>
      </c>
      <c r="C719" s="116">
        <v>38.774999999999999</v>
      </c>
      <c r="D719" s="116">
        <v>38.25</v>
      </c>
      <c r="E719" s="116">
        <v>39.549999999999997</v>
      </c>
      <c r="F719" s="116">
        <v>77.55</v>
      </c>
      <c r="G719">
        <v>128391</v>
      </c>
      <c r="H719" s="116"/>
      <c r="I719" s="116"/>
      <c r="L719" s="166">
        <v>43060</v>
      </c>
      <c r="M719" s="116">
        <v>38.774999999999999</v>
      </c>
      <c r="N719" s="116">
        <v>39.75</v>
      </c>
      <c r="O719" s="116">
        <v>38.225000000000001</v>
      </c>
      <c r="P719" s="116">
        <v>39.5</v>
      </c>
      <c r="Q719" s="116">
        <v>77.55</v>
      </c>
      <c r="R719">
        <v>478868</v>
      </c>
    </row>
    <row r="720" spans="1:18" x14ac:dyDescent="0.25">
      <c r="A720" s="166">
        <v>43061</v>
      </c>
      <c r="B720" s="116">
        <v>40.25</v>
      </c>
      <c r="C720" s="116">
        <v>39.325000000000003</v>
      </c>
      <c r="D720" s="116">
        <v>38.774999999999999</v>
      </c>
      <c r="E720" s="116">
        <v>38.975000000000001</v>
      </c>
      <c r="F720" s="116">
        <v>78.650000000000006</v>
      </c>
      <c r="G720">
        <v>223979</v>
      </c>
      <c r="H720" s="116"/>
      <c r="I720" s="116"/>
      <c r="L720" s="166">
        <v>43061</v>
      </c>
      <c r="M720" s="116">
        <v>39.475000000000001</v>
      </c>
      <c r="N720" s="116">
        <v>40.35</v>
      </c>
      <c r="O720" s="116">
        <v>38.85</v>
      </c>
      <c r="P720" s="116">
        <v>38.975000000000001</v>
      </c>
      <c r="Q720" s="116">
        <v>78.95</v>
      </c>
      <c r="R720">
        <v>871998</v>
      </c>
    </row>
    <row r="721" spans="1:18" x14ac:dyDescent="0.25">
      <c r="A721" s="166">
        <v>43062</v>
      </c>
      <c r="B721" s="116">
        <v>40.35</v>
      </c>
      <c r="C721" s="116">
        <v>37.825000000000003</v>
      </c>
      <c r="D721" s="116">
        <v>37.049999999999997</v>
      </c>
      <c r="E721" s="116">
        <v>39.524999999999999</v>
      </c>
      <c r="F721" s="116">
        <v>75.650000000000006</v>
      </c>
      <c r="G721">
        <v>103137</v>
      </c>
      <c r="H721" s="116"/>
      <c r="I721" s="116"/>
      <c r="L721" s="166">
        <v>43062</v>
      </c>
      <c r="M721" s="116">
        <v>37.75</v>
      </c>
      <c r="N721" s="116">
        <v>40.4</v>
      </c>
      <c r="O721" s="116">
        <v>37</v>
      </c>
      <c r="P721" s="116">
        <v>39.5</v>
      </c>
      <c r="Q721" s="116">
        <v>75.5</v>
      </c>
      <c r="R721">
        <v>780584</v>
      </c>
    </row>
    <row r="722" spans="1:18" x14ac:dyDescent="0.25">
      <c r="A722" s="166">
        <v>43063</v>
      </c>
      <c r="B722" s="116">
        <v>39.225000000000001</v>
      </c>
      <c r="C722" s="116">
        <v>38.65</v>
      </c>
      <c r="D722" s="116">
        <v>37.9</v>
      </c>
      <c r="E722" s="116">
        <v>38.174999999999997</v>
      </c>
      <c r="F722" s="116">
        <v>77.3</v>
      </c>
      <c r="G722">
        <v>130441</v>
      </c>
      <c r="H722" s="116"/>
      <c r="I722" s="116"/>
      <c r="L722" s="166">
        <v>43063</v>
      </c>
      <c r="M722" s="116">
        <v>38.85</v>
      </c>
      <c r="N722" s="116">
        <v>39.125</v>
      </c>
      <c r="O722" s="116">
        <v>37.774999999999999</v>
      </c>
      <c r="P722" s="116">
        <v>38</v>
      </c>
      <c r="Q722" s="116">
        <v>77.7</v>
      </c>
      <c r="R722">
        <v>726639</v>
      </c>
    </row>
    <row r="723" spans="1:18" x14ac:dyDescent="0.25">
      <c r="A723" s="166">
        <v>43066</v>
      </c>
      <c r="B723" s="116">
        <v>40.024999999999999</v>
      </c>
      <c r="C723" s="116">
        <v>38.825000000000003</v>
      </c>
      <c r="D723" s="116">
        <v>38.5</v>
      </c>
      <c r="E723" s="116">
        <v>38.700000000000003</v>
      </c>
      <c r="F723" s="116">
        <v>77.650000000000006</v>
      </c>
      <c r="G723">
        <v>130953</v>
      </c>
      <c r="H723" s="116"/>
      <c r="I723" s="116"/>
      <c r="L723" s="166">
        <v>43066</v>
      </c>
      <c r="M723" s="116">
        <v>38.549999999999997</v>
      </c>
      <c r="N723" s="116">
        <v>40.35</v>
      </c>
      <c r="O723" s="116">
        <v>37.5</v>
      </c>
      <c r="P723" s="116">
        <v>38.5</v>
      </c>
      <c r="Q723" s="116">
        <v>77.099999999999994</v>
      </c>
      <c r="R723">
        <v>940693</v>
      </c>
    </row>
    <row r="724" spans="1:18" x14ac:dyDescent="0.25">
      <c r="A724" s="166">
        <v>43067</v>
      </c>
      <c r="B724" s="116">
        <v>39.75</v>
      </c>
      <c r="C724" s="116">
        <v>38.950000000000003</v>
      </c>
      <c r="D724" s="116">
        <v>38.799999999999997</v>
      </c>
      <c r="E724" s="116">
        <v>39</v>
      </c>
      <c r="F724" s="116">
        <v>77.900000000000006</v>
      </c>
      <c r="G724">
        <v>61876</v>
      </c>
      <c r="H724" s="116"/>
      <c r="I724" s="116"/>
      <c r="L724" s="166">
        <v>43067</v>
      </c>
      <c r="M724" s="116">
        <v>38.924999999999997</v>
      </c>
      <c r="N724" s="116">
        <v>39.725000000000001</v>
      </c>
      <c r="O724" s="116">
        <v>38.625</v>
      </c>
      <c r="P724" s="116">
        <v>38.950000000000003</v>
      </c>
      <c r="Q724" s="116">
        <v>77.849999999999994</v>
      </c>
      <c r="R724">
        <v>321891</v>
      </c>
    </row>
    <row r="725" spans="1:18" x14ac:dyDescent="0.25">
      <c r="A725" s="166">
        <v>43068</v>
      </c>
      <c r="B725" s="116">
        <v>41.7</v>
      </c>
      <c r="C725" s="116">
        <v>39.9</v>
      </c>
      <c r="D725" s="116">
        <v>39.200000000000003</v>
      </c>
      <c r="E725" s="116">
        <v>39.325000000000003</v>
      </c>
      <c r="F725" s="116">
        <v>79.8</v>
      </c>
      <c r="G725">
        <v>471262</v>
      </c>
      <c r="H725" s="116"/>
      <c r="I725" s="116"/>
      <c r="L725" s="166">
        <v>43068</v>
      </c>
      <c r="M725" s="116">
        <v>39.75</v>
      </c>
      <c r="N725" s="116">
        <v>41.674999999999997</v>
      </c>
      <c r="O725" s="116">
        <v>39</v>
      </c>
      <c r="P725" s="116">
        <v>39</v>
      </c>
      <c r="Q725" s="116">
        <v>79.5</v>
      </c>
      <c r="R725">
        <v>2876328</v>
      </c>
    </row>
    <row r="726" spans="1:18" x14ac:dyDescent="0.25">
      <c r="A726" s="166">
        <v>43069</v>
      </c>
      <c r="B726" s="116">
        <v>41.174999999999997</v>
      </c>
      <c r="C726" s="116">
        <v>40</v>
      </c>
      <c r="D726" s="116">
        <v>39.1</v>
      </c>
      <c r="E726" s="116">
        <v>39.674999999999997</v>
      </c>
      <c r="F726" s="116">
        <v>80</v>
      </c>
      <c r="G726">
        <v>214504</v>
      </c>
      <c r="H726" s="116"/>
      <c r="I726" s="116"/>
      <c r="L726" s="166">
        <v>43069</v>
      </c>
      <c r="M726" s="116">
        <v>40.024999999999999</v>
      </c>
      <c r="N726" s="116">
        <v>41.25</v>
      </c>
      <c r="O726" s="116">
        <v>39</v>
      </c>
      <c r="P726" s="116">
        <v>39.524999999999999</v>
      </c>
      <c r="Q726" s="116">
        <v>80.05</v>
      </c>
      <c r="R726">
        <v>994420</v>
      </c>
    </row>
    <row r="727" spans="1:18" x14ac:dyDescent="0.25">
      <c r="A727" s="166">
        <v>43070</v>
      </c>
      <c r="B727" s="116">
        <v>43.8</v>
      </c>
      <c r="C727" s="116">
        <v>41.9</v>
      </c>
      <c r="D727" s="116">
        <v>40.375</v>
      </c>
      <c r="E727" s="116">
        <v>40.375</v>
      </c>
      <c r="F727" s="116">
        <v>83.8</v>
      </c>
      <c r="G727">
        <v>630614</v>
      </c>
      <c r="H727" s="116"/>
      <c r="I727" s="116"/>
      <c r="L727" s="166">
        <v>43070</v>
      </c>
      <c r="M727" s="116">
        <v>41.825000000000003</v>
      </c>
      <c r="N727" s="116">
        <v>43.825000000000003</v>
      </c>
      <c r="O727" s="116">
        <v>40.375</v>
      </c>
      <c r="P727" s="116">
        <v>40.375</v>
      </c>
      <c r="Q727" s="116">
        <v>83.65</v>
      </c>
      <c r="R727">
        <v>3191841</v>
      </c>
    </row>
    <row r="728" spans="1:18" x14ac:dyDescent="0.25">
      <c r="A728" s="166">
        <v>43073</v>
      </c>
      <c r="B728" s="116">
        <v>44.325000000000003</v>
      </c>
      <c r="C728" s="116">
        <v>42.225000000000001</v>
      </c>
      <c r="D728" s="116">
        <v>41</v>
      </c>
      <c r="E728" s="116">
        <v>42.125</v>
      </c>
      <c r="F728" s="116">
        <v>84.45</v>
      </c>
      <c r="G728">
        <v>440418</v>
      </c>
      <c r="H728" s="116"/>
      <c r="I728" s="116"/>
      <c r="L728" s="166">
        <v>43073</v>
      </c>
      <c r="M728" s="116">
        <v>42.35</v>
      </c>
      <c r="N728" s="116">
        <v>44.4</v>
      </c>
      <c r="O728" s="116">
        <v>41</v>
      </c>
      <c r="P728" s="116">
        <v>42.1</v>
      </c>
      <c r="Q728" s="116">
        <v>84.7</v>
      </c>
      <c r="R728">
        <v>1818475</v>
      </c>
    </row>
    <row r="729" spans="1:18" x14ac:dyDescent="0.25">
      <c r="A729" s="166">
        <v>43074</v>
      </c>
      <c r="B729" s="116">
        <v>43.774999999999999</v>
      </c>
      <c r="C729" s="116">
        <v>42.8</v>
      </c>
      <c r="D729" s="116">
        <v>41.25</v>
      </c>
      <c r="E729" s="116">
        <v>41.95</v>
      </c>
      <c r="F729" s="116">
        <v>85.6</v>
      </c>
      <c r="G729">
        <v>200228</v>
      </c>
      <c r="H729" s="116"/>
      <c r="I729" s="116"/>
      <c r="L729" s="166">
        <v>43074</v>
      </c>
      <c r="M729" s="116">
        <v>42.975000000000001</v>
      </c>
      <c r="N729" s="116">
        <v>43.4</v>
      </c>
      <c r="O729" s="116">
        <v>41.25</v>
      </c>
      <c r="P729" s="116">
        <v>42.25</v>
      </c>
      <c r="Q729" s="116">
        <v>85.95</v>
      </c>
      <c r="R729">
        <v>833345</v>
      </c>
    </row>
    <row r="730" spans="1:18" x14ac:dyDescent="0.25">
      <c r="A730" s="166">
        <v>43075</v>
      </c>
      <c r="B730" s="116">
        <v>46.024999999999999</v>
      </c>
      <c r="C730" s="116">
        <v>43.725000000000001</v>
      </c>
      <c r="D730" s="116">
        <v>42.4</v>
      </c>
      <c r="E730" s="116">
        <v>42.75</v>
      </c>
      <c r="F730" s="116">
        <v>87.45</v>
      </c>
      <c r="G730">
        <v>553916</v>
      </c>
      <c r="H730" s="116"/>
      <c r="I730" s="116"/>
      <c r="L730" s="166">
        <v>43075</v>
      </c>
      <c r="M730" s="116">
        <v>43.774999999999999</v>
      </c>
      <c r="N730" s="116">
        <v>46.1</v>
      </c>
      <c r="O730" s="116">
        <v>42.375</v>
      </c>
      <c r="P730" s="116">
        <v>42.7</v>
      </c>
      <c r="Q730" s="116">
        <v>87.55</v>
      </c>
      <c r="R730">
        <v>2519895</v>
      </c>
    </row>
    <row r="731" spans="1:18" x14ac:dyDescent="0.25">
      <c r="A731" s="166">
        <v>43076</v>
      </c>
      <c r="B731" s="116">
        <v>46.65</v>
      </c>
      <c r="C731" s="116">
        <v>46.125</v>
      </c>
      <c r="D731" s="116">
        <v>43.9</v>
      </c>
      <c r="E731" s="116">
        <v>44</v>
      </c>
      <c r="F731" s="116">
        <v>92.25</v>
      </c>
      <c r="G731">
        <v>550453</v>
      </c>
      <c r="H731" s="116"/>
      <c r="I731" s="116"/>
      <c r="L731" s="166">
        <v>43076</v>
      </c>
      <c r="M731" s="116">
        <v>46.125</v>
      </c>
      <c r="N731" s="116">
        <v>46.674999999999997</v>
      </c>
      <c r="O731" s="116">
        <v>44</v>
      </c>
      <c r="P731" s="116">
        <v>44.075000000000003</v>
      </c>
      <c r="Q731" s="116">
        <v>92.25</v>
      </c>
      <c r="R731">
        <v>2660551</v>
      </c>
    </row>
    <row r="732" spans="1:18" x14ac:dyDescent="0.25">
      <c r="A732" s="166">
        <v>43077</v>
      </c>
      <c r="B732" s="116">
        <v>48.174999999999997</v>
      </c>
      <c r="C732" s="116">
        <v>46.75</v>
      </c>
      <c r="D732" s="116">
        <v>45.45</v>
      </c>
      <c r="E732" s="116">
        <v>46.325000000000003</v>
      </c>
      <c r="F732" s="116">
        <v>93.5</v>
      </c>
      <c r="G732">
        <v>499525</v>
      </c>
      <c r="H732" s="116"/>
      <c r="I732" s="116"/>
      <c r="L732" s="166">
        <v>43077</v>
      </c>
      <c r="M732" s="116">
        <v>46.85</v>
      </c>
      <c r="N732" s="116">
        <v>48.174999999999997</v>
      </c>
      <c r="O732" s="116">
        <v>45.4</v>
      </c>
      <c r="P732" s="116">
        <v>46.274999999999999</v>
      </c>
      <c r="Q732" s="116">
        <v>93.7</v>
      </c>
      <c r="R732">
        <v>2167036</v>
      </c>
    </row>
    <row r="733" spans="1:18" x14ac:dyDescent="0.25">
      <c r="A733" s="166">
        <v>43080</v>
      </c>
      <c r="B733" s="116">
        <v>48.625</v>
      </c>
      <c r="C733" s="116">
        <v>47.825000000000003</v>
      </c>
      <c r="D733" s="116">
        <v>46.25</v>
      </c>
      <c r="E733" s="116">
        <v>47</v>
      </c>
      <c r="F733" s="116">
        <v>95.65</v>
      </c>
      <c r="G733">
        <v>427642</v>
      </c>
      <c r="H733" s="116"/>
      <c r="I733" s="116"/>
      <c r="L733" s="166">
        <v>43080</v>
      </c>
      <c r="M733" s="116">
        <v>47.875</v>
      </c>
      <c r="N733" s="116">
        <v>48.7</v>
      </c>
      <c r="O733" s="116">
        <v>46.15</v>
      </c>
      <c r="P733" s="116">
        <v>47.05</v>
      </c>
      <c r="Q733" s="116">
        <v>95.75</v>
      </c>
      <c r="R733">
        <v>1922660</v>
      </c>
    </row>
    <row r="734" spans="1:18" x14ac:dyDescent="0.25">
      <c r="A734" s="166">
        <v>43081</v>
      </c>
      <c r="B734" s="116">
        <v>48.85</v>
      </c>
      <c r="C734" s="116">
        <v>47.375</v>
      </c>
      <c r="D734" s="116">
        <v>47.1</v>
      </c>
      <c r="E734" s="116">
        <v>47.975000000000001</v>
      </c>
      <c r="F734" s="116">
        <v>94.75</v>
      </c>
      <c r="G734">
        <v>228710</v>
      </c>
      <c r="H734" s="116"/>
      <c r="I734" s="116"/>
      <c r="L734" s="166">
        <v>43081</v>
      </c>
      <c r="M734" s="116">
        <v>47.4</v>
      </c>
      <c r="N734" s="116">
        <v>48.85</v>
      </c>
      <c r="O734" s="116">
        <v>47.05</v>
      </c>
      <c r="P734" s="116">
        <v>47.7</v>
      </c>
      <c r="Q734" s="116">
        <v>94.8</v>
      </c>
      <c r="R734">
        <v>1185674</v>
      </c>
    </row>
    <row r="735" spans="1:18" x14ac:dyDescent="0.25">
      <c r="A735" s="166">
        <v>43082</v>
      </c>
      <c r="B735" s="116">
        <v>47.75</v>
      </c>
      <c r="C735" s="116">
        <v>44.6</v>
      </c>
      <c r="D735" s="116">
        <v>44</v>
      </c>
      <c r="E735" s="116">
        <v>47.3</v>
      </c>
      <c r="F735" s="116">
        <v>89.2</v>
      </c>
      <c r="G735">
        <v>209809</v>
      </c>
      <c r="H735" s="116"/>
      <c r="I735" s="116"/>
      <c r="L735" s="166">
        <v>43082</v>
      </c>
      <c r="M735" s="116">
        <v>44.524999999999999</v>
      </c>
      <c r="N735" s="116">
        <v>47.8</v>
      </c>
      <c r="O735" s="116">
        <v>43.924999999999997</v>
      </c>
      <c r="P735" s="116">
        <v>47.25</v>
      </c>
      <c r="Q735" s="116">
        <v>89.05</v>
      </c>
      <c r="R735">
        <v>1178357</v>
      </c>
    </row>
    <row r="736" spans="1:18" x14ac:dyDescent="0.25">
      <c r="A736" s="166">
        <v>43083</v>
      </c>
      <c r="B736" s="116">
        <v>45.5</v>
      </c>
      <c r="C736" s="116">
        <v>44.05</v>
      </c>
      <c r="D736" s="116">
        <v>42.55</v>
      </c>
      <c r="E736" s="116">
        <v>44.524999999999999</v>
      </c>
      <c r="F736" s="116">
        <v>88.1</v>
      </c>
      <c r="G736">
        <v>174354</v>
      </c>
      <c r="H736" s="116"/>
      <c r="I736" s="116"/>
      <c r="L736" s="166">
        <v>43083</v>
      </c>
      <c r="M736" s="116">
        <v>44.125</v>
      </c>
      <c r="N736" s="116">
        <v>45.375</v>
      </c>
      <c r="O736" s="116">
        <v>42.65</v>
      </c>
      <c r="P736" s="116">
        <v>44.75</v>
      </c>
      <c r="Q736" s="116">
        <v>88.25</v>
      </c>
      <c r="R736">
        <v>1017887</v>
      </c>
    </row>
    <row r="737" spans="1:18" x14ac:dyDescent="0.25">
      <c r="A737" s="166">
        <v>43084</v>
      </c>
      <c r="B737" s="116">
        <v>46.674999999999997</v>
      </c>
      <c r="C737" s="116">
        <v>45.5</v>
      </c>
      <c r="D737" s="116">
        <v>44.8</v>
      </c>
      <c r="E737" s="116">
        <v>44.975000000000001</v>
      </c>
      <c r="F737" s="116">
        <v>91</v>
      </c>
      <c r="G737">
        <v>286289</v>
      </c>
      <c r="H737" s="116"/>
      <c r="I737" s="116"/>
      <c r="L737" s="166">
        <v>43084</v>
      </c>
      <c r="M737" s="116">
        <v>45.524999999999999</v>
      </c>
      <c r="N737" s="116">
        <v>46.65</v>
      </c>
      <c r="O737" s="116">
        <v>44.65</v>
      </c>
      <c r="P737" s="116">
        <v>45</v>
      </c>
      <c r="Q737" s="116">
        <v>91.05</v>
      </c>
      <c r="R737">
        <v>881253</v>
      </c>
    </row>
    <row r="738" spans="1:18" x14ac:dyDescent="0.25">
      <c r="A738" s="166">
        <v>43087</v>
      </c>
      <c r="B738" s="116">
        <v>46.5</v>
      </c>
      <c r="C738" s="116">
        <v>45.375</v>
      </c>
      <c r="D738" s="116">
        <v>42.9</v>
      </c>
      <c r="E738" s="116">
        <v>45.5</v>
      </c>
      <c r="F738" s="116">
        <v>90.75</v>
      </c>
      <c r="G738">
        <v>266435</v>
      </c>
      <c r="H738" s="116"/>
      <c r="I738" s="116"/>
      <c r="L738" s="166">
        <v>43087</v>
      </c>
      <c r="M738" s="116">
        <v>45.475000000000001</v>
      </c>
      <c r="N738" s="116">
        <v>46.7</v>
      </c>
      <c r="O738" s="116">
        <v>42.8</v>
      </c>
      <c r="P738" s="116">
        <v>45.45</v>
      </c>
      <c r="Q738" s="116">
        <v>90.95</v>
      </c>
      <c r="R738">
        <v>940635</v>
      </c>
    </row>
    <row r="739" spans="1:18" x14ac:dyDescent="0.25">
      <c r="A739" s="166">
        <v>43088</v>
      </c>
      <c r="B739" s="116">
        <v>47.75</v>
      </c>
      <c r="C739" s="116">
        <v>47.375</v>
      </c>
      <c r="D739" s="116">
        <v>45.375</v>
      </c>
      <c r="E739" s="116">
        <v>45.75</v>
      </c>
      <c r="F739" s="116">
        <v>94.75</v>
      </c>
      <c r="G739">
        <v>278653</v>
      </c>
      <c r="H739" s="116"/>
      <c r="I739" s="116"/>
      <c r="L739" s="166">
        <v>43088</v>
      </c>
      <c r="M739" s="116">
        <v>47.475000000000001</v>
      </c>
      <c r="N739" s="116">
        <v>47.85</v>
      </c>
      <c r="O739" s="116">
        <v>45.424999999999997</v>
      </c>
      <c r="P739" s="116">
        <v>45.85</v>
      </c>
      <c r="Q739" s="116">
        <v>94.95</v>
      </c>
      <c r="R739">
        <v>1181805</v>
      </c>
    </row>
    <row r="740" spans="1:18" x14ac:dyDescent="0.25">
      <c r="A740" s="166">
        <v>43089</v>
      </c>
      <c r="B740" s="116">
        <v>56.25</v>
      </c>
      <c r="C740" s="116">
        <v>55.325000000000003</v>
      </c>
      <c r="D740" s="116">
        <v>47.524999999999999</v>
      </c>
      <c r="E740" s="116">
        <v>47.75</v>
      </c>
      <c r="F740" s="116">
        <v>110.65</v>
      </c>
      <c r="G740">
        <v>1554556</v>
      </c>
      <c r="H740" s="116"/>
      <c r="I740" s="116"/>
      <c r="L740" s="166">
        <v>43089</v>
      </c>
      <c r="M740" s="116">
        <v>55.274999999999999</v>
      </c>
      <c r="N740" s="116">
        <v>56.225000000000001</v>
      </c>
      <c r="O740" s="116">
        <v>47.524999999999999</v>
      </c>
      <c r="P740" s="116">
        <v>47.674999999999997</v>
      </c>
      <c r="Q740" s="116">
        <v>110.55</v>
      </c>
      <c r="R740">
        <v>6571564</v>
      </c>
    </row>
    <row r="741" spans="1:18" x14ac:dyDescent="0.25">
      <c r="A741" s="166">
        <v>43090</v>
      </c>
      <c r="B741" s="116">
        <v>56.75</v>
      </c>
      <c r="C741" s="116">
        <v>53.674999999999997</v>
      </c>
      <c r="D741" s="116">
        <v>53</v>
      </c>
      <c r="E741" s="116">
        <v>55.875</v>
      </c>
      <c r="F741" s="116">
        <v>107.35</v>
      </c>
      <c r="G741">
        <v>583559</v>
      </c>
      <c r="H741" s="116"/>
      <c r="I741" s="116"/>
      <c r="L741" s="166">
        <v>43090</v>
      </c>
      <c r="M741" s="116">
        <v>53.65</v>
      </c>
      <c r="N741" s="116">
        <v>56.75</v>
      </c>
      <c r="O741" s="116">
        <v>53.15</v>
      </c>
      <c r="P741" s="116">
        <v>55.75</v>
      </c>
      <c r="Q741" s="116">
        <v>107.3</v>
      </c>
      <c r="R741">
        <v>2518143</v>
      </c>
    </row>
    <row r="742" spans="1:18" x14ac:dyDescent="0.25">
      <c r="A742" s="166">
        <v>43091</v>
      </c>
      <c r="B742" s="116">
        <v>56.65</v>
      </c>
      <c r="C742" s="116">
        <v>54.7</v>
      </c>
      <c r="D742" s="116">
        <v>53</v>
      </c>
      <c r="E742" s="116">
        <v>53.9</v>
      </c>
      <c r="F742" s="116">
        <v>109.4</v>
      </c>
      <c r="G742">
        <v>697979</v>
      </c>
      <c r="H742" s="116"/>
      <c r="I742" s="116"/>
      <c r="L742" s="166">
        <v>43091</v>
      </c>
      <c r="M742" s="116">
        <v>54.774999999999999</v>
      </c>
      <c r="N742" s="116">
        <v>56.65</v>
      </c>
      <c r="O742" s="116">
        <v>52.774999999999999</v>
      </c>
      <c r="P742" s="116">
        <v>53.7</v>
      </c>
      <c r="Q742" s="116">
        <v>109.55</v>
      </c>
      <c r="R742">
        <v>2493710</v>
      </c>
    </row>
    <row r="743" spans="1:18" x14ac:dyDescent="0.25">
      <c r="A743" s="166">
        <v>43095</v>
      </c>
      <c r="B743" s="116">
        <v>55.15</v>
      </c>
      <c r="C743" s="116">
        <v>53.225000000000001</v>
      </c>
      <c r="D743" s="116">
        <v>52.924999999999997</v>
      </c>
      <c r="E743" s="116">
        <v>55.15</v>
      </c>
      <c r="F743" s="116">
        <v>106.45</v>
      </c>
      <c r="G743">
        <v>139092</v>
      </c>
      <c r="H743" s="116"/>
      <c r="I743" s="116"/>
      <c r="L743" s="166">
        <v>43095</v>
      </c>
      <c r="M743" s="116">
        <v>53.15</v>
      </c>
      <c r="N743" s="116">
        <v>55.075000000000003</v>
      </c>
      <c r="O743" s="116">
        <v>52.875</v>
      </c>
      <c r="P743" s="116">
        <v>55</v>
      </c>
      <c r="Q743" s="116">
        <v>106.3</v>
      </c>
      <c r="R743">
        <v>857127</v>
      </c>
    </row>
    <row r="744" spans="1:18" x14ac:dyDescent="0.25">
      <c r="A744" s="166">
        <v>43096</v>
      </c>
      <c r="B744" s="116">
        <v>53.75</v>
      </c>
      <c r="C744" s="116">
        <v>51.05</v>
      </c>
      <c r="D744" s="116">
        <v>50.3</v>
      </c>
      <c r="E744" s="116">
        <v>53.674999999999997</v>
      </c>
      <c r="F744" s="116">
        <v>102.1</v>
      </c>
      <c r="G744">
        <v>267226</v>
      </c>
      <c r="H744" s="116"/>
      <c r="I744" s="116"/>
      <c r="L744" s="166">
        <v>43096</v>
      </c>
      <c r="M744" s="116">
        <v>51.25</v>
      </c>
      <c r="N744" s="116">
        <v>53.5</v>
      </c>
      <c r="O744" s="116">
        <v>50.3</v>
      </c>
      <c r="P744" s="116">
        <v>53.5</v>
      </c>
      <c r="Q744" s="116">
        <v>102.5</v>
      </c>
      <c r="R744">
        <v>880865</v>
      </c>
    </row>
    <row r="745" spans="1:18" x14ac:dyDescent="0.25">
      <c r="A745" s="166">
        <v>43097</v>
      </c>
      <c r="B745" s="116">
        <v>53.6</v>
      </c>
      <c r="C745" s="116">
        <v>52</v>
      </c>
      <c r="D745" s="116">
        <v>51.274999999999999</v>
      </c>
      <c r="E745" s="116">
        <v>51.274999999999999</v>
      </c>
      <c r="F745" s="116">
        <v>104</v>
      </c>
      <c r="G745">
        <v>244629</v>
      </c>
      <c r="H745" s="116"/>
      <c r="I745" s="116"/>
      <c r="L745" s="166">
        <v>43097</v>
      </c>
      <c r="M745" s="116">
        <v>52.1</v>
      </c>
      <c r="N745" s="116">
        <v>53.7</v>
      </c>
      <c r="O745" s="116">
        <v>51.325000000000003</v>
      </c>
      <c r="P745" s="116">
        <v>51.75</v>
      </c>
      <c r="Q745" s="116">
        <v>104.2</v>
      </c>
      <c r="R745">
        <v>1020333</v>
      </c>
    </row>
    <row r="746" spans="1:18" x14ac:dyDescent="0.25">
      <c r="A746" s="166">
        <v>43098</v>
      </c>
      <c r="B746" s="116">
        <v>53.15</v>
      </c>
      <c r="C746" s="116">
        <v>51.475000000000001</v>
      </c>
      <c r="D746" s="116">
        <v>51.15</v>
      </c>
      <c r="E746" s="116">
        <v>52.625</v>
      </c>
      <c r="F746" s="116">
        <v>102.95</v>
      </c>
      <c r="G746">
        <v>142968</v>
      </c>
      <c r="H746" s="116"/>
      <c r="I746" s="116"/>
      <c r="L746" s="166">
        <v>43098</v>
      </c>
      <c r="M746" s="116">
        <v>51.45</v>
      </c>
      <c r="N746" s="116">
        <v>53.174999999999997</v>
      </c>
      <c r="O746" s="116">
        <v>51.125</v>
      </c>
      <c r="P746" s="116">
        <v>52.5</v>
      </c>
      <c r="Q746" s="116">
        <v>102.9</v>
      </c>
      <c r="R746">
        <v>694215</v>
      </c>
    </row>
    <row r="747" spans="1:18" x14ac:dyDescent="0.25">
      <c r="A747" s="166">
        <v>43101</v>
      </c>
      <c r="B747" s="116">
        <v>53.8</v>
      </c>
      <c r="C747" s="116">
        <v>52.2</v>
      </c>
      <c r="D747" s="116">
        <v>50.95</v>
      </c>
      <c r="E747" s="116">
        <v>51.7</v>
      </c>
      <c r="F747" s="116">
        <v>104.4</v>
      </c>
      <c r="G747">
        <v>319703</v>
      </c>
      <c r="H747" s="116"/>
      <c r="I747" s="116"/>
      <c r="L747" s="166">
        <v>43101</v>
      </c>
      <c r="M747" s="116">
        <v>52.45</v>
      </c>
      <c r="N747" s="116">
        <v>53.774999999999999</v>
      </c>
      <c r="O747" s="116">
        <v>50.825000000000003</v>
      </c>
      <c r="P747" s="116">
        <v>51.475000000000001</v>
      </c>
      <c r="Q747" s="116">
        <v>104.9</v>
      </c>
      <c r="R747">
        <v>1272197</v>
      </c>
    </row>
    <row r="748" spans="1:18" x14ac:dyDescent="0.25">
      <c r="A748" s="166">
        <v>43102</v>
      </c>
      <c r="B748" s="116">
        <v>54.75</v>
      </c>
      <c r="C748" s="116">
        <v>52.45</v>
      </c>
      <c r="D748" s="116">
        <v>51.774999999999999</v>
      </c>
      <c r="E748" s="116">
        <v>53.4</v>
      </c>
      <c r="F748" s="116">
        <v>104.9</v>
      </c>
      <c r="G748">
        <v>385876</v>
      </c>
      <c r="H748" s="116"/>
      <c r="I748" s="116"/>
      <c r="L748" s="166">
        <v>43102</v>
      </c>
      <c r="M748" s="116">
        <v>52.424999999999997</v>
      </c>
      <c r="N748" s="116">
        <v>54.7</v>
      </c>
      <c r="O748" s="116">
        <v>51.7</v>
      </c>
      <c r="P748" s="116">
        <v>52.975000000000001</v>
      </c>
      <c r="Q748" s="116">
        <v>104.85</v>
      </c>
      <c r="R748">
        <v>1974372</v>
      </c>
    </row>
    <row r="749" spans="1:18" x14ac:dyDescent="0.25">
      <c r="A749" s="166">
        <v>43103</v>
      </c>
      <c r="B749" s="116">
        <v>54.774999999999999</v>
      </c>
      <c r="C749" s="116">
        <v>54.1</v>
      </c>
      <c r="D749" s="116">
        <v>52.8</v>
      </c>
      <c r="E749" s="116">
        <v>52.975000000000001</v>
      </c>
      <c r="F749" s="116">
        <v>108.2</v>
      </c>
      <c r="G749">
        <v>219874</v>
      </c>
      <c r="H749" s="116"/>
      <c r="I749" s="116"/>
      <c r="L749" s="166">
        <v>43103</v>
      </c>
      <c r="M749" s="116">
        <v>54.174999999999997</v>
      </c>
      <c r="N749" s="116">
        <v>54.85</v>
      </c>
      <c r="O749" s="116">
        <v>52.75</v>
      </c>
      <c r="P749" s="116">
        <v>52.8</v>
      </c>
      <c r="Q749" s="116">
        <v>108.35</v>
      </c>
      <c r="R749">
        <v>1374259</v>
      </c>
    </row>
    <row r="750" spans="1:18" x14ac:dyDescent="0.25">
      <c r="A750" s="166">
        <v>43104</v>
      </c>
      <c r="B750" s="116">
        <v>54.9</v>
      </c>
      <c r="C750" s="116">
        <v>53.875</v>
      </c>
      <c r="D750" s="116">
        <v>53.274999999999999</v>
      </c>
      <c r="E750" s="116">
        <v>54.875</v>
      </c>
      <c r="F750" s="116">
        <v>107.75</v>
      </c>
      <c r="G750">
        <v>198983</v>
      </c>
      <c r="H750" s="116"/>
      <c r="I750" s="116"/>
      <c r="L750" s="166">
        <v>43104</v>
      </c>
      <c r="M750" s="116">
        <v>53.924999999999997</v>
      </c>
      <c r="N750" s="116">
        <v>54.9</v>
      </c>
      <c r="O750" s="116">
        <v>53.2</v>
      </c>
      <c r="P750" s="116">
        <v>54.55</v>
      </c>
      <c r="Q750" s="116">
        <v>107.85</v>
      </c>
      <c r="R750">
        <v>1335081</v>
      </c>
    </row>
    <row r="751" spans="1:18" x14ac:dyDescent="0.25">
      <c r="A751" s="166">
        <v>43105</v>
      </c>
      <c r="B751" s="116">
        <v>54.5</v>
      </c>
      <c r="C751" s="116">
        <v>52.575000000000003</v>
      </c>
      <c r="D751" s="116">
        <v>52</v>
      </c>
      <c r="E751" s="116">
        <v>54.2</v>
      </c>
      <c r="F751" s="116">
        <v>105.15</v>
      </c>
      <c r="G751">
        <v>231057</v>
      </c>
      <c r="H751" s="116"/>
      <c r="I751" s="116"/>
      <c r="L751" s="166">
        <v>43105</v>
      </c>
      <c r="M751" s="116">
        <v>52.475000000000001</v>
      </c>
      <c r="N751" s="116">
        <v>54.424999999999997</v>
      </c>
      <c r="O751" s="116">
        <v>51.8</v>
      </c>
      <c r="P751" s="116">
        <v>54.125</v>
      </c>
      <c r="Q751" s="116">
        <v>104.95</v>
      </c>
      <c r="R751">
        <v>1118371</v>
      </c>
    </row>
    <row r="752" spans="1:18" x14ac:dyDescent="0.25">
      <c r="A752" s="166">
        <v>43108</v>
      </c>
      <c r="B752" s="116">
        <v>53.524999999999999</v>
      </c>
      <c r="C752" s="116">
        <v>51.8</v>
      </c>
      <c r="D752" s="116">
        <v>51.45</v>
      </c>
      <c r="E752" s="116">
        <v>52.75</v>
      </c>
      <c r="F752" s="116">
        <v>103.6</v>
      </c>
      <c r="G752">
        <v>151543</v>
      </c>
      <c r="H752" s="116"/>
      <c r="I752" s="116"/>
      <c r="L752" s="166">
        <v>43108</v>
      </c>
      <c r="M752" s="116">
        <v>51.65</v>
      </c>
      <c r="N752" s="116">
        <v>54</v>
      </c>
      <c r="O752" s="116">
        <v>51.55</v>
      </c>
      <c r="P752" s="116">
        <v>52.8</v>
      </c>
      <c r="Q752" s="116">
        <v>103.3</v>
      </c>
      <c r="R752">
        <v>1041248</v>
      </c>
    </row>
    <row r="753" spans="1:18" x14ac:dyDescent="0.25">
      <c r="A753" s="166">
        <v>43109</v>
      </c>
      <c r="B753" s="116">
        <v>53.9</v>
      </c>
      <c r="C753" s="116">
        <v>52.325000000000003</v>
      </c>
      <c r="D753" s="116">
        <v>51.924999999999997</v>
      </c>
      <c r="E753" s="116">
        <v>52.5</v>
      </c>
      <c r="F753" s="116">
        <v>104.65</v>
      </c>
      <c r="G753">
        <v>189044</v>
      </c>
      <c r="H753" s="116"/>
      <c r="I753" s="116"/>
      <c r="L753" s="166">
        <v>43109</v>
      </c>
      <c r="M753" s="116">
        <v>52.35</v>
      </c>
      <c r="N753" s="116">
        <v>53.975000000000001</v>
      </c>
      <c r="O753" s="116">
        <v>51.875</v>
      </c>
      <c r="P753" s="116">
        <v>52.024999999999999</v>
      </c>
      <c r="Q753" s="116">
        <v>104.7</v>
      </c>
      <c r="R753">
        <v>963249</v>
      </c>
    </row>
    <row r="754" spans="1:18" x14ac:dyDescent="0.25">
      <c r="A754" s="166">
        <v>43110</v>
      </c>
      <c r="B754" s="116">
        <v>53.5</v>
      </c>
      <c r="C754" s="116">
        <v>51.875</v>
      </c>
      <c r="D754" s="116">
        <v>51.4</v>
      </c>
      <c r="E754" s="116">
        <v>53.25</v>
      </c>
      <c r="F754" s="116">
        <v>103.75</v>
      </c>
      <c r="G754">
        <v>404576</v>
      </c>
      <c r="H754" s="116"/>
      <c r="I754" s="116"/>
      <c r="L754" s="166">
        <v>43110</v>
      </c>
      <c r="M754" s="116">
        <v>51.875</v>
      </c>
      <c r="N754" s="116">
        <v>53.475000000000001</v>
      </c>
      <c r="O754" s="116">
        <v>51.424999999999997</v>
      </c>
      <c r="P754" s="116">
        <v>52.625</v>
      </c>
      <c r="Q754" s="116">
        <v>103.75</v>
      </c>
      <c r="R754">
        <v>718738</v>
      </c>
    </row>
    <row r="755" spans="1:18" x14ac:dyDescent="0.25">
      <c r="A755" s="166">
        <v>43111</v>
      </c>
      <c r="B755" s="116">
        <v>53.55</v>
      </c>
      <c r="C755" s="116">
        <v>52.25</v>
      </c>
      <c r="D755" s="116">
        <v>51.5</v>
      </c>
      <c r="E755" s="116">
        <v>51.5</v>
      </c>
      <c r="F755" s="116">
        <v>104.5</v>
      </c>
      <c r="G755">
        <v>189477</v>
      </c>
      <c r="H755" s="116"/>
      <c r="I755" s="116"/>
      <c r="L755" s="166">
        <v>43111</v>
      </c>
      <c r="M755" s="116">
        <v>52.35</v>
      </c>
      <c r="N755" s="116">
        <v>53.674999999999997</v>
      </c>
      <c r="O755" s="116">
        <v>51.774999999999999</v>
      </c>
      <c r="P755" s="116">
        <v>51.975000000000001</v>
      </c>
      <c r="Q755" s="116">
        <v>104.7</v>
      </c>
      <c r="R755">
        <v>712517</v>
      </c>
    </row>
    <row r="756" spans="1:18" x14ac:dyDescent="0.25">
      <c r="A756" s="166">
        <v>43112</v>
      </c>
      <c r="B756" s="116">
        <v>52.8</v>
      </c>
      <c r="C756" s="116">
        <v>51.174999999999997</v>
      </c>
      <c r="D756" s="116">
        <v>50.7</v>
      </c>
      <c r="E756" s="116">
        <v>52.5</v>
      </c>
      <c r="F756" s="116">
        <v>102.35</v>
      </c>
      <c r="G756">
        <v>87818</v>
      </c>
      <c r="H756" s="116"/>
      <c r="I756" s="116"/>
      <c r="L756" s="166">
        <v>43112</v>
      </c>
      <c r="M756" s="116">
        <v>51.125</v>
      </c>
      <c r="N756" s="116">
        <v>52.825000000000003</v>
      </c>
      <c r="O756" s="116">
        <v>50.774999999999999</v>
      </c>
      <c r="P756" s="116">
        <v>52.55</v>
      </c>
      <c r="Q756" s="116">
        <v>102.25</v>
      </c>
      <c r="R756">
        <v>427351</v>
      </c>
    </row>
    <row r="757" spans="1:18" x14ac:dyDescent="0.25">
      <c r="A757" s="166">
        <v>43115</v>
      </c>
      <c r="B757" s="116">
        <v>52.475000000000001</v>
      </c>
      <c r="C757" s="116">
        <v>50.3</v>
      </c>
      <c r="D757" s="116">
        <v>50.1</v>
      </c>
      <c r="E757" s="116">
        <v>52</v>
      </c>
      <c r="F757" s="116">
        <v>100.6</v>
      </c>
      <c r="G757">
        <v>148101</v>
      </c>
      <c r="H757" s="116"/>
      <c r="I757" s="116"/>
      <c r="L757" s="166">
        <v>43115</v>
      </c>
      <c r="M757" s="116">
        <v>50.375</v>
      </c>
      <c r="N757" s="116">
        <v>52.5</v>
      </c>
      <c r="O757" s="116">
        <v>50.2</v>
      </c>
      <c r="P757" s="116">
        <v>51.95</v>
      </c>
      <c r="Q757" s="116">
        <v>100.75</v>
      </c>
      <c r="R757">
        <v>561874</v>
      </c>
    </row>
    <row r="758" spans="1:18" x14ac:dyDescent="0.25">
      <c r="A758" s="166">
        <v>43116</v>
      </c>
      <c r="B758" s="116">
        <v>50.924999999999997</v>
      </c>
      <c r="C758" s="116">
        <v>48.375</v>
      </c>
      <c r="D758" s="116">
        <v>47.924999999999997</v>
      </c>
      <c r="E758" s="116">
        <v>50.075000000000003</v>
      </c>
      <c r="F758" s="116">
        <v>96.75</v>
      </c>
      <c r="G758">
        <v>202095</v>
      </c>
      <c r="H758" s="116"/>
      <c r="I758" s="116"/>
      <c r="L758" s="166">
        <v>43116</v>
      </c>
      <c r="M758" s="116">
        <v>48.225000000000001</v>
      </c>
      <c r="N758" s="116">
        <v>50.975000000000001</v>
      </c>
      <c r="O758" s="116">
        <v>47.8</v>
      </c>
      <c r="P758" s="116">
        <v>50.674999999999997</v>
      </c>
      <c r="Q758" s="116">
        <v>96.45</v>
      </c>
      <c r="R758">
        <v>772162</v>
      </c>
    </row>
    <row r="759" spans="1:18" x14ac:dyDescent="0.25">
      <c r="A759" s="166">
        <v>43117</v>
      </c>
      <c r="B759" s="116">
        <v>48.25</v>
      </c>
      <c r="C759" s="116">
        <v>46.725000000000001</v>
      </c>
      <c r="D759" s="116">
        <v>46.45</v>
      </c>
      <c r="E759" s="116">
        <v>48.25</v>
      </c>
      <c r="F759" s="116">
        <v>93.45</v>
      </c>
      <c r="G759">
        <v>205588</v>
      </c>
      <c r="H759" s="116"/>
      <c r="I759" s="116"/>
      <c r="L759" s="166">
        <v>43117</v>
      </c>
      <c r="M759" s="116">
        <v>46.774999999999999</v>
      </c>
      <c r="N759" s="116">
        <v>48.274999999999999</v>
      </c>
      <c r="O759" s="116">
        <v>46.4</v>
      </c>
      <c r="P759" s="116">
        <v>48.274999999999999</v>
      </c>
      <c r="Q759" s="116">
        <v>93.55</v>
      </c>
      <c r="R759">
        <v>870377</v>
      </c>
    </row>
    <row r="760" spans="1:18" x14ac:dyDescent="0.25">
      <c r="A760" s="166">
        <v>43118</v>
      </c>
      <c r="B760" s="116">
        <v>47.924999999999997</v>
      </c>
      <c r="C760" s="116">
        <v>44.274999999999999</v>
      </c>
      <c r="D760" s="116">
        <v>43.6</v>
      </c>
      <c r="E760" s="116">
        <v>47.25</v>
      </c>
      <c r="F760" s="116">
        <v>88.55</v>
      </c>
      <c r="G760">
        <v>211729</v>
      </c>
      <c r="H760" s="116"/>
      <c r="I760" s="116"/>
      <c r="L760" s="166">
        <v>43118</v>
      </c>
      <c r="M760" s="116">
        <v>44.225000000000001</v>
      </c>
      <c r="N760" s="116">
        <v>47.7</v>
      </c>
      <c r="O760" s="116">
        <v>43.575000000000003</v>
      </c>
      <c r="P760" s="116">
        <v>47.274999999999999</v>
      </c>
      <c r="Q760" s="116">
        <v>88.45</v>
      </c>
      <c r="R760">
        <v>571222</v>
      </c>
    </row>
    <row r="761" spans="1:18" x14ac:dyDescent="0.25">
      <c r="A761" s="166">
        <v>43119</v>
      </c>
      <c r="B761" s="116">
        <v>46.725000000000001</v>
      </c>
      <c r="C761" s="116">
        <v>46.125</v>
      </c>
      <c r="D761" s="116">
        <v>43.325000000000003</v>
      </c>
      <c r="E761" s="116">
        <v>44.25</v>
      </c>
      <c r="F761" s="116">
        <v>92.25</v>
      </c>
      <c r="G761">
        <v>211075</v>
      </c>
      <c r="H761" s="116"/>
      <c r="I761" s="116"/>
      <c r="L761" s="166">
        <v>43119</v>
      </c>
      <c r="M761" s="116">
        <v>46</v>
      </c>
      <c r="N761" s="116">
        <v>46.75</v>
      </c>
      <c r="O761" s="116">
        <v>43.3</v>
      </c>
      <c r="P761" s="116">
        <v>44.225000000000001</v>
      </c>
      <c r="Q761" s="116">
        <v>92</v>
      </c>
      <c r="R761">
        <v>799408</v>
      </c>
    </row>
    <row r="762" spans="1:18" x14ac:dyDescent="0.25">
      <c r="A762" s="166">
        <v>43122</v>
      </c>
      <c r="B762" s="116">
        <v>46.875</v>
      </c>
      <c r="C762" s="116">
        <v>46.45</v>
      </c>
      <c r="D762" s="116">
        <v>44.25</v>
      </c>
      <c r="E762" s="116">
        <v>46.15</v>
      </c>
      <c r="F762" s="116">
        <v>92.9</v>
      </c>
      <c r="G762">
        <v>139663</v>
      </c>
      <c r="H762" s="116"/>
      <c r="I762" s="116"/>
      <c r="L762" s="166">
        <v>43122</v>
      </c>
      <c r="M762" s="116">
        <v>46.524999999999999</v>
      </c>
      <c r="N762" s="116">
        <v>46.85</v>
      </c>
      <c r="O762" s="116">
        <v>44.3</v>
      </c>
      <c r="P762" s="116">
        <v>46</v>
      </c>
      <c r="Q762" s="116">
        <v>93.05</v>
      </c>
      <c r="R762">
        <v>766433</v>
      </c>
    </row>
    <row r="763" spans="1:18" x14ac:dyDescent="0.25">
      <c r="A763" s="166">
        <v>43123</v>
      </c>
      <c r="B763" s="116">
        <v>50.625</v>
      </c>
      <c r="C763" s="116">
        <v>49.424999999999997</v>
      </c>
      <c r="D763" s="116">
        <v>46.35</v>
      </c>
      <c r="E763" s="116">
        <v>47</v>
      </c>
      <c r="F763" s="116">
        <v>98.85</v>
      </c>
      <c r="G763">
        <v>365567</v>
      </c>
      <c r="H763" s="116"/>
      <c r="I763" s="116"/>
      <c r="L763" s="166">
        <v>43123</v>
      </c>
      <c r="M763" s="116">
        <v>49.4</v>
      </c>
      <c r="N763" s="116">
        <v>50.65</v>
      </c>
      <c r="O763" s="116">
        <v>46.25</v>
      </c>
      <c r="P763" s="116">
        <v>46.524999999999999</v>
      </c>
      <c r="Q763" s="116">
        <v>98.8</v>
      </c>
      <c r="R763">
        <v>2106580</v>
      </c>
    </row>
    <row r="764" spans="1:18" x14ac:dyDescent="0.25">
      <c r="A764" s="166">
        <v>43124</v>
      </c>
      <c r="B764" s="116">
        <v>49.825000000000003</v>
      </c>
      <c r="C764" s="116">
        <v>47.774999999999999</v>
      </c>
      <c r="D764" s="116">
        <v>47.575000000000003</v>
      </c>
      <c r="E764" s="116">
        <v>49.075000000000003</v>
      </c>
      <c r="F764" s="116">
        <v>95.55</v>
      </c>
      <c r="G764">
        <v>125593</v>
      </c>
      <c r="H764" s="116"/>
      <c r="I764" s="116"/>
      <c r="L764" s="166">
        <v>43124</v>
      </c>
      <c r="M764" s="116">
        <v>47.85</v>
      </c>
      <c r="N764" s="116">
        <v>49.85</v>
      </c>
      <c r="O764" s="116">
        <v>47.625</v>
      </c>
      <c r="P764" s="116">
        <v>49.15</v>
      </c>
      <c r="Q764" s="116">
        <v>95.7</v>
      </c>
      <c r="R764">
        <v>699352</v>
      </c>
    </row>
    <row r="765" spans="1:18" x14ac:dyDescent="0.25">
      <c r="A765" s="166">
        <v>43125</v>
      </c>
      <c r="B765" s="116">
        <v>47.8</v>
      </c>
      <c r="C765" s="116">
        <v>46.875</v>
      </c>
      <c r="D765" s="116">
        <v>46</v>
      </c>
      <c r="E765" s="116">
        <v>47.725000000000001</v>
      </c>
      <c r="F765" s="116">
        <v>93.75</v>
      </c>
      <c r="G765">
        <v>75860</v>
      </c>
      <c r="H765" s="116"/>
      <c r="I765" s="116"/>
      <c r="L765" s="166">
        <v>43125</v>
      </c>
      <c r="M765" s="116">
        <v>46.8</v>
      </c>
      <c r="N765" s="116">
        <v>47.8</v>
      </c>
      <c r="O765" s="116">
        <v>46.075000000000003</v>
      </c>
      <c r="P765" s="116">
        <v>47.7</v>
      </c>
      <c r="Q765" s="116">
        <v>93.6</v>
      </c>
      <c r="R765">
        <v>405353</v>
      </c>
    </row>
    <row r="766" spans="1:18" x14ac:dyDescent="0.25">
      <c r="A766" s="166">
        <v>43129</v>
      </c>
      <c r="B766" s="116">
        <v>47.5</v>
      </c>
      <c r="C766" s="116">
        <v>44.8</v>
      </c>
      <c r="D766" s="116">
        <v>44.05</v>
      </c>
      <c r="E766" s="116">
        <v>47.5</v>
      </c>
      <c r="F766" s="116">
        <v>89.6</v>
      </c>
      <c r="G766">
        <v>184513</v>
      </c>
      <c r="H766" s="116"/>
      <c r="I766" s="116"/>
      <c r="L766" s="166">
        <v>43129</v>
      </c>
      <c r="M766" s="116">
        <v>44.825000000000003</v>
      </c>
      <c r="N766" s="116">
        <v>47.375</v>
      </c>
      <c r="O766" s="116">
        <v>44.05</v>
      </c>
      <c r="P766" s="116">
        <v>47.325000000000003</v>
      </c>
      <c r="Q766" s="116">
        <v>89.65</v>
      </c>
      <c r="R766">
        <v>258271</v>
      </c>
    </row>
    <row r="767" spans="1:18" x14ac:dyDescent="0.25">
      <c r="A767" s="166">
        <v>43130</v>
      </c>
      <c r="B767" s="116">
        <v>46.575000000000003</v>
      </c>
      <c r="C767" s="116">
        <v>45.6</v>
      </c>
      <c r="D767" s="116">
        <v>43.375</v>
      </c>
      <c r="E767" s="116">
        <v>44.424999999999997</v>
      </c>
      <c r="F767" s="116">
        <v>91.2</v>
      </c>
      <c r="G767">
        <v>134083</v>
      </c>
      <c r="H767" s="116"/>
      <c r="I767" s="116"/>
      <c r="L767" s="166">
        <v>43130</v>
      </c>
      <c r="M767" s="116">
        <v>45.8</v>
      </c>
      <c r="N767" s="116">
        <v>46.6</v>
      </c>
      <c r="O767" s="116">
        <v>43.325000000000003</v>
      </c>
      <c r="P767" s="116">
        <v>44.75</v>
      </c>
      <c r="Q767" s="116">
        <v>91.6</v>
      </c>
      <c r="R767">
        <v>620578</v>
      </c>
    </row>
    <row r="768" spans="1:18" x14ac:dyDescent="0.25">
      <c r="A768" s="166">
        <v>43131</v>
      </c>
      <c r="B768" s="116">
        <v>47</v>
      </c>
      <c r="C768" s="116">
        <v>45</v>
      </c>
      <c r="D768" s="116">
        <v>44.75</v>
      </c>
      <c r="E768" s="116">
        <v>45.8</v>
      </c>
      <c r="F768" s="116">
        <v>90</v>
      </c>
      <c r="G768">
        <v>112183</v>
      </c>
      <c r="H768" s="116"/>
      <c r="I768" s="116"/>
      <c r="L768" s="166">
        <v>43131</v>
      </c>
      <c r="M768" s="116">
        <v>45</v>
      </c>
      <c r="N768" s="116">
        <v>47.125</v>
      </c>
      <c r="O768" s="116">
        <v>44.85</v>
      </c>
      <c r="P768" s="116">
        <v>45.8</v>
      </c>
      <c r="Q768" s="116">
        <v>90</v>
      </c>
      <c r="R768">
        <v>646810</v>
      </c>
    </row>
    <row r="769" spans="1:18" x14ac:dyDescent="0.25">
      <c r="A769" s="166">
        <v>43132</v>
      </c>
      <c r="B769" s="116">
        <v>45.524999999999999</v>
      </c>
      <c r="C769" s="116">
        <v>43.875</v>
      </c>
      <c r="D769" s="116">
        <v>42.75</v>
      </c>
      <c r="E769" s="116">
        <v>45.225000000000001</v>
      </c>
      <c r="F769" s="116">
        <v>87.75</v>
      </c>
      <c r="G769">
        <v>81321</v>
      </c>
      <c r="H769" s="116"/>
      <c r="I769" s="116"/>
      <c r="L769" s="166">
        <v>43132</v>
      </c>
      <c r="M769" s="116">
        <v>43.825000000000003</v>
      </c>
      <c r="N769" s="116">
        <v>45.475000000000001</v>
      </c>
      <c r="O769" s="116">
        <v>42.625</v>
      </c>
      <c r="P769" s="116">
        <v>45.475000000000001</v>
      </c>
      <c r="Q769" s="116">
        <v>87.65</v>
      </c>
      <c r="R769">
        <v>357911</v>
      </c>
    </row>
    <row r="770" spans="1:18" x14ac:dyDescent="0.25">
      <c r="A770" s="166">
        <v>43133</v>
      </c>
      <c r="B770" s="116">
        <v>44.45</v>
      </c>
      <c r="C770" s="116">
        <v>39.725000000000001</v>
      </c>
      <c r="D770" s="116">
        <v>39.274999999999999</v>
      </c>
      <c r="E770" s="116">
        <v>42.924999999999997</v>
      </c>
      <c r="F770" s="116">
        <v>79.45</v>
      </c>
      <c r="G770">
        <v>196255</v>
      </c>
      <c r="H770" s="116"/>
      <c r="I770" s="116"/>
      <c r="L770" s="166">
        <v>43133</v>
      </c>
      <c r="M770" s="116">
        <v>39.924999999999997</v>
      </c>
      <c r="N770" s="116">
        <v>44.35</v>
      </c>
      <c r="O770" s="116">
        <v>39.4</v>
      </c>
      <c r="P770" s="116">
        <v>43</v>
      </c>
      <c r="Q770" s="116">
        <v>79.849999999999994</v>
      </c>
      <c r="R770">
        <v>855528</v>
      </c>
    </row>
    <row r="771" spans="1:18" x14ac:dyDescent="0.25">
      <c r="A771" s="166">
        <v>43136</v>
      </c>
      <c r="B771" s="116">
        <v>42.7</v>
      </c>
      <c r="C771" s="116">
        <v>42.274999999999999</v>
      </c>
      <c r="D771" s="116">
        <v>37.450000000000003</v>
      </c>
      <c r="E771" s="116">
        <v>38.25</v>
      </c>
      <c r="F771" s="116">
        <v>84.55</v>
      </c>
      <c r="G771">
        <v>179675</v>
      </c>
      <c r="H771" s="116"/>
      <c r="I771" s="116"/>
      <c r="L771" s="166">
        <v>43136</v>
      </c>
      <c r="M771" s="116">
        <v>42.325000000000003</v>
      </c>
      <c r="N771" s="116">
        <v>42.9</v>
      </c>
      <c r="O771" s="116">
        <v>37.65</v>
      </c>
      <c r="P771" s="116">
        <v>39</v>
      </c>
      <c r="Q771" s="116">
        <v>84.65</v>
      </c>
      <c r="R771">
        <v>660374</v>
      </c>
    </row>
    <row r="772" spans="1:18" x14ac:dyDescent="0.25">
      <c r="A772" s="166">
        <v>43137</v>
      </c>
      <c r="B772" s="116">
        <v>41.975000000000001</v>
      </c>
      <c r="C772" s="116">
        <v>40.325000000000003</v>
      </c>
      <c r="D772" s="116">
        <v>39.075000000000003</v>
      </c>
      <c r="E772" s="116">
        <v>40</v>
      </c>
      <c r="F772" s="116">
        <v>80.650000000000006</v>
      </c>
      <c r="G772">
        <v>148841</v>
      </c>
      <c r="H772" s="116"/>
      <c r="I772" s="116"/>
      <c r="L772" s="166">
        <v>43137</v>
      </c>
      <c r="M772" s="116">
        <v>40.299999999999997</v>
      </c>
      <c r="N772" s="116">
        <v>42.4</v>
      </c>
      <c r="O772" s="116">
        <v>38.25</v>
      </c>
      <c r="P772" s="116">
        <v>40.5</v>
      </c>
      <c r="Q772" s="116">
        <v>80.599999999999994</v>
      </c>
      <c r="R772">
        <v>547879</v>
      </c>
    </row>
    <row r="773" spans="1:18" x14ac:dyDescent="0.25">
      <c r="A773" s="166">
        <v>43138</v>
      </c>
      <c r="B773" s="116">
        <v>42.7</v>
      </c>
      <c r="C773" s="116">
        <v>41.725000000000001</v>
      </c>
      <c r="D773" s="116">
        <v>41.35</v>
      </c>
      <c r="E773" s="116">
        <v>42.5</v>
      </c>
      <c r="F773" s="116">
        <v>83.45</v>
      </c>
      <c r="G773">
        <v>107644</v>
      </c>
      <c r="H773" s="116"/>
      <c r="I773" s="116"/>
      <c r="L773" s="166">
        <v>43138</v>
      </c>
      <c r="M773" s="116">
        <v>41.674999999999997</v>
      </c>
      <c r="N773" s="116">
        <v>43</v>
      </c>
      <c r="O773" s="116">
        <v>40.875</v>
      </c>
      <c r="P773" s="116">
        <v>40.875</v>
      </c>
      <c r="Q773" s="116">
        <v>83.35</v>
      </c>
      <c r="R773">
        <v>407237</v>
      </c>
    </row>
    <row r="774" spans="1:18" x14ac:dyDescent="0.25">
      <c r="A774" s="166">
        <v>43139</v>
      </c>
      <c r="B774" s="116">
        <v>43</v>
      </c>
      <c r="C774" s="116">
        <v>41.924999999999997</v>
      </c>
      <c r="D774" s="116">
        <v>41.475000000000001</v>
      </c>
      <c r="E774" s="116">
        <v>42.05</v>
      </c>
      <c r="F774" s="116">
        <v>83.85</v>
      </c>
      <c r="G774">
        <v>108185</v>
      </c>
      <c r="H774" s="116"/>
      <c r="I774" s="116"/>
      <c r="L774" s="166">
        <v>43139</v>
      </c>
      <c r="M774" s="116">
        <v>42.024999999999999</v>
      </c>
      <c r="N774" s="116">
        <v>43.125</v>
      </c>
      <c r="O774" s="116">
        <v>41.4</v>
      </c>
      <c r="P774" s="116">
        <v>42.35</v>
      </c>
      <c r="Q774" s="116">
        <v>84.05</v>
      </c>
      <c r="R774">
        <v>621315</v>
      </c>
    </row>
    <row r="775" spans="1:18" x14ac:dyDescent="0.25">
      <c r="A775" s="166">
        <v>43140</v>
      </c>
      <c r="B775" s="116">
        <v>41.75</v>
      </c>
      <c r="C775" s="116">
        <v>41.075000000000003</v>
      </c>
      <c r="D775" s="116">
        <v>40.325000000000003</v>
      </c>
      <c r="E775" s="116">
        <v>40.774999999999999</v>
      </c>
      <c r="F775" s="116">
        <v>82.15</v>
      </c>
      <c r="G775">
        <v>112113</v>
      </c>
      <c r="H775" s="116"/>
      <c r="I775" s="116"/>
      <c r="L775" s="166">
        <v>43140</v>
      </c>
      <c r="M775" s="116">
        <v>41.174999999999997</v>
      </c>
      <c r="N775" s="116">
        <v>41.875</v>
      </c>
      <c r="O775" s="116">
        <v>40.325000000000003</v>
      </c>
      <c r="P775" s="116">
        <v>40.950000000000003</v>
      </c>
      <c r="Q775" s="116">
        <v>82.35</v>
      </c>
      <c r="R775">
        <v>475612</v>
      </c>
    </row>
    <row r="776" spans="1:18" x14ac:dyDescent="0.25">
      <c r="A776" s="166">
        <v>43143</v>
      </c>
      <c r="B776" s="116">
        <v>43.924999999999997</v>
      </c>
      <c r="C776" s="116">
        <v>43.424999999999997</v>
      </c>
      <c r="D776" s="116">
        <v>40.5</v>
      </c>
      <c r="E776" s="116">
        <v>40.5</v>
      </c>
      <c r="F776" s="116">
        <v>86.85</v>
      </c>
      <c r="G776">
        <v>123689</v>
      </c>
      <c r="H776" s="116"/>
      <c r="I776" s="116"/>
      <c r="L776" s="166">
        <v>43143</v>
      </c>
      <c r="M776" s="116">
        <v>43.45</v>
      </c>
      <c r="N776" s="116">
        <v>43.9</v>
      </c>
      <c r="O776" s="116">
        <v>41.5</v>
      </c>
      <c r="P776" s="116">
        <v>41.5</v>
      </c>
      <c r="Q776" s="116">
        <v>86.9</v>
      </c>
      <c r="R776">
        <v>631224</v>
      </c>
    </row>
    <row r="777" spans="1:18" x14ac:dyDescent="0.25">
      <c r="A777" s="166">
        <v>43145</v>
      </c>
      <c r="B777" s="116">
        <v>45.75</v>
      </c>
      <c r="C777" s="116">
        <v>44.45</v>
      </c>
      <c r="D777" s="116">
        <v>43</v>
      </c>
      <c r="E777" s="116">
        <v>43.9</v>
      </c>
      <c r="F777" s="116">
        <v>88.9</v>
      </c>
      <c r="G777">
        <v>121646</v>
      </c>
      <c r="H777" s="116"/>
      <c r="I777" s="116"/>
      <c r="L777" s="166">
        <v>43145</v>
      </c>
      <c r="M777" s="116">
        <v>44.45</v>
      </c>
      <c r="N777" s="116">
        <v>45.774999999999999</v>
      </c>
      <c r="O777" s="116">
        <v>43.3</v>
      </c>
      <c r="P777" s="116">
        <v>43.825000000000003</v>
      </c>
      <c r="Q777" s="116">
        <v>88.9</v>
      </c>
      <c r="R777">
        <v>718902</v>
      </c>
    </row>
    <row r="778" spans="1:18" x14ac:dyDescent="0.25">
      <c r="A778" s="166">
        <v>43146</v>
      </c>
      <c r="B778" s="116">
        <v>45.625</v>
      </c>
      <c r="C778" s="116">
        <v>42.85</v>
      </c>
      <c r="D778" s="116">
        <v>42.5</v>
      </c>
      <c r="E778" s="116">
        <v>44.85</v>
      </c>
      <c r="F778" s="116">
        <v>85.7</v>
      </c>
      <c r="G778">
        <v>105349</v>
      </c>
      <c r="H778" s="116"/>
      <c r="I778" s="116"/>
      <c r="L778" s="166">
        <v>43146</v>
      </c>
      <c r="M778" s="116">
        <v>42.924999999999997</v>
      </c>
      <c r="N778" s="116">
        <v>45.65</v>
      </c>
      <c r="O778" s="116">
        <v>42.6</v>
      </c>
      <c r="P778" s="116">
        <v>44.6</v>
      </c>
      <c r="Q778" s="116">
        <v>85.85</v>
      </c>
      <c r="R778">
        <v>524650</v>
      </c>
    </row>
    <row r="779" spans="1:18" x14ac:dyDescent="0.25">
      <c r="A779" s="166">
        <v>43147</v>
      </c>
      <c r="B779" s="116">
        <v>43.8</v>
      </c>
      <c r="C779" s="116">
        <v>41.125</v>
      </c>
      <c r="D779" s="116">
        <v>40.825000000000003</v>
      </c>
      <c r="E779" s="116">
        <v>43.45</v>
      </c>
      <c r="F779" s="116">
        <v>82.25</v>
      </c>
      <c r="G779">
        <v>134886</v>
      </c>
      <c r="H779" s="116"/>
      <c r="I779" s="116"/>
      <c r="L779" s="166">
        <v>43147</v>
      </c>
      <c r="M779" s="116">
        <v>41.3</v>
      </c>
      <c r="N779" s="116">
        <v>43.85</v>
      </c>
      <c r="O779" s="116">
        <v>40.924999999999997</v>
      </c>
      <c r="P779" s="116">
        <v>43.375</v>
      </c>
      <c r="Q779" s="116">
        <v>82.6</v>
      </c>
      <c r="R779">
        <v>311979</v>
      </c>
    </row>
    <row r="780" spans="1:18" x14ac:dyDescent="0.25">
      <c r="A780" s="166">
        <v>43150</v>
      </c>
      <c r="B780" s="116">
        <v>41.75</v>
      </c>
      <c r="C780" s="116">
        <v>40.1</v>
      </c>
      <c r="D780" s="116">
        <v>39.274999999999999</v>
      </c>
      <c r="E780" s="116">
        <v>41.5</v>
      </c>
      <c r="F780" s="116">
        <v>80.2</v>
      </c>
      <c r="G780">
        <v>83518</v>
      </c>
      <c r="H780" s="116"/>
      <c r="I780" s="116"/>
      <c r="L780" s="166">
        <v>43150</v>
      </c>
      <c r="M780" s="116">
        <v>40.25</v>
      </c>
      <c r="N780" s="116">
        <v>41.75</v>
      </c>
      <c r="O780" s="116">
        <v>39.375</v>
      </c>
      <c r="P780" s="116">
        <v>41.475000000000001</v>
      </c>
      <c r="Q780" s="116">
        <v>80.5</v>
      </c>
      <c r="R780">
        <v>312834</v>
      </c>
    </row>
    <row r="781" spans="1:18" x14ac:dyDescent="0.25">
      <c r="A781" s="166">
        <v>43151</v>
      </c>
      <c r="B781" s="116">
        <v>41.4</v>
      </c>
      <c r="C781" s="116">
        <v>40.674999999999997</v>
      </c>
      <c r="D781" s="116">
        <v>39.85</v>
      </c>
      <c r="E781" s="116">
        <v>40.274999999999999</v>
      </c>
      <c r="F781" s="116">
        <v>81.349999999999994</v>
      </c>
      <c r="G781">
        <v>109902</v>
      </c>
      <c r="H781" s="116"/>
      <c r="I781" s="116"/>
      <c r="L781" s="166">
        <v>43151</v>
      </c>
      <c r="M781" s="116">
        <v>40.575000000000003</v>
      </c>
      <c r="N781" s="116">
        <v>41.45</v>
      </c>
      <c r="O781" s="116">
        <v>39.700000000000003</v>
      </c>
      <c r="P781" s="116">
        <v>39.799999999999997</v>
      </c>
      <c r="Q781" s="116">
        <v>81.150000000000006</v>
      </c>
      <c r="R781">
        <v>434615</v>
      </c>
    </row>
    <row r="782" spans="1:18" x14ac:dyDescent="0.25">
      <c r="A782" s="166">
        <v>43152</v>
      </c>
      <c r="B782" s="116">
        <v>41.9</v>
      </c>
      <c r="C782" s="116">
        <v>40.950000000000003</v>
      </c>
      <c r="D782" s="116">
        <v>40.274999999999999</v>
      </c>
      <c r="E782" s="116">
        <v>41.125</v>
      </c>
      <c r="F782" s="116">
        <v>81.900000000000006</v>
      </c>
      <c r="G782">
        <v>56499</v>
      </c>
      <c r="H782" s="116"/>
      <c r="I782" s="116"/>
      <c r="L782" s="166">
        <v>43152</v>
      </c>
      <c r="M782" s="116">
        <v>41</v>
      </c>
      <c r="N782" s="116">
        <v>41.924999999999997</v>
      </c>
      <c r="O782" s="116">
        <v>40.325000000000003</v>
      </c>
      <c r="P782" s="116">
        <v>41</v>
      </c>
      <c r="Q782" s="116">
        <v>82</v>
      </c>
      <c r="R782">
        <v>568171</v>
      </c>
    </row>
    <row r="783" spans="1:18" x14ac:dyDescent="0.25">
      <c r="A783" s="166">
        <v>43153</v>
      </c>
      <c r="B783" s="116">
        <v>41.55</v>
      </c>
      <c r="C783" s="116">
        <v>40.9</v>
      </c>
      <c r="D783" s="116">
        <v>40.5</v>
      </c>
      <c r="E783" s="116">
        <v>40.799999999999997</v>
      </c>
      <c r="F783" s="116">
        <v>81.8</v>
      </c>
      <c r="G783">
        <v>42040</v>
      </c>
      <c r="H783" s="116"/>
      <c r="I783" s="116"/>
      <c r="L783" s="166">
        <v>43153</v>
      </c>
      <c r="M783" s="116">
        <v>41</v>
      </c>
      <c r="N783" s="116">
        <v>41.6</v>
      </c>
      <c r="O783" s="116">
        <v>40.5</v>
      </c>
      <c r="P783" s="116">
        <v>41.1</v>
      </c>
      <c r="Q783" s="116">
        <v>82</v>
      </c>
      <c r="R783">
        <v>226108</v>
      </c>
    </row>
    <row r="784" spans="1:18" x14ac:dyDescent="0.25">
      <c r="A784" s="166">
        <v>43154</v>
      </c>
      <c r="B784" s="116">
        <v>45.75</v>
      </c>
      <c r="C784" s="116">
        <v>45.2</v>
      </c>
      <c r="D784" s="116">
        <v>40.924999999999997</v>
      </c>
      <c r="E784" s="116">
        <v>41.274999999999999</v>
      </c>
      <c r="F784" s="116">
        <v>90.4</v>
      </c>
      <c r="G784">
        <v>304873</v>
      </c>
      <c r="H784" s="116"/>
      <c r="I784" s="116"/>
      <c r="L784" s="166">
        <v>43154</v>
      </c>
      <c r="M784" s="116">
        <v>45.2</v>
      </c>
      <c r="N784" s="116">
        <v>45.85</v>
      </c>
      <c r="O784" s="116">
        <v>40.75</v>
      </c>
      <c r="P784" s="116">
        <v>40.75</v>
      </c>
      <c r="Q784" s="116">
        <v>90.4</v>
      </c>
      <c r="R784">
        <v>1420642</v>
      </c>
    </row>
    <row r="785" spans="1:18" x14ac:dyDescent="0.25">
      <c r="A785" s="166">
        <v>43157</v>
      </c>
      <c r="B785" s="116">
        <v>45.774999999999999</v>
      </c>
      <c r="C785" s="116">
        <v>44.25</v>
      </c>
      <c r="D785" s="116">
        <v>44</v>
      </c>
      <c r="E785" s="116">
        <v>45.55</v>
      </c>
      <c r="F785" s="116">
        <v>88.5</v>
      </c>
      <c r="G785">
        <v>112386</v>
      </c>
      <c r="H785" s="116"/>
      <c r="I785" s="116"/>
      <c r="L785" s="166">
        <v>43157</v>
      </c>
      <c r="M785" s="116">
        <v>44.424999999999997</v>
      </c>
      <c r="N785" s="116">
        <v>45.75</v>
      </c>
      <c r="O785" s="116">
        <v>44.075000000000003</v>
      </c>
      <c r="P785" s="116">
        <v>45.274999999999999</v>
      </c>
      <c r="Q785" s="116">
        <v>88.85</v>
      </c>
      <c r="R785">
        <v>422545</v>
      </c>
    </row>
    <row r="786" spans="1:18" x14ac:dyDescent="0.25">
      <c r="A786" s="166">
        <v>43158</v>
      </c>
      <c r="B786" s="116">
        <v>44.8</v>
      </c>
      <c r="C786" s="116">
        <v>43.4</v>
      </c>
      <c r="D786" s="116">
        <v>43.225000000000001</v>
      </c>
      <c r="E786" s="116">
        <v>44.5</v>
      </c>
      <c r="F786" s="116">
        <v>86.8</v>
      </c>
      <c r="G786">
        <v>60640</v>
      </c>
      <c r="H786" s="116"/>
      <c r="I786" s="116"/>
      <c r="L786" s="166">
        <v>43158</v>
      </c>
      <c r="M786" s="116">
        <v>43.55</v>
      </c>
      <c r="N786" s="116">
        <v>44.725000000000001</v>
      </c>
      <c r="O786" s="116">
        <v>43.2</v>
      </c>
      <c r="P786" s="116">
        <v>44.5</v>
      </c>
      <c r="Q786" s="116">
        <v>87.1</v>
      </c>
      <c r="R786">
        <v>264386</v>
      </c>
    </row>
    <row r="787" spans="1:18" x14ac:dyDescent="0.25">
      <c r="A787" s="166">
        <v>43159</v>
      </c>
      <c r="B787" s="116">
        <v>44.65</v>
      </c>
      <c r="C787" s="116">
        <v>44.225000000000001</v>
      </c>
      <c r="D787" s="116">
        <v>42.2</v>
      </c>
      <c r="E787" s="116">
        <v>42.575000000000003</v>
      </c>
      <c r="F787" s="116">
        <v>88.45</v>
      </c>
      <c r="G787">
        <v>80166</v>
      </c>
      <c r="H787" s="116"/>
      <c r="I787" s="116"/>
      <c r="L787" s="166">
        <v>43159</v>
      </c>
      <c r="M787" s="116">
        <v>44.25</v>
      </c>
      <c r="N787" s="116">
        <v>44.65</v>
      </c>
      <c r="O787" s="116">
        <v>41.8</v>
      </c>
      <c r="P787" s="116">
        <v>43</v>
      </c>
      <c r="Q787" s="116">
        <v>88.5</v>
      </c>
      <c r="R787">
        <v>337961</v>
      </c>
    </row>
    <row r="788" spans="1:18" x14ac:dyDescent="0.25">
      <c r="A788" s="166">
        <v>43160</v>
      </c>
      <c r="B788" s="116">
        <v>46.4</v>
      </c>
      <c r="C788" s="116">
        <v>44.4</v>
      </c>
      <c r="D788" s="116">
        <v>43.8</v>
      </c>
      <c r="E788" s="116">
        <v>44.325000000000003</v>
      </c>
      <c r="F788" s="116">
        <v>88.8</v>
      </c>
      <c r="G788">
        <v>117272</v>
      </c>
      <c r="H788" s="116"/>
      <c r="I788" s="116"/>
      <c r="L788" s="166">
        <v>43160</v>
      </c>
      <c r="M788" s="116">
        <v>44.35</v>
      </c>
      <c r="N788" s="116">
        <v>46.5</v>
      </c>
      <c r="O788" s="116">
        <v>43.5</v>
      </c>
      <c r="P788" s="116">
        <v>44.25</v>
      </c>
      <c r="Q788" s="116">
        <v>88.7</v>
      </c>
      <c r="R788">
        <v>772561</v>
      </c>
    </row>
    <row r="789" spans="1:18" x14ac:dyDescent="0.25">
      <c r="A789" s="166">
        <v>43164</v>
      </c>
      <c r="B789" s="116">
        <v>44.174999999999997</v>
      </c>
      <c r="C789" s="116">
        <v>42.875</v>
      </c>
      <c r="D789" s="116">
        <v>42.5</v>
      </c>
      <c r="E789" s="116">
        <v>44.174999999999997</v>
      </c>
      <c r="F789" s="116">
        <v>85.75</v>
      </c>
      <c r="G789">
        <v>37234</v>
      </c>
      <c r="H789" s="116"/>
      <c r="I789" s="116"/>
      <c r="L789" s="166">
        <v>43164</v>
      </c>
      <c r="M789" s="116">
        <v>42.875</v>
      </c>
      <c r="N789" s="116">
        <v>44.45</v>
      </c>
      <c r="O789" s="116">
        <v>42.75</v>
      </c>
      <c r="P789" s="116">
        <v>44.024999999999999</v>
      </c>
      <c r="Q789" s="116">
        <v>85.75</v>
      </c>
      <c r="R789">
        <v>214789</v>
      </c>
    </row>
    <row r="790" spans="1:18" x14ac:dyDescent="0.25">
      <c r="A790" s="166">
        <v>43165</v>
      </c>
      <c r="B790" s="116">
        <v>43.75</v>
      </c>
      <c r="C790" s="116">
        <v>41.55</v>
      </c>
      <c r="D790" s="116">
        <v>41.075000000000003</v>
      </c>
      <c r="E790" s="116">
        <v>43.375</v>
      </c>
      <c r="F790" s="116">
        <v>83.1</v>
      </c>
      <c r="G790">
        <v>68757</v>
      </c>
      <c r="H790" s="116"/>
      <c r="I790" s="116"/>
      <c r="L790" s="166">
        <v>43165</v>
      </c>
      <c r="M790" s="116">
        <v>41.6</v>
      </c>
      <c r="N790" s="116">
        <v>43.875</v>
      </c>
      <c r="O790" s="116">
        <v>41.274999999999999</v>
      </c>
      <c r="P790" s="116">
        <v>43.125</v>
      </c>
      <c r="Q790" s="116">
        <v>83.2</v>
      </c>
      <c r="R790">
        <v>251659</v>
      </c>
    </row>
    <row r="791" spans="1:18" x14ac:dyDescent="0.25">
      <c r="A791" s="166">
        <v>43166</v>
      </c>
      <c r="B791" s="116">
        <v>41.85</v>
      </c>
      <c r="C791" s="116">
        <v>40.325000000000003</v>
      </c>
      <c r="D791" s="116">
        <v>40.125</v>
      </c>
      <c r="E791" s="116">
        <v>41.5</v>
      </c>
      <c r="F791" s="116">
        <v>80.650000000000006</v>
      </c>
      <c r="G791">
        <v>53572</v>
      </c>
      <c r="H791" s="116"/>
      <c r="I791" s="116"/>
      <c r="L791" s="166">
        <v>43166</v>
      </c>
      <c r="M791" s="116">
        <v>40.25</v>
      </c>
      <c r="N791" s="116">
        <v>41.774999999999999</v>
      </c>
      <c r="O791" s="116">
        <v>40.049999999999997</v>
      </c>
      <c r="P791" s="116">
        <v>41.274999999999999</v>
      </c>
      <c r="Q791" s="116">
        <v>80.5</v>
      </c>
      <c r="R791">
        <v>270709</v>
      </c>
    </row>
    <row r="792" spans="1:18" x14ac:dyDescent="0.25">
      <c r="A792" s="166">
        <v>43167</v>
      </c>
      <c r="B792" s="116">
        <v>41</v>
      </c>
      <c r="C792" s="116">
        <v>39.924999999999997</v>
      </c>
      <c r="D792" s="116">
        <v>39.25</v>
      </c>
      <c r="E792" s="116">
        <v>41</v>
      </c>
      <c r="F792" s="116">
        <v>79.849999999999994</v>
      </c>
      <c r="G792">
        <v>66610</v>
      </c>
      <c r="H792" s="116"/>
      <c r="I792" s="116"/>
      <c r="L792" s="166">
        <v>43167</v>
      </c>
      <c r="M792" s="116">
        <v>40.024999999999999</v>
      </c>
      <c r="N792" s="116">
        <v>41.75</v>
      </c>
      <c r="O792" s="116">
        <v>39.1</v>
      </c>
      <c r="P792" s="116">
        <v>40.825000000000003</v>
      </c>
      <c r="Q792" s="116">
        <v>80.05</v>
      </c>
      <c r="R792">
        <v>313478</v>
      </c>
    </row>
    <row r="793" spans="1:18" x14ac:dyDescent="0.25">
      <c r="A793" s="166">
        <v>43168</v>
      </c>
      <c r="B793" s="116">
        <v>40.950000000000003</v>
      </c>
      <c r="C793" s="116">
        <v>39.950000000000003</v>
      </c>
      <c r="D793" s="116">
        <v>39.575000000000003</v>
      </c>
      <c r="E793" s="116">
        <v>40.299999999999997</v>
      </c>
      <c r="F793" s="116">
        <v>79.900000000000006</v>
      </c>
      <c r="G793">
        <v>36937</v>
      </c>
      <c r="H793" s="116"/>
      <c r="I793" s="116"/>
      <c r="L793" s="166">
        <v>43168</v>
      </c>
      <c r="M793" s="116">
        <v>39.975000000000001</v>
      </c>
      <c r="N793" s="116">
        <v>40.924999999999997</v>
      </c>
      <c r="O793" s="116">
        <v>39.75</v>
      </c>
      <c r="P793" s="116">
        <v>40.575000000000003</v>
      </c>
      <c r="Q793" s="116">
        <v>79.95</v>
      </c>
      <c r="R793">
        <v>180650</v>
      </c>
    </row>
    <row r="794" spans="1:18" x14ac:dyDescent="0.25">
      <c r="A794" s="166">
        <v>43171</v>
      </c>
      <c r="B794" s="116">
        <v>40.924999999999997</v>
      </c>
      <c r="C794" s="116">
        <v>40.15</v>
      </c>
      <c r="D794" s="116">
        <v>39.75</v>
      </c>
      <c r="E794" s="116">
        <v>40.725000000000001</v>
      </c>
      <c r="F794" s="116">
        <v>80.3</v>
      </c>
      <c r="G794">
        <v>73355</v>
      </c>
      <c r="H794" s="116"/>
      <c r="I794" s="116"/>
      <c r="L794" s="166">
        <v>43171</v>
      </c>
      <c r="M794" s="116">
        <v>40.274999999999999</v>
      </c>
      <c r="N794" s="116">
        <v>41.5</v>
      </c>
      <c r="O794" s="116">
        <v>39.700000000000003</v>
      </c>
      <c r="P794" s="116">
        <v>40.924999999999997</v>
      </c>
      <c r="Q794" s="116">
        <v>80.55</v>
      </c>
      <c r="R794">
        <v>197421</v>
      </c>
    </row>
    <row r="795" spans="1:18" x14ac:dyDescent="0.25">
      <c r="A795" s="166">
        <v>43172</v>
      </c>
      <c r="B795" s="116">
        <v>41.174999999999997</v>
      </c>
      <c r="C795" s="116">
        <v>40.65</v>
      </c>
      <c r="D795" s="116">
        <v>40.25</v>
      </c>
      <c r="E795" s="116">
        <v>40.25</v>
      </c>
      <c r="F795" s="116">
        <v>81.3</v>
      </c>
      <c r="G795">
        <v>79208</v>
      </c>
      <c r="H795" s="116"/>
      <c r="I795" s="116"/>
      <c r="L795" s="166">
        <v>43172</v>
      </c>
      <c r="M795" s="116">
        <v>40.774999999999999</v>
      </c>
      <c r="N795" s="116">
        <v>41.25</v>
      </c>
      <c r="O795" s="116">
        <v>40.1</v>
      </c>
      <c r="P795" s="116">
        <v>40.125</v>
      </c>
      <c r="Q795" s="116">
        <v>81.55</v>
      </c>
      <c r="R795">
        <v>355626</v>
      </c>
    </row>
    <row r="796" spans="1:18" x14ac:dyDescent="0.25">
      <c r="A796" s="166">
        <v>43173</v>
      </c>
      <c r="B796" s="116">
        <v>40.700000000000003</v>
      </c>
      <c r="C796" s="116">
        <v>40.475000000000001</v>
      </c>
      <c r="D796" s="116">
        <v>39.5</v>
      </c>
      <c r="E796" s="116">
        <v>40.299999999999997</v>
      </c>
      <c r="F796" s="116">
        <v>80.95</v>
      </c>
      <c r="G796">
        <v>46679</v>
      </c>
      <c r="H796" s="116"/>
      <c r="I796" s="116"/>
      <c r="L796" s="166">
        <v>43173</v>
      </c>
      <c r="M796" s="116">
        <v>40.549999999999997</v>
      </c>
      <c r="N796" s="116">
        <v>40.774999999999999</v>
      </c>
      <c r="O796" s="116">
        <v>39.4</v>
      </c>
      <c r="P796" s="116">
        <v>40.200000000000003</v>
      </c>
      <c r="Q796" s="116">
        <v>81.099999999999994</v>
      </c>
      <c r="R796">
        <v>285645</v>
      </c>
    </row>
    <row r="797" spans="1:18" x14ac:dyDescent="0.25">
      <c r="A797" s="166">
        <v>43174</v>
      </c>
      <c r="B797" s="116">
        <v>41.9</v>
      </c>
      <c r="C797" s="116">
        <v>41.274999999999999</v>
      </c>
      <c r="D797" s="116">
        <v>39.674999999999997</v>
      </c>
      <c r="E797" s="116">
        <v>40.4</v>
      </c>
      <c r="F797" s="116">
        <v>82.55</v>
      </c>
      <c r="G797">
        <v>59390</v>
      </c>
      <c r="H797" s="116"/>
      <c r="I797" s="116"/>
      <c r="L797" s="166">
        <v>43174</v>
      </c>
      <c r="M797" s="116">
        <v>41.125</v>
      </c>
      <c r="N797" s="116">
        <v>41.975000000000001</v>
      </c>
      <c r="O797" s="116">
        <v>39.6</v>
      </c>
      <c r="P797" s="116">
        <v>41</v>
      </c>
      <c r="Q797" s="116">
        <v>82.25</v>
      </c>
      <c r="R797">
        <v>323887</v>
      </c>
    </row>
    <row r="798" spans="1:18" x14ac:dyDescent="0.25">
      <c r="A798" s="166">
        <v>43175</v>
      </c>
      <c r="B798" s="116">
        <v>42.375</v>
      </c>
      <c r="C798" s="116">
        <v>40.625</v>
      </c>
      <c r="D798" s="116">
        <v>40.25</v>
      </c>
      <c r="E798" s="116">
        <v>41.125</v>
      </c>
      <c r="F798" s="116">
        <v>81.25</v>
      </c>
      <c r="G798">
        <v>89785</v>
      </c>
      <c r="H798" s="116"/>
      <c r="I798" s="116"/>
      <c r="L798" s="166">
        <v>43175</v>
      </c>
      <c r="M798" s="116">
        <v>40.674999999999997</v>
      </c>
      <c r="N798" s="116">
        <v>42.35</v>
      </c>
      <c r="O798" s="116">
        <v>40.35</v>
      </c>
      <c r="P798" s="116">
        <v>41.125</v>
      </c>
      <c r="Q798" s="116">
        <v>81.349999999999994</v>
      </c>
      <c r="R798">
        <v>291942</v>
      </c>
    </row>
    <row r="799" spans="1:18" x14ac:dyDescent="0.25">
      <c r="A799" s="166">
        <v>43178</v>
      </c>
      <c r="B799" s="116">
        <v>41</v>
      </c>
      <c r="C799" s="116">
        <v>39.475000000000001</v>
      </c>
      <c r="D799" s="116">
        <v>38.975000000000001</v>
      </c>
      <c r="E799" s="116">
        <v>41</v>
      </c>
      <c r="F799" s="116">
        <v>78.95</v>
      </c>
      <c r="G799">
        <v>43040</v>
      </c>
      <c r="H799" s="116"/>
      <c r="I799" s="116"/>
      <c r="L799" s="166">
        <v>43178</v>
      </c>
      <c r="M799" s="116">
        <v>39.6</v>
      </c>
      <c r="N799" s="116">
        <v>41.225000000000001</v>
      </c>
      <c r="O799" s="116">
        <v>39.049999999999997</v>
      </c>
      <c r="P799" s="116">
        <v>40.674999999999997</v>
      </c>
      <c r="Q799" s="116">
        <v>79.2</v>
      </c>
      <c r="R799">
        <v>193294</v>
      </c>
    </row>
    <row r="800" spans="1:18" x14ac:dyDescent="0.25">
      <c r="A800" s="166">
        <v>43179</v>
      </c>
      <c r="B800" s="116">
        <v>39.85</v>
      </c>
      <c r="C800" s="116">
        <v>39</v>
      </c>
      <c r="D800" s="116">
        <v>38.85</v>
      </c>
      <c r="E800" s="116">
        <v>39.200000000000003</v>
      </c>
      <c r="F800" s="116">
        <v>78</v>
      </c>
      <c r="G800">
        <v>34387</v>
      </c>
      <c r="H800" s="116"/>
      <c r="I800" s="116"/>
      <c r="L800" s="166">
        <v>43179</v>
      </c>
      <c r="M800" s="116">
        <v>39</v>
      </c>
      <c r="N800" s="116">
        <v>39.799999999999997</v>
      </c>
      <c r="O800" s="116">
        <v>38.799999999999997</v>
      </c>
      <c r="P800" s="116">
        <v>39.024999999999999</v>
      </c>
      <c r="Q800" s="116">
        <v>78</v>
      </c>
      <c r="R800">
        <v>208304</v>
      </c>
    </row>
    <row r="801" spans="1:18" x14ac:dyDescent="0.25">
      <c r="A801" s="166">
        <v>43180</v>
      </c>
      <c r="B801" s="116">
        <v>39.975000000000001</v>
      </c>
      <c r="C801" s="116">
        <v>38.725000000000001</v>
      </c>
      <c r="D801" s="116">
        <v>38.6</v>
      </c>
      <c r="E801" s="116">
        <v>39.325000000000003</v>
      </c>
      <c r="F801" s="116">
        <v>77.45</v>
      </c>
      <c r="G801">
        <v>264054</v>
      </c>
      <c r="H801" s="116"/>
      <c r="I801" s="116"/>
      <c r="L801" s="166">
        <v>43180</v>
      </c>
      <c r="M801" s="116">
        <v>38.6</v>
      </c>
      <c r="N801" s="116">
        <v>39.950000000000003</v>
      </c>
      <c r="O801" s="116">
        <v>38.375</v>
      </c>
      <c r="P801" s="116">
        <v>39.024999999999999</v>
      </c>
      <c r="Q801" s="116">
        <v>77.2</v>
      </c>
      <c r="R801">
        <v>206424</v>
      </c>
    </row>
    <row r="802" spans="1:18" x14ac:dyDescent="0.25">
      <c r="A802" s="166">
        <v>43181</v>
      </c>
      <c r="B802" s="116">
        <v>39.25</v>
      </c>
      <c r="C802" s="116">
        <v>37.575000000000003</v>
      </c>
      <c r="D802" s="116">
        <v>37.375</v>
      </c>
      <c r="E802" s="116">
        <v>39</v>
      </c>
      <c r="F802" s="116">
        <v>75.150000000000006</v>
      </c>
      <c r="G802">
        <v>50907</v>
      </c>
      <c r="H802" s="116"/>
      <c r="I802" s="116"/>
      <c r="L802" s="166">
        <v>43181</v>
      </c>
      <c r="M802" s="116">
        <v>37.549999999999997</v>
      </c>
      <c r="N802" s="116">
        <v>39.325000000000003</v>
      </c>
      <c r="O802" s="116">
        <v>37.25</v>
      </c>
      <c r="P802" s="116">
        <v>39.024999999999999</v>
      </c>
      <c r="Q802" s="116">
        <v>75.099999999999994</v>
      </c>
      <c r="R802">
        <v>283442</v>
      </c>
    </row>
    <row r="803" spans="1:18" x14ac:dyDescent="0.25">
      <c r="A803" s="166">
        <v>43182</v>
      </c>
      <c r="B803" s="116">
        <v>36.5</v>
      </c>
      <c r="C803" s="116">
        <v>35.075000000000003</v>
      </c>
      <c r="D803" s="116">
        <v>35</v>
      </c>
      <c r="E803" s="116">
        <v>36.475000000000001</v>
      </c>
      <c r="F803" s="116">
        <v>70.150000000000006</v>
      </c>
      <c r="G803">
        <v>193066</v>
      </c>
      <c r="H803" s="116"/>
      <c r="I803" s="116"/>
      <c r="L803" s="166">
        <v>43182</v>
      </c>
      <c r="M803" s="116">
        <v>35.325000000000003</v>
      </c>
      <c r="N803" s="116">
        <v>37</v>
      </c>
      <c r="O803" s="116">
        <v>34.75</v>
      </c>
      <c r="P803" s="116">
        <v>37</v>
      </c>
      <c r="Q803" s="116">
        <v>70.650000000000006</v>
      </c>
      <c r="R803">
        <v>461908</v>
      </c>
    </row>
    <row r="804" spans="1:18" x14ac:dyDescent="0.25">
      <c r="A804" s="166">
        <v>43185</v>
      </c>
      <c r="B804" s="116">
        <v>36.424999999999997</v>
      </c>
      <c r="C804" s="116">
        <v>36.174999999999997</v>
      </c>
      <c r="D804" s="116">
        <v>34.575000000000003</v>
      </c>
      <c r="E804" s="116">
        <v>35.075000000000003</v>
      </c>
      <c r="F804" s="116">
        <v>72.349999999999994</v>
      </c>
      <c r="G804">
        <v>137018</v>
      </c>
      <c r="H804" s="116"/>
      <c r="I804" s="116"/>
      <c r="L804" s="166">
        <v>43185</v>
      </c>
      <c r="M804" s="116">
        <v>36.1</v>
      </c>
      <c r="N804" s="116">
        <v>36.375</v>
      </c>
      <c r="O804" s="116">
        <v>34.700000000000003</v>
      </c>
      <c r="P804" s="116">
        <v>35.049999999999997</v>
      </c>
      <c r="Q804" s="116">
        <v>72.2</v>
      </c>
      <c r="R804">
        <v>300143</v>
      </c>
    </row>
    <row r="805" spans="1:18" x14ac:dyDescent="0.25">
      <c r="A805" s="166">
        <v>43186</v>
      </c>
      <c r="B805" s="116">
        <v>38.549999999999997</v>
      </c>
      <c r="C805" s="116">
        <v>38.049999999999997</v>
      </c>
      <c r="D805" s="116">
        <v>36.200000000000003</v>
      </c>
      <c r="E805" s="116">
        <v>36.524999999999999</v>
      </c>
      <c r="F805" s="116">
        <v>76.099999999999994</v>
      </c>
      <c r="G805">
        <v>76258</v>
      </c>
      <c r="H805" s="116"/>
      <c r="I805" s="116"/>
      <c r="L805" s="166">
        <v>43186</v>
      </c>
      <c r="M805" s="116">
        <v>38.1</v>
      </c>
      <c r="N805" s="116">
        <v>38.575000000000003</v>
      </c>
      <c r="O805" s="116">
        <v>36.15</v>
      </c>
      <c r="P805" s="116">
        <v>37</v>
      </c>
      <c r="Q805" s="116">
        <v>76.2</v>
      </c>
      <c r="R805">
        <v>316146</v>
      </c>
    </row>
    <row r="806" spans="1:18" x14ac:dyDescent="0.25">
      <c r="A806" s="166">
        <v>43187</v>
      </c>
      <c r="B806" s="116">
        <v>38.75</v>
      </c>
      <c r="C806" s="116">
        <v>38.475000000000001</v>
      </c>
      <c r="D806" s="116">
        <v>36.799999999999997</v>
      </c>
      <c r="E806" s="116">
        <v>38.1</v>
      </c>
      <c r="F806" s="116">
        <v>76.95</v>
      </c>
      <c r="G806">
        <v>54619</v>
      </c>
      <c r="H806" s="116"/>
      <c r="I806" s="116"/>
      <c r="L806" s="166">
        <v>43187</v>
      </c>
      <c r="M806" s="116">
        <v>38.799999999999997</v>
      </c>
      <c r="N806" s="116">
        <v>39.299999999999997</v>
      </c>
      <c r="O806" s="116">
        <v>36.799999999999997</v>
      </c>
      <c r="P806" s="116">
        <v>37.75</v>
      </c>
      <c r="Q806" s="116">
        <v>77.599999999999994</v>
      </c>
      <c r="R806">
        <v>575699</v>
      </c>
    </row>
    <row r="807" spans="1:18" x14ac:dyDescent="0.25">
      <c r="A807" s="166">
        <v>43192</v>
      </c>
      <c r="B807" s="116">
        <v>40.125</v>
      </c>
      <c r="C807" s="116">
        <v>39.75</v>
      </c>
      <c r="D807" s="116">
        <v>38.5</v>
      </c>
      <c r="E807" s="116">
        <v>38.575000000000003</v>
      </c>
      <c r="F807" s="116">
        <v>79.5</v>
      </c>
      <c r="G807">
        <v>55606</v>
      </c>
      <c r="H807" s="116"/>
      <c r="I807" s="116"/>
      <c r="L807" s="166">
        <v>43192</v>
      </c>
      <c r="M807" s="116">
        <v>39.700000000000003</v>
      </c>
      <c r="N807" s="116">
        <v>40.25</v>
      </c>
      <c r="O807" s="116">
        <v>37.975000000000001</v>
      </c>
      <c r="P807" s="116">
        <v>37.975000000000001</v>
      </c>
      <c r="Q807" s="116">
        <v>79.400000000000006</v>
      </c>
      <c r="R807">
        <v>204062</v>
      </c>
    </row>
    <row r="808" spans="1:18" x14ac:dyDescent="0.25">
      <c r="A808" s="166">
        <v>43193</v>
      </c>
      <c r="B808" s="116">
        <v>41.875</v>
      </c>
      <c r="C808" s="116">
        <v>41.575000000000003</v>
      </c>
      <c r="D808" s="116">
        <v>39.424999999999997</v>
      </c>
      <c r="E808" s="116">
        <v>40.450000000000003</v>
      </c>
      <c r="F808" s="116">
        <v>83.15</v>
      </c>
      <c r="G808">
        <v>147470</v>
      </c>
      <c r="H808" s="116"/>
      <c r="I808" s="116"/>
      <c r="L808" s="166">
        <v>43193</v>
      </c>
      <c r="M808" s="116">
        <v>41.475000000000001</v>
      </c>
      <c r="N808" s="116">
        <v>41.875</v>
      </c>
      <c r="O808" s="116">
        <v>39.125</v>
      </c>
      <c r="P808" s="116">
        <v>39.5</v>
      </c>
      <c r="Q808" s="116">
        <v>82.95</v>
      </c>
      <c r="R808">
        <v>509762</v>
      </c>
    </row>
    <row r="809" spans="1:18" x14ac:dyDescent="0.25">
      <c r="A809" s="166">
        <v>43194</v>
      </c>
      <c r="B809" s="116">
        <v>42.1</v>
      </c>
      <c r="C809" s="116">
        <v>39.774999999999999</v>
      </c>
      <c r="D809" s="116">
        <v>39.5</v>
      </c>
      <c r="E809" s="116">
        <v>42</v>
      </c>
      <c r="F809" s="116">
        <v>79.55</v>
      </c>
      <c r="G809">
        <v>39121</v>
      </c>
      <c r="H809" s="116"/>
      <c r="I809" s="116"/>
      <c r="L809" s="166">
        <v>43194</v>
      </c>
      <c r="M809" s="116">
        <v>39.674999999999997</v>
      </c>
      <c r="N809" s="116">
        <v>42.125</v>
      </c>
      <c r="O809" s="116">
        <v>39.5</v>
      </c>
      <c r="P809" s="116">
        <v>41.75</v>
      </c>
      <c r="Q809" s="116">
        <v>79.349999999999994</v>
      </c>
      <c r="R809">
        <v>275873</v>
      </c>
    </row>
    <row r="810" spans="1:18" x14ac:dyDescent="0.25">
      <c r="A810" s="166">
        <v>43195</v>
      </c>
      <c r="B810" s="116">
        <v>40.924999999999997</v>
      </c>
      <c r="C810" s="116">
        <v>40.4</v>
      </c>
      <c r="D810" s="116">
        <v>40</v>
      </c>
      <c r="E810" s="116">
        <v>40.5</v>
      </c>
      <c r="F810" s="116">
        <v>80.8</v>
      </c>
      <c r="G810">
        <v>56125</v>
      </c>
      <c r="H810" s="116"/>
      <c r="I810" s="116"/>
      <c r="L810" s="166">
        <v>43195</v>
      </c>
      <c r="M810" s="116">
        <v>40.4</v>
      </c>
      <c r="N810" s="116">
        <v>41</v>
      </c>
      <c r="O810" s="116">
        <v>40</v>
      </c>
      <c r="P810" s="116">
        <v>40.4</v>
      </c>
      <c r="Q810" s="116">
        <v>80.8</v>
      </c>
      <c r="R810">
        <v>193222</v>
      </c>
    </row>
    <row r="811" spans="1:18" x14ac:dyDescent="0.25">
      <c r="A811" s="166">
        <v>43196</v>
      </c>
      <c r="B811" s="116">
        <v>41.2</v>
      </c>
      <c r="C811" s="116">
        <v>40</v>
      </c>
      <c r="D811" s="116">
        <v>39.75</v>
      </c>
      <c r="E811" s="116">
        <v>39.950000000000003</v>
      </c>
      <c r="F811" s="116">
        <v>80</v>
      </c>
      <c r="G811">
        <v>75346</v>
      </c>
      <c r="H811" s="116"/>
      <c r="I811" s="116"/>
      <c r="L811" s="166">
        <v>43196</v>
      </c>
      <c r="M811" s="116">
        <v>40.200000000000003</v>
      </c>
      <c r="N811" s="116">
        <v>41.125</v>
      </c>
      <c r="O811" s="116">
        <v>39.799999999999997</v>
      </c>
      <c r="P811" s="116">
        <v>40.5</v>
      </c>
      <c r="Q811" s="116">
        <v>80.400000000000006</v>
      </c>
      <c r="R811">
        <v>202084</v>
      </c>
    </row>
    <row r="812" spans="1:18" x14ac:dyDescent="0.25">
      <c r="A812" s="166">
        <v>43199</v>
      </c>
      <c r="B812" s="116">
        <v>42.65</v>
      </c>
      <c r="C812" s="116">
        <v>41.5</v>
      </c>
      <c r="D812" s="116">
        <v>39.799999999999997</v>
      </c>
      <c r="E812" s="116">
        <v>41</v>
      </c>
      <c r="F812" s="116">
        <v>83</v>
      </c>
      <c r="G812">
        <v>711215</v>
      </c>
      <c r="H812" s="116"/>
      <c r="I812" s="116"/>
      <c r="L812" s="166">
        <v>43199</v>
      </c>
      <c r="M812" s="116">
        <v>41.575000000000003</v>
      </c>
      <c r="N812" s="116">
        <v>42.55</v>
      </c>
      <c r="O812" s="116">
        <v>39.700000000000003</v>
      </c>
      <c r="P812" s="116">
        <v>40.5</v>
      </c>
      <c r="Q812" s="116">
        <v>83.15</v>
      </c>
      <c r="R812">
        <v>891325</v>
      </c>
    </row>
    <row r="813" spans="1:18" x14ac:dyDescent="0.25">
      <c r="A813" s="166">
        <v>43200</v>
      </c>
      <c r="B813" s="116">
        <v>42.8</v>
      </c>
      <c r="C813" s="116">
        <v>42.225000000000001</v>
      </c>
      <c r="D813" s="116">
        <v>41.35</v>
      </c>
      <c r="E813" s="116">
        <v>42</v>
      </c>
      <c r="F813" s="116">
        <v>84.45</v>
      </c>
      <c r="G813">
        <v>93534</v>
      </c>
      <c r="H813" s="116"/>
      <c r="I813" s="116"/>
      <c r="L813" s="166">
        <v>43200</v>
      </c>
      <c r="M813" s="116">
        <v>42.3</v>
      </c>
      <c r="N813" s="116">
        <v>43</v>
      </c>
      <c r="O813" s="116">
        <v>41.274999999999999</v>
      </c>
      <c r="P813" s="116">
        <v>41.55</v>
      </c>
      <c r="Q813" s="116">
        <v>84.6</v>
      </c>
      <c r="R813">
        <v>690006</v>
      </c>
    </row>
    <row r="814" spans="1:18" x14ac:dyDescent="0.25">
      <c r="A814" s="166">
        <v>43201</v>
      </c>
      <c r="B814" s="116">
        <v>42.5</v>
      </c>
      <c r="C814" s="116">
        <v>41.75</v>
      </c>
      <c r="D814" s="116">
        <v>41.55</v>
      </c>
      <c r="E814" s="116">
        <v>42.5</v>
      </c>
      <c r="F814" s="116">
        <v>83.5</v>
      </c>
      <c r="G814">
        <v>17917</v>
      </c>
      <c r="H814" s="116"/>
      <c r="I814" s="116"/>
      <c r="L814" s="166">
        <v>43201</v>
      </c>
      <c r="M814" s="116">
        <v>41.774999999999999</v>
      </c>
      <c r="N814" s="116">
        <v>42.15</v>
      </c>
      <c r="O814" s="116">
        <v>41.55</v>
      </c>
      <c r="P814" s="116">
        <v>42.15</v>
      </c>
      <c r="Q814" s="116">
        <v>83.55</v>
      </c>
      <c r="R814">
        <v>132452</v>
      </c>
    </row>
    <row r="815" spans="1:18" x14ac:dyDescent="0.25">
      <c r="A815" s="166">
        <v>43202</v>
      </c>
      <c r="B815" s="116">
        <v>43.25</v>
      </c>
      <c r="C815" s="116">
        <v>41.9</v>
      </c>
      <c r="D815" s="116">
        <v>41.125</v>
      </c>
      <c r="E815" s="116">
        <v>41.774999999999999</v>
      </c>
      <c r="F815" s="116">
        <v>83.8</v>
      </c>
      <c r="G815">
        <v>239612</v>
      </c>
      <c r="H815" s="116"/>
      <c r="I815" s="116"/>
      <c r="L815" s="166">
        <v>43202</v>
      </c>
      <c r="M815" s="116">
        <v>41.9</v>
      </c>
      <c r="N815" s="116">
        <v>43.2</v>
      </c>
      <c r="O815" s="116">
        <v>41.1</v>
      </c>
      <c r="P815" s="116">
        <v>41.85</v>
      </c>
      <c r="Q815" s="116">
        <v>83.8</v>
      </c>
      <c r="R815">
        <v>673773</v>
      </c>
    </row>
    <row r="816" spans="1:18" x14ac:dyDescent="0.25">
      <c r="A816" s="166">
        <v>43203</v>
      </c>
      <c r="B816" s="116">
        <v>42.45</v>
      </c>
      <c r="C816" s="116">
        <v>41.875</v>
      </c>
      <c r="D816" s="116">
        <v>41.6</v>
      </c>
      <c r="E816" s="116">
        <v>42.1</v>
      </c>
      <c r="F816" s="116">
        <v>83.75</v>
      </c>
      <c r="G816">
        <v>51759</v>
      </c>
      <c r="H816" s="116"/>
      <c r="I816" s="116"/>
      <c r="L816" s="166">
        <v>43203</v>
      </c>
      <c r="M816" s="116">
        <v>42.25</v>
      </c>
      <c r="N816" s="116">
        <v>42.5</v>
      </c>
      <c r="O816" s="116">
        <v>41.55</v>
      </c>
      <c r="P816" s="116">
        <v>42.1</v>
      </c>
      <c r="Q816" s="116">
        <v>84.5</v>
      </c>
      <c r="R816">
        <v>408226</v>
      </c>
    </row>
    <row r="817" spans="1:18" x14ac:dyDescent="0.25">
      <c r="A817" s="166">
        <v>43206</v>
      </c>
      <c r="B817" s="116">
        <v>42.35</v>
      </c>
      <c r="C817" s="116">
        <v>41.575000000000003</v>
      </c>
      <c r="D817" s="116">
        <v>41.225000000000001</v>
      </c>
      <c r="E817" s="116">
        <v>41.5</v>
      </c>
      <c r="F817" s="116">
        <v>83.15</v>
      </c>
      <c r="G817">
        <v>32793</v>
      </c>
      <c r="H817" s="116"/>
      <c r="I817" s="116"/>
      <c r="L817" s="166">
        <v>43206</v>
      </c>
      <c r="M817" s="116">
        <v>41.575000000000003</v>
      </c>
      <c r="N817" s="116">
        <v>42.45</v>
      </c>
      <c r="O817" s="116">
        <v>41.25</v>
      </c>
      <c r="P817" s="116">
        <v>41.625</v>
      </c>
      <c r="Q817" s="116">
        <v>83.15</v>
      </c>
      <c r="R817">
        <v>159605</v>
      </c>
    </row>
    <row r="818" spans="1:18" x14ac:dyDescent="0.25">
      <c r="A818" s="166">
        <v>43207</v>
      </c>
      <c r="B818" s="116">
        <v>43</v>
      </c>
      <c r="C818" s="116">
        <v>41.774999999999999</v>
      </c>
      <c r="D818" s="116">
        <v>41.3</v>
      </c>
      <c r="E818" s="116">
        <v>42.45</v>
      </c>
      <c r="F818" s="116">
        <v>83.55</v>
      </c>
      <c r="G818">
        <v>88417</v>
      </c>
      <c r="H818" s="116"/>
      <c r="I818" s="116"/>
      <c r="L818" s="166">
        <v>43207</v>
      </c>
      <c r="M818" s="116">
        <v>41.85</v>
      </c>
      <c r="N818" s="116">
        <v>42.825000000000003</v>
      </c>
      <c r="O818" s="116">
        <v>41.475000000000001</v>
      </c>
      <c r="P818" s="116">
        <v>41.85</v>
      </c>
      <c r="Q818" s="116">
        <v>83.7</v>
      </c>
      <c r="R818">
        <v>244032</v>
      </c>
    </row>
    <row r="819" spans="1:18" x14ac:dyDescent="0.25">
      <c r="A819" s="166">
        <v>43208</v>
      </c>
      <c r="B819" s="116">
        <v>42.725000000000001</v>
      </c>
      <c r="C819" s="116">
        <v>41.7</v>
      </c>
      <c r="D819" s="116">
        <v>41.5</v>
      </c>
      <c r="E819" s="116">
        <v>42.45</v>
      </c>
      <c r="F819" s="116">
        <v>83.4</v>
      </c>
      <c r="G819">
        <v>75544</v>
      </c>
      <c r="H819" s="116"/>
      <c r="I819" s="116"/>
      <c r="L819" s="166">
        <v>43208</v>
      </c>
      <c r="M819" s="116">
        <v>41.674999999999997</v>
      </c>
      <c r="N819" s="116">
        <v>42.725000000000001</v>
      </c>
      <c r="O819" s="116">
        <v>41.45</v>
      </c>
      <c r="P819" s="116">
        <v>42.2</v>
      </c>
      <c r="Q819" s="116">
        <v>83.35</v>
      </c>
      <c r="R819">
        <v>277297</v>
      </c>
    </row>
    <row r="820" spans="1:18" x14ac:dyDescent="0.25">
      <c r="A820" s="166">
        <v>43209</v>
      </c>
      <c r="B820" s="116">
        <v>43.45</v>
      </c>
      <c r="C820" s="116">
        <v>42.725000000000001</v>
      </c>
      <c r="D820" s="116">
        <v>41.75</v>
      </c>
      <c r="E820" s="116">
        <v>42.25</v>
      </c>
      <c r="F820" s="116">
        <v>85.45</v>
      </c>
      <c r="G820">
        <v>117187</v>
      </c>
      <c r="H820" s="116"/>
      <c r="I820" s="116"/>
      <c r="L820" s="166">
        <v>43209</v>
      </c>
      <c r="M820" s="116">
        <v>42.825000000000003</v>
      </c>
      <c r="N820" s="116">
        <v>43.6</v>
      </c>
      <c r="O820" s="116">
        <v>41.65</v>
      </c>
      <c r="P820" s="116">
        <v>42</v>
      </c>
      <c r="Q820" s="116">
        <v>85.65</v>
      </c>
      <c r="R820">
        <v>559532</v>
      </c>
    </row>
    <row r="821" spans="1:18" x14ac:dyDescent="0.25">
      <c r="A821" s="166">
        <v>43210</v>
      </c>
      <c r="B821" s="116">
        <v>44.35</v>
      </c>
      <c r="C821" s="116">
        <v>42.924999999999997</v>
      </c>
      <c r="D821" s="116">
        <v>42.674999999999997</v>
      </c>
      <c r="E821" s="116">
        <v>43.475000000000001</v>
      </c>
      <c r="F821" s="116">
        <v>85.85</v>
      </c>
      <c r="G821">
        <v>157753</v>
      </c>
      <c r="H821" s="116"/>
      <c r="I821" s="116"/>
      <c r="L821" s="166">
        <v>43210</v>
      </c>
      <c r="M821" s="116">
        <v>42.924999999999997</v>
      </c>
      <c r="N821" s="116">
        <v>44.325000000000003</v>
      </c>
      <c r="O821" s="116">
        <v>42.55</v>
      </c>
      <c r="P821" s="116">
        <v>42.75</v>
      </c>
      <c r="Q821" s="116">
        <v>85.85</v>
      </c>
      <c r="R821">
        <v>750787</v>
      </c>
    </row>
    <row r="822" spans="1:18" x14ac:dyDescent="0.25">
      <c r="A822" s="166">
        <v>43213</v>
      </c>
      <c r="B822" s="116">
        <v>43.2</v>
      </c>
      <c r="C822" s="116">
        <v>42.274999999999999</v>
      </c>
      <c r="D822" s="116">
        <v>42.15</v>
      </c>
      <c r="E822" s="116">
        <v>43.2</v>
      </c>
      <c r="F822" s="116">
        <v>84.55</v>
      </c>
      <c r="G822">
        <v>47982</v>
      </c>
      <c r="H822" s="116"/>
      <c r="I822" s="116"/>
      <c r="L822" s="166">
        <v>43213</v>
      </c>
      <c r="M822" s="116">
        <v>42.274999999999999</v>
      </c>
      <c r="N822" s="116">
        <v>43</v>
      </c>
      <c r="O822" s="116">
        <v>42.15</v>
      </c>
      <c r="P822" s="116">
        <v>42.924999999999997</v>
      </c>
      <c r="Q822" s="116">
        <v>84.55</v>
      </c>
      <c r="R822">
        <v>182778</v>
      </c>
    </row>
    <row r="823" spans="1:18" x14ac:dyDescent="0.25">
      <c r="A823" s="166">
        <v>43214</v>
      </c>
      <c r="B823" s="116">
        <v>43.25</v>
      </c>
      <c r="C823" s="116">
        <v>41.774999999999999</v>
      </c>
      <c r="D823" s="116">
        <v>41.674999999999997</v>
      </c>
      <c r="E823" s="116">
        <v>43.25</v>
      </c>
      <c r="F823" s="116">
        <v>83.55</v>
      </c>
      <c r="G823">
        <v>18346</v>
      </c>
      <c r="H823" s="116"/>
      <c r="I823" s="116"/>
      <c r="L823" s="166">
        <v>43214</v>
      </c>
      <c r="M823" s="116">
        <v>41.825000000000003</v>
      </c>
      <c r="N823" s="116">
        <v>42.575000000000003</v>
      </c>
      <c r="O823" s="116">
        <v>41.6</v>
      </c>
      <c r="P823" s="116">
        <v>42.575000000000003</v>
      </c>
      <c r="Q823" s="116">
        <v>83.65</v>
      </c>
      <c r="R823">
        <v>121676</v>
      </c>
    </row>
    <row r="824" spans="1:18" x14ac:dyDescent="0.25">
      <c r="A824" s="166">
        <v>43215</v>
      </c>
      <c r="B824" s="116">
        <v>42</v>
      </c>
      <c r="C824" s="116">
        <v>41.075000000000003</v>
      </c>
      <c r="D824" s="116">
        <v>40.975000000000001</v>
      </c>
      <c r="E824" s="116">
        <v>42</v>
      </c>
      <c r="F824" s="116">
        <v>82.15</v>
      </c>
      <c r="G824">
        <v>34011</v>
      </c>
      <c r="H824" s="116"/>
      <c r="I824" s="116"/>
      <c r="L824" s="166">
        <v>43215</v>
      </c>
      <c r="M824" s="116">
        <v>41.15</v>
      </c>
      <c r="N824" s="116">
        <v>41.975000000000001</v>
      </c>
      <c r="O824" s="116">
        <v>40.975000000000001</v>
      </c>
      <c r="P824" s="116">
        <v>41.5</v>
      </c>
      <c r="Q824" s="116">
        <v>82.3</v>
      </c>
      <c r="R824">
        <v>141394</v>
      </c>
    </row>
    <row r="825" spans="1:18" x14ac:dyDescent="0.25">
      <c r="A825" s="166">
        <v>43216</v>
      </c>
      <c r="B825" s="116">
        <v>42</v>
      </c>
      <c r="C825" s="116">
        <v>40.774999999999999</v>
      </c>
      <c r="D825" s="116">
        <v>40.65</v>
      </c>
      <c r="E825" s="116">
        <v>42</v>
      </c>
      <c r="F825" s="116">
        <v>81.55</v>
      </c>
      <c r="G825">
        <v>44781</v>
      </c>
      <c r="H825" s="116"/>
      <c r="I825" s="116"/>
      <c r="L825" s="166">
        <v>43216</v>
      </c>
      <c r="M825" s="116">
        <v>40.799999999999997</v>
      </c>
      <c r="N825" s="116">
        <v>41.75</v>
      </c>
      <c r="O825" s="116">
        <v>40.6</v>
      </c>
      <c r="P825" s="116">
        <v>41.75</v>
      </c>
      <c r="Q825" s="116">
        <v>81.599999999999994</v>
      </c>
      <c r="R825">
        <v>308533</v>
      </c>
    </row>
    <row r="826" spans="1:18" x14ac:dyDescent="0.25">
      <c r="A826" s="166">
        <v>43217</v>
      </c>
      <c r="B826" s="116">
        <v>41.424999999999997</v>
      </c>
      <c r="C826" s="116">
        <v>40.524999999999999</v>
      </c>
      <c r="D826" s="116">
        <v>40</v>
      </c>
      <c r="E826" s="116">
        <v>41.424999999999997</v>
      </c>
      <c r="F826" s="116">
        <v>81.05</v>
      </c>
      <c r="G826">
        <v>52724</v>
      </c>
      <c r="H826" s="116"/>
      <c r="I826" s="116"/>
      <c r="L826" s="166">
        <v>43217</v>
      </c>
      <c r="M826" s="116">
        <v>40.674999999999997</v>
      </c>
      <c r="N826" s="116">
        <v>41.3</v>
      </c>
      <c r="O826" s="116">
        <v>40.024999999999999</v>
      </c>
      <c r="P826" s="116">
        <v>41.05</v>
      </c>
      <c r="Q826" s="116">
        <v>81.349999999999994</v>
      </c>
      <c r="R826">
        <v>204380</v>
      </c>
    </row>
    <row r="827" spans="1:18" x14ac:dyDescent="0.25">
      <c r="A827" s="166">
        <v>43220</v>
      </c>
      <c r="B827" s="116">
        <v>42.25</v>
      </c>
      <c r="C827" s="116">
        <v>41.825000000000003</v>
      </c>
      <c r="D827" s="116">
        <v>41.024999999999999</v>
      </c>
      <c r="E827" s="116">
        <v>41.25</v>
      </c>
      <c r="F827" s="116">
        <v>83.65</v>
      </c>
      <c r="G827">
        <v>38688</v>
      </c>
      <c r="H827" s="116"/>
      <c r="I827" s="116"/>
      <c r="L827" s="166">
        <v>43220</v>
      </c>
      <c r="M827" s="116">
        <v>41.875</v>
      </c>
      <c r="N827" s="116">
        <v>42.15</v>
      </c>
      <c r="O827" s="116">
        <v>41</v>
      </c>
      <c r="P827" s="116">
        <v>41.725000000000001</v>
      </c>
      <c r="Q827" s="116">
        <v>83.75</v>
      </c>
      <c r="R827">
        <v>218358</v>
      </c>
    </row>
    <row r="828" spans="1:18" x14ac:dyDescent="0.25">
      <c r="A828" s="166">
        <v>43222</v>
      </c>
      <c r="B828" s="116">
        <v>42.75</v>
      </c>
      <c r="C828" s="116">
        <v>41.375</v>
      </c>
      <c r="D828" s="116">
        <v>40.725000000000001</v>
      </c>
      <c r="E828" s="116">
        <v>42.375</v>
      </c>
      <c r="F828" s="116">
        <v>82.75</v>
      </c>
      <c r="G828">
        <v>44860</v>
      </c>
      <c r="H828" s="116"/>
      <c r="I828" s="116"/>
      <c r="L828" s="166">
        <v>43222</v>
      </c>
      <c r="M828" s="116">
        <v>41.35</v>
      </c>
      <c r="N828" s="116">
        <v>42.75</v>
      </c>
      <c r="O828" s="116">
        <v>40.75</v>
      </c>
      <c r="P828" s="116">
        <v>41.95</v>
      </c>
      <c r="Q828" s="116">
        <v>82.7</v>
      </c>
      <c r="R828">
        <v>313280</v>
      </c>
    </row>
    <row r="829" spans="1:18" x14ac:dyDescent="0.25">
      <c r="A829" s="166">
        <v>43223</v>
      </c>
      <c r="B829" s="116">
        <v>41.25</v>
      </c>
      <c r="C829" s="116">
        <v>40.075000000000003</v>
      </c>
      <c r="D829" s="116">
        <v>39.225000000000001</v>
      </c>
      <c r="E829" s="116">
        <v>40.75</v>
      </c>
      <c r="F829" s="116">
        <v>80.150000000000006</v>
      </c>
      <c r="G829">
        <v>40538</v>
      </c>
      <c r="H829" s="116"/>
      <c r="I829" s="116"/>
      <c r="L829" s="166">
        <v>43223</v>
      </c>
      <c r="M829" s="116">
        <v>39.975000000000001</v>
      </c>
      <c r="N829" s="116">
        <v>41.45</v>
      </c>
      <c r="O829" s="116">
        <v>39.375</v>
      </c>
      <c r="P829" s="116">
        <v>41.25</v>
      </c>
      <c r="Q829" s="116">
        <v>79.95</v>
      </c>
      <c r="R829">
        <v>258907</v>
      </c>
    </row>
    <row r="830" spans="1:18" x14ac:dyDescent="0.25">
      <c r="A830" s="166">
        <v>43224</v>
      </c>
      <c r="B830" s="116">
        <v>41.8</v>
      </c>
      <c r="C830" s="116">
        <v>41.075000000000003</v>
      </c>
      <c r="D830" s="116">
        <v>39.524999999999999</v>
      </c>
      <c r="E830" s="116">
        <v>39.950000000000003</v>
      </c>
      <c r="F830" s="116">
        <v>82.15</v>
      </c>
      <c r="G830">
        <v>40723</v>
      </c>
      <c r="H830" s="116"/>
      <c r="I830" s="116"/>
      <c r="L830" s="166">
        <v>43224</v>
      </c>
      <c r="M830" s="116">
        <v>40.875</v>
      </c>
      <c r="N830" s="116">
        <v>41.7</v>
      </c>
      <c r="O830" s="116">
        <v>39.549999999999997</v>
      </c>
      <c r="P830" s="116">
        <v>39.975000000000001</v>
      </c>
      <c r="Q830" s="116">
        <v>81.75</v>
      </c>
      <c r="R830">
        <v>252659</v>
      </c>
    </row>
    <row r="831" spans="1:18" x14ac:dyDescent="0.25">
      <c r="A831" s="166">
        <v>43227</v>
      </c>
      <c r="B831" s="116">
        <v>42.1</v>
      </c>
      <c r="C831" s="116">
        <v>39.125</v>
      </c>
      <c r="D831" s="116">
        <v>38.799999999999997</v>
      </c>
      <c r="E831" s="116">
        <v>42.05</v>
      </c>
      <c r="F831" s="116">
        <v>78.25</v>
      </c>
      <c r="G831">
        <v>216044</v>
      </c>
      <c r="H831" s="116"/>
      <c r="I831" s="116"/>
      <c r="L831" s="166">
        <v>43227</v>
      </c>
      <c r="M831" s="116">
        <v>39.174999999999997</v>
      </c>
      <c r="N831" s="116">
        <v>41.85</v>
      </c>
      <c r="O831" s="116">
        <v>38.75</v>
      </c>
      <c r="P831" s="116">
        <v>41.825000000000003</v>
      </c>
      <c r="Q831" s="116">
        <v>78.349999999999994</v>
      </c>
      <c r="R831">
        <v>458696</v>
      </c>
    </row>
    <row r="832" spans="1:18" x14ac:dyDescent="0.25">
      <c r="A832" s="166">
        <v>43228</v>
      </c>
      <c r="B832" s="116">
        <v>39.450000000000003</v>
      </c>
      <c r="C832" s="116">
        <v>37.575000000000003</v>
      </c>
      <c r="D832" s="116">
        <v>37.274999999999999</v>
      </c>
      <c r="E832" s="116">
        <v>39.25</v>
      </c>
      <c r="F832" s="116">
        <v>75.150000000000006</v>
      </c>
      <c r="G832">
        <v>89880</v>
      </c>
      <c r="H832" s="116"/>
      <c r="I832" s="116"/>
      <c r="L832" s="166">
        <v>43228</v>
      </c>
      <c r="M832" s="116">
        <v>37.475000000000001</v>
      </c>
      <c r="N832" s="116">
        <v>39.450000000000003</v>
      </c>
      <c r="O832" s="116">
        <v>37.274999999999999</v>
      </c>
      <c r="P832" s="116">
        <v>39.075000000000003</v>
      </c>
      <c r="Q832" s="116">
        <v>74.95</v>
      </c>
      <c r="R832">
        <v>353911</v>
      </c>
    </row>
    <row r="833" spans="1:18" x14ac:dyDescent="0.25">
      <c r="A833" s="166">
        <v>43229</v>
      </c>
      <c r="B833" s="116">
        <v>38.299999999999997</v>
      </c>
      <c r="C833" s="116">
        <v>37.524999999999999</v>
      </c>
      <c r="D833" s="116">
        <v>37.299999999999997</v>
      </c>
      <c r="E833" s="116">
        <v>37.524999999999999</v>
      </c>
      <c r="F833" s="116">
        <v>75.05</v>
      </c>
      <c r="G833">
        <v>40490</v>
      </c>
      <c r="H833" s="116"/>
      <c r="I833" s="116"/>
      <c r="L833" s="166">
        <v>43229</v>
      </c>
      <c r="M833" s="116">
        <v>37.549999999999997</v>
      </c>
      <c r="N833" s="116">
        <v>38.274999999999999</v>
      </c>
      <c r="O833" s="116">
        <v>37.375</v>
      </c>
      <c r="P833" s="116">
        <v>37.475000000000001</v>
      </c>
      <c r="Q833" s="116">
        <v>75.099999999999994</v>
      </c>
      <c r="R833">
        <v>160098</v>
      </c>
    </row>
    <row r="834" spans="1:18" x14ac:dyDescent="0.25">
      <c r="A834" s="166">
        <v>43230</v>
      </c>
      <c r="B834" s="116">
        <v>38</v>
      </c>
      <c r="C834" s="116">
        <v>36.325000000000003</v>
      </c>
      <c r="D834" s="116">
        <v>36.024999999999999</v>
      </c>
      <c r="E834" s="116">
        <v>37.75</v>
      </c>
      <c r="F834" s="116">
        <v>72.650000000000006</v>
      </c>
      <c r="G834">
        <v>39260</v>
      </c>
      <c r="H834" s="116"/>
      <c r="I834" s="116"/>
      <c r="L834" s="166">
        <v>43230</v>
      </c>
      <c r="M834" s="116">
        <v>36.174999999999997</v>
      </c>
      <c r="N834" s="116">
        <v>38.024999999999999</v>
      </c>
      <c r="O834" s="116">
        <v>35.875</v>
      </c>
      <c r="P834" s="116">
        <v>37.9</v>
      </c>
      <c r="Q834" s="116">
        <v>72.349999999999994</v>
      </c>
      <c r="R834">
        <v>150012</v>
      </c>
    </row>
    <row r="835" spans="1:18" x14ac:dyDescent="0.25">
      <c r="A835" s="166">
        <v>43231</v>
      </c>
      <c r="B835" s="116">
        <v>36.424999999999997</v>
      </c>
      <c r="C835" s="116">
        <v>35.200000000000003</v>
      </c>
      <c r="D835" s="116">
        <v>35</v>
      </c>
      <c r="E835" s="116">
        <v>35.950000000000003</v>
      </c>
      <c r="F835" s="116">
        <v>70.400000000000006</v>
      </c>
      <c r="G835">
        <v>64155</v>
      </c>
      <c r="H835" s="116"/>
      <c r="I835" s="116"/>
      <c r="L835" s="166">
        <v>43231</v>
      </c>
      <c r="M835" s="116">
        <v>35.4</v>
      </c>
      <c r="N835" s="116">
        <v>36.450000000000003</v>
      </c>
      <c r="O835" s="116">
        <v>35</v>
      </c>
      <c r="P835" s="116">
        <v>36.174999999999997</v>
      </c>
      <c r="Q835" s="116">
        <v>70.8</v>
      </c>
      <c r="R835">
        <v>185131</v>
      </c>
    </row>
    <row r="836" spans="1:18" x14ac:dyDescent="0.25">
      <c r="A836" s="166">
        <v>43234</v>
      </c>
      <c r="B836" s="116">
        <v>36</v>
      </c>
      <c r="C836" s="116">
        <v>35.25</v>
      </c>
      <c r="D836" s="116">
        <v>35</v>
      </c>
      <c r="E836" s="116">
        <v>35.325000000000003</v>
      </c>
      <c r="F836" s="116">
        <v>70.5</v>
      </c>
      <c r="G836">
        <v>28955</v>
      </c>
      <c r="H836" s="116"/>
      <c r="I836" s="116"/>
      <c r="L836" s="166">
        <v>43234</v>
      </c>
      <c r="M836" s="116">
        <v>35.325000000000003</v>
      </c>
      <c r="N836" s="116">
        <v>35.975000000000001</v>
      </c>
      <c r="O836" s="116">
        <v>35.049999999999997</v>
      </c>
      <c r="P836" s="116">
        <v>35.5</v>
      </c>
      <c r="Q836" s="116">
        <v>70.650000000000006</v>
      </c>
      <c r="R836">
        <v>118033</v>
      </c>
    </row>
    <row r="837" spans="1:18" x14ac:dyDescent="0.25">
      <c r="A837" s="166">
        <v>43235</v>
      </c>
      <c r="B837" s="116">
        <v>35.799999999999997</v>
      </c>
      <c r="C837" s="116">
        <v>34.475000000000001</v>
      </c>
      <c r="D837" s="116">
        <v>33.5</v>
      </c>
      <c r="E837" s="116">
        <v>35</v>
      </c>
      <c r="F837" s="116">
        <v>68.95</v>
      </c>
      <c r="G837">
        <v>62229</v>
      </c>
      <c r="H837" s="116"/>
      <c r="I837" s="116"/>
      <c r="L837" s="166">
        <v>43235</v>
      </c>
      <c r="M837" s="116">
        <v>34.700000000000003</v>
      </c>
      <c r="N837" s="116">
        <v>35.950000000000003</v>
      </c>
      <c r="O837" s="116">
        <v>34.424999999999997</v>
      </c>
      <c r="P837" s="116">
        <v>35</v>
      </c>
      <c r="Q837" s="116">
        <v>69.400000000000006</v>
      </c>
      <c r="R837">
        <v>200039</v>
      </c>
    </row>
    <row r="838" spans="1:18" x14ac:dyDescent="0.25">
      <c r="A838" s="166">
        <v>43236</v>
      </c>
      <c r="B838" s="116">
        <v>35.375</v>
      </c>
      <c r="C838" s="116">
        <v>34.774999999999999</v>
      </c>
      <c r="D838" s="116">
        <v>34.25</v>
      </c>
      <c r="E838" s="116">
        <v>34.25</v>
      </c>
      <c r="F838" s="116">
        <v>69.55</v>
      </c>
      <c r="G838">
        <v>104075</v>
      </c>
      <c r="H838" s="116"/>
      <c r="I838" s="116"/>
      <c r="L838" s="166">
        <v>43236</v>
      </c>
      <c r="M838" s="116">
        <v>34.674999999999997</v>
      </c>
      <c r="N838" s="116">
        <v>34.950000000000003</v>
      </c>
      <c r="O838" s="116">
        <v>34.35</v>
      </c>
      <c r="P838" s="116">
        <v>34.524999999999999</v>
      </c>
      <c r="Q838" s="116">
        <v>69.349999999999994</v>
      </c>
      <c r="R838">
        <v>98045</v>
      </c>
    </row>
    <row r="839" spans="1:18" x14ac:dyDescent="0.25">
      <c r="A839" s="166">
        <v>43237</v>
      </c>
      <c r="B839" s="116">
        <v>35.024999999999999</v>
      </c>
      <c r="C839" s="116">
        <v>34.75</v>
      </c>
      <c r="D839" s="116">
        <v>34.375</v>
      </c>
      <c r="E839" s="116">
        <v>34.674999999999997</v>
      </c>
      <c r="F839" s="116">
        <v>69.5</v>
      </c>
      <c r="G839">
        <v>18877</v>
      </c>
      <c r="H839" s="116"/>
      <c r="I839" s="116"/>
      <c r="L839" s="166">
        <v>43237</v>
      </c>
      <c r="M839" s="116">
        <v>34.700000000000003</v>
      </c>
      <c r="N839" s="116">
        <v>34.975000000000001</v>
      </c>
      <c r="O839" s="116">
        <v>34.299999999999997</v>
      </c>
      <c r="P839" s="116">
        <v>34.85</v>
      </c>
      <c r="Q839" s="116">
        <v>69.400000000000006</v>
      </c>
      <c r="R839">
        <v>90142</v>
      </c>
    </row>
    <row r="840" spans="1:18" x14ac:dyDescent="0.25">
      <c r="A840" s="166">
        <v>43238</v>
      </c>
      <c r="B840" s="116">
        <v>37</v>
      </c>
      <c r="C840" s="116">
        <v>33.6</v>
      </c>
      <c r="D840" s="116">
        <v>33.25</v>
      </c>
      <c r="E840" s="116">
        <v>37</v>
      </c>
      <c r="F840" s="116">
        <v>67.2</v>
      </c>
      <c r="G840">
        <v>59055</v>
      </c>
      <c r="H840" s="116"/>
      <c r="I840" s="116"/>
      <c r="L840" s="166">
        <v>43238</v>
      </c>
      <c r="M840" s="116">
        <v>33.549999999999997</v>
      </c>
      <c r="N840" s="116">
        <v>35.424999999999997</v>
      </c>
      <c r="O840" s="116">
        <v>33.125</v>
      </c>
      <c r="P840" s="116">
        <v>34.75</v>
      </c>
      <c r="Q840" s="116">
        <v>67.099999999999994</v>
      </c>
      <c r="R840">
        <v>219468</v>
      </c>
    </row>
    <row r="841" spans="1:18" x14ac:dyDescent="0.25">
      <c r="A841" s="166">
        <v>43241</v>
      </c>
      <c r="B841" s="116">
        <v>33.924999999999997</v>
      </c>
      <c r="C841" s="116">
        <v>31.75</v>
      </c>
      <c r="D841" s="116">
        <v>31.324999999999999</v>
      </c>
      <c r="E841" s="116">
        <v>33.25</v>
      </c>
      <c r="F841" s="116">
        <v>63.5</v>
      </c>
      <c r="G841">
        <v>40357</v>
      </c>
      <c r="H841" s="116"/>
      <c r="I841" s="116"/>
      <c r="L841" s="166">
        <v>43241</v>
      </c>
      <c r="M841" s="116">
        <v>31.6</v>
      </c>
      <c r="N841" s="116">
        <v>33.700000000000003</v>
      </c>
      <c r="O841" s="116">
        <v>31.125</v>
      </c>
      <c r="P841" s="116">
        <v>33</v>
      </c>
      <c r="Q841" s="116">
        <v>63.2</v>
      </c>
      <c r="R841">
        <v>155086</v>
      </c>
    </row>
    <row r="842" spans="1:18" x14ac:dyDescent="0.25">
      <c r="A842" s="166">
        <v>43242</v>
      </c>
      <c r="B842" s="116">
        <v>32.1</v>
      </c>
      <c r="C842" s="116">
        <v>31.5</v>
      </c>
      <c r="D842" s="116">
        <v>30.85</v>
      </c>
      <c r="E842" s="116">
        <v>31.675000000000001</v>
      </c>
      <c r="F842" s="116">
        <v>63</v>
      </c>
      <c r="G842">
        <v>61897</v>
      </c>
      <c r="H842" s="116"/>
      <c r="I842" s="116"/>
      <c r="L842" s="166">
        <v>43242</v>
      </c>
      <c r="M842" s="116">
        <v>31.475000000000001</v>
      </c>
      <c r="N842" s="116">
        <v>32.1</v>
      </c>
      <c r="O842" s="116">
        <v>30.7</v>
      </c>
      <c r="P842" s="116">
        <v>31.65</v>
      </c>
      <c r="Q842" s="116">
        <v>62.95</v>
      </c>
      <c r="R842">
        <v>223916</v>
      </c>
    </row>
    <row r="843" spans="1:18" x14ac:dyDescent="0.25">
      <c r="A843" s="166">
        <v>43243</v>
      </c>
      <c r="B843" s="116">
        <v>31.9</v>
      </c>
      <c r="C843" s="116">
        <v>31.274999999999999</v>
      </c>
      <c r="D843" s="116">
        <v>31</v>
      </c>
      <c r="E843" s="116">
        <v>31.5</v>
      </c>
      <c r="F843" s="116">
        <v>62.55</v>
      </c>
      <c r="G843">
        <v>20452</v>
      </c>
      <c r="H843" s="116"/>
      <c r="I843" s="116"/>
      <c r="L843" s="166">
        <v>43243</v>
      </c>
      <c r="M843" s="116">
        <v>31.25</v>
      </c>
      <c r="N843" s="116">
        <v>31.875</v>
      </c>
      <c r="O843" s="116">
        <v>30.625</v>
      </c>
      <c r="P843" s="116">
        <v>31.824999999999999</v>
      </c>
      <c r="Q843" s="116">
        <v>62.5</v>
      </c>
      <c r="R843">
        <v>97772</v>
      </c>
    </row>
    <row r="844" spans="1:18" x14ac:dyDescent="0.25">
      <c r="A844" s="166">
        <v>43244</v>
      </c>
      <c r="B844" s="116">
        <v>31.625</v>
      </c>
      <c r="C844" s="116">
        <v>30.975000000000001</v>
      </c>
      <c r="D844" s="116">
        <v>30.375</v>
      </c>
      <c r="E844" s="116">
        <v>31.4</v>
      </c>
      <c r="F844" s="116">
        <v>61.95</v>
      </c>
      <c r="G844">
        <v>49448</v>
      </c>
      <c r="H844" s="116"/>
      <c r="I844" s="116"/>
      <c r="L844" s="166">
        <v>43244</v>
      </c>
      <c r="M844" s="116">
        <v>31</v>
      </c>
      <c r="N844" s="116">
        <v>31.675000000000001</v>
      </c>
      <c r="O844" s="116">
        <v>30.25</v>
      </c>
      <c r="P844" s="116">
        <v>31.675000000000001</v>
      </c>
      <c r="Q844" s="116">
        <v>62</v>
      </c>
      <c r="R844">
        <v>118064</v>
      </c>
    </row>
    <row r="845" spans="1:18" x14ac:dyDescent="0.25">
      <c r="A845" s="166">
        <v>43245</v>
      </c>
      <c r="B845" s="116">
        <v>31.95</v>
      </c>
      <c r="C845" s="116">
        <v>31.7</v>
      </c>
      <c r="D845" s="116">
        <v>30.7</v>
      </c>
      <c r="E845" s="116">
        <v>30.7</v>
      </c>
      <c r="F845" s="116">
        <v>63.4</v>
      </c>
      <c r="G845">
        <v>43925</v>
      </c>
      <c r="H845" s="116"/>
      <c r="I845" s="116"/>
      <c r="L845" s="166">
        <v>43245</v>
      </c>
      <c r="M845" s="116">
        <v>31.6</v>
      </c>
      <c r="N845" s="116">
        <v>31.925000000000001</v>
      </c>
      <c r="O845" s="116">
        <v>30.6</v>
      </c>
      <c r="P845" s="116">
        <v>30.6</v>
      </c>
      <c r="Q845" s="116">
        <v>63.2</v>
      </c>
      <c r="R845">
        <v>174917</v>
      </c>
    </row>
    <row r="846" spans="1:18" x14ac:dyDescent="0.25">
      <c r="A846" s="166">
        <v>43248</v>
      </c>
      <c r="B846" s="116">
        <v>36.9</v>
      </c>
      <c r="C846" s="116">
        <v>35.85</v>
      </c>
      <c r="D846" s="116">
        <v>31.75</v>
      </c>
      <c r="E846" s="116">
        <v>31.75</v>
      </c>
      <c r="F846" s="116">
        <v>71.7</v>
      </c>
      <c r="G846">
        <v>133958</v>
      </c>
      <c r="H846" s="116"/>
      <c r="I846" s="116"/>
      <c r="L846" s="166">
        <v>43248</v>
      </c>
      <c r="M846" s="116">
        <v>35.875</v>
      </c>
      <c r="N846" s="116">
        <v>36.950000000000003</v>
      </c>
      <c r="O846" s="116">
        <v>31.824999999999999</v>
      </c>
      <c r="P846" s="116">
        <v>31.824999999999999</v>
      </c>
      <c r="Q846" s="116">
        <v>71.75</v>
      </c>
      <c r="R846">
        <v>705529</v>
      </c>
    </row>
    <row r="847" spans="1:18" x14ac:dyDescent="0.25">
      <c r="A847" s="166">
        <v>43249</v>
      </c>
      <c r="B847" s="116">
        <v>36</v>
      </c>
      <c r="C847" s="116">
        <v>34.875</v>
      </c>
      <c r="D847" s="116">
        <v>34.65</v>
      </c>
      <c r="E847" s="116">
        <v>35.200000000000003</v>
      </c>
      <c r="F847" s="116">
        <v>69.75</v>
      </c>
      <c r="G847">
        <v>71763</v>
      </c>
      <c r="H847" s="116"/>
      <c r="I847" s="116"/>
      <c r="L847" s="166">
        <v>43249</v>
      </c>
      <c r="M847" s="116">
        <v>34.9</v>
      </c>
      <c r="N847" s="116">
        <v>35.975000000000001</v>
      </c>
      <c r="O847" s="116">
        <v>34.524999999999999</v>
      </c>
      <c r="P847" s="116">
        <v>35.5</v>
      </c>
      <c r="Q847" s="116">
        <v>69.8</v>
      </c>
      <c r="R847">
        <v>198940</v>
      </c>
    </row>
    <row r="848" spans="1:18" x14ac:dyDescent="0.25">
      <c r="A848" s="166">
        <v>43250</v>
      </c>
      <c r="B848" s="116">
        <v>35.725000000000001</v>
      </c>
      <c r="C848" s="116">
        <v>34.700000000000003</v>
      </c>
      <c r="D848" s="116">
        <v>34.25</v>
      </c>
      <c r="E848" s="116">
        <v>34.5</v>
      </c>
      <c r="F848" s="116">
        <v>69.400000000000006</v>
      </c>
      <c r="G848">
        <v>28690</v>
      </c>
      <c r="H848" s="116"/>
      <c r="I848" s="116"/>
      <c r="L848" s="166">
        <v>43250</v>
      </c>
      <c r="M848" s="116">
        <v>34.774999999999999</v>
      </c>
      <c r="N848" s="116">
        <v>35.75</v>
      </c>
      <c r="O848" s="116">
        <v>34.274999999999999</v>
      </c>
      <c r="P848" s="116">
        <v>34.475000000000001</v>
      </c>
      <c r="Q848" s="116">
        <v>69.55</v>
      </c>
      <c r="R848">
        <v>144007</v>
      </c>
    </row>
    <row r="849" spans="1:18" x14ac:dyDescent="0.25">
      <c r="A849" s="166">
        <v>43251</v>
      </c>
      <c r="B849" s="116">
        <v>35.174999999999997</v>
      </c>
      <c r="C849" s="116">
        <v>34.35</v>
      </c>
      <c r="D849" s="116">
        <v>34.1</v>
      </c>
      <c r="E849" s="116">
        <v>34.825000000000003</v>
      </c>
      <c r="F849" s="116">
        <v>68.7</v>
      </c>
      <c r="G849">
        <v>44014</v>
      </c>
      <c r="H849" s="116"/>
      <c r="I849" s="116"/>
      <c r="L849" s="166">
        <v>43251</v>
      </c>
      <c r="M849" s="116">
        <v>34.4</v>
      </c>
      <c r="N849" s="116">
        <v>35.450000000000003</v>
      </c>
      <c r="O849" s="116">
        <v>34.125</v>
      </c>
      <c r="P849" s="116">
        <v>34.9</v>
      </c>
      <c r="Q849" s="116">
        <v>68.8</v>
      </c>
      <c r="R849">
        <v>106527</v>
      </c>
    </row>
    <row r="850" spans="1:18" x14ac:dyDescent="0.25">
      <c r="A850" s="166">
        <v>43252</v>
      </c>
      <c r="B850" s="116">
        <v>34.5</v>
      </c>
      <c r="C850" s="116">
        <v>32.924999999999997</v>
      </c>
      <c r="D850" s="116">
        <v>32.65</v>
      </c>
      <c r="E850" s="116">
        <v>34.5</v>
      </c>
      <c r="F850" s="116">
        <v>65.849999999999994</v>
      </c>
      <c r="G850">
        <v>42889</v>
      </c>
      <c r="H850" s="116"/>
      <c r="I850" s="116"/>
      <c r="L850" s="166">
        <v>43252</v>
      </c>
      <c r="M850" s="116">
        <v>32.924999999999997</v>
      </c>
      <c r="N850" s="116">
        <v>34.4</v>
      </c>
      <c r="O850" s="116">
        <v>32.65</v>
      </c>
      <c r="P850" s="116">
        <v>34.024999999999999</v>
      </c>
      <c r="Q850" s="116">
        <v>65.849999999999994</v>
      </c>
      <c r="R850">
        <v>134731</v>
      </c>
    </row>
    <row r="851" spans="1:18" x14ac:dyDescent="0.25">
      <c r="A851" s="166">
        <v>43255</v>
      </c>
      <c r="B851" s="116">
        <v>33.75</v>
      </c>
      <c r="C851" s="116">
        <v>32.200000000000003</v>
      </c>
      <c r="D851" s="116">
        <v>32.075000000000003</v>
      </c>
      <c r="E851" s="116">
        <v>33.25</v>
      </c>
      <c r="F851" s="116">
        <v>64.400000000000006</v>
      </c>
      <c r="G851">
        <v>39834</v>
      </c>
      <c r="H851" s="116"/>
      <c r="I851" s="116"/>
      <c r="L851" s="166">
        <v>43255</v>
      </c>
      <c r="M851" s="116">
        <v>32.325000000000003</v>
      </c>
      <c r="N851" s="116">
        <v>33.9</v>
      </c>
      <c r="O851" s="116">
        <v>32.15</v>
      </c>
      <c r="P851" s="116">
        <v>33</v>
      </c>
      <c r="Q851" s="116">
        <v>64.650000000000006</v>
      </c>
      <c r="R851">
        <v>104154</v>
      </c>
    </row>
    <row r="852" spans="1:18" x14ac:dyDescent="0.25">
      <c r="A852" s="166">
        <v>43256</v>
      </c>
      <c r="B852" s="116">
        <v>32.549999999999997</v>
      </c>
      <c r="C852" s="116">
        <v>30.975000000000001</v>
      </c>
      <c r="D852" s="116">
        <v>30.75</v>
      </c>
      <c r="E852" s="116">
        <v>31.95</v>
      </c>
      <c r="F852" s="116">
        <v>61.95</v>
      </c>
      <c r="G852">
        <v>49537</v>
      </c>
      <c r="H852" s="116"/>
      <c r="I852" s="116"/>
      <c r="L852" s="166">
        <v>43256</v>
      </c>
      <c r="M852" s="116">
        <v>31.05</v>
      </c>
      <c r="N852" s="116">
        <v>32.6</v>
      </c>
      <c r="O852" s="116">
        <v>30.75</v>
      </c>
      <c r="P852" s="116">
        <v>32.6</v>
      </c>
      <c r="Q852" s="116">
        <v>62.1</v>
      </c>
      <c r="R852">
        <v>164758</v>
      </c>
    </row>
    <row r="853" spans="1:18" x14ac:dyDescent="0.25">
      <c r="A853" s="166">
        <v>43257</v>
      </c>
      <c r="B853" s="116">
        <v>33.375</v>
      </c>
      <c r="C853" s="116">
        <v>32.200000000000003</v>
      </c>
      <c r="D853" s="116">
        <v>30.8</v>
      </c>
      <c r="E853" s="116">
        <v>30.95</v>
      </c>
      <c r="F853" s="116">
        <v>64.400000000000006</v>
      </c>
      <c r="G853">
        <v>269842</v>
      </c>
      <c r="H853" s="116"/>
      <c r="I853" s="116"/>
      <c r="L853" s="166">
        <v>43257</v>
      </c>
      <c r="M853" s="116">
        <v>32.200000000000003</v>
      </c>
      <c r="N853" s="116">
        <v>33.450000000000003</v>
      </c>
      <c r="O853" s="116">
        <v>30.75</v>
      </c>
      <c r="P853" s="116">
        <v>31.324999999999999</v>
      </c>
      <c r="Q853" s="116">
        <v>64.400000000000006</v>
      </c>
      <c r="R853">
        <v>826037</v>
      </c>
    </row>
    <row r="854" spans="1:18" x14ac:dyDescent="0.25">
      <c r="A854" s="166">
        <v>43258</v>
      </c>
      <c r="B854" s="116">
        <v>33.774999999999999</v>
      </c>
      <c r="C854" s="116">
        <v>33.049999999999997</v>
      </c>
      <c r="D854" s="116">
        <v>32.35</v>
      </c>
      <c r="E854" s="116">
        <v>33.4</v>
      </c>
      <c r="F854" s="116">
        <v>66.099999999999994</v>
      </c>
      <c r="G854">
        <v>53808</v>
      </c>
      <c r="H854" s="116"/>
      <c r="I854" s="116"/>
      <c r="L854" s="166">
        <v>43258</v>
      </c>
      <c r="M854" s="116">
        <v>33.075000000000003</v>
      </c>
      <c r="N854" s="116">
        <v>33.9</v>
      </c>
      <c r="O854" s="116">
        <v>32.075000000000003</v>
      </c>
      <c r="P854" s="116">
        <v>32.174999999999997</v>
      </c>
      <c r="Q854" s="116">
        <v>66.150000000000006</v>
      </c>
      <c r="R854">
        <v>181280</v>
      </c>
    </row>
    <row r="855" spans="1:18" x14ac:dyDescent="0.25">
      <c r="A855" s="166">
        <v>43259</v>
      </c>
      <c r="B855" s="116">
        <v>33.674999999999997</v>
      </c>
      <c r="C855" s="116">
        <v>32.875</v>
      </c>
      <c r="D855" s="116">
        <v>32.5</v>
      </c>
      <c r="E855" s="116">
        <v>32.950000000000003</v>
      </c>
      <c r="F855" s="116">
        <v>65.75</v>
      </c>
      <c r="G855">
        <v>62953</v>
      </c>
      <c r="H855" s="116"/>
      <c r="I855" s="116"/>
      <c r="L855" s="166">
        <v>43259</v>
      </c>
      <c r="M855" s="116">
        <v>32.85</v>
      </c>
      <c r="N855" s="116">
        <v>33.5</v>
      </c>
      <c r="O855" s="116">
        <v>32.475000000000001</v>
      </c>
      <c r="P855" s="116">
        <v>32.524999999999999</v>
      </c>
      <c r="Q855" s="116">
        <v>65.7</v>
      </c>
      <c r="R855">
        <v>126248</v>
      </c>
    </row>
    <row r="856" spans="1:18" x14ac:dyDescent="0.25">
      <c r="A856" s="166">
        <v>43262</v>
      </c>
      <c r="B856" s="116">
        <v>33.5</v>
      </c>
      <c r="C856" s="116">
        <v>32.549999999999997</v>
      </c>
      <c r="D856" s="116">
        <v>32.475000000000001</v>
      </c>
      <c r="E856" s="116">
        <v>33.1</v>
      </c>
      <c r="F856" s="116">
        <v>65.099999999999994</v>
      </c>
      <c r="G856">
        <v>40138</v>
      </c>
      <c r="H856" s="116"/>
      <c r="I856" s="116"/>
      <c r="L856" s="166">
        <v>43262</v>
      </c>
      <c r="M856" s="116">
        <v>32.524999999999999</v>
      </c>
      <c r="N856" s="116">
        <v>33.424999999999997</v>
      </c>
      <c r="O856" s="116">
        <v>32.4</v>
      </c>
      <c r="P856" s="116">
        <v>32.65</v>
      </c>
      <c r="Q856" s="116">
        <v>65.05</v>
      </c>
      <c r="R856">
        <v>174163</v>
      </c>
    </row>
    <row r="857" spans="1:18" x14ac:dyDescent="0.25">
      <c r="A857" s="166">
        <v>43263</v>
      </c>
      <c r="B857" s="116">
        <v>34.975000000000001</v>
      </c>
      <c r="C857" s="116">
        <v>34.125</v>
      </c>
      <c r="D857" s="116">
        <v>32.450000000000003</v>
      </c>
      <c r="E857" s="116">
        <v>32.5</v>
      </c>
      <c r="F857" s="116">
        <v>68.25</v>
      </c>
      <c r="G857">
        <v>69707</v>
      </c>
      <c r="H857" s="116"/>
      <c r="I857" s="116"/>
      <c r="L857" s="166">
        <v>43263</v>
      </c>
      <c r="M857" s="116">
        <v>34.225000000000001</v>
      </c>
      <c r="N857" s="116">
        <v>34.975000000000001</v>
      </c>
      <c r="O857" s="116">
        <v>32.25</v>
      </c>
      <c r="P857" s="116">
        <v>32.75</v>
      </c>
      <c r="Q857" s="116">
        <v>68.45</v>
      </c>
      <c r="R857">
        <v>405508</v>
      </c>
    </row>
    <row r="858" spans="1:18" x14ac:dyDescent="0.25">
      <c r="A858" s="166">
        <v>43264</v>
      </c>
      <c r="B858" s="116">
        <v>34.799999999999997</v>
      </c>
      <c r="C858" s="116">
        <v>32.924999999999997</v>
      </c>
      <c r="D858" s="116">
        <v>32.825000000000003</v>
      </c>
      <c r="E858" s="116">
        <v>34</v>
      </c>
      <c r="F858" s="116">
        <v>65.849999999999994</v>
      </c>
      <c r="G858">
        <v>23393</v>
      </c>
      <c r="H858" s="116"/>
      <c r="I858" s="116"/>
      <c r="L858" s="166">
        <v>43264</v>
      </c>
      <c r="M858" s="116">
        <v>33.024999999999999</v>
      </c>
      <c r="N858" s="116">
        <v>34.875</v>
      </c>
      <c r="O858" s="116">
        <v>32.799999999999997</v>
      </c>
      <c r="P858" s="116">
        <v>34</v>
      </c>
      <c r="Q858" s="116">
        <v>66.05</v>
      </c>
      <c r="R858">
        <v>134380</v>
      </c>
    </row>
    <row r="859" spans="1:18" x14ac:dyDescent="0.25">
      <c r="A859" s="166">
        <v>43265</v>
      </c>
      <c r="B859" s="116">
        <v>33.35</v>
      </c>
      <c r="C859" s="116">
        <v>33.200000000000003</v>
      </c>
      <c r="D859" s="116">
        <v>32.875</v>
      </c>
      <c r="E859" s="116">
        <v>33.024999999999999</v>
      </c>
      <c r="F859" s="116">
        <v>66.400000000000006</v>
      </c>
      <c r="G859">
        <v>12601</v>
      </c>
      <c r="H859" s="116"/>
      <c r="I859" s="116"/>
      <c r="L859" s="166">
        <v>43265</v>
      </c>
      <c r="M859" s="116">
        <v>33.200000000000003</v>
      </c>
      <c r="N859" s="116">
        <v>33.325000000000003</v>
      </c>
      <c r="O859" s="116">
        <v>32.825000000000003</v>
      </c>
      <c r="P859" s="116">
        <v>33.049999999999997</v>
      </c>
      <c r="Q859" s="116">
        <v>66.400000000000006</v>
      </c>
      <c r="R859">
        <v>57000</v>
      </c>
    </row>
    <row r="860" spans="1:18" x14ac:dyDescent="0.25">
      <c r="A860" s="166">
        <v>43266</v>
      </c>
      <c r="B860" s="116">
        <v>33.475000000000001</v>
      </c>
      <c r="C860" s="116">
        <v>32.825000000000003</v>
      </c>
      <c r="D860" s="116">
        <v>32.65</v>
      </c>
      <c r="E860" s="116">
        <v>32.825000000000003</v>
      </c>
      <c r="F860" s="116">
        <v>65.650000000000006</v>
      </c>
      <c r="G860">
        <v>15157</v>
      </c>
      <c r="H860" s="116"/>
      <c r="I860" s="116"/>
      <c r="L860" s="166">
        <v>43266</v>
      </c>
      <c r="M860" s="116">
        <v>32.950000000000003</v>
      </c>
      <c r="N860" s="116">
        <v>33.424999999999997</v>
      </c>
      <c r="O860" s="116">
        <v>32.6</v>
      </c>
      <c r="P860" s="116">
        <v>33</v>
      </c>
      <c r="Q860" s="116">
        <v>65.900000000000006</v>
      </c>
      <c r="R860">
        <v>152181</v>
      </c>
    </row>
    <row r="861" spans="1:18" x14ac:dyDescent="0.25">
      <c r="A861" s="166">
        <v>43269</v>
      </c>
      <c r="B861" s="116">
        <v>33.15</v>
      </c>
      <c r="C861" s="116">
        <v>32.5</v>
      </c>
      <c r="D861" s="116">
        <v>32.35</v>
      </c>
      <c r="E861" s="116">
        <v>32.975000000000001</v>
      </c>
      <c r="F861" s="116">
        <v>65</v>
      </c>
      <c r="G861">
        <v>22025</v>
      </c>
      <c r="H861" s="116"/>
      <c r="I861" s="116"/>
      <c r="L861" s="166">
        <v>43269</v>
      </c>
      <c r="M861" s="116">
        <v>32.524999999999999</v>
      </c>
      <c r="N861" s="116">
        <v>33.35</v>
      </c>
      <c r="O861" s="116">
        <v>32.25</v>
      </c>
      <c r="P861" s="116">
        <v>33</v>
      </c>
      <c r="Q861" s="116">
        <v>65.05</v>
      </c>
      <c r="R861">
        <v>77236</v>
      </c>
    </row>
    <row r="862" spans="1:18" x14ac:dyDescent="0.25">
      <c r="A862" s="166">
        <v>43270</v>
      </c>
      <c r="B862" s="116">
        <v>32.975000000000001</v>
      </c>
      <c r="C862" s="116">
        <v>31.95</v>
      </c>
      <c r="D862" s="116">
        <v>31.65</v>
      </c>
      <c r="E862" s="116">
        <v>32.625</v>
      </c>
      <c r="F862" s="116">
        <v>63.9</v>
      </c>
      <c r="G862">
        <v>11515</v>
      </c>
      <c r="H862" s="116"/>
      <c r="I862" s="116"/>
      <c r="L862" s="166">
        <v>43270</v>
      </c>
      <c r="M862" s="116">
        <v>31.925000000000001</v>
      </c>
      <c r="N862" s="116">
        <v>32.975000000000001</v>
      </c>
      <c r="O862" s="116">
        <v>31.524999999999999</v>
      </c>
      <c r="P862" s="116">
        <v>32.975000000000001</v>
      </c>
      <c r="Q862" s="116">
        <v>63.85</v>
      </c>
      <c r="R862">
        <v>84637</v>
      </c>
    </row>
    <row r="863" spans="1:18" x14ac:dyDescent="0.25">
      <c r="A863" s="166">
        <v>43271</v>
      </c>
      <c r="B863" s="116">
        <v>32.475000000000001</v>
      </c>
      <c r="C863" s="116">
        <v>32.174999999999997</v>
      </c>
      <c r="D863" s="116">
        <v>31.975000000000001</v>
      </c>
      <c r="E863" s="116">
        <v>32.25</v>
      </c>
      <c r="F863" s="116">
        <v>64.349999999999994</v>
      </c>
      <c r="G863">
        <v>12062</v>
      </c>
      <c r="H863" s="116"/>
      <c r="I863" s="116"/>
      <c r="L863" s="166">
        <v>43271</v>
      </c>
      <c r="M863" s="116">
        <v>32.174999999999997</v>
      </c>
      <c r="N863" s="116">
        <v>32.475000000000001</v>
      </c>
      <c r="O863" s="116">
        <v>31.9</v>
      </c>
      <c r="P863" s="116">
        <v>32.274999999999999</v>
      </c>
      <c r="Q863" s="116">
        <v>64.349999999999994</v>
      </c>
      <c r="R863">
        <v>76584</v>
      </c>
    </row>
    <row r="864" spans="1:18" x14ac:dyDescent="0.25">
      <c r="A864" s="166">
        <v>43272</v>
      </c>
      <c r="B864" s="116">
        <v>32.5</v>
      </c>
      <c r="C864" s="116">
        <v>31.725000000000001</v>
      </c>
      <c r="D864" s="116">
        <v>31.4</v>
      </c>
      <c r="E864" s="116">
        <v>32.25</v>
      </c>
      <c r="F864" s="116">
        <v>63.45</v>
      </c>
      <c r="G864">
        <v>14775</v>
      </c>
      <c r="H864" s="116"/>
      <c r="I864" s="116"/>
      <c r="L864" s="166">
        <v>43272</v>
      </c>
      <c r="M864" s="116">
        <v>31.725000000000001</v>
      </c>
      <c r="N864" s="116">
        <v>32.674999999999997</v>
      </c>
      <c r="O864" s="116">
        <v>31.45</v>
      </c>
      <c r="P864" s="116">
        <v>32.65</v>
      </c>
      <c r="Q864" s="116">
        <v>63.45</v>
      </c>
      <c r="R864">
        <v>124343</v>
      </c>
    </row>
    <row r="865" spans="1:18" x14ac:dyDescent="0.25">
      <c r="A865" s="166">
        <v>43273</v>
      </c>
      <c r="B865" s="116">
        <v>32.024999999999999</v>
      </c>
      <c r="C865" s="116">
        <v>31.425000000000001</v>
      </c>
      <c r="D865" s="116">
        <v>31.25</v>
      </c>
      <c r="E865" s="116">
        <v>32.024999999999999</v>
      </c>
      <c r="F865" s="116">
        <v>62.85</v>
      </c>
      <c r="G865">
        <v>30737</v>
      </c>
      <c r="H865" s="116"/>
      <c r="I865" s="116"/>
      <c r="L865" s="166">
        <v>43273</v>
      </c>
      <c r="M865" s="116">
        <v>31.425000000000001</v>
      </c>
      <c r="N865" s="116">
        <v>31.95</v>
      </c>
      <c r="O865" s="116">
        <v>31.25</v>
      </c>
      <c r="P865" s="116">
        <v>31.95</v>
      </c>
      <c r="Q865" s="116">
        <v>62.85</v>
      </c>
      <c r="R865">
        <v>85569</v>
      </c>
    </row>
    <row r="866" spans="1:18" x14ac:dyDescent="0.25">
      <c r="A866" s="166">
        <v>43276</v>
      </c>
      <c r="B866" s="116">
        <v>31.55</v>
      </c>
      <c r="C866" s="116">
        <v>31.225000000000001</v>
      </c>
      <c r="D866" s="116">
        <v>31.074999999999999</v>
      </c>
      <c r="E866" s="116">
        <v>31.55</v>
      </c>
      <c r="F866" s="116">
        <v>62.45</v>
      </c>
      <c r="G866">
        <v>22687</v>
      </c>
      <c r="H866" s="116"/>
      <c r="I866" s="116"/>
      <c r="L866" s="166">
        <v>43276</v>
      </c>
      <c r="M866" s="116">
        <v>31.2</v>
      </c>
      <c r="N866" s="116">
        <v>31.625</v>
      </c>
      <c r="O866" s="116">
        <v>31.1</v>
      </c>
      <c r="P866" s="116">
        <v>31.5</v>
      </c>
      <c r="Q866" s="116">
        <v>62.4</v>
      </c>
      <c r="R866">
        <v>47429</v>
      </c>
    </row>
    <row r="867" spans="1:18" x14ac:dyDescent="0.25">
      <c r="A867" s="166">
        <v>43277</v>
      </c>
      <c r="B867" s="116">
        <v>32.5</v>
      </c>
      <c r="C867" s="116">
        <v>31.274999999999999</v>
      </c>
      <c r="D867" s="116">
        <v>30.8</v>
      </c>
      <c r="E867" s="116">
        <v>31.225000000000001</v>
      </c>
      <c r="F867" s="116">
        <v>62.55</v>
      </c>
      <c r="G867">
        <v>11204</v>
      </c>
      <c r="H867" s="116"/>
      <c r="I867" s="116"/>
      <c r="L867" s="166">
        <v>43277</v>
      </c>
      <c r="M867" s="116">
        <v>31.324999999999999</v>
      </c>
      <c r="N867" s="116">
        <v>32.35</v>
      </c>
      <c r="O867" s="116">
        <v>30.75</v>
      </c>
      <c r="P867" s="116">
        <v>31.074999999999999</v>
      </c>
      <c r="Q867" s="116">
        <v>62.65</v>
      </c>
      <c r="R867">
        <v>171297</v>
      </c>
    </row>
    <row r="868" spans="1:18" x14ac:dyDescent="0.25">
      <c r="A868" s="166">
        <v>43278</v>
      </c>
      <c r="B868" s="116">
        <v>32.25</v>
      </c>
      <c r="C868" s="116">
        <v>29.25</v>
      </c>
      <c r="D868" s="116">
        <v>29.074999999999999</v>
      </c>
      <c r="E868" s="116">
        <v>32.25</v>
      </c>
      <c r="F868" s="116">
        <v>58.5</v>
      </c>
      <c r="G868">
        <v>34477</v>
      </c>
      <c r="H868" s="116"/>
      <c r="I868" s="116"/>
      <c r="L868" s="166">
        <v>43278</v>
      </c>
      <c r="M868" s="116">
        <v>29.3</v>
      </c>
      <c r="N868" s="116">
        <v>31.55</v>
      </c>
      <c r="O868" s="116">
        <v>29.125</v>
      </c>
      <c r="P868" s="116">
        <v>31.2</v>
      </c>
      <c r="Q868" s="116">
        <v>58.6</v>
      </c>
      <c r="R868">
        <v>172495</v>
      </c>
    </row>
    <row r="869" spans="1:18" x14ac:dyDescent="0.25">
      <c r="A869" s="166">
        <v>43279</v>
      </c>
      <c r="B869" s="116">
        <v>29.9</v>
      </c>
      <c r="C869" s="116">
        <v>28.725000000000001</v>
      </c>
      <c r="D869" s="116">
        <v>28.6</v>
      </c>
      <c r="E869" s="116">
        <v>29.85</v>
      </c>
      <c r="F869" s="116">
        <v>57.45</v>
      </c>
      <c r="G869">
        <v>12903</v>
      </c>
      <c r="H869" s="116"/>
      <c r="I869" s="116"/>
      <c r="L869" s="166">
        <v>43279</v>
      </c>
      <c r="M869" s="116">
        <v>28.65</v>
      </c>
      <c r="N869" s="116">
        <v>29.675000000000001</v>
      </c>
      <c r="O869" s="116">
        <v>28.5</v>
      </c>
      <c r="P869" s="116">
        <v>29.3</v>
      </c>
      <c r="Q869" s="116">
        <v>57.3</v>
      </c>
      <c r="R869">
        <v>81517</v>
      </c>
    </row>
    <row r="870" spans="1:18" x14ac:dyDescent="0.25">
      <c r="A870" s="166">
        <v>43280</v>
      </c>
      <c r="B870" s="116">
        <v>29.524999999999999</v>
      </c>
      <c r="C870" s="116">
        <v>28.85</v>
      </c>
      <c r="D870" s="116">
        <v>28.425000000000001</v>
      </c>
      <c r="E870" s="116">
        <v>29.024999999999999</v>
      </c>
      <c r="F870" s="116">
        <v>57.7</v>
      </c>
      <c r="G870">
        <v>30529</v>
      </c>
      <c r="H870" s="116"/>
      <c r="I870" s="116"/>
      <c r="L870" s="166">
        <v>43280</v>
      </c>
      <c r="M870" s="116">
        <v>28.8</v>
      </c>
      <c r="N870" s="116">
        <v>29.5</v>
      </c>
      <c r="O870" s="116">
        <v>28.375</v>
      </c>
      <c r="P870" s="116">
        <v>29</v>
      </c>
      <c r="Q870" s="116">
        <v>57.6</v>
      </c>
      <c r="R870">
        <v>133283</v>
      </c>
    </row>
    <row r="871" spans="1:18" x14ac:dyDescent="0.25">
      <c r="A871" s="166">
        <v>43283</v>
      </c>
      <c r="B871" s="116">
        <v>29</v>
      </c>
      <c r="C871" s="116">
        <v>27.975000000000001</v>
      </c>
      <c r="D871" s="116">
        <v>27.75</v>
      </c>
      <c r="E871" s="116">
        <v>28.8</v>
      </c>
      <c r="F871" s="116">
        <v>55.95</v>
      </c>
      <c r="G871">
        <v>25595</v>
      </c>
      <c r="H871" s="116"/>
      <c r="I871" s="116"/>
      <c r="L871" s="166">
        <v>43283</v>
      </c>
      <c r="M871" s="116">
        <v>27.925000000000001</v>
      </c>
      <c r="N871" s="116">
        <v>29.05</v>
      </c>
      <c r="O871" s="116">
        <v>27.75</v>
      </c>
      <c r="P871" s="116">
        <v>29.05</v>
      </c>
      <c r="Q871" s="116">
        <v>55.85</v>
      </c>
      <c r="R871">
        <v>102422</v>
      </c>
    </row>
    <row r="872" spans="1:18" x14ac:dyDescent="0.25">
      <c r="A872" s="166">
        <v>43284</v>
      </c>
      <c r="B872" s="116">
        <v>28.95</v>
      </c>
      <c r="C872" s="116">
        <v>28.35</v>
      </c>
      <c r="D872" s="116">
        <v>27.925000000000001</v>
      </c>
      <c r="E872" s="116">
        <v>28.15</v>
      </c>
      <c r="F872" s="116">
        <v>56.7</v>
      </c>
      <c r="G872">
        <v>10425</v>
      </c>
      <c r="H872" s="116"/>
      <c r="I872" s="116"/>
      <c r="L872" s="166">
        <v>43284</v>
      </c>
      <c r="M872" s="116">
        <v>28.425000000000001</v>
      </c>
      <c r="N872" s="116">
        <v>28.9</v>
      </c>
      <c r="O872" s="116">
        <v>27.824999999999999</v>
      </c>
      <c r="P872" s="116">
        <v>27.925000000000001</v>
      </c>
      <c r="Q872" s="116">
        <v>56.85</v>
      </c>
      <c r="R872">
        <v>472970</v>
      </c>
    </row>
    <row r="873" spans="1:18" x14ac:dyDescent="0.25">
      <c r="A873" s="166">
        <v>43285</v>
      </c>
      <c r="B873" s="116">
        <v>28.6</v>
      </c>
      <c r="C873" s="116">
        <v>27.9</v>
      </c>
      <c r="D873" s="116">
        <v>27.75</v>
      </c>
      <c r="E873" s="116">
        <v>28.274999999999999</v>
      </c>
      <c r="F873" s="116">
        <v>55.8</v>
      </c>
      <c r="G873">
        <v>20342</v>
      </c>
      <c r="H873" s="116"/>
      <c r="I873" s="116"/>
      <c r="L873" s="166">
        <v>43285</v>
      </c>
      <c r="M873" s="116">
        <v>27.9</v>
      </c>
      <c r="N873" s="116">
        <v>28.9</v>
      </c>
      <c r="O873" s="116">
        <v>27.75</v>
      </c>
      <c r="P873" s="116">
        <v>28.375</v>
      </c>
      <c r="Q873" s="116">
        <v>55.8</v>
      </c>
      <c r="R873">
        <v>70649</v>
      </c>
    </row>
    <row r="874" spans="1:18" x14ac:dyDescent="0.25">
      <c r="A874" s="166">
        <v>43286</v>
      </c>
      <c r="B874" s="116">
        <v>28.175000000000001</v>
      </c>
      <c r="C874" s="116">
        <v>27.85</v>
      </c>
      <c r="D874" s="116">
        <v>27.675000000000001</v>
      </c>
      <c r="E874" s="116">
        <v>27.675000000000001</v>
      </c>
      <c r="F874" s="116">
        <v>55.7</v>
      </c>
      <c r="G874">
        <v>28593</v>
      </c>
      <c r="H874" s="116"/>
      <c r="I874" s="116"/>
      <c r="L874" s="166">
        <v>43286</v>
      </c>
      <c r="M874" s="116">
        <v>27.9</v>
      </c>
      <c r="N874" s="116">
        <v>28.274999999999999</v>
      </c>
      <c r="O874" s="116">
        <v>27.574999999999999</v>
      </c>
      <c r="P874" s="116">
        <v>27.925000000000001</v>
      </c>
      <c r="Q874" s="116">
        <v>55.8</v>
      </c>
      <c r="R874">
        <v>109423</v>
      </c>
    </row>
    <row r="875" spans="1:18" x14ac:dyDescent="0.25">
      <c r="A875" s="166">
        <v>43287</v>
      </c>
      <c r="B875" s="116">
        <v>29.5</v>
      </c>
      <c r="C875" s="116">
        <v>28.975000000000001</v>
      </c>
      <c r="D875" s="116">
        <v>27.574999999999999</v>
      </c>
      <c r="E875" s="116">
        <v>28.05</v>
      </c>
      <c r="F875" s="116">
        <v>57.95</v>
      </c>
      <c r="G875">
        <v>39805</v>
      </c>
      <c r="H875" s="116"/>
      <c r="I875" s="116"/>
      <c r="L875" s="166">
        <v>43287</v>
      </c>
      <c r="M875" s="116">
        <v>28.975000000000001</v>
      </c>
      <c r="N875" s="116">
        <v>29.4</v>
      </c>
      <c r="O875" s="116">
        <v>27.5</v>
      </c>
      <c r="P875" s="116">
        <v>27.675000000000001</v>
      </c>
      <c r="Q875" s="116">
        <v>57.95</v>
      </c>
      <c r="R875">
        <v>168724</v>
      </c>
    </row>
    <row r="876" spans="1:18" x14ac:dyDescent="0.25">
      <c r="A876" s="166">
        <v>43290</v>
      </c>
      <c r="B876" s="116">
        <v>30</v>
      </c>
      <c r="C876" s="116">
        <v>29.625</v>
      </c>
      <c r="D876" s="116">
        <v>29</v>
      </c>
      <c r="E876" s="116">
        <v>29.425000000000001</v>
      </c>
      <c r="F876" s="116">
        <v>59.25</v>
      </c>
      <c r="G876">
        <v>30801</v>
      </c>
      <c r="H876" s="116"/>
      <c r="I876" s="116"/>
      <c r="L876" s="166">
        <v>43290</v>
      </c>
      <c r="M876" s="116">
        <v>29.7</v>
      </c>
      <c r="N876" s="116">
        <v>30.15</v>
      </c>
      <c r="O876" s="116">
        <v>29.1</v>
      </c>
      <c r="P876" s="116">
        <v>29.4</v>
      </c>
      <c r="Q876" s="116">
        <v>59.4</v>
      </c>
      <c r="R876">
        <v>139296</v>
      </c>
    </row>
    <row r="877" spans="1:18" x14ac:dyDescent="0.25">
      <c r="A877" s="166">
        <v>43291</v>
      </c>
      <c r="B877" s="116">
        <v>31</v>
      </c>
      <c r="C877" s="116">
        <v>30.75</v>
      </c>
      <c r="D877" s="116">
        <v>29.925000000000001</v>
      </c>
      <c r="E877" s="116">
        <v>30.024999999999999</v>
      </c>
      <c r="F877" s="116">
        <v>61.5</v>
      </c>
      <c r="G877">
        <v>28187</v>
      </c>
      <c r="H877" s="116"/>
      <c r="I877" s="116"/>
      <c r="L877" s="166">
        <v>43291</v>
      </c>
      <c r="M877" s="116">
        <v>30.75</v>
      </c>
      <c r="N877" s="116">
        <v>30.975000000000001</v>
      </c>
      <c r="O877" s="116">
        <v>29.8</v>
      </c>
      <c r="P877" s="116">
        <v>30</v>
      </c>
      <c r="Q877" s="116">
        <v>61.5</v>
      </c>
      <c r="R877">
        <v>155826</v>
      </c>
    </row>
    <row r="878" spans="1:18" x14ac:dyDescent="0.25">
      <c r="A878" s="166">
        <v>43292</v>
      </c>
      <c r="B878" s="116">
        <v>30.75</v>
      </c>
      <c r="C878" s="116">
        <v>29.975000000000001</v>
      </c>
      <c r="D878" s="116">
        <v>29.85</v>
      </c>
      <c r="E878" s="116">
        <v>30.725000000000001</v>
      </c>
      <c r="F878" s="116">
        <v>59.95</v>
      </c>
      <c r="G878">
        <v>12988</v>
      </c>
      <c r="H878" s="116"/>
      <c r="I878" s="116"/>
      <c r="L878" s="166">
        <v>43292</v>
      </c>
      <c r="M878" s="116">
        <v>30.074999999999999</v>
      </c>
      <c r="N878" s="116">
        <v>31</v>
      </c>
      <c r="O878" s="116">
        <v>30</v>
      </c>
      <c r="P878" s="116">
        <v>31</v>
      </c>
      <c r="Q878" s="116">
        <v>60.15</v>
      </c>
      <c r="R878">
        <v>375873</v>
      </c>
    </row>
    <row r="879" spans="1:18" x14ac:dyDescent="0.25">
      <c r="A879" s="166">
        <v>43293</v>
      </c>
      <c r="B879" s="116">
        <v>30.55</v>
      </c>
      <c r="C879" s="116">
        <v>29.175000000000001</v>
      </c>
      <c r="D879" s="116">
        <v>29</v>
      </c>
      <c r="E879" s="116">
        <v>30.3</v>
      </c>
      <c r="F879" s="116">
        <v>58.35</v>
      </c>
      <c r="G879">
        <v>13935</v>
      </c>
      <c r="H879" s="116"/>
      <c r="I879" s="116"/>
      <c r="L879" s="166">
        <v>43293</v>
      </c>
      <c r="M879" s="116">
        <v>29.35</v>
      </c>
      <c r="N879" s="116">
        <v>30.5</v>
      </c>
      <c r="O879" s="116">
        <v>29.05</v>
      </c>
      <c r="P879" s="116">
        <v>30.024999999999999</v>
      </c>
      <c r="Q879" s="116">
        <v>58.7</v>
      </c>
      <c r="R879">
        <v>98645</v>
      </c>
    </row>
    <row r="880" spans="1:18" x14ac:dyDescent="0.25">
      <c r="A880" s="166">
        <v>43294</v>
      </c>
      <c r="B880" s="116">
        <v>29.55</v>
      </c>
      <c r="C880" s="116">
        <v>28.524999999999999</v>
      </c>
      <c r="D880" s="116">
        <v>28.25</v>
      </c>
      <c r="E880" s="116">
        <v>29.5</v>
      </c>
      <c r="F880" s="116">
        <v>57.05</v>
      </c>
      <c r="G880">
        <v>35771</v>
      </c>
      <c r="H880" s="116"/>
      <c r="I880" s="116"/>
      <c r="L880" s="166">
        <v>43294</v>
      </c>
      <c r="M880" s="116">
        <v>28.65</v>
      </c>
      <c r="N880" s="116">
        <v>29.7</v>
      </c>
      <c r="O880" s="116">
        <v>28.4</v>
      </c>
      <c r="P880" s="116">
        <v>29.7</v>
      </c>
      <c r="Q880" s="116">
        <v>57.3</v>
      </c>
      <c r="R880">
        <v>68452</v>
      </c>
    </row>
    <row r="881" spans="1:18" x14ac:dyDescent="0.25">
      <c r="A881" s="166">
        <v>43297</v>
      </c>
      <c r="B881" s="116">
        <v>28.75</v>
      </c>
      <c r="C881" s="116">
        <v>28.15</v>
      </c>
      <c r="D881" s="116">
        <v>27.85</v>
      </c>
      <c r="E881" s="116">
        <v>28.25</v>
      </c>
      <c r="F881" s="116">
        <v>56.3</v>
      </c>
      <c r="G881">
        <v>373303</v>
      </c>
      <c r="H881" s="116"/>
      <c r="I881" s="116"/>
      <c r="L881" s="166">
        <v>43297</v>
      </c>
      <c r="M881" s="116">
        <v>28.1</v>
      </c>
      <c r="N881" s="116">
        <v>29.175000000000001</v>
      </c>
      <c r="O881" s="116">
        <v>27.8</v>
      </c>
      <c r="P881" s="116">
        <v>28.25</v>
      </c>
      <c r="Q881" s="116">
        <v>56.2</v>
      </c>
      <c r="R881">
        <v>127263</v>
      </c>
    </row>
    <row r="882" spans="1:18" x14ac:dyDescent="0.25">
      <c r="A882" s="166">
        <v>43298</v>
      </c>
      <c r="B882" s="116">
        <v>29.5</v>
      </c>
      <c r="C882" s="116">
        <v>28.925000000000001</v>
      </c>
      <c r="D882" s="116">
        <v>28.175000000000001</v>
      </c>
      <c r="E882" s="116">
        <v>28.425000000000001</v>
      </c>
      <c r="F882" s="116">
        <v>57.85</v>
      </c>
      <c r="G882">
        <v>29471</v>
      </c>
      <c r="H882" s="116"/>
      <c r="I882" s="116"/>
      <c r="L882" s="166">
        <v>43298</v>
      </c>
      <c r="M882" s="116">
        <v>28.95</v>
      </c>
      <c r="N882" s="116">
        <v>29.475000000000001</v>
      </c>
      <c r="O882" s="116">
        <v>27.875</v>
      </c>
      <c r="P882" s="116">
        <v>27.9</v>
      </c>
      <c r="Q882" s="116">
        <v>57.9</v>
      </c>
      <c r="R882">
        <v>120423</v>
      </c>
    </row>
    <row r="883" spans="1:18" x14ac:dyDescent="0.25">
      <c r="A883" s="166">
        <v>43299</v>
      </c>
      <c r="B883" s="116">
        <v>28.675000000000001</v>
      </c>
      <c r="C883" s="116">
        <v>28.024999999999999</v>
      </c>
      <c r="D883" s="116">
        <v>27.975000000000001</v>
      </c>
      <c r="E883" s="116">
        <v>28.625</v>
      </c>
      <c r="F883" s="116">
        <v>56.05</v>
      </c>
      <c r="G883">
        <v>17396</v>
      </c>
      <c r="H883" s="116"/>
      <c r="I883" s="116"/>
      <c r="L883" s="166">
        <v>43299</v>
      </c>
      <c r="M883" s="116">
        <v>28.05</v>
      </c>
      <c r="N883" s="116">
        <v>29.25</v>
      </c>
      <c r="O883" s="116">
        <v>27.824999999999999</v>
      </c>
      <c r="P883" s="116">
        <v>28.675000000000001</v>
      </c>
      <c r="Q883" s="116">
        <v>56.1</v>
      </c>
      <c r="R883">
        <v>111952</v>
      </c>
    </row>
    <row r="884" spans="1:18" x14ac:dyDescent="0.25">
      <c r="A884" s="166">
        <v>43300</v>
      </c>
      <c r="B884" s="116">
        <v>28.475000000000001</v>
      </c>
      <c r="C884" s="116">
        <v>28.125</v>
      </c>
      <c r="D884" s="116">
        <v>27.225000000000001</v>
      </c>
      <c r="E884" s="116">
        <v>28.024999999999999</v>
      </c>
      <c r="F884" s="116">
        <v>56.25</v>
      </c>
      <c r="G884">
        <v>10724</v>
      </c>
      <c r="H884" s="116"/>
      <c r="I884" s="116"/>
      <c r="L884" s="166">
        <v>43300</v>
      </c>
      <c r="M884" s="116">
        <v>28.2</v>
      </c>
      <c r="N884" s="116">
        <v>28.475000000000001</v>
      </c>
      <c r="O884" s="116">
        <v>27.25</v>
      </c>
      <c r="P884" s="116">
        <v>28.125</v>
      </c>
      <c r="Q884" s="116">
        <v>56.4</v>
      </c>
      <c r="R884">
        <v>169970</v>
      </c>
    </row>
    <row r="885" spans="1:18" x14ac:dyDescent="0.25">
      <c r="A885" s="166">
        <v>43301</v>
      </c>
      <c r="B885" s="116">
        <v>28.85</v>
      </c>
      <c r="C885" s="116">
        <v>28.75</v>
      </c>
      <c r="D885" s="116">
        <v>27.95</v>
      </c>
      <c r="E885" s="116">
        <v>27.95</v>
      </c>
      <c r="F885" s="116">
        <v>57.5</v>
      </c>
      <c r="G885">
        <v>14593</v>
      </c>
      <c r="H885" s="116"/>
      <c r="I885" s="116"/>
      <c r="L885" s="166">
        <v>43301</v>
      </c>
      <c r="M885" s="116">
        <v>28.7</v>
      </c>
      <c r="N885" s="116">
        <v>28.95</v>
      </c>
      <c r="O885" s="116">
        <v>27.875</v>
      </c>
      <c r="P885" s="116">
        <v>28.425000000000001</v>
      </c>
      <c r="Q885" s="116">
        <v>57.4</v>
      </c>
      <c r="R885">
        <v>87457</v>
      </c>
    </row>
    <row r="886" spans="1:18" x14ac:dyDescent="0.25">
      <c r="A886" s="166">
        <v>43304</v>
      </c>
      <c r="B886" s="116">
        <v>28.7</v>
      </c>
      <c r="C886" s="116">
        <v>28.6</v>
      </c>
      <c r="D886" s="116">
        <v>27.925000000000001</v>
      </c>
      <c r="E886" s="116">
        <v>28.425000000000001</v>
      </c>
      <c r="F886" s="116">
        <v>57.2</v>
      </c>
      <c r="G886">
        <v>3881</v>
      </c>
      <c r="H886" s="116"/>
      <c r="I886" s="116"/>
      <c r="L886" s="166">
        <v>43304</v>
      </c>
      <c r="M886" s="116">
        <v>28.55</v>
      </c>
      <c r="N886" s="116">
        <v>28.774999999999999</v>
      </c>
      <c r="O886" s="116">
        <v>28</v>
      </c>
      <c r="P886" s="116">
        <v>28.524999999999999</v>
      </c>
      <c r="Q886" s="116">
        <v>57.1</v>
      </c>
      <c r="R886">
        <v>57750</v>
      </c>
    </row>
    <row r="887" spans="1:18" x14ac:dyDescent="0.25">
      <c r="A887" s="166">
        <v>43305</v>
      </c>
      <c r="B887" s="116">
        <v>30.225000000000001</v>
      </c>
      <c r="C887" s="116">
        <v>29.45</v>
      </c>
      <c r="D887" s="116">
        <v>28.7</v>
      </c>
      <c r="E887" s="116">
        <v>28.7</v>
      </c>
      <c r="F887" s="116">
        <v>58.9</v>
      </c>
      <c r="G887">
        <v>38177</v>
      </c>
      <c r="H887" s="116"/>
      <c r="I887" s="116"/>
      <c r="L887" s="166">
        <v>43305</v>
      </c>
      <c r="M887" s="116">
        <v>29.5</v>
      </c>
      <c r="N887" s="116">
        <v>30.225000000000001</v>
      </c>
      <c r="O887" s="116">
        <v>28.3</v>
      </c>
      <c r="P887" s="116">
        <v>28.75</v>
      </c>
      <c r="Q887" s="116">
        <v>59</v>
      </c>
      <c r="R887">
        <v>148631</v>
      </c>
    </row>
    <row r="888" spans="1:18" x14ac:dyDescent="0.25">
      <c r="A888" s="166">
        <v>43306</v>
      </c>
      <c r="B888" s="116">
        <v>31.2</v>
      </c>
      <c r="C888" s="116">
        <v>30.75</v>
      </c>
      <c r="D888" s="116">
        <v>29.324999999999999</v>
      </c>
      <c r="E888" s="116">
        <v>30.6</v>
      </c>
      <c r="F888" s="116">
        <v>61.5</v>
      </c>
      <c r="G888">
        <v>20782</v>
      </c>
      <c r="H888" s="116"/>
      <c r="I888" s="116"/>
      <c r="L888" s="166">
        <v>43306</v>
      </c>
      <c r="M888" s="116">
        <v>30.75</v>
      </c>
      <c r="N888" s="116">
        <v>31.2</v>
      </c>
      <c r="O888" s="116">
        <v>29.25</v>
      </c>
      <c r="P888" s="116">
        <v>29.675000000000001</v>
      </c>
      <c r="Q888" s="116">
        <v>61.5</v>
      </c>
      <c r="R888">
        <v>160768</v>
      </c>
    </row>
    <row r="889" spans="1:18" x14ac:dyDescent="0.25">
      <c r="A889" s="166">
        <v>43307</v>
      </c>
      <c r="B889" s="116">
        <v>31.175000000000001</v>
      </c>
      <c r="C889" s="116">
        <v>30.675000000000001</v>
      </c>
      <c r="D889" s="116">
        <v>30.5</v>
      </c>
      <c r="E889" s="116">
        <v>30.725000000000001</v>
      </c>
      <c r="F889" s="116">
        <v>61.35</v>
      </c>
      <c r="G889">
        <v>9085</v>
      </c>
      <c r="H889" s="116"/>
      <c r="I889" s="116"/>
      <c r="L889" s="166">
        <v>43307</v>
      </c>
      <c r="M889" s="116">
        <v>30.65</v>
      </c>
      <c r="N889" s="116">
        <v>31.225000000000001</v>
      </c>
      <c r="O889" s="116">
        <v>30.45</v>
      </c>
      <c r="P889" s="116">
        <v>30.824999999999999</v>
      </c>
      <c r="Q889" s="116">
        <v>61.3</v>
      </c>
      <c r="R889">
        <v>98058</v>
      </c>
    </row>
    <row r="890" spans="1:18" x14ac:dyDescent="0.25">
      <c r="A890" s="166">
        <v>43308</v>
      </c>
      <c r="B890" s="116">
        <v>31.35</v>
      </c>
      <c r="C890" s="116">
        <v>30.824999999999999</v>
      </c>
      <c r="D890" s="116">
        <v>30.7</v>
      </c>
      <c r="E890" s="116">
        <v>31.024999999999999</v>
      </c>
      <c r="F890" s="116">
        <v>61.65</v>
      </c>
      <c r="G890">
        <v>12333</v>
      </c>
      <c r="H890" s="116"/>
      <c r="I890" s="116"/>
      <c r="L890" s="166">
        <v>43308</v>
      </c>
      <c r="M890" s="116">
        <v>30.774999999999999</v>
      </c>
      <c r="N890" s="116">
        <v>31.425000000000001</v>
      </c>
      <c r="O890" s="116">
        <v>30.65</v>
      </c>
      <c r="P890" s="116">
        <v>30.95</v>
      </c>
      <c r="Q890" s="116">
        <v>61.55</v>
      </c>
      <c r="R890">
        <v>104925</v>
      </c>
    </row>
    <row r="891" spans="1:18" x14ac:dyDescent="0.25">
      <c r="A891" s="166">
        <v>43311</v>
      </c>
      <c r="B891" s="116">
        <v>31.375</v>
      </c>
      <c r="C891" s="116">
        <v>31.15</v>
      </c>
      <c r="D891" s="116">
        <v>30.9</v>
      </c>
      <c r="E891" s="116">
        <v>31.225000000000001</v>
      </c>
      <c r="F891" s="116">
        <v>62.3</v>
      </c>
      <c r="G891">
        <v>24117</v>
      </c>
      <c r="H891" s="116"/>
      <c r="I891" s="116"/>
      <c r="L891" s="166">
        <v>43311</v>
      </c>
      <c r="M891" s="116">
        <v>31.175000000000001</v>
      </c>
      <c r="N891" s="116">
        <v>31.425000000000001</v>
      </c>
      <c r="O891" s="116">
        <v>30.8</v>
      </c>
      <c r="P891" s="116">
        <v>30.8</v>
      </c>
      <c r="Q891" s="116">
        <v>62.35</v>
      </c>
      <c r="R891">
        <v>104056</v>
      </c>
    </row>
    <row r="892" spans="1:18" x14ac:dyDescent="0.25">
      <c r="A892" s="166">
        <v>43312</v>
      </c>
      <c r="B892" s="116">
        <v>32.424999999999997</v>
      </c>
      <c r="C892" s="116">
        <v>31.75</v>
      </c>
      <c r="D892" s="116">
        <v>31.2</v>
      </c>
      <c r="E892" s="116">
        <v>31.2</v>
      </c>
      <c r="F892" s="116">
        <v>63.5</v>
      </c>
      <c r="G892">
        <v>47601</v>
      </c>
      <c r="H892" s="116"/>
      <c r="I892" s="116"/>
      <c r="L892" s="166">
        <v>43312</v>
      </c>
      <c r="M892" s="116">
        <v>31.824999999999999</v>
      </c>
      <c r="N892" s="116">
        <v>32.4</v>
      </c>
      <c r="O892" s="116">
        <v>31.05</v>
      </c>
      <c r="P892" s="116">
        <v>31.175000000000001</v>
      </c>
      <c r="Q892" s="116">
        <v>63.65</v>
      </c>
      <c r="R892">
        <v>177117</v>
      </c>
    </row>
    <row r="893" spans="1:18" x14ac:dyDescent="0.25">
      <c r="A893" s="166">
        <v>43313</v>
      </c>
      <c r="B893" s="116">
        <v>32.975000000000001</v>
      </c>
      <c r="C893" s="116">
        <v>31.875</v>
      </c>
      <c r="D893" s="116">
        <v>31.274999999999999</v>
      </c>
      <c r="E893" s="116">
        <v>31.75</v>
      </c>
      <c r="F893" s="116">
        <v>63.75</v>
      </c>
      <c r="G893">
        <v>33204</v>
      </c>
      <c r="H893" s="116"/>
      <c r="I893" s="116"/>
      <c r="L893" s="166">
        <v>43313</v>
      </c>
      <c r="M893" s="116">
        <v>31.824999999999999</v>
      </c>
      <c r="N893" s="116">
        <v>32.950000000000003</v>
      </c>
      <c r="O893" s="116">
        <v>31</v>
      </c>
      <c r="P893" s="116">
        <v>32.075000000000003</v>
      </c>
      <c r="Q893" s="116">
        <v>63.65</v>
      </c>
      <c r="R893">
        <v>246447</v>
      </c>
    </row>
    <row r="894" spans="1:18" x14ac:dyDescent="0.25">
      <c r="A894" s="166">
        <v>43314</v>
      </c>
      <c r="B894" s="116">
        <v>36.825000000000003</v>
      </c>
      <c r="C894" s="116">
        <v>36.35</v>
      </c>
      <c r="D894" s="116">
        <v>32.299999999999997</v>
      </c>
      <c r="E894" s="116">
        <v>33.475000000000001</v>
      </c>
      <c r="F894" s="116">
        <v>72.7</v>
      </c>
      <c r="G894">
        <v>404292</v>
      </c>
      <c r="H894" s="116"/>
      <c r="I894" s="116"/>
      <c r="L894" s="166">
        <v>43314</v>
      </c>
      <c r="M894" s="116">
        <v>36.225000000000001</v>
      </c>
      <c r="N894" s="116">
        <v>36.75</v>
      </c>
      <c r="O894" s="116">
        <v>32.225000000000001</v>
      </c>
      <c r="P894" s="116">
        <v>33.174999999999997</v>
      </c>
      <c r="Q894" s="116">
        <v>72.45</v>
      </c>
      <c r="R894">
        <v>2293083</v>
      </c>
    </row>
    <row r="895" spans="1:18" x14ac:dyDescent="0.25">
      <c r="A895" s="166">
        <v>43315</v>
      </c>
      <c r="B895" s="116">
        <v>36.5</v>
      </c>
      <c r="C895" s="116">
        <v>35.25</v>
      </c>
      <c r="D895" s="116">
        <v>34.924999999999997</v>
      </c>
      <c r="E895" s="116">
        <v>36.5</v>
      </c>
      <c r="F895" s="116">
        <v>70.5</v>
      </c>
      <c r="G895">
        <v>69417</v>
      </c>
      <c r="H895" s="116"/>
      <c r="I895" s="116"/>
      <c r="L895" s="166">
        <v>43315</v>
      </c>
      <c r="M895" s="116">
        <v>35.274999999999999</v>
      </c>
      <c r="N895" s="116">
        <v>36.4</v>
      </c>
      <c r="O895" s="116">
        <v>34.875</v>
      </c>
      <c r="P895" s="116">
        <v>36.4</v>
      </c>
      <c r="Q895" s="116">
        <v>70.55</v>
      </c>
      <c r="R895">
        <v>374079</v>
      </c>
    </row>
    <row r="896" spans="1:18" x14ac:dyDescent="0.25">
      <c r="A896" s="166">
        <v>43318</v>
      </c>
      <c r="B896" s="116">
        <v>35.725000000000001</v>
      </c>
      <c r="C896" s="116">
        <v>34.475000000000001</v>
      </c>
      <c r="D896" s="116">
        <v>34.375</v>
      </c>
      <c r="E896" s="116">
        <v>35.049999999999997</v>
      </c>
      <c r="F896" s="116">
        <v>68.95</v>
      </c>
      <c r="G896">
        <v>31901</v>
      </c>
      <c r="H896" s="116"/>
      <c r="I896" s="116"/>
      <c r="L896" s="166">
        <v>43318</v>
      </c>
      <c r="M896" s="116">
        <v>34.475000000000001</v>
      </c>
      <c r="N896" s="116">
        <v>35.700000000000003</v>
      </c>
      <c r="O896" s="116">
        <v>34.15</v>
      </c>
      <c r="P896" s="116">
        <v>34.85</v>
      </c>
      <c r="Q896" s="116">
        <v>68.95</v>
      </c>
      <c r="R896">
        <v>157738</v>
      </c>
    </row>
    <row r="897" spans="1:18" x14ac:dyDescent="0.25">
      <c r="A897" s="166">
        <v>43319</v>
      </c>
      <c r="B897" s="116">
        <v>34.4</v>
      </c>
      <c r="C897" s="116">
        <v>33.825000000000003</v>
      </c>
      <c r="D897" s="116">
        <v>33.25</v>
      </c>
      <c r="E897" s="116">
        <v>34.15</v>
      </c>
      <c r="F897" s="116">
        <v>67.650000000000006</v>
      </c>
      <c r="G897">
        <v>24124</v>
      </c>
      <c r="H897" s="116"/>
      <c r="I897" s="116"/>
      <c r="L897" s="166">
        <v>43319</v>
      </c>
      <c r="M897" s="116">
        <v>33.799999999999997</v>
      </c>
      <c r="N897" s="116">
        <v>34.625</v>
      </c>
      <c r="O897" s="116">
        <v>33.25</v>
      </c>
      <c r="P897" s="116">
        <v>34.625</v>
      </c>
      <c r="Q897" s="116">
        <v>67.599999999999994</v>
      </c>
      <c r="R897">
        <v>216790</v>
      </c>
    </row>
    <row r="898" spans="1:18" x14ac:dyDescent="0.25">
      <c r="A898" s="166">
        <v>43320</v>
      </c>
      <c r="B898" s="116">
        <v>34.924999999999997</v>
      </c>
      <c r="C898" s="116">
        <v>34.1</v>
      </c>
      <c r="D898" s="116">
        <v>33.5</v>
      </c>
      <c r="E898" s="116">
        <v>33.5</v>
      </c>
      <c r="F898" s="116">
        <v>68.2</v>
      </c>
      <c r="G898">
        <v>21621</v>
      </c>
      <c r="H898" s="116"/>
      <c r="I898" s="116"/>
      <c r="L898" s="166">
        <v>43320</v>
      </c>
      <c r="M898" s="116">
        <v>34.200000000000003</v>
      </c>
      <c r="N898" s="116">
        <v>34.875</v>
      </c>
      <c r="O898" s="116">
        <v>33.65</v>
      </c>
      <c r="P898" s="116">
        <v>34</v>
      </c>
      <c r="Q898" s="116">
        <v>68.400000000000006</v>
      </c>
      <c r="R898">
        <v>206952</v>
      </c>
    </row>
    <row r="899" spans="1:18" x14ac:dyDescent="0.25">
      <c r="A899" s="166">
        <v>43321</v>
      </c>
      <c r="B899" s="116">
        <v>35.25</v>
      </c>
      <c r="C899" s="116">
        <v>34.075000000000003</v>
      </c>
      <c r="D899" s="116">
        <v>33.975000000000001</v>
      </c>
      <c r="E899" s="116">
        <v>34.25</v>
      </c>
      <c r="F899" s="116">
        <v>68.150000000000006</v>
      </c>
      <c r="G899">
        <v>29736</v>
      </c>
      <c r="H899" s="116"/>
      <c r="I899" s="116"/>
      <c r="L899" s="166">
        <v>43321</v>
      </c>
      <c r="M899" s="116">
        <v>34.200000000000003</v>
      </c>
      <c r="N899" s="116">
        <v>35.25</v>
      </c>
      <c r="O899" s="116">
        <v>33.65</v>
      </c>
      <c r="P899" s="116">
        <v>33.65</v>
      </c>
      <c r="Q899" s="116">
        <v>68.400000000000006</v>
      </c>
      <c r="R899">
        <v>445318</v>
      </c>
    </row>
    <row r="900" spans="1:18" x14ac:dyDescent="0.25">
      <c r="A900" s="166">
        <v>43322</v>
      </c>
      <c r="B900" s="116">
        <v>34.475000000000001</v>
      </c>
      <c r="C900" s="116">
        <v>33</v>
      </c>
      <c r="D900" s="116">
        <v>32.75</v>
      </c>
      <c r="E900" s="116">
        <v>34.475000000000001</v>
      </c>
      <c r="F900" s="116">
        <v>66</v>
      </c>
      <c r="G900">
        <v>41971</v>
      </c>
      <c r="H900" s="116"/>
      <c r="I900" s="116"/>
      <c r="L900" s="166">
        <v>43322</v>
      </c>
      <c r="M900" s="116">
        <v>33.049999999999997</v>
      </c>
      <c r="N900" s="116">
        <v>34.375</v>
      </c>
      <c r="O900" s="116">
        <v>32.799999999999997</v>
      </c>
      <c r="P900" s="116">
        <v>34.024999999999999</v>
      </c>
      <c r="Q900" s="116">
        <v>66.099999999999994</v>
      </c>
      <c r="R900">
        <v>114418</v>
      </c>
    </row>
    <row r="901" spans="1:18" x14ac:dyDescent="0.25">
      <c r="A901" s="166">
        <v>43325</v>
      </c>
      <c r="B901" s="116">
        <v>34</v>
      </c>
      <c r="C901" s="116">
        <v>32.774999999999999</v>
      </c>
      <c r="D901" s="116">
        <v>32.35</v>
      </c>
      <c r="E901" s="116">
        <v>32.5</v>
      </c>
      <c r="F901" s="116">
        <v>65.55</v>
      </c>
      <c r="G901">
        <v>16760</v>
      </c>
      <c r="H901" s="116"/>
      <c r="I901" s="116"/>
      <c r="L901" s="166">
        <v>43325</v>
      </c>
      <c r="M901" s="116">
        <v>32.924999999999997</v>
      </c>
      <c r="N901" s="116">
        <v>33.924999999999997</v>
      </c>
      <c r="O901" s="116">
        <v>32.25</v>
      </c>
      <c r="P901" s="116">
        <v>32.5</v>
      </c>
      <c r="Q901" s="116">
        <v>65.849999999999994</v>
      </c>
      <c r="R901">
        <v>165622</v>
      </c>
    </row>
    <row r="902" spans="1:18" x14ac:dyDescent="0.25">
      <c r="A902" s="166">
        <v>43326</v>
      </c>
      <c r="B902" s="116">
        <v>34.25</v>
      </c>
      <c r="C902" s="116">
        <v>32.950000000000003</v>
      </c>
      <c r="D902" s="116">
        <v>32.75</v>
      </c>
      <c r="E902" s="116">
        <v>32.799999999999997</v>
      </c>
      <c r="F902" s="116">
        <v>65.900000000000006</v>
      </c>
      <c r="G902">
        <v>12705</v>
      </c>
      <c r="H902" s="116"/>
      <c r="I902" s="116"/>
      <c r="L902" s="166">
        <v>43326</v>
      </c>
      <c r="M902" s="116">
        <v>33.049999999999997</v>
      </c>
      <c r="N902" s="116">
        <v>34.299999999999997</v>
      </c>
      <c r="O902" s="116">
        <v>32.575000000000003</v>
      </c>
      <c r="P902" s="116">
        <v>32.975000000000001</v>
      </c>
      <c r="Q902" s="116">
        <v>66.099999999999994</v>
      </c>
      <c r="R902">
        <v>109372</v>
      </c>
    </row>
    <row r="903" spans="1:18" x14ac:dyDescent="0.25">
      <c r="A903" s="166">
        <v>43328</v>
      </c>
      <c r="B903" s="116">
        <v>34.700000000000003</v>
      </c>
      <c r="C903" s="116">
        <v>33.5</v>
      </c>
      <c r="D903" s="116">
        <v>33</v>
      </c>
      <c r="E903" s="116">
        <v>33</v>
      </c>
      <c r="F903" s="116">
        <v>67</v>
      </c>
      <c r="G903">
        <v>34615</v>
      </c>
      <c r="H903" s="116"/>
      <c r="I903" s="116"/>
      <c r="L903" s="166">
        <v>43328</v>
      </c>
      <c r="M903" s="116">
        <v>33.6</v>
      </c>
      <c r="N903" s="116">
        <v>34.75</v>
      </c>
      <c r="O903" s="116">
        <v>32.774999999999999</v>
      </c>
      <c r="P903" s="116">
        <v>32.774999999999999</v>
      </c>
      <c r="Q903" s="116">
        <v>67.2</v>
      </c>
      <c r="R903">
        <v>212113</v>
      </c>
    </row>
    <row r="904" spans="1:18" x14ac:dyDescent="0.25">
      <c r="A904" s="166">
        <v>43329</v>
      </c>
      <c r="B904" s="116">
        <v>33.950000000000003</v>
      </c>
      <c r="C904" s="116">
        <v>33.475000000000001</v>
      </c>
      <c r="D904" s="116">
        <v>33.274999999999999</v>
      </c>
      <c r="E904" s="116">
        <v>33.625</v>
      </c>
      <c r="F904" s="116">
        <v>66.95</v>
      </c>
      <c r="G904">
        <v>23720</v>
      </c>
      <c r="H904" s="116"/>
      <c r="I904" s="116"/>
      <c r="L904" s="166">
        <v>43329</v>
      </c>
      <c r="M904" s="116">
        <v>33.475000000000001</v>
      </c>
      <c r="N904" s="116">
        <v>33.950000000000003</v>
      </c>
      <c r="O904" s="116">
        <v>33.274999999999999</v>
      </c>
      <c r="P904" s="116">
        <v>33.725000000000001</v>
      </c>
      <c r="Q904" s="116">
        <v>66.95</v>
      </c>
      <c r="R904">
        <v>91297</v>
      </c>
    </row>
    <row r="905" spans="1:18" x14ac:dyDescent="0.25">
      <c r="A905" s="166">
        <v>43332</v>
      </c>
      <c r="B905" s="116">
        <v>33.950000000000003</v>
      </c>
      <c r="C905" s="116">
        <v>33.450000000000003</v>
      </c>
      <c r="D905" s="116">
        <v>33.225000000000001</v>
      </c>
      <c r="E905" s="116">
        <v>33.225000000000001</v>
      </c>
      <c r="F905" s="116">
        <v>66.900000000000006</v>
      </c>
      <c r="G905">
        <v>13682</v>
      </c>
      <c r="H905" s="116"/>
      <c r="I905" s="116"/>
      <c r="L905" s="166">
        <v>43332</v>
      </c>
      <c r="M905" s="116">
        <v>33.35</v>
      </c>
      <c r="N905" s="116">
        <v>34.049999999999997</v>
      </c>
      <c r="O905" s="116">
        <v>33.049999999999997</v>
      </c>
      <c r="P905" s="116">
        <v>33.799999999999997</v>
      </c>
      <c r="Q905" s="116">
        <v>66.7</v>
      </c>
      <c r="R905">
        <v>70390</v>
      </c>
    </row>
    <row r="906" spans="1:18" x14ac:dyDescent="0.25">
      <c r="A906" s="166">
        <v>43333</v>
      </c>
      <c r="B906" s="116">
        <v>34.975000000000001</v>
      </c>
      <c r="C906" s="116">
        <v>34.475000000000001</v>
      </c>
      <c r="D906" s="116">
        <v>33.625</v>
      </c>
      <c r="E906" s="116">
        <v>33.625</v>
      </c>
      <c r="F906" s="116">
        <v>68.95</v>
      </c>
      <c r="G906">
        <v>40395</v>
      </c>
      <c r="H906" s="116"/>
      <c r="I906" s="116"/>
      <c r="L906" s="166">
        <v>43333</v>
      </c>
      <c r="M906" s="116">
        <v>34.424999999999997</v>
      </c>
      <c r="N906" s="116">
        <v>34.924999999999997</v>
      </c>
      <c r="O906" s="116">
        <v>33.274999999999999</v>
      </c>
      <c r="P906" s="116">
        <v>33.674999999999997</v>
      </c>
      <c r="Q906" s="116">
        <v>68.849999999999994</v>
      </c>
      <c r="R906">
        <v>168643</v>
      </c>
    </row>
    <row r="907" spans="1:18" x14ac:dyDescent="0.25">
      <c r="A907" s="166">
        <v>43335</v>
      </c>
      <c r="B907" s="116">
        <v>35.424999999999997</v>
      </c>
      <c r="C907" s="116">
        <v>34.375</v>
      </c>
      <c r="D907" s="116">
        <v>34.15</v>
      </c>
      <c r="E907" s="116">
        <v>34.475000000000001</v>
      </c>
      <c r="F907" s="116">
        <v>68.75</v>
      </c>
      <c r="G907">
        <v>23890</v>
      </c>
      <c r="H907" s="116"/>
      <c r="I907" s="116"/>
      <c r="L907" s="166">
        <v>43335</v>
      </c>
      <c r="M907" s="116">
        <v>34.274999999999999</v>
      </c>
      <c r="N907" s="116">
        <v>35.35</v>
      </c>
      <c r="O907" s="116">
        <v>34.125</v>
      </c>
      <c r="P907" s="116">
        <v>34.85</v>
      </c>
      <c r="Q907" s="116">
        <v>68.55</v>
      </c>
      <c r="R907">
        <v>272095</v>
      </c>
    </row>
    <row r="908" spans="1:18" x14ac:dyDescent="0.25">
      <c r="A908" s="166">
        <v>43336</v>
      </c>
      <c r="B908" s="116">
        <v>34.475000000000001</v>
      </c>
      <c r="C908" s="116">
        <v>33.825000000000003</v>
      </c>
      <c r="D908" s="116">
        <v>33.524999999999999</v>
      </c>
      <c r="E908" s="116">
        <v>34.225000000000001</v>
      </c>
      <c r="F908" s="116">
        <v>67.650000000000006</v>
      </c>
      <c r="G908">
        <v>16547</v>
      </c>
      <c r="H908" s="116"/>
      <c r="I908" s="116"/>
      <c r="L908" s="166">
        <v>43336</v>
      </c>
      <c r="M908" s="116">
        <v>33.799999999999997</v>
      </c>
      <c r="N908" s="116">
        <v>34.475000000000001</v>
      </c>
      <c r="O908" s="116">
        <v>33.5</v>
      </c>
      <c r="P908" s="116">
        <v>34.299999999999997</v>
      </c>
      <c r="Q908" s="116">
        <v>67.599999999999994</v>
      </c>
      <c r="R908">
        <v>87897</v>
      </c>
    </row>
    <row r="909" spans="1:18" x14ac:dyDescent="0.25">
      <c r="A909" s="166">
        <v>43339</v>
      </c>
      <c r="B909" s="116">
        <v>34.950000000000003</v>
      </c>
      <c r="C909" s="116">
        <v>33.475000000000001</v>
      </c>
      <c r="D909" s="116">
        <v>33.35</v>
      </c>
      <c r="E909" s="116">
        <v>34.950000000000003</v>
      </c>
      <c r="F909" s="116">
        <v>66.95</v>
      </c>
      <c r="G909">
        <v>14336</v>
      </c>
      <c r="H909" s="116"/>
      <c r="I909" s="116"/>
      <c r="L909" s="166">
        <v>43339</v>
      </c>
      <c r="M909" s="116">
        <v>33.375</v>
      </c>
      <c r="N909" s="116">
        <v>34.4</v>
      </c>
      <c r="O909" s="116">
        <v>33.200000000000003</v>
      </c>
      <c r="P909" s="116">
        <v>34</v>
      </c>
      <c r="Q909" s="116">
        <v>66.75</v>
      </c>
      <c r="R909">
        <v>78141</v>
      </c>
    </row>
    <row r="910" spans="1:18" x14ac:dyDescent="0.25">
      <c r="A910" s="166">
        <v>43340</v>
      </c>
      <c r="B910" s="116">
        <v>33.6</v>
      </c>
      <c r="C910" s="116">
        <v>32.274999999999999</v>
      </c>
      <c r="D910" s="116">
        <v>32.024999999999999</v>
      </c>
      <c r="E910" s="116">
        <v>33.6</v>
      </c>
      <c r="F910" s="116">
        <v>64.55</v>
      </c>
      <c r="G910">
        <v>35325</v>
      </c>
      <c r="H910" s="116"/>
      <c r="I910" s="116"/>
      <c r="L910" s="166">
        <v>43340</v>
      </c>
      <c r="M910" s="116">
        <v>32.375</v>
      </c>
      <c r="N910" s="116">
        <v>33.575000000000003</v>
      </c>
      <c r="O910" s="116">
        <v>31.975000000000001</v>
      </c>
      <c r="P910" s="116">
        <v>33.524999999999999</v>
      </c>
      <c r="Q910" s="116">
        <v>64.75</v>
      </c>
      <c r="R910">
        <v>330690</v>
      </c>
    </row>
    <row r="911" spans="1:18" x14ac:dyDescent="0.25">
      <c r="A911" s="166">
        <v>43341</v>
      </c>
      <c r="B911" s="116">
        <v>32.25</v>
      </c>
      <c r="C911" s="116">
        <v>31.5</v>
      </c>
      <c r="D911" s="116">
        <v>31.375</v>
      </c>
      <c r="E911" s="116">
        <v>32</v>
      </c>
      <c r="F911" s="116">
        <v>63</v>
      </c>
      <c r="G911">
        <v>13553</v>
      </c>
      <c r="H911" s="116"/>
      <c r="I911" s="116"/>
      <c r="L911" s="166">
        <v>43341</v>
      </c>
      <c r="M911" s="116">
        <v>31.6</v>
      </c>
      <c r="N911" s="116">
        <v>32.274999999999999</v>
      </c>
      <c r="O911" s="116">
        <v>31.425000000000001</v>
      </c>
      <c r="P911" s="116">
        <v>32.174999999999997</v>
      </c>
      <c r="Q911" s="116">
        <v>63.2</v>
      </c>
      <c r="R911">
        <v>112905</v>
      </c>
    </row>
    <row r="912" spans="1:18" x14ac:dyDescent="0.25">
      <c r="A912" s="166">
        <v>43342</v>
      </c>
      <c r="B912" s="116">
        <v>32.65</v>
      </c>
      <c r="C912" s="116">
        <v>32.075000000000003</v>
      </c>
      <c r="D912" s="116">
        <v>31.55</v>
      </c>
      <c r="E912" s="116">
        <v>31.75</v>
      </c>
      <c r="F912" s="116">
        <v>64.150000000000006</v>
      </c>
      <c r="G912">
        <v>5195</v>
      </c>
      <c r="H912" s="116"/>
      <c r="I912" s="116"/>
      <c r="L912" s="166">
        <v>43342</v>
      </c>
      <c r="M912" s="116">
        <v>32.200000000000003</v>
      </c>
      <c r="N912" s="116">
        <v>32.700000000000003</v>
      </c>
      <c r="O912" s="116">
        <v>31.5</v>
      </c>
      <c r="P912" s="116">
        <v>31.5</v>
      </c>
      <c r="Q912" s="116">
        <v>64.400000000000006</v>
      </c>
      <c r="R912">
        <v>87239</v>
      </c>
    </row>
    <row r="913" spans="1:18" x14ac:dyDescent="0.25">
      <c r="A913" s="166">
        <v>43343</v>
      </c>
      <c r="B913" s="116">
        <v>32.924999999999997</v>
      </c>
      <c r="C913" s="116">
        <v>32.049999999999997</v>
      </c>
      <c r="D913" s="116">
        <v>31.824999999999999</v>
      </c>
      <c r="E913" s="116">
        <v>32.924999999999997</v>
      </c>
      <c r="F913" s="116">
        <v>64.099999999999994</v>
      </c>
      <c r="G913">
        <v>11104</v>
      </c>
      <c r="H913" s="116"/>
      <c r="I913" s="116"/>
      <c r="L913" s="166">
        <v>43343</v>
      </c>
      <c r="M913" s="116">
        <v>32.125</v>
      </c>
      <c r="N913" s="116">
        <v>32.424999999999997</v>
      </c>
      <c r="O913" s="116">
        <v>31.824999999999999</v>
      </c>
      <c r="P913" s="116">
        <v>32.25</v>
      </c>
      <c r="Q913" s="116">
        <v>64.25</v>
      </c>
      <c r="R913">
        <v>51931</v>
      </c>
    </row>
    <row r="914" spans="1:18" x14ac:dyDescent="0.25">
      <c r="A914" s="166">
        <v>43346</v>
      </c>
      <c r="B914" s="116">
        <v>32.875</v>
      </c>
      <c r="C914" s="116">
        <v>32.299999999999997</v>
      </c>
      <c r="D914" s="116">
        <v>32.1</v>
      </c>
      <c r="E914" s="116">
        <v>32.875</v>
      </c>
      <c r="F914" s="116">
        <v>64.599999999999994</v>
      </c>
      <c r="G914">
        <v>12909</v>
      </c>
      <c r="H914" s="116"/>
      <c r="I914" s="116"/>
      <c r="L914" s="166">
        <v>43346</v>
      </c>
      <c r="M914" s="116">
        <v>32.375</v>
      </c>
      <c r="N914" s="116">
        <v>32.950000000000003</v>
      </c>
      <c r="O914" s="116">
        <v>32.125</v>
      </c>
      <c r="P914" s="116">
        <v>32.424999999999997</v>
      </c>
      <c r="Q914" s="116">
        <v>64.75</v>
      </c>
      <c r="R914">
        <v>127941</v>
      </c>
    </row>
    <row r="915" spans="1:18" x14ac:dyDescent="0.25">
      <c r="A915" s="166">
        <v>43347</v>
      </c>
      <c r="B915" s="116">
        <v>32.15</v>
      </c>
      <c r="C915" s="116">
        <v>31.175000000000001</v>
      </c>
      <c r="D915" s="116">
        <v>30.95</v>
      </c>
      <c r="E915" s="116">
        <v>32.049999999999997</v>
      </c>
      <c r="F915" s="116">
        <v>62.35</v>
      </c>
      <c r="G915">
        <v>26806</v>
      </c>
      <c r="H915" s="116"/>
      <c r="I915" s="116"/>
      <c r="L915" s="166">
        <v>43347</v>
      </c>
      <c r="M915" s="116">
        <v>31.125</v>
      </c>
      <c r="N915" s="116">
        <v>32.625</v>
      </c>
      <c r="O915" s="116">
        <v>30.95</v>
      </c>
      <c r="P915" s="116">
        <v>32.174999999999997</v>
      </c>
      <c r="Q915" s="116">
        <v>62.25</v>
      </c>
      <c r="R915">
        <v>199921</v>
      </c>
    </row>
    <row r="916" spans="1:18" x14ac:dyDescent="0.25">
      <c r="A916" s="166">
        <v>43348</v>
      </c>
      <c r="B916" s="116">
        <v>31.3</v>
      </c>
      <c r="C916" s="116">
        <v>31.05</v>
      </c>
      <c r="D916" s="116">
        <v>30.5</v>
      </c>
      <c r="E916" s="116">
        <v>31.125</v>
      </c>
      <c r="F916" s="116">
        <v>62.1</v>
      </c>
      <c r="G916">
        <v>7758</v>
      </c>
      <c r="H916" s="116"/>
      <c r="I916" s="116"/>
      <c r="L916" s="166">
        <v>43348</v>
      </c>
      <c r="M916" s="116">
        <v>31.1</v>
      </c>
      <c r="N916" s="116">
        <v>31.425000000000001</v>
      </c>
      <c r="O916" s="116">
        <v>30.524999999999999</v>
      </c>
      <c r="P916" s="116">
        <v>30.774999999999999</v>
      </c>
      <c r="Q916" s="116">
        <v>62.2</v>
      </c>
      <c r="R916">
        <v>71829</v>
      </c>
    </row>
    <row r="917" spans="1:18" x14ac:dyDescent="0.25">
      <c r="A917" s="166">
        <v>43349</v>
      </c>
      <c r="B917" s="116">
        <v>31.774999999999999</v>
      </c>
      <c r="C917" s="116">
        <v>30.875</v>
      </c>
      <c r="D917" s="116">
        <v>30.774999999999999</v>
      </c>
      <c r="E917" s="116">
        <v>31.774999999999999</v>
      </c>
      <c r="F917" s="116">
        <v>61.75</v>
      </c>
      <c r="G917">
        <v>5643</v>
      </c>
      <c r="H917" s="116"/>
      <c r="I917" s="116"/>
      <c r="L917" s="166">
        <v>43349</v>
      </c>
      <c r="M917" s="116">
        <v>30.975000000000001</v>
      </c>
      <c r="N917" s="116">
        <v>31.574999999999999</v>
      </c>
      <c r="O917" s="116">
        <v>30.85</v>
      </c>
      <c r="P917" s="116">
        <v>31.574999999999999</v>
      </c>
      <c r="Q917" s="116">
        <v>61.95</v>
      </c>
      <c r="R917">
        <v>63619</v>
      </c>
    </row>
    <row r="918" spans="1:18" x14ac:dyDescent="0.25">
      <c r="A918" s="166">
        <v>43350</v>
      </c>
      <c r="B918" s="116">
        <v>31.8</v>
      </c>
      <c r="C918" s="116">
        <v>31.524999999999999</v>
      </c>
      <c r="D918" s="116">
        <v>30.8</v>
      </c>
      <c r="E918" s="116">
        <v>31.074999999999999</v>
      </c>
      <c r="F918" s="116">
        <v>63.05</v>
      </c>
      <c r="G918">
        <v>23297</v>
      </c>
      <c r="H918" s="116"/>
      <c r="I918" s="116"/>
      <c r="L918" s="166">
        <v>43350</v>
      </c>
      <c r="M918" s="116">
        <v>31.625</v>
      </c>
      <c r="N918" s="116">
        <v>31.975000000000001</v>
      </c>
      <c r="O918" s="116">
        <v>30.8</v>
      </c>
      <c r="P918" s="116">
        <v>30.975000000000001</v>
      </c>
      <c r="Q918" s="116">
        <v>63.25</v>
      </c>
      <c r="R918">
        <v>69292</v>
      </c>
    </row>
    <row r="919" spans="1:18" x14ac:dyDescent="0.25">
      <c r="A919" s="166">
        <v>43353</v>
      </c>
      <c r="B919" s="116">
        <v>32.075000000000003</v>
      </c>
      <c r="C919" s="116">
        <v>31.5</v>
      </c>
      <c r="D919" s="116">
        <v>31.05</v>
      </c>
      <c r="E919" s="116">
        <v>31.55</v>
      </c>
      <c r="F919" s="116">
        <v>63</v>
      </c>
      <c r="G919">
        <v>11586</v>
      </c>
      <c r="H919" s="116"/>
      <c r="I919" s="116"/>
      <c r="L919" s="166">
        <v>43353</v>
      </c>
      <c r="M919" s="116">
        <v>31.574999999999999</v>
      </c>
      <c r="N919" s="116">
        <v>32.25</v>
      </c>
      <c r="O919" s="116">
        <v>31</v>
      </c>
      <c r="P919" s="116">
        <v>31.65</v>
      </c>
      <c r="Q919" s="116">
        <v>63.15</v>
      </c>
      <c r="R919">
        <v>90919</v>
      </c>
    </row>
    <row r="920" spans="1:18" x14ac:dyDescent="0.25">
      <c r="A920" s="166">
        <v>43354</v>
      </c>
      <c r="B920" s="116">
        <v>31.8</v>
      </c>
      <c r="C920" s="116">
        <v>31.125</v>
      </c>
      <c r="D920" s="116">
        <v>31.05</v>
      </c>
      <c r="E920" s="116">
        <v>31.524999999999999</v>
      </c>
      <c r="F920" s="116">
        <v>62.25</v>
      </c>
      <c r="G920">
        <v>21098</v>
      </c>
      <c r="H920" s="116"/>
      <c r="I920" s="116"/>
      <c r="L920" s="166">
        <v>43354</v>
      </c>
      <c r="M920" s="116">
        <v>31.05</v>
      </c>
      <c r="N920" s="116">
        <v>31.8</v>
      </c>
      <c r="O920" s="116">
        <v>31</v>
      </c>
      <c r="P920" s="116">
        <v>31.524999999999999</v>
      </c>
      <c r="Q920" s="116">
        <v>62.1</v>
      </c>
      <c r="R920">
        <v>49396</v>
      </c>
    </row>
    <row r="921" spans="1:18" x14ac:dyDescent="0.25">
      <c r="A921" s="166">
        <v>43355</v>
      </c>
      <c r="B921" s="116">
        <v>31.05</v>
      </c>
      <c r="C921" s="116">
        <v>30.675000000000001</v>
      </c>
      <c r="D921" s="116">
        <v>30.5</v>
      </c>
      <c r="E921" s="116">
        <v>31</v>
      </c>
      <c r="F921" s="116">
        <v>61.35</v>
      </c>
      <c r="G921">
        <v>6017</v>
      </c>
      <c r="H921" s="116"/>
      <c r="I921" s="116"/>
      <c r="L921" s="166">
        <v>43355</v>
      </c>
      <c r="M921" s="116">
        <v>30.675000000000001</v>
      </c>
      <c r="N921" s="116">
        <v>31.3</v>
      </c>
      <c r="O921" s="116">
        <v>30.5</v>
      </c>
      <c r="P921" s="116">
        <v>31.3</v>
      </c>
      <c r="Q921" s="116">
        <v>61.35</v>
      </c>
      <c r="R921">
        <v>48947</v>
      </c>
    </row>
    <row r="922" spans="1:18" x14ac:dyDescent="0.25">
      <c r="A922" s="166">
        <v>43357</v>
      </c>
      <c r="B922" s="116">
        <v>31.25</v>
      </c>
      <c r="C922" s="116">
        <v>30.574999999999999</v>
      </c>
      <c r="D922" s="116">
        <v>30</v>
      </c>
      <c r="E922" s="116">
        <v>31.25</v>
      </c>
      <c r="F922" s="116">
        <v>61.15</v>
      </c>
      <c r="G922">
        <v>19141</v>
      </c>
      <c r="H922" s="116"/>
      <c r="I922" s="116"/>
      <c r="L922" s="166">
        <v>43357</v>
      </c>
      <c r="M922" s="116">
        <v>30.9</v>
      </c>
      <c r="N922" s="116">
        <v>31.25</v>
      </c>
      <c r="O922" s="116">
        <v>30.6</v>
      </c>
      <c r="P922" s="116">
        <v>30.8</v>
      </c>
      <c r="Q922" s="116">
        <v>61.8</v>
      </c>
      <c r="R922">
        <v>61763</v>
      </c>
    </row>
    <row r="923" spans="1:18" x14ac:dyDescent="0.25">
      <c r="A923" s="166">
        <v>43360</v>
      </c>
      <c r="B923" s="116">
        <v>32.5</v>
      </c>
      <c r="C923" s="116">
        <v>31.6</v>
      </c>
      <c r="D923" s="116">
        <v>30.65</v>
      </c>
      <c r="E923" s="116">
        <v>30.65</v>
      </c>
      <c r="F923" s="116">
        <v>63.2</v>
      </c>
      <c r="G923">
        <v>17246</v>
      </c>
      <c r="H923" s="116"/>
      <c r="I923" s="116"/>
      <c r="L923" s="166">
        <v>43360</v>
      </c>
      <c r="M923" s="116">
        <v>31.725000000000001</v>
      </c>
      <c r="N923" s="116">
        <v>32.524999999999999</v>
      </c>
      <c r="O923" s="116">
        <v>30.6</v>
      </c>
      <c r="P923" s="116">
        <v>30.6</v>
      </c>
      <c r="Q923" s="116">
        <v>63.45</v>
      </c>
      <c r="R923">
        <v>149613</v>
      </c>
    </row>
    <row r="924" spans="1:18" x14ac:dyDescent="0.25">
      <c r="A924" s="166">
        <v>43361</v>
      </c>
      <c r="B924" s="116">
        <v>32.299999999999997</v>
      </c>
      <c r="C924" s="116">
        <v>31.75</v>
      </c>
      <c r="D924" s="116">
        <v>31.175000000000001</v>
      </c>
      <c r="E924" s="116">
        <v>31.875</v>
      </c>
      <c r="F924" s="116">
        <v>63.5</v>
      </c>
      <c r="G924">
        <v>18764</v>
      </c>
      <c r="H924" s="116"/>
      <c r="I924" s="116"/>
      <c r="L924" s="166">
        <v>43361</v>
      </c>
      <c r="M924" s="116">
        <v>31.774999999999999</v>
      </c>
      <c r="N924" s="116">
        <v>32.4</v>
      </c>
      <c r="O924" s="116">
        <v>30.95</v>
      </c>
      <c r="P924" s="116">
        <v>32.125</v>
      </c>
      <c r="Q924" s="116">
        <v>63.55</v>
      </c>
      <c r="R924">
        <v>173344</v>
      </c>
    </row>
    <row r="925" spans="1:18" x14ac:dyDescent="0.25">
      <c r="A925" s="166">
        <v>43362</v>
      </c>
      <c r="B925" s="116">
        <v>31.8</v>
      </c>
      <c r="C925" s="116">
        <v>30.975000000000001</v>
      </c>
      <c r="D925" s="116">
        <v>30.824999999999999</v>
      </c>
      <c r="E925" s="116">
        <v>31.7</v>
      </c>
      <c r="F925" s="116">
        <v>61.95</v>
      </c>
      <c r="G925">
        <v>21482</v>
      </c>
      <c r="H925" s="116"/>
      <c r="I925" s="116"/>
      <c r="L925" s="166">
        <v>43362</v>
      </c>
      <c r="M925" s="116">
        <v>31</v>
      </c>
      <c r="N925" s="116">
        <v>31.925000000000001</v>
      </c>
      <c r="O925" s="116">
        <v>30.9</v>
      </c>
      <c r="P925" s="116">
        <v>31.925000000000001</v>
      </c>
      <c r="Q925" s="116">
        <v>62</v>
      </c>
      <c r="R925">
        <v>120389</v>
      </c>
    </row>
    <row r="926" spans="1:18" x14ac:dyDescent="0.25">
      <c r="A926" s="166">
        <v>43364</v>
      </c>
      <c r="B926" s="116">
        <v>31.15</v>
      </c>
      <c r="C926" s="116">
        <v>30.274999999999999</v>
      </c>
      <c r="D926" s="116">
        <v>30</v>
      </c>
      <c r="E926" s="116">
        <v>31</v>
      </c>
      <c r="F926" s="116">
        <v>60.55</v>
      </c>
      <c r="G926">
        <v>14538</v>
      </c>
      <c r="H926" s="116"/>
      <c r="I926" s="116"/>
      <c r="L926" s="166">
        <v>43364</v>
      </c>
      <c r="M926" s="116">
        <v>30.375</v>
      </c>
      <c r="N926" s="116">
        <v>31.1</v>
      </c>
      <c r="O926" s="116">
        <v>30.1</v>
      </c>
      <c r="P926" s="116">
        <v>31.074999999999999</v>
      </c>
      <c r="Q926" s="116">
        <v>60.75</v>
      </c>
      <c r="R926">
        <v>139499</v>
      </c>
    </row>
    <row r="927" spans="1:18" x14ac:dyDescent="0.25">
      <c r="A927" s="166">
        <v>43367</v>
      </c>
      <c r="B927" s="116">
        <v>29.5</v>
      </c>
      <c r="C927" s="116">
        <v>28.175000000000001</v>
      </c>
      <c r="D927" s="116">
        <v>28.024999999999999</v>
      </c>
      <c r="E927" s="116">
        <v>29.375</v>
      </c>
      <c r="F927" s="116">
        <v>56.35</v>
      </c>
      <c r="G927">
        <v>14383</v>
      </c>
      <c r="H927" s="116"/>
      <c r="I927" s="116"/>
      <c r="L927" s="166">
        <v>43367</v>
      </c>
      <c r="M927" s="116">
        <v>28.324999999999999</v>
      </c>
      <c r="N927" s="116">
        <v>30.524999999999999</v>
      </c>
      <c r="O927" s="116">
        <v>28.024999999999999</v>
      </c>
      <c r="P927" s="116">
        <v>30.3</v>
      </c>
      <c r="Q927" s="116">
        <v>56.65</v>
      </c>
      <c r="R927">
        <v>108108</v>
      </c>
    </row>
    <row r="928" spans="1:18" x14ac:dyDescent="0.25">
      <c r="A928" s="166">
        <v>43368</v>
      </c>
      <c r="B928" s="116">
        <v>28.75</v>
      </c>
      <c r="C928" s="116">
        <v>27.7</v>
      </c>
      <c r="D928" s="116">
        <v>27.5</v>
      </c>
      <c r="E928" s="116">
        <v>28.15</v>
      </c>
      <c r="F928" s="116">
        <v>55.4</v>
      </c>
      <c r="G928">
        <v>30656</v>
      </c>
      <c r="H928" s="116"/>
      <c r="I928" s="116"/>
      <c r="L928" s="166">
        <v>43368</v>
      </c>
      <c r="M928" s="116">
        <v>27.85</v>
      </c>
      <c r="N928" s="116">
        <v>28.75</v>
      </c>
      <c r="O928" s="116">
        <v>27.675000000000001</v>
      </c>
      <c r="P928" s="116">
        <v>28.5</v>
      </c>
      <c r="Q928" s="116">
        <v>55.7</v>
      </c>
      <c r="R928">
        <v>133024</v>
      </c>
    </row>
    <row r="929" spans="1:18" x14ac:dyDescent="0.25">
      <c r="A929" s="166">
        <v>43369</v>
      </c>
      <c r="B929" s="116">
        <v>28.4</v>
      </c>
      <c r="C929" s="116">
        <v>27.675000000000001</v>
      </c>
      <c r="D929" s="116">
        <v>27.5</v>
      </c>
      <c r="E929" s="116">
        <v>27.875</v>
      </c>
      <c r="F929" s="116">
        <v>55.35</v>
      </c>
      <c r="G929">
        <v>19107</v>
      </c>
      <c r="H929" s="116"/>
      <c r="I929" s="116"/>
      <c r="L929" s="166">
        <v>43369</v>
      </c>
      <c r="M929" s="116">
        <v>27.8</v>
      </c>
      <c r="N929" s="116">
        <v>28.6</v>
      </c>
      <c r="O929" s="116">
        <v>27.5</v>
      </c>
      <c r="P929" s="116">
        <v>28.125</v>
      </c>
      <c r="Q929" s="116">
        <v>55.6</v>
      </c>
      <c r="R929">
        <v>164064</v>
      </c>
    </row>
    <row r="930" spans="1:18" x14ac:dyDescent="0.25">
      <c r="A930" s="166">
        <v>43370</v>
      </c>
      <c r="B930" s="116">
        <v>27.925000000000001</v>
      </c>
      <c r="C930" s="116">
        <v>27.35</v>
      </c>
      <c r="D930" s="116">
        <v>27</v>
      </c>
      <c r="E930" s="116">
        <v>27.85</v>
      </c>
      <c r="F930" s="116">
        <v>54.7</v>
      </c>
      <c r="G930">
        <v>15905</v>
      </c>
      <c r="H930" s="116"/>
      <c r="I930" s="116"/>
      <c r="L930" s="166">
        <v>43370</v>
      </c>
      <c r="M930" s="116">
        <v>27.475000000000001</v>
      </c>
      <c r="N930" s="116">
        <v>28.225000000000001</v>
      </c>
      <c r="O930" s="116">
        <v>27.35</v>
      </c>
      <c r="P930" s="116">
        <v>27.7</v>
      </c>
      <c r="Q930" s="116">
        <v>54.95</v>
      </c>
      <c r="R930">
        <v>46692</v>
      </c>
    </row>
    <row r="931" spans="1:18" x14ac:dyDescent="0.25">
      <c r="A931" s="166">
        <v>43371</v>
      </c>
      <c r="B931" s="116">
        <v>27.574999999999999</v>
      </c>
      <c r="C931" s="116">
        <v>26.925000000000001</v>
      </c>
      <c r="D931" s="116">
        <v>26.125</v>
      </c>
      <c r="E931" s="116">
        <v>27</v>
      </c>
      <c r="F931" s="116">
        <v>53.85</v>
      </c>
      <c r="G931">
        <v>31828</v>
      </c>
      <c r="H931" s="116"/>
      <c r="I931" s="116"/>
      <c r="L931" s="166">
        <v>43371</v>
      </c>
      <c r="M931" s="116">
        <v>26.8</v>
      </c>
      <c r="N931" s="116">
        <v>27.475000000000001</v>
      </c>
      <c r="O931" s="116">
        <v>26.1</v>
      </c>
      <c r="P931" s="116">
        <v>27.475000000000001</v>
      </c>
      <c r="Q931" s="116">
        <v>53.6</v>
      </c>
      <c r="R931">
        <v>79951</v>
      </c>
    </row>
    <row r="932" spans="1:18" x14ac:dyDescent="0.25">
      <c r="A932" s="166">
        <v>43374</v>
      </c>
      <c r="B932" s="116">
        <v>26.75</v>
      </c>
      <c r="C932" s="116">
        <v>26.274999999999999</v>
      </c>
      <c r="D932" s="116">
        <v>24.925000000000001</v>
      </c>
      <c r="E932" s="116">
        <v>26.15</v>
      </c>
      <c r="F932" s="116">
        <v>52.55</v>
      </c>
      <c r="G932">
        <v>30654</v>
      </c>
      <c r="H932" s="116"/>
      <c r="I932" s="116"/>
      <c r="L932" s="166">
        <v>43374</v>
      </c>
      <c r="M932" s="116">
        <v>26.125</v>
      </c>
      <c r="N932" s="116">
        <v>27</v>
      </c>
      <c r="O932" s="116">
        <v>24.5</v>
      </c>
      <c r="P932" s="116">
        <v>26.5</v>
      </c>
      <c r="Q932" s="116">
        <v>52.25</v>
      </c>
      <c r="R932">
        <v>163325</v>
      </c>
    </row>
    <row r="933" spans="1:18" x14ac:dyDescent="0.25">
      <c r="A933" s="166">
        <v>43376</v>
      </c>
      <c r="B933" s="116">
        <v>26.9</v>
      </c>
      <c r="C933" s="116">
        <v>26.4</v>
      </c>
      <c r="D933" s="116">
        <v>25.4</v>
      </c>
      <c r="E933" s="116">
        <v>26</v>
      </c>
      <c r="F933" s="116">
        <v>52.8</v>
      </c>
      <c r="G933">
        <v>15923</v>
      </c>
      <c r="H933" s="116"/>
      <c r="I933" s="116"/>
      <c r="L933" s="166">
        <v>43376</v>
      </c>
      <c r="M933" s="116">
        <v>26.4</v>
      </c>
      <c r="N933" s="116">
        <v>26.75</v>
      </c>
      <c r="O933" s="116">
        <v>25.4</v>
      </c>
      <c r="P933" s="116">
        <v>25.5</v>
      </c>
      <c r="Q933" s="116">
        <v>52.8</v>
      </c>
      <c r="R933">
        <v>52859</v>
      </c>
    </row>
    <row r="934" spans="1:18" x14ac:dyDescent="0.25">
      <c r="A934" s="166">
        <v>43377</v>
      </c>
      <c r="B934" s="116">
        <v>26.4</v>
      </c>
      <c r="C934" s="116">
        <v>25.15</v>
      </c>
      <c r="D934" s="116">
        <v>24.824999999999999</v>
      </c>
      <c r="E934" s="116">
        <v>26.4</v>
      </c>
      <c r="F934" s="116">
        <v>50.3</v>
      </c>
      <c r="G934">
        <v>32789</v>
      </c>
      <c r="H934" s="116"/>
      <c r="I934" s="116"/>
      <c r="L934" s="166">
        <v>43377</v>
      </c>
      <c r="M934" s="116">
        <v>25</v>
      </c>
      <c r="N934" s="116">
        <v>26.225000000000001</v>
      </c>
      <c r="O934" s="116">
        <v>24.85</v>
      </c>
      <c r="P934" s="116">
        <v>26</v>
      </c>
      <c r="Q934" s="116">
        <v>50</v>
      </c>
      <c r="R934">
        <v>235709</v>
      </c>
    </row>
    <row r="935" spans="1:18" x14ac:dyDescent="0.25">
      <c r="A935" s="166">
        <v>43378</v>
      </c>
      <c r="B935" s="116">
        <v>25.3</v>
      </c>
      <c r="C935" s="116">
        <v>24.975000000000001</v>
      </c>
      <c r="D935" s="116">
        <v>24.875</v>
      </c>
      <c r="E935" s="116">
        <v>25.274999999999999</v>
      </c>
      <c r="F935" s="116">
        <v>49.95</v>
      </c>
      <c r="G935">
        <v>64885</v>
      </c>
      <c r="H935" s="116"/>
      <c r="I935" s="116"/>
      <c r="L935" s="166">
        <v>43378</v>
      </c>
      <c r="M935" s="116">
        <v>25</v>
      </c>
      <c r="N935" s="116">
        <v>25.4</v>
      </c>
      <c r="O935" s="116">
        <v>24.75</v>
      </c>
      <c r="P935" s="116">
        <v>25.25</v>
      </c>
      <c r="Q935" s="116">
        <v>50</v>
      </c>
      <c r="R935">
        <v>186641</v>
      </c>
    </row>
    <row r="936" spans="1:18" x14ac:dyDescent="0.25">
      <c r="A936" s="166">
        <v>43381</v>
      </c>
      <c r="B936" s="116">
        <v>25.524999999999999</v>
      </c>
      <c r="C936" s="116">
        <v>25.35</v>
      </c>
      <c r="D936" s="116">
        <v>24.5</v>
      </c>
      <c r="E936" s="116">
        <v>24.925000000000001</v>
      </c>
      <c r="F936" s="116">
        <v>50.7</v>
      </c>
      <c r="G936">
        <v>40081</v>
      </c>
      <c r="H936" s="116"/>
      <c r="I936" s="116"/>
      <c r="L936" s="166">
        <v>43381</v>
      </c>
      <c r="M936" s="116">
        <v>25.05</v>
      </c>
      <c r="N936" s="116">
        <v>25.5</v>
      </c>
      <c r="O936" s="116">
        <v>24.5</v>
      </c>
      <c r="P936" s="116">
        <v>25.375</v>
      </c>
      <c r="Q936" s="116">
        <v>50.1</v>
      </c>
      <c r="R936">
        <v>207283</v>
      </c>
    </row>
    <row r="937" spans="1:18" x14ac:dyDescent="0.25">
      <c r="A937" s="166">
        <v>43382</v>
      </c>
      <c r="B937" s="116">
        <v>26.5</v>
      </c>
      <c r="C937" s="116">
        <v>25.125</v>
      </c>
      <c r="D937" s="116">
        <v>24.95</v>
      </c>
      <c r="E937" s="116">
        <v>24.95</v>
      </c>
      <c r="F937" s="116">
        <v>50.25</v>
      </c>
      <c r="G937">
        <v>37931</v>
      </c>
      <c r="H937" s="116"/>
      <c r="I937" s="116"/>
      <c r="L937" s="166">
        <v>43382</v>
      </c>
      <c r="M937" s="116">
        <v>25.05</v>
      </c>
      <c r="N937" s="116">
        <v>26.4</v>
      </c>
      <c r="O937" s="116">
        <v>24.875</v>
      </c>
      <c r="P937" s="116">
        <v>25.15</v>
      </c>
      <c r="Q937" s="116">
        <v>50.1</v>
      </c>
      <c r="R937">
        <v>211579</v>
      </c>
    </row>
    <row r="938" spans="1:18" x14ac:dyDescent="0.25">
      <c r="A938" s="166">
        <v>43383</v>
      </c>
      <c r="B938" s="116">
        <v>25.95</v>
      </c>
      <c r="C938" s="116">
        <v>25.7</v>
      </c>
      <c r="D938" s="116">
        <v>25.2</v>
      </c>
      <c r="E938" s="116">
        <v>25.274999999999999</v>
      </c>
      <c r="F938" s="116">
        <v>51.4</v>
      </c>
      <c r="G938">
        <v>12193</v>
      </c>
      <c r="H938" s="116"/>
      <c r="I938" s="116"/>
      <c r="L938" s="166">
        <v>43383</v>
      </c>
      <c r="M938" s="116">
        <v>25.675000000000001</v>
      </c>
      <c r="N938" s="116">
        <v>25.9</v>
      </c>
      <c r="O938" s="116">
        <v>25</v>
      </c>
      <c r="P938" s="116">
        <v>25.074999999999999</v>
      </c>
      <c r="Q938" s="116">
        <v>51.35</v>
      </c>
      <c r="R938">
        <v>89037</v>
      </c>
    </row>
    <row r="939" spans="1:18" x14ac:dyDescent="0.25">
      <c r="A939" s="166">
        <v>43384</v>
      </c>
      <c r="B939" s="116">
        <v>26.9</v>
      </c>
      <c r="C939" s="116">
        <v>25.675000000000001</v>
      </c>
      <c r="D939" s="116">
        <v>24.225000000000001</v>
      </c>
      <c r="E939" s="116">
        <v>25.25</v>
      </c>
      <c r="F939" s="116">
        <v>51.35</v>
      </c>
      <c r="G939">
        <v>28793</v>
      </c>
      <c r="H939" s="116"/>
      <c r="I939" s="116"/>
      <c r="L939" s="166">
        <v>43384</v>
      </c>
      <c r="M939" s="116">
        <v>25.574999999999999</v>
      </c>
      <c r="N939" s="116">
        <v>26.925000000000001</v>
      </c>
      <c r="O939" s="116">
        <v>24.175000000000001</v>
      </c>
      <c r="P939" s="116">
        <v>25.15</v>
      </c>
      <c r="Q939" s="116">
        <v>51.15</v>
      </c>
      <c r="R939">
        <v>285506</v>
      </c>
    </row>
    <row r="940" spans="1:18" x14ac:dyDescent="0.25">
      <c r="A940" s="166">
        <v>43385</v>
      </c>
      <c r="B940" s="116">
        <v>27.15</v>
      </c>
      <c r="C940" s="116">
        <v>26.324999999999999</v>
      </c>
      <c r="D940" s="116">
        <v>26</v>
      </c>
      <c r="E940" s="116">
        <v>27.15</v>
      </c>
      <c r="F940" s="116">
        <v>52.65</v>
      </c>
      <c r="G940">
        <v>6455</v>
      </c>
      <c r="H940" s="116"/>
      <c r="I940" s="116"/>
      <c r="L940" s="166">
        <v>43385</v>
      </c>
      <c r="M940" s="116">
        <v>26.35</v>
      </c>
      <c r="N940" s="116">
        <v>26.95</v>
      </c>
      <c r="O940" s="116">
        <v>25.774999999999999</v>
      </c>
      <c r="P940" s="116">
        <v>26.45</v>
      </c>
      <c r="Q940" s="116">
        <v>52.7</v>
      </c>
      <c r="R940">
        <v>46736</v>
      </c>
    </row>
    <row r="941" spans="1:18" x14ac:dyDescent="0.25">
      <c r="A941" s="166">
        <v>43388</v>
      </c>
      <c r="B941" s="116">
        <v>27.9</v>
      </c>
      <c r="C941" s="116">
        <v>26.925000000000001</v>
      </c>
      <c r="D941" s="116">
        <v>26.225000000000001</v>
      </c>
      <c r="E941" s="116">
        <v>26.475000000000001</v>
      </c>
      <c r="F941" s="116">
        <v>53.85</v>
      </c>
      <c r="G941">
        <v>24774</v>
      </c>
      <c r="H941" s="116"/>
      <c r="I941" s="116"/>
      <c r="L941" s="166">
        <v>43388</v>
      </c>
      <c r="M941" s="116">
        <v>26.925000000000001</v>
      </c>
      <c r="N941" s="116">
        <v>28.1</v>
      </c>
      <c r="O941" s="116">
        <v>26.25</v>
      </c>
      <c r="P941" s="116">
        <v>26.774999999999999</v>
      </c>
      <c r="Q941" s="116">
        <v>53.85</v>
      </c>
      <c r="R941">
        <v>594680</v>
      </c>
    </row>
    <row r="942" spans="1:18" x14ac:dyDescent="0.25">
      <c r="A942" s="166">
        <v>43389</v>
      </c>
      <c r="B942" s="116">
        <v>27.75</v>
      </c>
      <c r="C942" s="116">
        <v>27.475000000000001</v>
      </c>
      <c r="D942" s="116">
        <v>27.1</v>
      </c>
      <c r="E942" s="116">
        <v>27.45</v>
      </c>
      <c r="F942" s="116">
        <v>54.95</v>
      </c>
      <c r="G942">
        <v>14710</v>
      </c>
      <c r="H942" s="116"/>
      <c r="I942" s="116"/>
      <c r="L942" s="166">
        <v>43389</v>
      </c>
      <c r="M942" s="116">
        <v>27.425000000000001</v>
      </c>
      <c r="N942" s="116">
        <v>27.7</v>
      </c>
      <c r="O942" s="116">
        <v>27</v>
      </c>
      <c r="P942" s="116">
        <v>27.024999999999999</v>
      </c>
      <c r="Q942" s="116">
        <v>54.85</v>
      </c>
      <c r="R942">
        <v>86070</v>
      </c>
    </row>
    <row r="943" spans="1:18" x14ac:dyDescent="0.25">
      <c r="A943" s="166">
        <v>43390</v>
      </c>
      <c r="B943" s="116">
        <v>27.75</v>
      </c>
      <c r="C943" s="116">
        <v>25.274999999999999</v>
      </c>
      <c r="D943" s="116">
        <v>24.55</v>
      </c>
      <c r="E943" s="116">
        <v>27.75</v>
      </c>
      <c r="F943" s="116">
        <v>50.55</v>
      </c>
      <c r="G943">
        <v>16803</v>
      </c>
      <c r="H943" s="116"/>
      <c r="I943" s="116"/>
      <c r="L943" s="166">
        <v>43390</v>
      </c>
      <c r="M943" s="116">
        <v>25.324999999999999</v>
      </c>
      <c r="N943" s="116">
        <v>28.324999999999999</v>
      </c>
      <c r="O943" s="116">
        <v>24.15</v>
      </c>
      <c r="P943" s="116">
        <v>28.324999999999999</v>
      </c>
      <c r="Q943" s="116">
        <v>50.65</v>
      </c>
      <c r="R943">
        <v>252127</v>
      </c>
    </row>
    <row r="944" spans="1:18" x14ac:dyDescent="0.25">
      <c r="A944" s="166">
        <v>43392</v>
      </c>
      <c r="B944" s="116">
        <v>25.774999999999999</v>
      </c>
      <c r="C944" s="116">
        <v>25.45</v>
      </c>
      <c r="D944" s="116">
        <v>24.95</v>
      </c>
      <c r="E944" s="116">
        <v>25.375</v>
      </c>
      <c r="F944" s="116">
        <v>50.9</v>
      </c>
      <c r="G944">
        <v>15496</v>
      </c>
      <c r="H944" s="116"/>
      <c r="I944" s="116"/>
      <c r="L944" s="166">
        <v>43392</v>
      </c>
      <c r="M944" s="116">
        <v>25.35</v>
      </c>
      <c r="N944" s="116">
        <v>25.824999999999999</v>
      </c>
      <c r="O944" s="116">
        <v>24.9</v>
      </c>
      <c r="P944" s="116">
        <v>25.375</v>
      </c>
      <c r="Q944" s="116">
        <v>50.7</v>
      </c>
      <c r="R944">
        <v>68348</v>
      </c>
    </row>
    <row r="945" spans="1:18" x14ac:dyDescent="0.25">
      <c r="A945" s="166">
        <v>43395</v>
      </c>
      <c r="B945" s="116">
        <v>26.15</v>
      </c>
      <c r="C945" s="116">
        <v>25.475000000000001</v>
      </c>
      <c r="D945" s="116">
        <v>25.35</v>
      </c>
      <c r="E945" s="116">
        <v>25.475000000000001</v>
      </c>
      <c r="F945" s="116">
        <v>50.95</v>
      </c>
      <c r="G945">
        <v>4791</v>
      </c>
      <c r="H945" s="116"/>
      <c r="I945" s="116"/>
      <c r="L945" s="166">
        <v>43395</v>
      </c>
      <c r="M945" s="116">
        <v>25.55</v>
      </c>
      <c r="N945" s="116">
        <v>26.1</v>
      </c>
      <c r="O945" s="116">
        <v>25.25</v>
      </c>
      <c r="P945" s="116">
        <v>25.35</v>
      </c>
      <c r="Q945" s="116">
        <v>51.1</v>
      </c>
      <c r="R945">
        <v>39550</v>
      </c>
    </row>
    <row r="946" spans="1:18" x14ac:dyDescent="0.25">
      <c r="A946" s="166">
        <v>43396</v>
      </c>
      <c r="B946" s="116">
        <v>25.425000000000001</v>
      </c>
      <c r="C946" s="116">
        <v>24.925000000000001</v>
      </c>
      <c r="D946" s="116">
        <v>24.5</v>
      </c>
      <c r="E946" s="116">
        <v>25.25</v>
      </c>
      <c r="F946" s="116">
        <v>49.85</v>
      </c>
      <c r="G946">
        <v>8598</v>
      </c>
      <c r="H946" s="116"/>
      <c r="I946" s="116"/>
      <c r="L946" s="166">
        <v>43396</v>
      </c>
      <c r="M946" s="116">
        <v>24.824999999999999</v>
      </c>
      <c r="N946" s="116">
        <v>25.45</v>
      </c>
      <c r="O946" s="116">
        <v>24.25</v>
      </c>
      <c r="P946" s="116">
        <v>25.3</v>
      </c>
      <c r="Q946" s="116">
        <v>49.65</v>
      </c>
      <c r="R946">
        <v>73137</v>
      </c>
    </row>
    <row r="947" spans="1:18" x14ac:dyDescent="0.25">
      <c r="A947" s="166">
        <v>43397</v>
      </c>
      <c r="B947" s="116">
        <v>25.5</v>
      </c>
      <c r="C947" s="116">
        <v>24.95</v>
      </c>
      <c r="D947" s="116">
        <v>24.824999999999999</v>
      </c>
      <c r="E947" s="116">
        <v>25.125</v>
      </c>
      <c r="F947" s="116">
        <v>49.9</v>
      </c>
      <c r="G947">
        <v>20053</v>
      </c>
      <c r="H947" s="116"/>
      <c r="I947" s="116"/>
      <c r="L947" s="166">
        <v>43397</v>
      </c>
      <c r="M947" s="116">
        <v>25.05</v>
      </c>
      <c r="N947" s="116">
        <v>25.6</v>
      </c>
      <c r="O947" s="116">
        <v>24.824999999999999</v>
      </c>
      <c r="P947" s="116">
        <v>25.25</v>
      </c>
      <c r="Q947" s="116">
        <v>50.1</v>
      </c>
      <c r="R947">
        <v>59160</v>
      </c>
    </row>
    <row r="948" spans="1:18" x14ac:dyDescent="0.25">
      <c r="A948" s="166">
        <v>43398</v>
      </c>
      <c r="B948" s="116">
        <v>25.074999999999999</v>
      </c>
      <c r="C948" s="116">
        <v>24.824999999999999</v>
      </c>
      <c r="D948" s="116">
        <v>24.675000000000001</v>
      </c>
      <c r="E948" s="116">
        <v>25.074999999999999</v>
      </c>
      <c r="F948" s="116">
        <v>49.65</v>
      </c>
      <c r="G948">
        <v>12909</v>
      </c>
      <c r="H948" s="116"/>
      <c r="I948" s="116"/>
      <c r="L948" s="166">
        <v>43398</v>
      </c>
      <c r="M948" s="116">
        <v>24.85</v>
      </c>
      <c r="N948" s="116">
        <v>25</v>
      </c>
      <c r="O948" s="116">
        <v>24.2</v>
      </c>
      <c r="P948" s="116">
        <v>24.2</v>
      </c>
      <c r="Q948" s="116">
        <v>49.7</v>
      </c>
      <c r="R948">
        <v>63541</v>
      </c>
    </row>
    <row r="949" spans="1:18" x14ac:dyDescent="0.25">
      <c r="A949" s="166">
        <v>43399</v>
      </c>
      <c r="B949" s="116">
        <v>25.375</v>
      </c>
      <c r="C949" s="116">
        <v>25.1</v>
      </c>
      <c r="D949" s="116">
        <v>24.75</v>
      </c>
      <c r="E949" s="116">
        <v>25.2</v>
      </c>
      <c r="F949" s="116">
        <v>50.2</v>
      </c>
      <c r="G949">
        <v>11760</v>
      </c>
      <c r="H949" s="116"/>
      <c r="I949" s="116"/>
      <c r="L949" s="166">
        <v>43399</v>
      </c>
      <c r="M949" s="116">
        <v>25.175000000000001</v>
      </c>
      <c r="N949" s="116">
        <v>25.3</v>
      </c>
      <c r="O949" s="116">
        <v>24.55</v>
      </c>
      <c r="P949" s="116">
        <v>24.774999999999999</v>
      </c>
      <c r="Q949" s="116">
        <v>50.35</v>
      </c>
      <c r="R949">
        <v>47641</v>
      </c>
    </row>
    <row r="950" spans="1:18" x14ac:dyDescent="0.25">
      <c r="A950" s="166">
        <v>43402</v>
      </c>
      <c r="B950" s="116">
        <v>26</v>
      </c>
      <c r="C950" s="116">
        <v>25.925000000000001</v>
      </c>
      <c r="D950" s="116">
        <v>25.1</v>
      </c>
      <c r="E950" s="116">
        <v>25.5</v>
      </c>
      <c r="F950" s="116">
        <v>51.85</v>
      </c>
      <c r="G950">
        <v>20875</v>
      </c>
      <c r="H950" s="116"/>
      <c r="I950" s="116"/>
      <c r="L950" s="166">
        <v>43402</v>
      </c>
      <c r="M950" s="116">
        <v>25.875</v>
      </c>
      <c r="N950" s="116">
        <v>26</v>
      </c>
      <c r="O950" s="116">
        <v>24.975000000000001</v>
      </c>
      <c r="P950" s="116">
        <v>25.35</v>
      </c>
      <c r="Q950" s="116">
        <v>51.75</v>
      </c>
      <c r="R950">
        <v>71606</v>
      </c>
    </row>
    <row r="951" spans="1:18" x14ac:dyDescent="0.25">
      <c r="A951" s="166">
        <v>43403</v>
      </c>
      <c r="B951" s="116">
        <v>27.35</v>
      </c>
      <c r="C951" s="116">
        <v>26.95</v>
      </c>
      <c r="D951" s="116">
        <v>25.925000000000001</v>
      </c>
      <c r="E951" s="116">
        <v>26.074999999999999</v>
      </c>
      <c r="F951" s="116">
        <v>53.9</v>
      </c>
      <c r="G951">
        <v>17089</v>
      </c>
      <c r="H951" s="116"/>
      <c r="I951" s="116"/>
      <c r="L951" s="166">
        <v>43403</v>
      </c>
      <c r="M951" s="116">
        <v>27.05</v>
      </c>
      <c r="N951" s="116">
        <v>27.25</v>
      </c>
      <c r="O951" s="116">
        <v>25.675000000000001</v>
      </c>
      <c r="P951" s="116">
        <v>26</v>
      </c>
      <c r="Q951" s="116">
        <v>54.1</v>
      </c>
      <c r="R951">
        <v>87034</v>
      </c>
    </row>
    <row r="952" spans="1:18" x14ac:dyDescent="0.25">
      <c r="A952" s="166">
        <v>43404</v>
      </c>
      <c r="B952" s="116">
        <v>27.524999999999999</v>
      </c>
      <c r="C952" s="116">
        <v>27.375</v>
      </c>
      <c r="D952" s="116">
        <v>26.5</v>
      </c>
      <c r="E952" s="116">
        <v>27.1</v>
      </c>
      <c r="F952" s="116">
        <v>54.75</v>
      </c>
      <c r="G952">
        <v>22471</v>
      </c>
      <c r="H952" s="116"/>
      <c r="I952" s="116"/>
      <c r="L952" s="166">
        <v>43404</v>
      </c>
      <c r="M952" s="116">
        <v>27.175000000000001</v>
      </c>
      <c r="N952" s="116">
        <v>27.55</v>
      </c>
      <c r="O952" s="116">
        <v>26.4</v>
      </c>
      <c r="P952" s="116">
        <v>27</v>
      </c>
      <c r="Q952" s="116">
        <v>54.35</v>
      </c>
      <c r="R952">
        <v>57789</v>
      </c>
    </row>
    <row r="953" spans="1:18" x14ac:dyDescent="0.25">
      <c r="A953" s="166">
        <v>43405</v>
      </c>
      <c r="B953" s="116">
        <v>32.4</v>
      </c>
      <c r="C953" s="116">
        <v>31.85</v>
      </c>
      <c r="D953" s="116">
        <v>27.074999999999999</v>
      </c>
      <c r="E953" s="116">
        <v>27.074999999999999</v>
      </c>
      <c r="F953" s="116">
        <v>63.7</v>
      </c>
      <c r="G953">
        <v>224805</v>
      </c>
      <c r="H953" s="116"/>
      <c r="I953" s="116"/>
      <c r="L953" s="166">
        <v>43405</v>
      </c>
      <c r="M953" s="116">
        <v>31.725000000000001</v>
      </c>
      <c r="N953" s="116">
        <v>32.424999999999997</v>
      </c>
      <c r="O953" s="116">
        <v>27.35</v>
      </c>
      <c r="P953" s="116">
        <v>27.35</v>
      </c>
      <c r="Q953" s="116">
        <v>63.45</v>
      </c>
      <c r="R953">
        <v>1082970</v>
      </c>
    </row>
    <row r="954" spans="1:18" x14ac:dyDescent="0.25">
      <c r="A954" s="166">
        <v>43406</v>
      </c>
      <c r="B954" s="116">
        <v>32.774999999999999</v>
      </c>
      <c r="C954" s="116">
        <v>29.975000000000001</v>
      </c>
      <c r="D954" s="116">
        <v>29.524999999999999</v>
      </c>
      <c r="E954" s="116">
        <v>32</v>
      </c>
      <c r="F954" s="116">
        <v>59.95</v>
      </c>
      <c r="G954">
        <v>66094</v>
      </c>
      <c r="H954" s="116"/>
      <c r="I954" s="116"/>
      <c r="L954" s="166">
        <v>43406</v>
      </c>
      <c r="M954" s="116">
        <v>29.875</v>
      </c>
      <c r="N954" s="116">
        <v>32.975000000000001</v>
      </c>
      <c r="O954" s="116">
        <v>29.5</v>
      </c>
      <c r="P954" s="116">
        <v>31.75</v>
      </c>
      <c r="Q954" s="116">
        <v>59.75</v>
      </c>
      <c r="R954">
        <v>286804</v>
      </c>
    </row>
    <row r="955" spans="1:18" x14ac:dyDescent="0.25">
      <c r="A955" s="166">
        <v>43409</v>
      </c>
      <c r="B955" s="116">
        <v>30.324999999999999</v>
      </c>
      <c r="C955" s="116">
        <v>29.5</v>
      </c>
      <c r="D955" s="116">
        <v>29.25</v>
      </c>
      <c r="E955" s="116">
        <v>29.85</v>
      </c>
      <c r="F955" s="116">
        <v>59</v>
      </c>
      <c r="G955">
        <v>16792</v>
      </c>
      <c r="H955" s="116"/>
      <c r="I955" s="116"/>
      <c r="L955" s="166">
        <v>43409</v>
      </c>
      <c r="M955" s="116">
        <v>29.6</v>
      </c>
      <c r="N955" s="116">
        <v>30.375</v>
      </c>
      <c r="O955" s="116">
        <v>29.2</v>
      </c>
      <c r="P955" s="116">
        <v>30.024999999999999</v>
      </c>
      <c r="Q955" s="116">
        <v>59.2</v>
      </c>
      <c r="R955">
        <v>73487</v>
      </c>
    </row>
    <row r="956" spans="1:18" x14ac:dyDescent="0.25">
      <c r="A956" s="166">
        <v>43410</v>
      </c>
      <c r="B956" s="116">
        <v>30.3</v>
      </c>
      <c r="C956" s="116">
        <v>29.524999999999999</v>
      </c>
      <c r="D956" s="116">
        <v>29.15</v>
      </c>
      <c r="E956" s="116">
        <v>29.85</v>
      </c>
      <c r="F956" s="116">
        <v>59.05</v>
      </c>
      <c r="G956">
        <v>12168</v>
      </c>
      <c r="H956" s="116"/>
      <c r="I956" s="116"/>
      <c r="L956" s="166">
        <v>43410</v>
      </c>
      <c r="M956" s="116">
        <v>29.7</v>
      </c>
      <c r="N956" s="116">
        <v>30.3</v>
      </c>
      <c r="O956" s="116">
        <v>29</v>
      </c>
      <c r="P956" s="116">
        <v>29.85</v>
      </c>
      <c r="Q956" s="116">
        <v>59.4</v>
      </c>
      <c r="R956">
        <v>90902</v>
      </c>
    </row>
    <row r="957" spans="1:18" x14ac:dyDescent="0.25">
      <c r="A957" s="166">
        <v>43411</v>
      </c>
      <c r="B957" s="116">
        <v>30.3</v>
      </c>
      <c r="C957" s="116">
        <v>30.175000000000001</v>
      </c>
      <c r="D957" s="116">
        <v>30</v>
      </c>
      <c r="E957" s="116">
        <v>30.25</v>
      </c>
      <c r="F957" s="116">
        <v>60.35</v>
      </c>
      <c r="G957">
        <v>4508</v>
      </c>
      <c r="H957" s="116"/>
      <c r="I957" s="116"/>
      <c r="L957" s="166">
        <v>43411</v>
      </c>
      <c r="M957" s="116">
        <v>30.1</v>
      </c>
      <c r="N957" s="116">
        <v>30.35</v>
      </c>
      <c r="O957" s="116">
        <v>29.975000000000001</v>
      </c>
      <c r="P957" s="116">
        <v>30</v>
      </c>
      <c r="Q957" s="116">
        <v>60.2</v>
      </c>
      <c r="R957">
        <v>19572</v>
      </c>
    </row>
    <row r="958" spans="1:18" x14ac:dyDescent="0.25">
      <c r="A958" s="166">
        <v>43413</v>
      </c>
      <c r="B958" s="116">
        <v>30.824999999999999</v>
      </c>
      <c r="C958" s="116">
        <v>30.024999999999999</v>
      </c>
      <c r="D958" s="116">
        <v>29.524999999999999</v>
      </c>
      <c r="E958" s="116">
        <v>29.524999999999999</v>
      </c>
      <c r="F958" s="116">
        <v>60.05</v>
      </c>
      <c r="G958">
        <v>13898</v>
      </c>
      <c r="H958" s="116"/>
      <c r="I958" s="116"/>
      <c r="L958" s="166">
        <v>43413</v>
      </c>
      <c r="M958" s="116">
        <v>30.125</v>
      </c>
      <c r="N958" s="116">
        <v>30.925000000000001</v>
      </c>
      <c r="O958" s="116">
        <v>29.7</v>
      </c>
      <c r="P958" s="116">
        <v>30.175000000000001</v>
      </c>
      <c r="Q958" s="116">
        <v>60.25</v>
      </c>
      <c r="R958">
        <v>71760</v>
      </c>
    </row>
    <row r="959" spans="1:18" x14ac:dyDescent="0.25">
      <c r="A959" s="166">
        <v>43416</v>
      </c>
      <c r="B959" s="116">
        <v>29.975000000000001</v>
      </c>
      <c r="C959" s="116">
        <v>29.05</v>
      </c>
      <c r="D959" s="116">
        <v>28.774999999999999</v>
      </c>
      <c r="E959" s="116">
        <v>29.95</v>
      </c>
      <c r="F959" s="116">
        <v>58.1</v>
      </c>
      <c r="G959">
        <v>12539</v>
      </c>
      <c r="H959" s="116"/>
      <c r="I959" s="116"/>
      <c r="L959" s="166">
        <v>43416</v>
      </c>
      <c r="M959" s="116">
        <v>28.95</v>
      </c>
      <c r="N959" s="116">
        <v>30.4</v>
      </c>
      <c r="O959" s="116">
        <v>28.774999999999999</v>
      </c>
      <c r="P959" s="116">
        <v>30.4</v>
      </c>
      <c r="Q959" s="116">
        <v>57.9</v>
      </c>
      <c r="R959">
        <v>58703</v>
      </c>
    </row>
    <row r="960" spans="1:18" x14ac:dyDescent="0.25">
      <c r="A960" s="166">
        <v>43417</v>
      </c>
      <c r="B960" s="116">
        <v>28.875</v>
      </c>
      <c r="C960" s="116">
        <v>28.6</v>
      </c>
      <c r="D960" s="116">
        <v>28.425000000000001</v>
      </c>
      <c r="E960" s="116">
        <v>28.875</v>
      </c>
      <c r="F960" s="116">
        <v>57.2</v>
      </c>
      <c r="G960">
        <v>2878</v>
      </c>
      <c r="H960" s="116"/>
      <c r="I960" s="116"/>
      <c r="L960" s="166">
        <v>43417</v>
      </c>
      <c r="M960" s="116">
        <v>28.65</v>
      </c>
      <c r="N960" s="116">
        <v>28.9</v>
      </c>
      <c r="O960" s="116">
        <v>28.324999999999999</v>
      </c>
      <c r="P960" s="116">
        <v>28.8</v>
      </c>
      <c r="Q960" s="116">
        <v>57.3</v>
      </c>
      <c r="R960">
        <v>38849</v>
      </c>
    </row>
    <row r="961" spans="1:18" x14ac:dyDescent="0.25">
      <c r="A961" s="166">
        <v>43418</v>
      </c>
      <c r="B961" s="116">
        <v>28.824999999999999</v>
      </c>
      <c r="C961" s="116">
        <v>28.024999999999999</v>
      </c>
      <c r="D961" s="116">
        <v>28</v>
      </c>
      <c r="E961" s="116">
        <v>28.7</v>
      </c>
      <c r="F961" s="116">
        <v>56.05</v>
      </c>
      <c r="G961">
        <v>13685</v>
      </c>
      <c r="H961" s="116"/>
      <c r="I961" s="116"/>
      <c r="L961" s="166">
        <v>43418</v>
      </c>
      <c r="M961" s="116">
        <v>28.1</v>
      </c>
      <c r="N961" s="116">
        <v>28.75</v>
      </c>
      <c r="O961" s="116">
        <v>28</v>
      </c>
      <c r="P961" s="116">
        <v>28.625</v>
      </c>
      <c r="Q961" s="116">
        <v>56.2</v>
      </c>
      <c r="R961">
        <v>49340</v>
      </c>
    </row>
    <row r="962" spans="1:18" x14ac:dyDescent="0.25">
      <c r="A962" s="166">
        <v>43419</v>
      </c>
      <c r="B962" s="116">
        <v>28.675000000000001</v>
      </c>
      <c r="C962" s="116">
        <v>28.1</v>
      </c>
      <c r="D962" s="116">
        <v>27.625</v>
      </c>
      <c r="E962" s="116">
        <v>28.15</v>
      </c>
      <c r="F962" s="116">
        <v>56.2</v>
      </c>
      <c r="G962">
        <v>39237</v>
      </c>
      <c r="H962" s="116"/>
      <c r="I962" s="116"/>
      <c r="L962" s="166">
        <v>43419</v>
      </c>
      <c r="M962" s="116">
        <v>28.175000000000001</v>
      </c>
      <c r="N962" s="116">
        <v>28.7</v>
      </c>
      <c r="O962" s="116">
        <v>27.8</v>
      </c>
      <c r="P962" s="116">
        <v>27.9</v>
      </c>
      <c r="Q962" s="116">
        <v>56.35</v>
      </c>
      <c r="R962">
        <v>65649</v>
      </c>
    </row>
    <row r="963" spans="1:18" x14ac:dyDescent="0.25">
      <c r="A963" s="166">
        <v>43420</v>
      </c>
      <c r="B963" s="116">
        <v>28.15</v>
      </c>
      <c r="C963" s="116">
        <v>27.75</v>
      </c>
      <c r="D963" s="116">
        <v>27.425000000000001</v>
      </c>
      <c r="E963" s="116">
        <v>27.925000000000001</v>
      </c>
      <c r="F963" s="116">
        <v>55.5</v>
      </c>
      <c r="G963">
        <v>28463</v>
      </c>
      <c r="H963" s="116"/>
      <c r="I963" s="116"/>
      <c r="L963" s="166">
        <v>43420</v>
      </c>
      <c r="M963" s="116">
        <v>27.725000000000001</v>
      </c>
      <c r="N963" s="116">
        <v>28.125</v>
      </c>
      <c r="O963" s="116">
        <v>27.4</v>
      </c>
      <c r="P963" s="116">
        <v>28.125</v>
      </c>
      <c r="Q963" s="116">
        <v>55.45</v>
      </c>
      <c r="R963">
        <v>62258</v>
      </c>
    </row>
    <row r="964" spans="1:18" x14ac:dyDescent="0.25">
      <c r="A964" s="166">
        <v>43423</v>
      </c>
      <c r="B964" s="116">
        <v>28.15</v>
      </c>
      <c r="C964" s="116">
        <v>27.574999999999999</v>
      </c>
      <c r="D964" s="116">
        <v>27</v>
      </c>
      <c r="E964" s="116">
        <v>28.15</v>
      </c>
      <c r="F964" s="116">
        <v>55.15</v>
      </c>
      <c r="G964">
        <v>49751</v>
      </c>
      <c r="H964" s="116"/>
      <c r="I964" s="116"/>
      <c r="L964" s="166">
        <v>43423</v>
      </c>
      <c r="M964" s="116">
        <v>27.6</v>
      </c>
      <c r="N964" s="116">
        <v>27.9</v>
      </c>
      <c r="O964" s="116">
        <v>27</v>
      </c>
      <c r="P964" s="116">
        <v>27.55</v>
      </c>
      <c r="Q964" s="116">
        <v>55.2</v>
      </c>
      <c r="R964">
        <v>76545</v>
      </c>
    </row>
    <row r="965" spans="1:18" x14ac:dyDescent="0.25">
      <c r="A965" s="166">
        <v>43424</v>
      </c>
      <c r="B965" s="116">
        <v>27.75</v>
      </c>
      <c r="C965" s="116">
        <v>27.05</v>
      </c>
      <c r="D965" s="116">
        <v>27</v>
      </c>
      <c r="E965" s="116">
        <v>27.7</v>
      </c>
      <c r="F965" s="116">
        <v>54.1</v>
      </c>
      <c r="G965">
        <v>16183</v>
      </c>
      <c r="H965" s="116"/>
      <c r="I965" s="116"/>
      <c r="L965" s="166">
        <v>43424</v>
      </c>
      <c r="M965" s="116">
        <v>27.274999999999999</v>
      </c>
      <c r="N965" s="116">
        <v>27.85</v>
      </c>
      <c r="O965" s="116">
        <v>27</v>
      </c>
      <c r="P965" s="116">
        <v>27.274999999999999</v>
      </c>
      <c r="Q965" s="116">
        <v>54.55</v>
      </c>
      <c r="R965">
        <v>51267</v>
      </c>
    </row>
    <row r="966" spans="1:18" x14ac:dyDescent="0.25">
      <c r="A966" s="166">
        <v>43425</v>
      </c>
      <c r="B966" s="116">
        <v>30.25</v>
      </c>
      <c r="C966" s="116">
        <v>29.024999999999999</v>
      </c>
      <c r="D966" s="116">
        <v>26.824999999999999</v>
      </c>
      <c r="E966" s="116">
        <v>27</v>
      </c>
      <c r="F966" s="116">
        <v>58.05</v>
      </c>
      <c r="G966">
        <v>57839</v>
      </c>
      <c r="H966" s="116"/>
      <c r="I966" s="116"/>
      <c r="L966" s="166">
        <v>43425</v>
      </c>
      <c r="M966" s="116">
        <v>29.05</v>
      </c>
      <c r="N966" s="116">
        <v>30.45</v>
      </c>
      <c r="O966" s="116">
        <v>26.7</v>
      </c>
      <c r="P966" s="116">
        <v>26.7</v>
      </c>
      <c r="Q966" s="116">
        <v>58.1</v>
      </c>
      <c r="R966">
        <v>267216</v>
      </c>
    </row>
    <row r="967" spans="1:18" x14ac:dyDescent="0.25">
      <c r="A967" s="166">
        <v>43426</v>
      </c>
      <c r="B967" s="116">
        <v>30</v>
      </c>
      <c r="C967" s="116">
        <v>28.1</v>
      </c>
      <c r="D967" s="116">
        <v>28</v>
      </c>
      <c r="E967" s="116">
        <v>29.75</v>
      </c>
      <c r="F967" s="116">
        <v>56.2</v>
      </c>
      <c r="G967">
        <v>24730</v>
      </c>
      <c r="H967" s="116"/>
      <c r="I967" s="116"/>
      <c r="L967" s="166">
        <v>43426</v>
      </c>
      <c r="M967" s="116">
        <v>28.074999999999999</v>
      </c>
      <c r="N967" s="116">
        <v>29.9</v>
      </c>
      <c r="O967" s="116">
        <v>27.925000000000001</v>
      </c>
      <c r="P967" s="116">
        <v>28.925000000000001</v>
      </c>
      <c r="Q967" s="116">
        <v>56.15</v>
      </c>
      <c r="R967">
        <v>59455</v>
      </c>
    </row>
    <row r="968" spans="1:18" x14ac:dyDescent="0.25">
      <c r="A968" s="166">
        <v>43430</v>
      </c>
      <c r="B968" s="116">
        <v>29.85</v>
      </c>
      <c r="C968" s="116">
        <v>29.425000000000001</v>
      </c>
      <c r="D968" s="116">
        <v>27.625</v>
      </c>
      <c r="E968" s="116">
        <v>28.3</v>
      </c>
      <c r="F968" s="116">
        <v>58.85</v>
      </c>
      <c r="G968">
        <v>26692</v>
      </c>
      <c r="H968" s="116"/>
      <c r="I968" s="116"/>
      <c r="L968" s="166">
        <v>43430</v>
      </c>
      <c r="M968" s="116">
        <v>29.3</v>
      </c>
      <c r="N968" s="116">
        <v>29.9</v>
      </c>
      <c r="O968" s="116">
        <v>27.574999999999999</v>
      </c>
      <c r="P968" s="116">
        <v>28.25</v>
      </c>
      <c r="Q968" s="116">
        <v>58.6</v>
      </c>
      <c r="R968">
        <v>125637</v>
      </c>
    </row>
    <row r="969" spans="1:18" x14ac:dyDescent="0.25">
      <c r="A969" s="166">
        <v>43431</v>
      </c>
      <c r="B969" s="116">
        <v>29.75</v>
      </c>
      <c r="C969" s="116">
        <v>29.125</v>
      </c>
      <c r="D969" s="116">
        <v>28.65</v>
      </c>
      <c r="E969" s="116">
        <v>28.925000000000001</v>
      </c>
      <c r="F969" s="116">
        <v>58.25</v>
      </c>
      <c r="G969">
        <v>20160</v>
      </c>
      <c r="H969" s="116"/>
      <c r="I969" s="116"/>
      <c r="L969" s="166">
        <v>43431</v>
      </c>
      <c r="M969" s="116">
        <v>29.175000000000001</v>
      </c>
      <c r="N969" s="116">
        <v>29.9</v>
      </c>
      <c r="O969" s="116">
        <v>28.625</v>
      </c>
      <c r="P969" s="116">
        <v>29</v>
      </c>
      <c r="Q969" s="116">
        <v>58.35</v>
      </c>
      <c r="R969">
        <v>109849</v>
      </c>
    </row>
    <row r="970" spans="1:18" x14ac:dyDescent="0.25">
      <c r="A970" s="166">
        <v>43432</v>
      </c>
      <c r="B970" s="116">
        <v>29.225000000000001</v>
      </c>
      <c r="C970" s="116">
        <v>27.85</v>
      </c>
      <c r="D970" s="116">
        <v>27.75</v>
      </c>
      <c r="E970" s="116">
        <v>29.05</v>
      </c>
      <c r="F970" s="116">
        <v>55.7</v>
      </c>
      <c r="G970">
        <v>21526</v>
      </c>
      <c r="H970" s="116"/>
      <c r="I970" s="116"/>
      <c r="L970" s="166">
        <v>43432</v>
      </c>
      <c r="M970" s="116">
        <v>27.875</v>
      </c>
      <c r="N970" s="116">
        <v>29.274999999999999</v>
      </c>
      <c r="O970" s="116">
        <v>27.725000000000001</v>
      </c>
      <c r="P970" s="116">
        <v>29.024999999999999</v>
      </c>
      <c r="Q970" s="116">
        <v>55.75</v>
      </c>
      <c r="R970">
        <v>92046</v>
      </c>
    </row>
    <row r="971" spans="1:18" x14ac:dyDescent="0.25">
      <c r="A971" s="166">
        <v>43433</v>
      </c>
      <c r="B971" s="116">
        <v>28.45</v>
      </c>
      <c r="C971" s="116">
        <v>28.225000000000001</v>
      </c>
      <c r="D971" s="116">
        <v>27.45</v>
      </c>
      <c r="E971" s="116">
        <v>28.125</v>
      </c>
      <c r="F971" s="116">
        <v>56.45</v>
      </c>
      <c r="G971">
        <v>30306</v>
      </c>
      <c r="H971" s="116"/>
      <c r="I971" s="116"/>
      <c r="L971" s="166">
        <v>43433</v>
      </c>
      <c r="M971" s="116">
        <v>28.25</v>
      </c>
      <c r="N971" s="116">
        <v>28.45</v>
      </c>
      <c r="O971" s="116">
        <v>27.375</v>
      </c>
      <c r="P971" s="116">
        <v>28.1</v>
      </c>
      <c r="Q971" s="116">
        <v>56.5</v>
      </c>
      <c r="R971">
        <v>78653</v>
      </c>
    </row>
    <row r="972" spans="1:18" x14ac:dyDescent="0.25">
      <c r="A972" s="166">
        <v>43434</v>
      </c>
      <c r="B972" s="116">
        <v>29.25</v>
      </c>
      <c r="C972" s="116">
        <v>28.85</v>
      </c>
      <c r="D972" s="116">
        <v>27.85</v>
      </c>
      <c r="E972" s="116">
        <v>28</v>
      </c>
      <c r="F972" s="116">
        <v>57.7</v>
      </c>
      <c r="G972">
        <v>24560</v>
      </c>
      <c r="H972" s="116"/>
      <c r="I972" s="116"/>
      <c r="L972" s="166">
        <v>43434</v>
      </c>
      <c r="M972" s="116">
        <v>28.824999999999999</v>
      </c>
      <c r="N972" s="116">
        <v>29.2</v>
      </c>
      <c r="O972" s="116">
        <v>28.1</v>
      </c>
      <c r="P972" s="116">
        <v>28.475000000000001</v>
      </c>
      <c r="Q972" s="116">
        <v>57.65</v>
      </c>
      <c r="R972">
        <v>68755</v>
      </c>
    </row>
    <row r="973" spans="1:18" x14ac:dyDescent="0.25">
      <c r="A973" s="166">
        <v>43437</v>
      </c>
      <c r="B973" s="116">
        <v>29.8</v>
      </c>
      <c r="C973" s="116">
        <v>29.55</v>
      </c>
      <c r="D973" s="116">
        <v>28.225000000000001</v>
      </c>
      <c r="E973" s="116">
        <v>28.5</v>
      </c>
      <c r="F973" s="116">
        <v>59.1</v>
      </c>
      <c r="G973">
        <v>30902</v>
      </c>
      <c r="H973" s="116"/>
      <c r="I973" s="116"/>
      <c r="L973" s="166">
        <v>43437</v>
      </c>
      <c r="M973" s="116">
        <v>29.45</v>
      </c>
      <c r="N973" s="116">
        <v>29.75</v>
      </c>
      <c r="O973" s="116">
        <v>28.324999999999999</v>
      </c>
      <c r="P973" s="116">
        <v>29</v>
      </c>
      <c r="Q973" s="116">
        <v>58.9</v>
      </c>
      <c r="R973">
        <v>70575</v>
      </c>
    </row>
    <row r="974" spans="1:18" x14ac:dyDescent="0.25">
      <c r="A974" s="166">
        <v>43438</v>
      </c>
      <c r="B974" s="116">
        <v>30</v>
      </c>
      <c r="C974" s="116">
        <v>29.55</v>
      </c>
      <c r="D974" s="116">
        <v>28.975000000000001</v>
      </c>
      <c r="E974" s="116">
        <v>28.975000000000001</v>
      </c>
      <c r="F974" s="116">
        <v>59.1</v>
      </c>
      <c r="G974">
        <v>19564</v>
      </c>
      <c r="H974" s="116"/>
      <c r="I974" s="116"/>
      <c r="L974" s="166">
        <v>43438</v>
      </c>
      <c r="M974" s="116">
        <v>29.6</v>
      </c>
      <c r="N974" s="116">
        <v>29.875</v>
      </c>
      <c r="O974" s="116">
        <v>28.9</v>
      </c>
      <c r="P974" s="116">
        <v>29.25</v>
      </c>
      <c r="Q974" s="116">
        <v>59.2</v>
      </c>
      <c r="R974">
        <v>51958</v>
      </c>
    </row>
    <row r="975" spans="1:18" x14ac:dyDescent="0.25">
      <c r="A975" s="166">
        <v>43439</v>
      </c>
      <c r="B975" s="116">
        <v>29.875</v>
      </c>
      <c r="C975" s="116">
        <v>29.35</v>
      </c>
      <c r="D975" s="116">
        <v>29.1</v>
      </c>
      <c r="E975" s="116">
        <v>29.3</v>
      </c>
      <c r="F975" s="116">
        <v>58.7</v>
      </c>
      <c r="G975">
        <v>17645</v>
      </c>
      <c r="H975" s="116"/>
      <c r="I975" s="116"/>
      <c r="L975" s="166">
        <v>43439</v>
      </c>
      <c r="M975" s="116">
        <v>29.175000000000001</v>
      </c>
      <c r="N975" s="116">
        <v>29.824999999999999</v>
      </c>
      <c r="O975" s="116">
        <v>28.824999999999999</v>
      </c>
      <c r="P975" s="116">
        <v>29.175000000000001</v>
      </c>
      <c r="Q975" s="116">
        <v>58.35</v>
      </c>
      <c r="R975">
        <v>58938</v>
      </c>
    </row>
    <row r="976" spans="1:18" x14ac:dyDescent="0.25">
      <c r="A976" s="166">
        <v>43440</v>
      </c>
      <c r="B976" s="116">
        <v>29.55</v>
      </c>
      <c r="C976" s="116">
        <v>28.625</v>
      </c>
      <c r="D976" s="116">
        <v>28.35</v>
      </c>
      <c r="E976" s="116">
        <v>29.375</v>
      </c>
      <c r="F976" s="116">
        <v>57.25</v>
      </c>
      <c r="G976">
        <v>60851</v>
      </c>
      <c r="H976" s="116"/>
      <c r="I976" s="116"/>
      <c r="L976" s="166">
        <v>43440</v>
      </c>
      <c r="M976" s="116">
        <v>28.625</v>
      </c>
      <c r="N976" s="116">
        <v>29.65</v>
      </c>
      <c r="O976" s="116">
        <v>28.375</v>
      </c>
      <c r="P976" s="116">
        <v>29.25</v>
      </c>
      <c r="Q976" s="116">
        <v>57.25</v>
      </c>
      <c r="R976">
        <v>93618</v>
      </c>
    </row>
    <row r="977" spans="1:18" x14ac:dyDescent="0.25">
      <c r="A977" s="166">
        <v>43441</v>
      </c>
      <c r="B977" s="116">
        <v>29.1</v>
      </c>
      <c r="C977" s="116">
        <v>28.524999999999999</v>
      </c>
      <c r="D977" s="116">
        <v>28.15</v>
      </c>
      <c r="E977" s="116">
        <v>28.625</v>
      </c>
      <c r="F977" s="116">
        <v>57.05</v>
      </c>
      <c r="G977">
        <v>22340</v>
      </c>
      <c r="H977" s="116"/>
      <c r="I977" s="116"/>
      <c r="L977" s="166">
        <v>43441</v>
      </c>
      <c r="M977" s="116">
        <v>28.475000000000001</v>
      </c>
      <c r="N977" s="116">
        <v>29.125</v>
      </c>
      <c r="O977" s="116">
        <v>28.25</v>
      </c>
      <c r="P977" s="116">
        <v>28.65</v>
      </c>
      <c r="Q977" s="116">
        <v>56.95</v>
      </c>
      <c r="R977">
        <v>50484</v>
      </c>
    </row>
    <row r="978" spans="1:18" x14ac:dyDescent="0.25">
      <c r="A978" s="166">
        <v>43444</v>
      </c>
      <c r="B978" s="116">
        <v>28.475000000000001</v>
      </c>
      <c r="C978" s="116">
        <v>28.324999999999999</v>
      </c>
      <c r="D978" s="116">
        <v>27</v>
      </c>
      <c r="E978" s="116">
        <v>28.25</v>
      </c>
      <c r="F978" s="116">
        <v>56.65</v>
      </c>
      <c r="G978">
        <v>31316</v>
      </c>
      <c r="H978" s="116"/>
      <c r="I978" s="116"/>
      <c r="L978" s="166">
        <v>43444</v>
      </c>
      <c r="M978" s="116">
        <v>28.324999999999999</v>
      </c>
      <c r="N978" s="116">
        <v>28.55</v>
      </c>
      <c r="O978" s="116">
        <v>26.925000000000001</v>
      </c>
      <c r="P978" s="116">
        <v>28.175000000000001</v>
      </c>
      <c r="Q978" s="116">
        <v>56.65</v>
      </c>
      <c r="R978">
        <v>99275</v>
      </c>
    </row>
    <row r="979" spans="1:18" x14ac:dyDescent="0.25">
      <c r="A979" s="166">
        <v>43445</v>
      </c>
      <c r="B979" s="116">
        <v>29</v>
      </c>
      <c r="C979" s="116">
        <v>28.85</v>
      </c>
      <c r="D979" s="116">
        <v>28.175000000000001</v>
      </c>
      <c r="E979" s="116">
        <v>28.175000000000001</v>
      </c>
      <c r="F979" s="116">
        <v>57.7</v>
      </c>
      <c r="G979">
        <v>21512</v>
      </c>
      <c r="H979" s="116"/>
      <c r="I979" s="116"/>
      <c r="L979" s="166">
        <v>43445</v>
      </c>
      <c r="M979" s="116">
        <v>28.925000000000001</v>
      </c>
      <c r="N979" s="116">
        <v>29.05</v>
      </c>
      <c r="O979" s="116">
        <v>28</v>
      </c>
      <c r="P979" s="116">
        <v>28</v>
      </c>
      <c r="Q979" s="116">
        <v>57.85</v>
      </c>
      <c r="R979">
        <v>69092</v>
      </c>
    </row>
    <row r="980" spans="1:18" x14ac:dyDescent="0.25">
      <c r="A980" s="166">
        <v>43446</v>
      </c>
      <c r="B980" s="116">
        <v>30.6</v>
      </c>
      <c r="C980" s="116">
        <v>29.725000000000001</v>
      </c>
      <c r="D980" s="116">
        <v>28.675000000000001</v>
      </c>
      <c r="E980" s="116">
        <v>28.725000000000001</v>
      </c>
      <c r="F980" s="116">
        <v>59.45</v>
      </c>
      <c r="G980">
        <v>28223</v>
      </c>
      <c r="H980" s="116"/>
      <c r="I980" s="116"/>
      <c r="L980" s="166">
        <v>43446</v>
      </c>
      <c r="M980" s="116">
        <v>29.824999999999999</v>
      </c>
      <c r="N980" s="116">
        <v>30.574999999999999</v>
      </c>
      <c r="O980" s="116">
        <v>28.55</v>
      </c>
      <c r="P980" s="116">
        <v>29.225000000000001</v>
      </c>
      <c r="Q980" s="116">
        <v>59.65</v>
      </c>
      <c r="R980">
        <v>104750</v>
      </c>
    </row>
    <row r="981" spans="1:18" x14ac:dyDescent="0.25">
      <c r="A981" s="166">
        <v>43447</v>
      </c>
      <c r="B981" s="116">
        <v>31.425000000000001</v>
      </c>
      <c r="C981" s="116">
        <v>30.824999999999999</v>
      </c>
      <c r="D981" s="116">
        <v>29.675000000000001</v>
      </c>
      <c r="E981" s="116">
        <v>29.675000000000001</v>
      </c>
      <c r="F981" s="116">
        <v>61.65</v>
      </c>
      <c r="G981">
        <v>39859</v>
      </c>
      <c r="H981" s="116"/>
      <c r="I981" s="116"/>
      <c r="L981" s="166">
        <v>43447</v>
      </c>
      <c r="M981" s="116">
        <v>30.975000000000001</v>
      </c>
      <c r="N981" s="116">
        <v>31.4</v>
      </c>
      <c r="O981" s="116">
        <v>29.574999999999999</v>
      </c>
      <c r="P981" s="116">
        <v>29.574999999999999</v>
      </c>
      <c r="Q981" s="116">
        <v>61.95</v>
      </c>
      <c r="R981">
        <v>166581</v>
      </c>
    </row>
    <row r="982" spans="1:18" x14ac:dyDescent="0.25">
      <c r="A982" s="166">
        <v>43448</v>
      </c>
      <c r="B982" s="116">
        <v>33.049999999999997</v>
      </c>
      <c r="C982" s="116">
        <v>32.325000000000003</v>
      </c>
      <c r="D982" s="116">
        <v>30.524999999999999</v>
      </c>
      <c r="E982" s="116">
        <v>30.774999999999999</v>
      </c>
      <c r="F982" s="116">
        <v>64.650000000000006</v>
      </c>
      <c r="G982">
        <v>68418</v>
      </c>
      <c r="H982" s="116"/>
      <c r="I982" s="116"/>
      <c r="L982" s="166">
        <v>43448</v>
      </c>
      <c r="M982" s="116">
        <v>32.424999999999997</v>
      </c>
      <c r="N982" s="116">
        <v>33.075000000000003</v>
      </c>
      <c r="O982" s="116">
        <v>30.5</v>
      </c>
      <c r="P982" s="116">
        <v>31.25</v>
      </c>
      <c r="Q982" s="116">
        <v>64.849999999999994</v>
      </c>
      <c r="R982">
        <v>360207</v>
      </c>
    </row>
    <row r="983" spans="1:18" x14ac:dyDescent="0.25">
      <c r="A983" s="166">
        <v>43451</v>
      </c>
      <c r="B983" s="116">
        <v>32.950000000000003</v>
      </c>
      <c r="C983" s="116">
        <v>31.524999999999999</v>
      </c>
      <c r="D983" s="116">
        <v>30.95</v>
      </c>
      <c r="E983" s="116">
        <v>32.774999999999999</v>
      </c>
      <c r="F983" s="116">
        <v>63.05</v>
      </c>
      <c r="G983">
        <v>38221</v>
      </c>
      <c r="H983" s="116"/>
      <c r="I983" s="116"/>
      <c r="L983" s="166">
        <v>43451</v>
      </c>
      <c r="M983" s="116">
        <v>31.55</v>
      </c>
      <c r="N983" s="116">
        <v>33.15</v>
      </c>
      <c r="O983" s="116">
        <v>31.05</v>
      </c>
      <c r="P983" s="116">
        <v>33</v>
      </c>
      <c r="Q983" s="116">
        <v>63.1</v>
      </c>
      <c r="R983">
        <v>186094</v>
      </c>
    </row>
    <row r="984" spans="1:18" x14ac:dyDescent="0.25">
      <c r="A984" s="166">
        <v>43452</v>
      </c>
      <c r="B984" s="116">
        <v>33.825000000000003</v>
      </c>
      <c r="C984" s="116">
        <v>33.549999999999997</v>
      </c>
      <c r="D984" s="116">
        <v>31</v>
      </c>
      <c r="E984" s="116">
        <v>31.25</v>
      </c>
      <c r="F984" s="116">
        <v>67.099999999999994</v>
      </c>
      <c r="G984">
        <v>75818</v>
      </c>
      <c r="H984" s="116"/>
      <c r="I984" s="116"/>
      <c r="L984" s="166">
        <v>43452</v>
      </c>
      <c r="M984" s="116">
        <v>33.6</v>
      </c>
      <c r="N984" s="116">
        <v>33.85</v>
      </c>
      <c r="O984" s="116">
        <v>30.85</v>
      </c>
      <c r="P984" s="116">
        <v>31.25</v>
      </c>
      <c r="Q984" s="116">
        <v>67.2</v>
      </c>
      <c r="R984">
        <v>279782</v>
      </c>
    </row>
    <row r="985" spans="1:18" x14ac:dyDescent="0.25">
      <c r="A985" s="166">
        <v>43453</v>
      </c>
      <c r="B985" s="116">
        <v>34.225000000000001</v>
      </c>
      <c r="C985" s="116">
        <v>33.225000000000001</v>
      </c>
      <c r="D985" s="116">
        <v>32.725000000000001</v>
      </c>
      <c r="E985" s="116">
        <v>33.524999999999999</v>
      </c>
      <c r="F985" s="116">
        <v>66.45</v>
      </c>
      <c r="G985">
        <v>32804</v>
      </c>
      <c r="H985" s="116"/>
      <c r="I985" s="116"/>
      <c r="L985" s="166">
        <v>43453</v>
      </c>
      <c r="M985" s="116">
        <v>33.325000000000003</v>
      </c>
      <c r="N985" s="116">
        <v>34.25</v>
      </c>
      <c r="O985" s="116">
        <v>32.700000000000003</v>
      </c>
      <c r="P985" s="116">
        <v>33.725000000000001</v>
      </c>
      <c r="Q985" s="116">
        <v>66.650000000000006</v>
      </c>
      <c r="R985">
        <v>213243</v>
      </c>
    </row>
    <row r="986" spans="1:18" x14ac:dyDescent="0.25">
      <c r="A986" s="166">
        <v>43454</v>
      </c>
      <c r="B986" s="116">
        <v>35</v>
      </c>
      <c r="C986" s="116">
        <v>34.424999999999997</v>
      </c>
      <c r="D986" s="116">
        <v>33.1</v>
      </c>
      <c r="E986" s="116">
        <v>34</v>
      </c>
      <c r="F986" s="116">
        <v>68.849999999999994</v>
      </c>
      <c r="G986">
        <v>47258</v>
      </c>
      <c r="H986" s="116"/>
      <c r="I986" s="116"/>
      <c r="L986" s="166">
        <v>43454</v>
      </c>
      <c r="M986" s="116">
        <v>34.4</v>
      </c>
      <c r="N986" s="116">
        <v>35</v>
      </c>
      <c r="O986" s="116">
        <v>33.024999999999999</v>
      </c>
      <c r="P986" s="116">
        <v>33.799999999999997</v>
      </c>
      <c r="Q986" s="116">
        <v>68.8</v>
      </c>
      <c r="R986">
        <v>269288</v>
      </c>
    </row>
    <row r="987" spans="1:18" x14ac:dyDescent="0.25">
      <c r="A987" s="166">
        <v>43455</v>
      </c>
      <c r="B987" s="116">
        <v>34.625</v>
      </c>
      <c r="C987" s="116">
        <v>33.774999999999999</v>
      </c>
      <c r="D987" s="116">
        <v>33.575000000000003</v>
      </c>
      <c r="E987" s="116">
        <v>33.75</v>
      </c>
      <c r="F987" s="116">
        <v>67.55</v>
      </c>
      <c r="G987">
        <v>34292</v>
      </c>
      <c r="H987" s="116"/>
      <c r="I987" s="116"/>
      <c r="L987" s="166">
        <v>43455</v>
      </c>
      <c r="M987" s="116">
        <v>33.9</v>
      </c>
      <c r="N987" s="116">
        <v>34.674999999999997</v>
      </c>
      <c r="O987" s="116">
        <v>33.5</v>
      </c>
      <c r="P987" s="116">
        <v>34.200000000000003</v>
      </c>
      <c r="Q987" s="116">
        <v>67.8</v>
      </c>
      <c r="R987">
        <v>97874</v>
      </c>
    </row>
    <row r="988" spans="1:18" x14ac:dyDescent="0.25">
      <c r="A988" s="166">
        <v>43458</v>
      </c>
      <c r="B988" s="116">
        <v>35.450000000000003</v>
      </c>
      <c r="C988" s="116">
        <v>34.375</v>
      </c>
      <c r="D988" s="116">
        <v>34</v>
      </c>
      <c r="E988" s="116">
        <v>34</v>
      </c>
      <c r="F988" s="116">
        <v>68.75</v>
      </c>
      <c r="G988">
        <v>49328</v>
      </c>
      <c r="H988" s="116"/>
      <c r="I988" s="116"/>
      <c r="L988" s="166">
        <v>43458</v>
      </c>
      <c r="M988" s="116">
        <v>34.35</v>
      </c>
      <c r="N988" s="116">
        <v>35.4</v>
      </c>
      <c r="O988" s="116">
        <v>33.75</v>
      </c>
      <c r="P988" s="116">
        <v>34.25</v>
      </c>
      <c r="Q988" s="116">
        <v>68.7</v>
      </c>
      <c r="R988">
        <v>149643</v>
      </c>
    </row>
    <row r="989" spans="1:18" x14ac:dyDescent="0.25">
      <c r="A989" s="166">
        <v>43460</v>
      </c>
      <c r="B989" s="116">
        <v>34.25</v>
      </c>
      <c r="C989" s="116">
        <v>34.225000000000001</v>
      </c>
      <c r="D989" s="116">
        <v>33.674999999999997</v>
      </c>
      <c r="E989" s="116">
        <v>34.25</v>
      </c>
      <c r="F989" s="116">
        <v>68.45</v>
      </c>
      <c r="G989">
        <v>37325</v>
      </c>
      <c r="H989" s="116"/>
      <c r="I989" s="116"/>
      <c r="L989" s="166">
        <v>43460</v>
      </c>
      <c r="M989" s="116">
        <v>34.174999999999997</v>
      </c>
      <c r="N989" s="116">
        <v>34.325000000000003</v>
      </c>
      <c r="O989" s="116">
        <v>33.549999999999997</v>
      </c>
      <c r="P989" s="116">
        <v>34.174999999999997</v>
      </c>
      <c r="Q989" s="116">
        <v>68.349999999999994</v>
      </c>
      <c r="R989">
        <v>56395</v>
      </c>
    </row>
    <row r="990" spans="1:18" x14ac:dyDescent="0.25">
      <c r="A990" s="166">
        <v>43461</v>
      </c>
      <c r="B990" s="116">
        <v>34.85</v>
      </c>
      <c r="C990" s="116">
        <v>34.049999999999997</v>
      </c>
      <c r="D990" s="116">
        <v>33.5</v>
      </c>
      <c r="E990" s="116">
        <v>34.1</v>
      </c>
      <c r="F990" s="116">
        <v>68.099999999999994</v>
      </c>
      <c r="G990">
        <v>30671</v>
      </c>
      <c r="H990" s="116"/>
      <c r="I990" s="116"/>
      <c r="L990" s="166">
        <v>43461</v>
      </c>
      <c r="M990" s="116">
        <v>34.024999999999999</v>
      </c>
      <c r="N990" s="116">
        <v>34.924999999999997</v>
      </c>
      <c r="O990" s="116">
        <v>33.375</v>
      </c>
      <c r="P990" s="116">
        <v>34</v>
      </c>
      <c r="Q990" s="116">
        <v>68.05</v>
      </c>
      <c r="R990">
        <v>93056</v>
      </c>
    </row>
    <row r="991" spans="1:18" x14ac:dyDescent="0.25">
      <c r="A991" s="166">
        <v>43462</v>
      </c>
      <c r="B991" s="116">
        <v>35.25</v>
      </c>
      <c r="C991" s="116">
        <v>34.75</v>
      </c>
      <c r="D991" s="116">
        <v>34.15</v>
      </c>
      <c r="E991" s="116">
        <v>34.15</v>
      </c>
      <c r="F991" s="116">
        <v>69.5</v>
      </c>
      <c r="G991">
        <v>10852</v>
      </c>
      <c r="H991" s="116"/>
      <c r="I991" s="116"/>
      <c r="L991" s="166">
        <v>43462</v>
      </c>
      <c r="M991" s="116">
        <v>34.85</v>
      </c>
      <c r="N991" s="116">
        <v>35.325000000000003</v>
      </c>
      <c r="O991" s="116">
        <v>33.85</v>
      </c>
      <c r="P991" s="116">
        <v>34.024999999999999</v>
      </c>
      <c r="Q991" s="116">
        <v>69.7</v>
      </c>
      <c r="R991">
        <v>94782</v>
      </c>
    </row>
    <row r="992" spans="1:18" x14ac:dyDescent="0.25">
      <c r="A992" s="166">
        <v>43465</v>
      </c>
      <c r="B992" s="116">
        <v>35.625</v>
      </c>
      <c r="C992" s="116">
        <v>35.174999999999997</v>
      </c>
      <c r="D992" s="116">
        <v>34.75</v>
      </c>
      <c r="E992" s="116">
        <v>34.825000000000003</v>
      </c>
      <c r="F992" s="116">
        <v>70.349999999999994</v>
      </c>
      <c r="G992">
        <v>49951</v>
      </c>
      <c r="H992" s="116"/>
      <c r="I992" s="116"/>
      <c r="L992" s="166">
        <v>43465</v>
      </c>
      <c r="M992" s="116">
        <v>35.049999999999997</v>
      </c>
      <c r="N992" s="116">
        <v>35.65</v>
      </c>
      <c r="O992" s="116">
        <v>34.6</v>
      </c>
      <c r="P992" s="116">
        <v>34.799999999999997</v>
      </c>
      <c r="Q992" s="116">
        <v>70.099999999999994</v>
      </c>
      <c r="R992">
        <v>83532</v>
      </c>
    </row>
    <row r="993" spans="1:18" x14ac:dyDescent="0.25">
      <c r="A993" s="166">
        <v>43466</v>
      </c>
      <c r="B993" s="116">
        <v>35.424999999999997</v>
      </c>
      <c r="C993" s="116">
        <v>34.924999999999997</v>
      </c>
      <c r="D993" s="116">
        <v>34.15</v>
      </c>
      <c r="E993" s="116">
        <v>34.774999999999999</v>
      </c>
      <c r="F993" s="116">
        <v>69.849999999999994</v>
      </c>
      <c r="G993">
        <v>49130</v>
      </c>
      <c r="H993" s="116"/>
      <c r="I993" s="116"/>
      <c r="L993" s="166">
        <v>43466</v>
      </c>
      <c r="M993" s="116">
        <v>34.799999999999997</v>
      </c>
      <c r="N993" s="116">
        <v>35.225000000000001</v>
      </c>
      <c r="O993" s="116">
        <v>34.1</v>
      </c>
      <c r="P993" s="116">
        <v>35.049999999999997</v>
      </c>
      <c r="Q993" s="116">
        <v>69.599999999999994</v>
      </c>
      <c r="R993">
        <v>54989</v>
      </c>
    </row>
    <row r="994" spans="1:18" x14ac:dyDescent="0.25">
      <c r="A994" s="166">
        <v>43467</v>
      </c>
      <c r="B994" s="116">
        <v>34.975000000000001</v>
      </c>
      <c r="C994" s="116">
        <v>34.174999999999997</v>
      </c>
      <c r="D994" s="116">
        <v>33.674999999999997</v>
      </c>
      <c r="E994" s="116">
        <v>34.725000000000001</v>
      </c>
      <c r="F994" s="116">
        <v>68.349999999999994</v>
      </c>
      <c r="G994">
        <v>23220</v>
      </c>
      <c r="H994" s="116"/>
      <c r="I994" s="116"/>
      <c r="L994" s="166">
        <v>43467</v>
      </c>
      <c r="M994" s="116">
        <v>34.15</v>
      </c>
      <c r="N994" s="116">
        <v>35.075000000000003</v>
      </c>
      <c r="O994" s="116">
        <v>33.549999999999997</v>
      </c>
      <c r="P994" s="116">
        <v>34.524999999999999</v>
      </c>
      <c r="Q994" s="116">
        <v>68.3</v>
      </c>
      <c r="R994">
        <v>86660</v>
      </c>
    </row>
    <row r="995" spans="1:18" x14ac:dyDescent="0.25">
      <c r="A995" s="166">
        <v>43468</v>
      </c>
      <c r="B995" s="116">
        <v>34.25</v>
      </c>
      <c r="C995" s="116">
        <v>32.975000000000001</v>
      </c>
      <c r="D995" s="116">
        <v>32.5</v>
      </c>
      <c r="E995" s="116">
        <v>33.725000000000001</v>
      </c>
      <c r="F995" s="116">
        <v>65.95</v>
      </c>
      <c r="G995">
        <v>49872</v>
      </c>
      <c r="H995" s="116"/>
      <c r="I995" s="116"/>
      <c r="L995" s="166">
        <v>43468</v>
      </c>
      <c r="M995" s="116">
        <v>33.1</v>
      </c>
      <c r="N995" s="116">
        <v>34.274999999999999</v>
      </c>
      <c r="O995" s="116">
        <v>32.625</v>
      </c>
      <c r="P995" s="116">
        <v>34</v>
      </c>
      <c r="Q995" s="116">
        <v>66.2</v>
      </c>
      <c r="R995">
        <v>55983</v>
      </c>
    </row>
    <row r="996" spans="1:18" x14ac:dyDescent="0.25">
      <c r="A996" s="166">
        <v>43469</v>
      </c>
      <c r="B996" s="116">
        <v>33.725000000000001</v>
      </c>
      <c r="C996" s="116">
        <v>33.15</v>
      </c>
      <c r="D996" s="116">
        <v>32.725000000000001</v>
      </c>
      <c r="E996" s="116">
        <v>33.024999999999999</v>
      </c>
      <c r="F996" s="116">
        <v>66.3</v>
      </c>
      <c r="G996">
        <v>33492</v>
      </c>
      <c r="H996" s="116"/>
      <c r="I996" s="116"/>
      <c r="L996" s="166">
        <v>43469</v>
      </c>
      <c r="M996" s="116">
        <v>33.325000000000003</v>
      </c>
      <c r="N996" s="116">
        <v>33.549999999999997</v>
      </c>
      <c r="O996" s="116">
        <v>32.774999999999999</v>
      </c>
      <c r="P996" s="116">
        <v>33.1</v>
      </c>
      <c r="Q996" s="116">
        <v>66.650000000000006</v>
      </c>
      <c r="R996">
        <v>73568</v>
      </c>
    </row>
    <row r="997" spans="1:18" x14ac:dyDescent="0.25">
      <c r="A997" s="166">
        <v>43472</v>
      </c>
      <c r="B997" s="116">
        <v>34.25</v>
      </c>
      <c r="C997" s="116">
        <v>33</v>
      </c>
      <c r="D997" s="116">
        <v>32.799999999999997</v>
      </c>
      <c r="E997" s="116">
        <v>33.024999999999999</v>
      </c>
      <c r="F997" s="116">
        <v>66</v>
      </c>
      <c r="G997">
        <v>37956</v>
      </c>
      <c r="H997" s="116"/>
      <c r="I997" s="116"/>
      <c r="L997" s="166">
        <v>43472</v>
      </c>
      <c r="M997" s="116">
        <v>33.049999999999997</v>
      </c>
      <c r="N997" s="116">
        <v>33.975000000000001</v>
      </c>
      <c r="O997" s="116">
        <v>32.9</v>
      </c>
      <c r="P997" s="116">
        <v>33.25</v>
      </c>
      <c r="Q997" s="116">
        <v>66.099999999999994</v>
      </c>
      <c r="R997">
        <v>72341</v>
      </c>
    </row>
    <row r="998" spans="1:18" x14ac:dyDescent="0.25">
      <c r="A998" s="166">
        <v>43473</v>
      </c>
      <c r="B998" s="116">
        <v>33.5</v>
      </c>
      <c r="C998" s="116">
        <v>33.15</v>
      </c>
      <c r="D998" s="116">
        <v>32.825000000000003</v>
      </c>
      <c r="E998" s="116">
        <v>32.924999999999997</v>
      </c>
      <c r="F998" s="116">
        <v>66.3</v>
      </c>
      <c r="G998">
        <v>10494</v>
      </c>
      <c r="H998" s="116"/>
      <c r="I998" s="116"/>
      <c r="L998" s="166">
        <v>43473</v>
      </c>
      <c r="M998" s="116">
        <v>33.450000000000003</v>
      </c>
      <c r="N998" s="116">
        <v>33.725000000000001</v>
      </c>
      <c r="O998" s="116">
        <v>32.6</v>
      </c>
      <c r="P998" s="116">
        <v>32.924999999999997</v>
      </c>
      <c r="Q998" s="116">
        <v>66.900000000000006</v>
      </c>
      <c r="R998">
        <v>30247</v>
      </c>
    </row>
    <row r="999" spans="1:18" x14ac:dyDescent="0.25">
      <c r="A999" s="166">
        <v>43474</v>
      </c>
      <c r="B999" s="116">
        <v>33.825000000000003</v>
      </c>
      <c r="C999" s="116">
        <v>32.875</v>
      </c>
      <c r="D999" s="116">
        <v>32.674999999999997</v>
      </c>
      <c r="E999" s="116">
        <v>33.725000000000001</v>
      </c>
      <c r="F999" s="116">
        <v>65.75</v>
      </c>
      <c r="G999">
        <v>9383</v>
      </c>
      <c r="H999" s="116"/>
      <c r="I999" s="116"/>
      <c r="L999" s="166">
        <v>43474</v>
      </c>
      <c r="M999" s="116">
        <v>33.049999999999997</v>
      </c>
      <c r="N999" s="116">
        <v>33.799999999999997</v>
      </c>
      <c r="O999" s="116">
        <v>32.774999999999999</v>
      </c>
      <c r="P999" s="116">
        <v>33.524999999999999</v>
      </c>
      <c r="Q999" s="116">
        <v>66.099999999999994</v>
      </c>
      <c r="R999">
        <v>43687</v>
      </c>
    </row>
    <row r="1000" spans="1:18" x14ac:dyDescent="0.25">
      <c r="A1000" s="166">
        <v>43475</v>
      </c>
      <c r="B1000" s="116">
        <v>33.075000000000003</v>
      </c>
      <c r="C1000" s="116">
        <v>32.774999999999999</v>
      </c>
      <c r="D1000" s="116">
        <v>32.700000000000003</v>
      </c>
      <c r="E1000" s="116">
        <v>32.725000000000001</v>
      </c>
      <c r="F1000" s="116">
        <v>65.55</v>
      </c>
      <c r="G1000">
        <v>6304</v>
      </c>
      <c r="H1000" s="116"/>
      <c r="I1000" s="116"/>
      <c r="L1000" s="166">
        <v>43475</v>
      </c>
      <c r="M1000" s="116">
        <v>32.950000000000003</v>
      </c>
      <c r="N1000" s="116">
        <v>33.35</v>
      </c>
      <c r="O1000" s="116">
        <v>32.799999999999997</v>
      </c>
      <c r="P1000" s="116">
        <v>32.875</v>
      </c>
      <c r="Q1000" s="116">
        <v>65.900000000000006</v>
      </c>
      <c r="R1000">
        <v>36768</v>
      </c>
    </row>
    <row r="1001" spans="1:18" x14ac:dyDescent="0.25">
      <c r="A1001" s="166">
        <v>43476</v>
      </c>
      <c r="B1001" s="116">
        <v>37.4</v>
      </c>
      <c r="C1001" s="116">
        <v>36.075000000000003</v>
      </c>
      <c r="D1001" s="116">
        <v>32.625</v>
      </c>
      <c r="E1001" s="116">
        <v>32.799999999999997</v>
      </c>
      <c r="F1001" s="116">
        <v>72.150000000000006</v>
      </c>
      <c r="G1001">
        <v>57785</v>
      </c>
      <c r="H1001" s="116"/>
      <c r="I1001" s="116"/>
      <c r="L1001" s="166">
        <v>43476</v>
      </c>
      <c r="M1001" s="116">
        <v>36.049999999999997</v>
      </c>
      <c r="N1001" s="116">
        <v>37.5</v>
      </c>
      <c r="O1001" s="116">
        <v>32.774999999999999</v>
      </c>
      <c r="P1001" s="116">
        <v>33.5</v>
      </c>
      <c r="Q1001" s="116">
        <v>72.099999999999994</v>
      </c>
      <c r="R1001">
        <v>322056</v>
      </c>
    </row>
    <row r="1002" spans="1:18" x14ac:dyDescent="0.25">
      <c r="A1002" s="166">
        <v>43479</v>
      </c>
      <c r="B1002" s="116">
        <v>36.9</v>
      </c>
      <c r="C1002" s="116">
        <v>36.200000000000003</v>
      </c>
      <c r="D1002" s="116">
        <v>35.5</v>
      </c>
      <c r="E1002" s="116">
        <v>36.125</v>
      </c>
      <c r="F1002" s="116">
        <v>72.400000000000006</v>
      </c>
      <c r="G1002">
        <v>47164</v>
      </c>
      <c r="H1002" s="116"/>
      <c r="I1002" s="116"/>
      <c r="L1002" s="166">
        <v>43479</v>
      </c>
      <c r="M1002" s="116">
        <v>36.375</v>
      </c>
      <c r="N1002" s="116">
        <v>37.299999999999997</v>
      </c>
      <c r="O1002" s="116">
        <v>35.700000000000003</v>
      </c>
      <c r="P1002" s="116">
        <v>35.924999999999997</v>
      </c>
      <c r="Q1002" s="116">
        <v>72.75</v>
      </c>
      <c r="R1002">
        <v>198823</v>
      </c>
    </row>
    <row r="1003" spans="1:18" x14ac:dyDescent="0.25">
      <c r="A1003" s="166">
        <v>43480</v>
      </c>
      <c r="B1003" s="116">
        <v>36.5</v>
      </c>
      <c r="C1003" s="116">
        <v>36</v>
      </c>
      <c r="D1003" s="116">
        <v>35.975000000000001</v>
      </c>
      <c r="E1003" s="116">
        <v>36.25</v>
      </c>
      <c r="F1003" s="116">
        <v>72</v>
      </c>
      <c r="G1003">
        <v>14203</v>
      </c>
      <c r="H1003" s="116"/>
      <c r="I1003" s="116"/>
      <c r="L1003" s="166">
        <v>43480</v>
      </c>
      <c r="M1003" s="116">
        <v>36.1</v>
      </c>
      <c r="N1003" s="116">
        <v>36.524999999999999</v>
      </c>
      <c r="O1003" s="116">
        <v>36.049999999999997</v>
      </c>
      <c r="P1003" s="116">
        <v>36.5</v>
      </c>
      <c r="Q1003" s="116">
        <v>72.2</v>
      </c>
      <c r="R1003">
        <v>66611</v>
      </c>
    </row>
    <row r="1004" spans="1:18" x14ac:dyDescent="0.25">
      <c r="A1004" s="166">
        <v>43481</v>
      </c>
      <c r="B1004" s="116">
        <v>37.225000000000001</v>
      </c>
      <c r="C1004" s="116">
        <v>35.950000000000003</v>
      </c>
      <c r="D1004" s="116">
        <v>35.774999999999999</v>
      </c>
      <c r="E1004" s="116">
        <v>36.075000000000003</v>
      </c>
      <c r="F1004" s="116">
        <v>71.900000000000006</v>
      </c>
      <c r="G1004">
        <v>24604</v>
      </c>
      <c r="H1004" s="116"/>
      <c r="I1004" s="116"/>
      <c r="L1004" s="166">
        <v>43481</v>
      </c>
      <c r="M1004" s="116">
        <v>36.024999999999999</v>
      </c>
      <c r="N1004" s="116">
        <v>37.299999999999997</v>
      </c>
      <c r="O1004" s="116">
        <v>35.825000000000003</v>
      </c>
      <c r="P1004" s="116">
        <v>36.125</v>
      </c>
      <c r="Q1004" s="116">
        <v>72.05</v>
      </c>
      <c r="R1004">
        <v>137189</v>
      </c>
    </row>
    <row r="1005" spans="1:18" x14ac:dyDescent="0.25">
      <c r="A1005" s="166">
        <v>43482</v>
      </c>
      <c r="B1005" s="116">
        <v>36.075000000000003</v>
      </c>
      <c r="C1005" s="116">
        <v>35.774999999999999</v>
      </c>
      <c r="D1005" s="116">
        <v>35.6</v>
      </c>
      <c r="E1005" s="116">
        <v>36.075000000000003</v>
      </c>
      <c r="F1005" s="116">
        <v>71.55</v>
      </c>
      <c r="G1005">
        <v>3185</v>
      </c>
      <c r="H1005" s="116"/>
      <c r="I1005" s="116"/>
      <c r="L1005" s="166">
        <v>43482</v>
      </c>
      <c r="M1005" s="116">
        <v>35.75</v>
      </c>
      <c r="N1005" s="116">
        <v>36.075000000000003</v>
      </c>
      <c r="O1005" s="116">
        <v>35.725000000000001</v>
      </c>
      <c r="P1005" s="116">
        <v>36.049999999999997</v>
      </c>
      <c r="Q1005" s="116">
        <v>71.5</v>
      </c>
      <c r="R1005">
        <v>27438</v>
      </c>
    </row>
    <row r="1006" spans="1:18" x14ac:dyDescent="0.25">
      <c r="A1006" s="166">
        <v>43483</v>
      </c>
      <c r="B1006" s="116">
        <v>35.75</v>
      </c>
      <c r="C1006" s="116">
        <v>34.825000000000003</v>
      </c>
      <c r="D1006" s="116">
        <v>34.625</v>
      </c>
      <c r="E1006" s="116">
        <v>35.75</v>
      </c>
      <c r="F1006" s="116">
        <v>69.650000000000006</v>
      </c>
      <c r="G1006">
        <v>10020</v>
      </c>
      <c r="H1006" s="116"/>
      <c r="I1006" s="116"/>
      <c r="L1006" s="166">
        <v>43483</v>
      </c>
      <c r="M1006" s="116">
        <v>34.85</v>
      </c>
      <c r="N1006" s="116">
        <v>35.950000000000003</v>
      </c>
      <c r="O1006" s="116">
        <v>34.75</v>
      </c>
      <c r="P1006" s="116">
        <v>35.825000000000003</v>
      </c>
      <c r="Q1006" s="116">
        <v>69.7</v>
      </c>
      <c r="R1006">
        <v>40058</v>
      </c>
    </row>
    <row r="1007" spans="1:18" x14ac:dyDescent="0.25">
      <c r="A1007" s="166">
        <v>43486</v>
      </c>
      <c r="B1007" s="116">
        <v>34.625</v>
      </c>
      <c r="C1007" s="116">
        <v>34.075000000000003</v>
      </c>
      <c r="D1007" s="116">
        <v>33.85</v>
      </c>
      <c r="E1007" s="116">
        <v>34.475000000000001</v>
      </c>
      <c r="F1007" s="116">
        <v>68.150000000000006</v>
      </c>
      <c r="G1007">
        <v>6764</v>
      </c>
      <c r="H1007" s="116"/>
      <c r="I1007" s="116"/>
      <c r="L1007" s="166">
        <v>43486</v>
      </c>
      <c r="M1007" s="116">
        <v>34.450000000000003</v>
      </c>
      <c r="N1007" s="116">
        <v>34.825000000000003</v>
      </c>
      <c r="O1007" s="116">
        <v>33.875</v>
      </c>
      <c r="P1007" s="116">
        <v>34.825000000000003</v>
      </c>
      <c r="Q1007" s="116">
        <v>68.900000000000006</v>
      </c>
      <c r="R1007">
        <v>136086</v>
      </c>
    </row>
    <row r="1008" spans="1:18" x14ac:dyDescent="0.25">
      <c r="A1008" s="166">
        <v>43487</v>
      </c>
      <c r="B1008" s="116">
        <v>34</v>
      </c>
      <c r="C1008" s="116">
        <v>33.674999999999997</v>
      </c>
      <c r="D1008" s="116">
        <v>33.25</v>
      </c>
      <c r="E1008" s="116">
        <v>34</v>
      </c>
      <c r="F1008" s="116">
        <v>67.349999999999994</v>
      </c>
      <c r="G1008">
        <v>5977</v>
      </c>
      <c r="H1008" s="116"/>
      <c r="I1008" s="116"/>
      <c r="L1008" s="166">
        <v>43487</v>
      </c>
      <c r="M1008" s="116">
        <v>33.6</v>
      </c>
      <c r="N1008" s="116">
        <v>34.274999999999999</v>
      </c>
      <c r="O1008" s="116">
        <v>33.325000000000003</v>
      </c>
      <c r="P1008" s="116">
        <v>34.274999999999999</v>
      </c>
      <c r="Q1008" s="116">
        <v>67.2</v>
      </c>
      <c r="R1008">
        <v>43255</v>
      </c>
    </row>
    <row r="1009" spans="1:18" x14ac:dyDescent="0.25">
      <c r="A1009" s="166">
        <v>43488</v>
      </c>
      <c r="B1009" s="116">
        <v>34.524999999999999</v>
      </c>
      <c r="C1009" s="116">
        <v>33.6</v>
      </c>
      <c r="D1009" s="116">
        <v>33.5</v>
      </c>
      <c r="E1009" s="116">
        <v>33.700000000000003</v>
      </c>
      <c r="F1009" s="116">
        <v>67.2</v>
      </c>
      <c r="G1009">
        <v>11646</v>
      </c>
      <c r="H1009" s="116"/>
      <c r="I1009" s="116"/>
      <c r="L1009" s="166">
        <v>43488</v>
      </c>
      <c r="M1009" s="116">
        <v>33.725000000000001</v>
      </c>
      <c r="N1009" s="116">
        <v>34.5</v>
      </c>
      <c r="O1009" s="116">
        <v>33.475000000000001</v>
      </c>
      <c r="P1009" s="116">
        <v>33.625</v>
      </c>
      <c r="Q1009" s="116">
        <v>67.45</v>
      </c>
      <c r="R1009">
        <v>45981</v>
      </c>
    </row>
    <row r="1010" spans="1:18" x14ac:dyDescent="0.25">
      <c r="A1010" s="166">
        <v>43489</v>
      </c>
      <c r="B1010" s="116">
        <v>33.825000000000003</v>
      </c>
      <c r="C1010" s="116">
        <v>33.325000000000003</v>
      </c>
      <c r="D1010" s="116">
        <v>33.274999999999999</v>
      </c>
      <c r="E1010" s="116">
        <v>33.75</v>
      </c>
      <c r="F1010" s="116">
        <v>66.650000000000006</v>
      </c>
      <c r="G1010">
        <v>7613</v>
      </c>
      <c r="H1010" s="116"/>
      <c r="I1010" s="116"/>
      <c r="L1010" s="166">
        <v>43489</v>
      </c>
      <c r="M1010" s="116">
        <v>33.35</v>
      </c>
      <c r="N1010" s="116">
        <v>33.975000000000001</v>
      </c>
      <c r="O1010" s="116">
        <v>33.274999999999999</v>
      </c>
      <c r="P1010" s="116">
        <v>33.75</v>
      </c>
      <c r="Q1010" s="116">
        <v>66.7</v>
      </c>
      <c r="R1010">
        <v>26331</v>
      </c>
    </row>
    <row r="1011" spans="1:18" x14ac:dyDescent="0.25">
      <c r="A1011" s="166">
        <v>43490</v>
      </c>
      <c r="B1011" s="116">
        <v>34.024999999999999</v>
      </c>
      <c r="C1011" s="116">
        <v>32.924999999999997</v>
      </c>
      <c r="D1011" s="116">
        <v>32.85</v>
      </c>
      <c r="E1011" s="116">
        <v>33.25</v>
      </c>
      <c r="F1011" s="116">
        <v>65.849999999999994</v>
      </c>
      <c r="G1011">
        <v>20629</v>
      </c>
      <c r="H1011" s="116"/>
      <c r="I1011" s="116"/>
      <c r="L1011" s="166">
        <v>43490</v>
      </c>
      <c r="M1011" s="116">
        <v>32.774999999999999</v>
      </c>
      <c r="N1011" s="116">
        <v>34</v>
      </c>
      <c r="O1011" s="116">
        <v>32.65</v>
      </c>
      <c r="P1011" s="116">
        <v>33.299999999999997</v>
      </c>
      <c r="Q1011" s="116">
        <v>65.55</v>
      </c>
      <c r="R1011">
        <v>53075</v>
      </c>
    </row>
    <row r="1012" spans="1:18" x14ac:dyDescent="0.25">
      <c r="A1012" s="166">
        <v>43493</v>
      </c>
      <c r="B1012" s="116">
        <v>32.4</v>
      </c>
      <c r="C1012" s="116">
        <v>31.05</v>
      </c>
      <c r="D1012" s="116">
        <v>30.2</v>
      </c>
      <c r="E1012" s="116">
        <v>32.25</v>
      </c>
      <c r="F1012" s="116">
        <v>62.1</v>
      </c>
      <c r="G1012">
        <v>17742</v>
      </c>
      <c r="H1012" s="116"/>
      <c r="I1012" s="116"/>
      <c r="L1012" s="166">
        <v>43493</v>
      </c>
      <c r="M1012" s="116">
        <v>30.9</v>
      </c>
      <c r="N1012" s="116">
        <v>32.375</v>
      </c>
      <c r="O1012" s="116">
        <v>30</v>
      </c>
      <c r="P1012" s="116">
        <v>32</v>
      </c>
      <c r="Q1012" s="116">
        <v>61.8</v>
      </c>
      <c r="R1012">
        <v>614747</v>
      </c>
    </row>
    <row r="1013" spans="1:18" x14ac:dyDescent="0.25">
      <c r="A1013" s="166">
        <v>43494</v>
      </c>
      <c r="B1013" s="116">
        <v>31</v>
      </c>
      <c r="C1013" s="116">
        <v>30.175000000000001</v>
      </c>
      <c r="D1013" s="116">
        <v>29.75</v>
      </c>
      <c r="E1013" s="116">
        <v>30.175000000000001</v>
      </c>
      <c r="F1013" s="116">
        <v>60.35</v>
      </c>
      <c r="G1013">
        <v>10892</v>
      </c>
      <c r="H1013" s="116"/>
      <c r="I1013" s="116"/>
      <c r="L1013" s="166">
        <v>43494</v>
      </c>
      <c r="M1013" s="116">
        <v>30.25</v>
      </c>
      <c r="N1013" s="116">
        <v>30.95</v>
      </c>
      <c r="O1013" s="116">
        <v>29.675000000000001</v>
      </c>
      <c r="P1013" s="116">
        <v>30.75</v>
      </c>
      <c r="Q1013" s="116">
        <v>60.5</v>
      </c>
      <c r="R1013">
        <v>49722</v>
      </c>
    </row>
    <row r="1014" spans="1:18" x14ac:dyDescent="0.25">
      <c r="A1014" s="166">
        <v>43495</v>
      </c>
      <c r="B1014" s="116">
        <v>31</v>
      </c>
      <c r="C1014" s="116">
        <v>30.725000000000001</v>
      </c>
      <c r="D1014" s="116">
        <v>29.675000000000001</v>
      </c>
      <c r="E1014" s="116">
        <v>29.675000000000001</v>
      </c>
      <c r="F1014" s="116">
        <v>61.45</v>
      </c>
      <c r="G1014">
        <v>2498</v>
      </c>
      <c r="H1014" s="116"/>
      <c r="I1014" s="116"/>
      <c r="L1014" s="166">
        <v>43495</v>
      </c>
      <c r="M1014" s="116">
        <v>30.6</v>
      </c>
      <c r="N1014" s="116">
        <v>31</v>
      </c>
      <c r="O1014" s="116">
        <v>30.05</v>
      </c>
      <c r="P1014" s="116">
        <v>30.5</v>
      </c>
      <c r="Q1014" s="116">
        <v>61.2</v>
      </c>
      <c r="R1014">
        <v>26961</v>
      </c>
    </row>
    <row r="1015" spans="1:18" x14ac:dyDescent="0.25">
      <c r="A1015" s="166">
        <v>43496</v>
      </c>
      <c r="B1015" s="116">
        <v>33.075000000000003</v>
      </c>
      <c r="C1015" s="116">
        <v>32.75</v>
      </c>
      <c r="D1015" s="116">
        <v>31.125</v>
      </c>
      <c r="E1015" s="116">
        <v>31.125</v>
      </c>
      <c r="F1015" s="116">
        <v>65.5</v>
      </c>
      <c r="G1015">
        <v>20322</v>
      </c>
      <c r="H1015" s="116"/>
      <c r="I1015" s="116"/>
      <c r="L1015" s="166">
        <v>43496</v>
      </c>
      <c r="M1015" s="116">
        <v>32.9</v>
      </c>
      <c r="N1015" s="116">
        <v>33.15</v>
      </c>
      <c r="O1015" s="116">
        <v>30.875</v>
      </c>
      <c r="P1015" s="116">
        <v>30.875</v>
      </c>
      <c r="Q1015" s="116">
        <v>65.8</v>
      </c>
      <c r="R1015">
        <v>108836</v>
      </c>
    </row>
    <row r="1016" spans="1:18" x14ac:dyDescent="0.25">
      <c r="A1016" s="166">
        <v>43497</v>
      </c>
      <c r="B1016" s="116">
        <v>33.75</v>
      </c>
      <c r="C1016" s="116">
        <v>32.825000000000003</v>
      </c>
      <c r="D1016" s="116">
        <v>31.524999999999999</v>
      </c>
      <c r="E1016" s="116">
        <v>32.5</v>
      </c>
      <c r="F1016" s="116">
        <v>65.650000000000006</v>
      </c>
      <c r="G1016">
        <v>97115</v>
      </c>
      <c r="H1016" s="116"/>
      <c r="I1016" s="116"/>
      <c r="L1016" s="166">
        <v>43497</v>
      </c>
      <c r="M1016" s="116">
        <v>32.85</v>
      </c>
      <c r="N1016" s="116">
        <v>33.774999999999999</v>
      </c>
      <c r="O1016" s="116">
        <v>31.55</v>
      </c>
      <c r="P1016" s="116">
        <v>32.65</v>
      </c>
      <c r="Q1016" s="116">
        <v>65.7</v>
      </c>
      <c r="R1016">
        <v>115795</v>
      </c>
    </row>
    <row r="1017" spans="1:18" x14ac:dyDescent="0.25">
      <c r="A1017" s="166">
        <v>43500</v>
      </c>
      <c r="B1017" s="116">
        <v>32.625</v>
      </c>
      <c r="C1017" s="116">
        <v>31.15</v>
      </c>
      <c r="D1017" s="116">
        <v>30</v>
      </c>
      <c r="E1017" s="116">
        <v>32.549999999999997</v>
      </c>
      <c r="F1017" s="116">
        <v>62.3</v>
      </c>
      <c r="G1017">
        <v>14503</v>
      </c>
      <c r="H1017" s="116"/>
      <c r="I1017" s="116"/>
      <c r="L1017" s="166">
        <v>43500</v>
      </c>
      <c r="M1017" s="116">
        <v>31.324999999999999</v>
      </c>
      <c r="N1017" s="116">
        <v>32.674999999999997</v>
      </c>
      <c r="O1017" s="116">
        <v>31</v>
      </c>
      <c r="P1017" s="116">
        <v>32.674999999999997</v>
      </c>
      <c r="Q1017" s="116">
        <v>62.65</v>
      </c>
      <c r="R1017">
        <v>33918</v>
      </c>
    </row>
    <row r="1018" spans="1:18" x14ac:dyDescent="0.25">
      <c r="A1018" s="166">
        <v>43501</v>
      </c>
      <c r="B1018" s="116">
        <v>31.75</v>
      </c>
      <c r="C1018" s="116">
        <v>30.925000000000001</v>
      </c>
      <c r="D1018" s="116">
        <v>30.824999999999999</v>
      </c>
      <c r="E1018" s="116">
        <v>31.75</v>
      </c>
      <c r="F1018" s="116">
        <v>61.85</v>
      </c>
      <c r="G1018">
        <v>16510</v>
      </c>
      <c r="H1018" s="116"/>
      <c r="I1018" s="116"/>
      <c r="L1018" s="166">
        <v>43501</v>
      </c>
      <c r="M1018" s="116">
        <v>30.824999999999999</v>
      </c>
      <c r="N1018" s="116">
        <v>31.75</v>
      </c>
      <c r="O1018" s="116">
        <v>30.7</v>
      </c>
      <c r="P1018" s="116">
        <v>31.75</v>
      </c>
      <c r="Q1018" s="116">
        <v>61.65</v>
      </c>
      <c r="R1018">
        <v>29121</v>
      </c>
    </row>
    <row r="1019" spans="1:18" x14ac:dyDescent="0.25">
      <c r="A1019" s="166">
        <v>43502</v>
      </c>
      <c r="B1019" s="116">
        <v>31.375</v>
      </c>
      <c r="C1019" s="116">
        <v>31.1</v>
      </c>
      <c r="D1019" s="116">
        <v>30.4</v>
      </c>
      <c r="E1019" s="116">
        <v>31.2</v>
      </c>
      <c r="F1019" s="116">
        <v>62.2</v>
      </c>
      <c r="G1019">
        <v>22176</v>
      </c>
      <c r="H1019" s="116"/>
      <c r="I1019" s="116"/>
      <c r="L1019" s="166">
        <v>43502</v>
      </c>
      <c r="M1019" s="116">
        <v>30.925000000000001</v>
      </c>
      <c r="N1019" s="116">
        <v>31.625</v>
      </c>
      <c r="O1019" s="116">
        <v>30.25</v>
      </c>
      <c r="P1019" s="116">
        <v>30.3</v>
      </c>
      <c r="Q1019" s="116">
        <v>61.85</v>
      </c>
      <c r="R1019">
        <v>65582</v>
      </c>
    </row>
    <row r="1020" spans="1:18" x14ac:dyDescent="0.25">
      <c r="A1020" s="166">
        <v>43503</v>
      </c>
      <c r="B1020" s="116">
        <v>33</v>
      </c>
      <c r="C1020" s="116">
        <v>32.049999999999997</v>
      </c>
      <c r="D1020" s="116">
        <v>31.125</v>
      </c>
      <c r="E1020" s="116">
        <v>31.125</v>
      </c>
      <c r="F1020" s="116">
        <v>64.099999999999994</v>
      </c>
      <c r="G1020">
        <v>17867</v>
      </c>
      <c r="H1020" s="116"/>
      <c r="I1020" s="116"/>
      <c r="L1020" s="166">
        <v>43503</v>
      </c>
      <c r="M1020" s="116">
        <v>32.1</v>
      </c>
      <c r="N1020" s="116">
        <v>33.25</v>
      </c>
      <c r="O1020" s="116">
        <v>30.9</v>
      </c>
      <c r="P1020" s="116">
        <v>31.45</v>
      </c>
      <c r="Q1020" s="116">
        <v>64.2</v>
      </c>
      <c r="R1020">
        <v>98172</v>
      </c>
    </row>
    <row r="1021" spans="1:18" x14ac:dyDescent="0.25">
      <c r="A1021" s="166">
        <v>43504</v>
      </c>
      <c r="B1021" s="116">
        <v>31.324999999999999</v>
      </c>
      <c r="C1021" s="116">
        <v>30.774999999999999</v>
      </c>
      <c r="D1021" s="116">
        <v>30.55</v>
      </c>
      <c r="E1021" s="116">
        <v>30.75</v>
      </c>
      <c r="F1021" s="116">
        <v>61.55</v>
      </c>
      <c r="G1021">
        <v>14793</v>
      </c>
      <c r="H1021" s="116"/>
      <c r="I1021" s="116"/>
      <c r="L1021" s="166">
        <v>43504</v>
      </c>
      <c r="M1021" s="116">
        <v>30.75</v>
      </c>
      <c r="N1021" s="116">
        <v>31.5</v>
      </c>
      <c r="O1021" s="116">
        <v>30.1</v>
      </c>
      <c r="P1021" s="116">
        <v>31.5</v>
      </c>
      <c r="Q1021" s="116">
        <v>61.5</v>
      </c>
      <c r="R1021">
        <v>61440</v>
      </c>
    </row>
    <row r="1022" spans="1:18" x14ac:dyDescent="0.25">
      <c r="A1022" s="166">
        <v>43507</v>
      </c>
      <c r="B1022" s="116">
        <v>31.324999999999999</v>
      </c>
      <c r="C1022" s="116">
        <v>28.85</v>
      </c>
      <c r="D1022" s="116">
        <v>28.375</v>
      </c>
      <c r="E1022" s="116">
        <v>30.3</v>
      </c>
      <c r="F1022" s="116">
        <v>57.7</v>
      </c>
      <c r="G1022">
        <v>15201</v>
      </c>
      <c r="H1022" s="116"/>
      <c r="I1022" s="116"/>
      <c r="L1022" s="166">
        <v>43507</v>
      </c>
      <c r="M1022" s="116">
        <v>28.824999999999999</v>
      </c>
      <c r="N1022" s="116">
        <v>31.225000000000001</v>
      </c>
      <c r="O1022" s="116">
        <v>28.35</v>
      </c>
      <c r="P1022" s="116">
        <v>30.824999999999999</v>
      </c>
      <c r="Q1022" s="116">
        <v>57.65</v>
      </c>
      <c r="R1022">
        <v>64554</v>
      </c>
    </row>
    <row r="1023" spans="1:18" x14ac:dyDescent="0.25">
      <c r="A1023" s="166">
        <v>43508</v>
      </c>
      <c r="B1023" s="116">
        <v>29.25</v>
      </c>
      <c r="C1023" s="116">
        <v>28.6</v>
      </c>
      <c r="D1023" s="116">
        <v>27.5</v>
      </c>
      <c r="E1023" s="116">
        <v>27.5</v>
      </c>
      <c r="F1023" s="116">
        <v>57.2</v>
      </c>
      <c r="G1023">
        <v>16512</v>
      </c>
      <c r="H1023" s="116"/>
      <c r="I1023" s="116"/>
      <c r="L1023" s="166">
        <v>43508</v>
      </c>
      <c r="M1023" s="116">
        <v>28.75</v>
      </c>
      <c r="N1023" s="116">
        <v>29.225000000000001</v>
      </c>
      <c r="O1023" s="116">
        <v>28.5</v>
      </c>
      <c r="P1023" s="116">
        <v>28.925000000000001</v>
      </c>
      <c r="Q1023" s="116">
        <v>57.5</v>
      </c>
      <c r="R1023">
        <v>39052</v>
      </c>
    </row>
    <row r="1024" spans="1:18" x14ac:dyDescent="0.25">
      <c r="A1024" s="166">
        <v>43509</v>
      </c>
      <c r="B1024" s="116">
        <v>29.25</v>
      </c>
      <c r="C1024" s="116">
        <v>27.425000000000001</v>
      </c>
      <c r="D1024" s="116">
        <v>26.35</v>
      </c>
      <c r="E1024" s="116">
        <v>28.5</v>
      </c>
      <c r="F1024" s="116">
        <v>54.85</v>
      </c>
      <c r="G1024">
        <v>47418</v>
      </c>
      <c r="H1024" s="116"/>
      <c r="I1024" s="116"/>
      <c r="L1024" s="166">
        <v>43509</v>
      </c>
      <c r="M1024" s="116">
        <v>27.324999999999999</v>
      </c>
      <c r="N1024" s="116">
        <v>29.35</v>
      </c>
      <c r="O1024" s="116">
        <v>26.15</v>
      </c>
      <c r="P1024" s="116">
        <v>28.75</v>
      </c>
      <c r="Q1024" s="116">
        <v>54.65</v>
      </c>
      <c r="R1024">
        <v>146884</v>
      </c>
    </row>
    <row r="1025" spans="1:18" x14ac:dyDescent="0.25">
      <c r="A1025" s="166">
        <v>43510</v>
      </c>
      <c r="B1025" s="116">
        <v>27.925000000000001</v>
      </c>
      <c r="C1025" s="116">
        <v>27.5</v>
      </c>
      <c r="D1025" s="116">
        <v>26.55</v>
      </c>
      <c r="E1025" s="116">
        <v>27.925000000000001</v>
      </c>
      <c r="F1025" s="116">
        <v>55</v>
      </c>
      <c r="G1025">
        <v>30282</v>
      </c>
      <c r="H1025" s="116"/>
      <c r="I1025" s="116"/>
      <c r="L1025" s="166">
        <v>43510</v>
      </c>
      <c r="M1025" s="116">
        <v>27.5</v>
      </c>
      <c r="N1025" s="116">
        <v>27.824999999999999</v>
      </c>
      <c r="O1025" s="116">
        <v>26.55</v>
      </c>
      <c r="P1025" s="116">
        <v>27.324999999999999</v>
      </c>
      <c r="Q1025" s="116">
        <v>55</v>
      </c>
      <c r="R1025">
        <v>65833</v>
      </c>
    </row>
    <row r="1026" spans="1:18" x14ac:dyDescent="0.25">
      <c r="A1026" s="166">
        <v>43511</v>
      </c>
      <c r="B1026" s="116">
        <v>27.45</v>
      </c>
      <c r="C1026" s="116">
        <v>27.2</v>
      </c>
      <c r="D1026" s="116">
        <v>26.75</v>
      </c>
      <c r="E1026" s="116">
        <v>27.074999999999999</v>
      </c>
      <c r="F1026" s="116">
        <v>54.4</v>
      </c>
      <c r="G1026">
        <v>24216</v>
      </c>
      <c r="H1026" s="116"/>
      <c r="I1026" s="116"/>
      <c r="L1026" s="166">
        <v>43511</v>
      </c>
      <c r="M1026" s="116">
        <v>27.3</v>
      </c>
      <c r="N1026" s="116">
        <v>27.5</v>
      </c>
      <c r="O1026" s="116">
        <v>26.75</v>
      </c>
      <c r="P1026" s="116">
        <v>27.4</v>
      </c>
      <c r="Q1026" s="116">
        <v>54.6</v>
      </c>
      <c r="R1026">
        <v>53742</v>
      </c>
    </row>
    <row r="1027" spans="1:18" x14ac:dyDescent="0.25">
      <c r="A1027" s="166">
        <v>43514</v>
      </c>
      <c r="B1027" s="116">
        <v>27.475000000000001</v>
      </c>
      <c r="C1027" s="116">
        <v>26.925000000000001</v>
      </c>
      <c r="D1027" s="116">
        <v>26.475000000000001</v>
      </c>
      <c r="E1027" s="116">
        <v>27.2</v>
      </c>
      <c r="F1027" s="116">
        <v>53.85</v>
      </c>
      <c r="G1027">
        <v>35857</v>
      </c>
      <c r="H1027" s="116"/>
      <c r="I1027" s="116"/>
      <c r="L1027" s="166">
        <v>43514</v>
      </c>
      <c r="M1027" s="116">
        <v>27.074999999999999</v>
      </c>
      <c r="N1027" s="116">
        <v>27.65</v>
      </c>
      <c r="O1027" s="116">
        <v>26.324999999999999</v>
      </c>
      <c r="P1027" s="116">
        <v>27.5</v>
      </c>
      <c r="Q1027" s="116">
        <v>54.15</v>
      </c>
      <c r="R1027">
        <v>49883</v>
      </c>
    </row>
    <row r="1028" spans="1:18" x14ac:dyDescent="0.25">
      <c r="A1028" s="166">
        <v>43515</v>
      </c>
      <c r="B1028" s="116">
        <v>28.05</v>
      </c>
      <c r="C1028" s="116">
        <v>27.725000000000001</v>
      </c>
      <c r="D1028" s="116">
        <v>26.55</v>
      </c>
      <c r="E1028" s="116">
        <v>26.55</v>
      </c>
      <c r="F1028" s="116">
        <v>55.45</v>
      </c>
      <c r="G1028">
        <v>24412</v>
      </c>
      <c r="H1028" s="116"/>
      <c r="I1028" s="116"/>
      <c r="L1028" s="166">
        <v>43515</v>
      </c>
      <c r="M1028" s="116">
        <v>27.5</v>
      </c>
      <c r="N1028" s="116">
        <v>28</v>
      </c>
      <c r="O1028" s="116">
        <v>26.875</v>
      </c>
      <c r="P1028" s="116">
        <v>27</v>
      </c>
      <c r="Q1028" s="116">
        <v>55</v>
      </c>
      <c r="R1028">
        <v>52478</v>
      </c>
    </row>
    <row r="1029" spans="1:18" x14ac:dyDescent="0.25">
      <c r="A1029" s="166">
        <v>43516</v>
      </c>
      <c r="B1029" s="116">
        <v>28.05</v>
      </c>
      <c r="C1029" s="116">
        <v>27.4</v>
      </c>
      <c r="D1029" s="116">
        <v>27</v>
      </c>
      <c r="E1029" s="116">
        <v>28.05</v>
      </c>
      <c r="F1029" s="116">
        <v>54.8</v>
      </c>
      <c r="G1029">
        <v>17995</v>
      </c>
      <c r="H1029" s="116"/>
      <c r="I1029" s="116"/>
      <c r="L1029" s="166">
        <v>43516</v>
      </c>
      <c r="M1029" s="116">
        <v>27.475000000000001</v>
      </c>
      <c r="N1029" s="116">
        <v>27.95</v>
      </c>
      <c r="O1029" s="116">
        <v>26.75</v>
      </c>
      <c r="P1029" s="116">
        <v>27.75</v>
      </c>
      <c r="Q1029" s="116">
        <v>54.95</v>
      </c>
      <c r="R1029">
        <v>37057</v>
      </c>
    </row>
    <row r="1030" spans="1:18" x14ac:dyDescent="0.25">
      <c r="A1030" s="166">
        <v>43517</v>
      </c>
      <c r="B1030" s="116">
        <v>28.85</v>
      </c>
      <c r="C1030" s="116">
        <v>28.55</v>
      </c>
      <c r="D1030" s="116">
        <v>27.45</v>
      </c>
      <c r="E1030" s="116">
        <v>27.45</v>
      </c>
      <c r="F1030" s="116">
        <v>57.1</v>
      </c>
      <c r="G1030">
        <v>17202</v>
      </c>
      <c r="H1030" s="116"/>
      <c r="I1030" s="116"/>
      <c r="L1030" s="166">
        <v>43517</v>
      </c>
      <c r="M1030" s="116">
        <v>28.75</v>
      </c>
      <c r="N1030" s="116">
        <v>29</v>
      </c>
      <c r="O1030" s="116">
        <v>27.1</v>
      </c>
      <c r="P1030" s="116">
        <v>27.3</v>
      </c>
      <c r="Q1030" s="116">
        <v>57.5</v>
      </c>
      <c r="R1030">
        <v>65543</v>
      </c>
    </row>
    <row r="1031" spans="1:18" x14ac:dyDescent="0.25">
      <c r="A1031" s="166">
        <v>43518</v>
      </c>
      <c r="B1031" s="116">
        <v>30.175000000000001</v>
      </c>
      <c r="C1031" s="116">
        <v>29.274999999999999</v>
      </c>
      <c r="D1031" s="116">
        <v>28.45</v>
      </c>
      <c r="E1031" s="116">
        <v>28.55</v>
      </c>
      <c r="F1031" s="116">
        <v>58.55</v>
      </c>
      <c r="G1031">
        <v>5947</v>
      </c>
      <c r="H1031" s="116"/>
      <c r="I1031" s="116"/>
      <c r="L1031" s="166">
        <v>43518</v>
      </c>
      <c r="M1031" s="116">
        <v>29.3</v>
      </c>
      <c r="N1031" s="116">
        <v>30.2</v>
      </c>
      <c r="O1031" s="116">
        <v>28.35</v>
      </c>
      <c r="P1031" s="116">
        <v>28.524999999999999</v>
      </c>
      <c r="Q1031" s="116">
        <v>58.6</v>
      </c>
      <c r="R1031">
        <v>76341</v>
      </c>
    </row>
    <row r="1032" spans="1:18" x14ac:dyDescent="0.25">
      <c r="A1032" s="166">
        <v>43521</v>
      </c>
      <c r="B1032" s="116">
        <v>29.8</v>
      </c>
      <c r="C1032" s="116">
        <v>29.475000000000001</v>
      </c>
      <c r="D1032" s="116">
        <v>29.125</v>
      </c>
      <c r="E1032" s="116">
        <v>29.25</v>
      </c>
      <c r="F1032" s="116">
        <v>58.95</v>
      </c>
      <c r="G1032">
        <v>8203</v>
      </c>
      <c r="H1032" s="116"/>
      <c r="I1032" s="116"/>
      <c r="L1032" s="166">
        <v>43521</v>
      </c>
      <c r="M1032" s="116">
        <v>29.35</v>
      </c>
      <c r="N1032" s="116">
        <v>29.875</v>
      </c>
      <c r="O1032" s="116">
        <v>29.024999999999999</v>
      </c>
      <c r="P1032" s="116">
        <v>29.25</v>
      </c>
      <c r="Q1032" s="116">
        <v>58.7</v>
      </c>
      <c r="R1032">
        <v>33199</v>
      </c>
    </row>
    <row r="1033" spans="1:18" x14ac:dyDescent="0.25">
      <c r="A1033" s="166">
        <v>43522</v>
      </c>
      <c r="B1033" s="116">
        <v>28.85</v>
      </c>
      <c r="C1033" s="116">
        <v>28.3</v>
      </c>
      <c r="D1033" s="116">
        <v>27.1</v>
      </c>
      <c r="E1033" s="116">
        <v>28.55</v>
      </c>
      <c r="F1033" s="116">
        <v>56.6</v>
      </c>
      <c r="G1033">
        <v>22377</v>
      </c>
      <c r="H1033" s="116"/>
      <c r="I1033" s="116"/>
      <c r="L1033" s="166">
        <v>43522</v>
      </c>
      <c r="M1033" s="116">
        <v>28.274999999999999</v>
      </c>
      <c r="N1033" s="116">
        <v>29.35</v>
      </c>
      <c r="O1033" s="116">
        <v>26.975000000000001</v>
      </c>
      <c r="P1033" s="116">
        <v>28.324999999999999</v>
      </c>
      <c r="Q1033" s="116">
        <v>56.55</v>
      </c>
      <c r="R1033">
        <v>106761</v>
      </c>
    </row>
    <row r="1034" spans="1:18" x14ac:dyDescent="0.25">
      <c r="A1034" s="166">
        <v>43523</v>
      </c>
      <c r="B1034" s="116">
        <v>29.725000000000001</v>
      </c>
      <c r="C1034" s="116">
        <v>29.05</v>
      </c>
      <c r="D1034" s="116">
        <v>28.75</v>
      </c>
      <c r="E1034" s="116">
        <v>29.45</v>
      </c>
      <c r="F1034" s="116">
        <v>58.1</v>
      </c>
      <c r="G1034">
        <v>11145</v>
      </c>
      <c r="H1034" s="116"/>
      <c r="I1034" s="116"/>
      <c r="L1034" s="166">
        <v>43523</v>
      </c>
      <c r="M1034" s="116">
        <v>29.074999999999999</v>
      </c>
      <c r="N1034" s="116">
        <v>29.75</v>
      </c>
      <c r="O1034" s="116">
        <v>28.175000000000001</v>
      </c>
      <c r="P1034" s="116">
        <v>28.175000000000001</v>
      </c>
      <c r="Q1034" s="116">
        <v>58.15</v>
      </c>
      <c r="R1034">
        <v>69423</v>
      </c>
    </row>
    <row r="1035" spans="1:18" x14ac:dyDescent="0.25">
      <c r="A1035" s="166">
        <v>43524</v>
      </c>
      <c r="B1035" s="116">
        <v>29.375</v>
      </c>
      <c r="C1035" s="116">
        <v>28.8</v>
      </c>
      <c r="D1035" s="116">
        <v>28.524999999999999</v>
      </c>
      <c r="E1035" s="116">
        <v>29</v>
      </c>
      <c r="F1035" s="116">
        <v>57.6</v>
      </c>
      <c r="G1035">
        <v>4520</v>
      </c>
      <c r="H1035" s="116"/>
      <c r="I1035" s="116"/>
      <c r="L1035" s="166">
        <v>43524</v>
      </c>
      <c r="M1035" s="116">
        <v>28.75</v>
      </c>
      <c r="N1035" s="116">
        <v>29.375</v>
      </c>
      <c r="O1035" s="116">
        <v>28.574999999999999</v>
      </c>
      <c r="P1035" s="116">
        <v>28.774999999999999</v>
      </c>
      <c r="Q1035" s="116">
        <v>57.5</v>
      </c>
      <c r="R1035">
        <v>19430</v>
      </c>
    </row>
    <row r="1036" spans="1:18" x14ac:dyDescent="0.25">
      <c r="A1036" s="166">
        <v>43525</v>
      </c>
      <c r="B1036" s="116">
        <v>29.85</v>
      </c>
      <c r="C1036" s="116">
        <v>29.45</v>
      </c>
      <c r="D1036" s="116">
        <v>28.8</v>
      </c>
      <c r="E1036" s="116">
        <v>29.05</v>
      </c>
      <c r="F1036" s="116">
        <v>58.9</v>
      </c>
      <c r="G1036">
        <v>36742</v>
      </c>
      <c r="H1036" s="116"/>
      <c r="I1036" s="116"/>
      <c r="L1036" s="166">
        <v>43525</v>
      </c>
      <c r="M1036" s="116">
        <v>29.475000000000001</v>
      </c>
      <c r="N1036" s="116">
        <v>29.8</v>
      </c>
      <c r="O1036" s="116">
        <v>28.675000000000001</v>
      </c>
      <c r="P1036" s="116">
        <v>28.774999999999999</v>
      </c>
      <c r="Q1036" s="116">
        <v>58.95</v>
      </c>
      <c r="R1036">
        <v>64031</v>
      </c>
    </row>
    <row r="1037" spans="1:18" x14ac:dyDescent="0.25">
      <c r="A1037" s="166">
        <v>43529</v>
      </c>
      <c r="B1037" s="116">
        <v>31.1</v>
      </c>
      <c r="C1037" s="116">
        <v>30.975000000000001</v>
      </c>
      <c r="D1037" s="116">
        <v>28.875</v>
      </c>
      <c r="E1037" s="116">
        <v>29.8</v>
      </c>
      <c r="F1037" s="116">
        <v>61.95</v>
      </c>
      <c r="G1037">
        <v>30485</v>
      </c>
      <c r="H1037" s="116"/>
      <c r="I1037" s="116"/>
      <c r="L1037" s="166">
        <v>43529</v>
      </c>
      <c r="M1037" s="116">
        <v>31</v>
      </c>
      <c r="N1037" s="116">
        <v>31.1</v>
      </c>
      <c r="O1037" s="116">
        <v>28.824999999999999</v>
      </c>
      <c r="P1037" s="116">
        <v>29.45</v>
      </c>
      <c r="Q1037" s="116">
        <v>62</v>
      </c>
      <c r="R1037">
        <v>256927</v>
      </c>
    </row>
    <row r="1038" spans="1:18" x14ac:dyDescent="0.25">
      <c r="A1038" s="166">
        <v>43530</v>
      </c>
      <c r="B1038" s="116">
        <v>33.924999999999997</v>
      </c>
      <c r="C1038" s="116">
        <v>33.325000000000003</v>
      </c>
      <c r="D1038" s="116">
        <v>31.074999999999999</v>
      </c>
      <c r="E1038" s="116">
        <v>31.15</v>
      </c>
      <c r="F1038" s="116">
        <v>66.650000000000006</v>
      </c>
      <c r="G1038">
        <v>38935</v>
      </c>
      <c r="H1038" s="116"/>
      <c r="I1038" s="116"/>
      <c r="L1038" s="166">
        <v>43530</v>
      </c>
      <c r="M1038" s="116">
        <v>33.450000000000003</v>
      </c>
      <c r="N1038" s="116">
        <v>33.950000000000003</v>
      </c>
      <c r="O1038" s="116">
        <v>31</v>
      </c>
      <c r="P1038" s="116">
        <v>31.375</v>
      </c>
      <c r="Q1038" s="116">
        <v>66.900000000000006</v>
      </c>
      <c r="R1038">
        <v>349762</v>
      </c>
    </row>
    <row r="1039" spans="1:18" x14ac:dyDescent="0.25">
      <c r="A1039" s="166">
        <v>43531</v>
      </c>
      <c r="B1039" s="116">
        <v>34.049999999999997</v>
      </c>
      <c r="C1039" s="116">
        <v>33.475000000000001</v>
      </c>
      <c r="D1039" s="116">
        <v>32.6</v>
      </c>
      <c r="E1039" s="116">
        <v>33.799999999999997</v>
      </c>
      <c r="F1039" s="116">
        <v>66.95</v>
      </c>
      <c r="G1039">
        <v>28349</v>
      </c>
      <c r="H1039" s="116"/>
      <c r="I1039" s="116"/>
      <c r="L1039" s="166">
        <v>43531</v>
      </c>
      <c r="M1039" s="116">
        <v>33.524999999999999</v>
      </c>
      <c r="N1039" s="116">
        <v>34.200000000000003</v>
      </c>
      <c r="O1039" s="116">
        <v>32.549999999999997</v>
      </c>
      <c r="P1039" s="116">
        <v>33.25</v>
      </c>
      <c r="Q1039" s="116">
        <v>67.05</v>
      </c>
      <c r="R1039">
        <v>157629</v>
      </c>
    </row>
    <row r="1040" spans="1:18" x14ac:dyDescent="0.25">
      <c r="A1040" s="166">
        <v>43532</v>
      </c>
      <c r="B1040" s="116">
        <v>34.75</v>
      </c>
      <c r="C1040" s="116">
        <v>33.1</v>
      </c>
      <c r="D1040" s="116">
        <v>32.5</v>
      </c>
      <c r="E1040" s="116">
        <v>32.5</v>
      </c>
      <c r="F1040" s="116">
        <v>66.2</v>
      </c>
      <c r="G1040">
        <v>44844</v>
      </c>
      <c r="H1040" s="116"/>
      <c r="I1040" s="116"/>
      <c r="L1040" s="166">
        <v>43532</v>
      </c>
      <c r="M1040" s="116">
        <v>33.299999999999997</v>
      </c>
      <c r="N1040" s="116">
        <v>35</v>
      </c>
      <c r="O1040" s="116">
        <v>32.875</v>
      </c>
      <c r="P1040" s="116">
        <v>33.25</v>
      </c>
      <c r="Q1040" s="116">
        <v>66.599999999999994</v>
      </c>
      <c r="R1040">
        <v>281457</v>
      </c>
    </row>
    <row r="1041" spans="1:18" x14ac:dyDescent="0.25">
      <c r="A1041" s="166">
        <v>43535</v>
      </c>
      <c r="B1041" s="116">
        <v>34</v>
      </c>
      <c r="C1041" s="116">
        <v>33.200000000000003</v>
      </c>
      <c r="D1041" s="116">
        <v>33.049999999999997</v>
      </c>
      <c r="E1041" s="116">
        <v>34</v>
      </c>
      <c r="F1041" s="116">
        <v>66.400000000000006</v>
      </c>
      <c r="G1041">
        <v>4152</v>
      </c>
      <c r="H1041" s="116"/>
      <c r="I1041" s="116"/>
      <c r="L1041" s="166">
        <v>43535</v>
      </c>
      <c r="M1041" s="116">
        <v>33.15</v>
      </c>
      <c r="N1041" s="116">
        <v>33.9</v>
      </c>
      <c r="O1041" s="116">
        <v>33.1</v>
      </c>
      <c r="P1041" s="116">
        <v>33.825000000000003</v>
      </c>
      <c r="Q1041" s="116">
        <v>66.3</v>
      </c>
      <c r="R1041">
        <v>37830</v>
      </c>
    </row>
    <row r="1042" spans="1:18" x14ac:dyDescent="0.25">
      <c r="A1042" s="166">
        <v>43536</v>
      </c>
      <c r="B1042" s="116">
        <v>33.9</v>
      </c>
      <c r="C1042" s="116">
        <v>32.299999999999997</v>
      </c>
      <c r="D1042" s="116">
        <v>32</v>
      </c>
      <c r="E1042" s="116">
        <v>33.9</v>
      </c>
      <c r="F1042" s="116">
        <v>64.599999999999994</v>
      </c>
      <c r="G1042">
        <v>9968</v>
      </c>
      <c r="H1042" s="116"/>
      <c r="I1042" s="116"/>
      <c r="L1042" s="166">
        <v>43536</v>
      </c>
      <c r="M1042" s="116">
        <v>32.299999999999997</v>
      </c>
      <c r="N1042" s="116">
        <v>33.875</v>
      </c>
      <c r="O1042" s="116">
        <v>32</v>
      </c>
      <c r="P1042" s="116">
        <v>33.5</v>
      </c>
      <c r="Q1042" s="116">
        <v>64.599999999999994</v>
      </c>
      <c r="R1042">
        <v>95050</v>
      </c>
    </row>
    <row r="1043" spans="1:18" x14ac:dyDescent="0.25">
      <c r="A1043" s="166">
        <v>43537</v>
      </c>
      <c r="B1043" s="116">
        <v>32.75</v>
      </c>
      <c r="C1043" s="116">
        <v>31.95</v>
      </c>
      <c r="D1043" s="116">
        <v>31.725000000000001</v>
      </c>
      <c r="E1043" s="116">
        <v>32</v>
      </c>
      <c r="F1043" s="116">
        <v>63.9</v>
      </c>
      <c r="G1043">
        <v>14623</v>
      </c>
      <c r="H1043" s="116"/>
      <c r="I1043" s="116"/>
      <c r="L1043" s="166">
        <v>43537</v>
      </c>
      <c r="M1043" s="116">
        <v>32.049999999999997</v>
      </c>
      <c r="N1043" s="116">
        <v>32.85</v>
      </c>
      <c r="O1043" s="116">
        <v>31.675000000000001</v>
      </c>
      <c r="P1043" s="116">
        <v>32</v>
      </c>
      <c r="Q1043" s="116">
        <v>64.099999999999994</v>
      </c>
      <c r="R1043">
        <v>69543</v>
      </c>
    </row>
    <row r="1044" spans="1:18" x14ac:dyDescent="0.25">
      <c r="A1044" s="166">
        <v>43538</v>
      </c>
      <c r="B1044" s="116">
        <v>32.950000000000003</v>
      </c>
      <c r="C1044" s="116">
        <v>31.8</v>
      </c>
      <c r="D1044" s="116">
        <v>31.55</v>
      </c>
      <c r="E1044" s="116">
        <v>32.65</v>
      </c>
      <c r="F1044" s="116">
        <v>63.6</v>
      </c>
      <c r="G1044">
        <v>11036</v>
      </c>
      <c r="H1044" s="116"/>
      <c r="I1044" s="116"/>
      <c r="L1044" s="166">
        <v>43538</v>
      </c>
      <c r="M1044" s="116">
        <v>31.774999999999999</v>
      </c>
      <c r="N1044" s="116">
        <v>33.200000000000003</v>
      </c>
      <c r="O1044" s="116">
        <v>31.5</v>
      </c>
      <c r="P1044" s="116">
        <v>32.049999999999997</v>
      </c>
      <c r="Q1044" s="116">
        <v>63.55</v>
      </c>
      <c r="R1044">
        <v>72217</v>
      </c>
    </row>
    <row r="1045" spans="1:18" x14ac:dyDescent="0.25">
      <c r="A1045" s="166">
        <v>43539</v>
      </c>
      <c r="B1045" s="116">
        <v>32.825000000000003</v>
      </c>
      <c r="C1045" s="116">
        <v>31.75</v>
      </c>
      <c r="D1045" s="116">
        <v>31.5</v>
      </c>
      <c r="E1045" s="116">
        <v>32.024999999999999</v>
      </c>
      <c r="F1045" s="116">
        <v>63.5</v>
      </c>
      <c r="G1045">
        <v>12597</v>
      </c>
      <c r="H1045" s="116"/>
      <c r="I1045" s="116"/>
      <c r="L1045" s="166">
        <v>43539</v>
      </c>
      <c r="M1045" s="116">
        <v>31.7</v>
      </c>
      <c r="N1045" s="116">
        <v>32.774999999999999</v>
      </c>
      <c r="O1045" s="116">
        <v>31.524999999999999</v>
      </c>
      <c r="P1045" s="116">
        <v>32.299999999999997</v>
      </c>
      <c r="Q1045" s="116">
        <v>63.4</v>
      </c>
      <c r="R1045">
        <v>101816</v>
      </c>
    </row>
    <row r="1046" spans="1:18" x14ac:dyDescent="0.25">
      <c r="A1046" s="166">
        <v>43542</v>
      </c>
      <c r="B1046" s="116">
        <v>32.174999999999997</v>
      </c>
      <c r="C1046" s="116">
        <v>31.324999999999999</v>
      </c>
      <c r="D1046" s="116">
        <v>31.125</v>
      </c>
      <c r="E1046" s="116">
        <v>32.1</v>
      </c>
      <c r="F1046" s="116">
        <v>62.65</v>
      </c>
      <c r="G1046">
        <v>7538</v>
      </c>
      <c r="H1046" s="116"/>
      <c r="I1046" s="116"/>
      <c r="L1046" s="166">
        <v>43542</v>
      </c>
      <c r="M1046" s="116">
        <v>31.475000000000001</v>
      </c>
      <c r="N1046" s="116">
        <v>32.25</v>
      </c>
      <c r="O1046" s="116">
        <v>31.024999999999999</v>
      </c>
      <c r="P1046" s="116">
        <v>32.25</v>
      </c>
      <c r="Q1046" s="116">
        <v>62.95</v>
      </c>
      <c r="R1046">
        <v>41722</v>
      </c>
    </row>
    <row r="1047" spans="1:18" x14ac:dyDescent="0.25">
      <c r="A1047" s="166">
        <v>43543</v>
      </c>
      <c r="B1047" s="116">
        <v>31.625</v>
      </c>
      <c r="C1047" s="116">
        <v>31.375</v>
      </c>
      <c r="D1047" s="116">
        <v>31.175000000000001</v>
      </c>
      <c r="E1047" s="116">
        <v>31.375</v>
      </c>
      <c r="F1047" s="116">
        <v>62.75</v>
      </c>
      <c r="G1047">
        <v>12147</v>
      </c>
      <c r="H1047" s="116"/>
      <c r="I1047" s="116"/>
      <c r="L1047" s="166">
        <v>43543</v>
      </c>
      <c r="M1047" s="116">
        <v>31.475000000000001</v>
      </c>
      <c r="N1047" s="116">
        <v>31.75</v>
      </c>
      <c r="O1047" s="116">
        <v>31.35</v>
      </c>
      <c r="P1047" s="116">
        <v>31.625</v>
      </c>
      <c r="Q1047" s="116">
        <v>62.95</v>
      </c>
      <c r="R1047">
        <v>28283</v>
      </c>
    </row>
    <row r="1048" spans="1:18" x14ac:dyDescent="0.25">
      <c r="A1048" s="166">
        <v>43544</v>
      </c>
      <c r="B1048" s="116">
        <v>33.950000000000003</v>
      </c>
      <c r="C1048" s="116">
        <v>33.024999999999999</v>
      </c>
      <c r="D1048" s="116">
        <v>30.975000000000001</v>
      </c>
      <c r="E1048" s="116">
        <v>31.5</v>
      </c>
      <c r="F1048" s="116">
        <v>66.05</v>
      </c>
      <c r="G1048">
        <v>48946</v>
      </c>
      <c r="H1048" s="116"/>
      <c r="I1048" s="116"/>
      <c r="L1048" s="166">
        <v>43544</v>
      </c>
      <c r="M1048" s="116">
        <v>33.125</v>
      </c>
      <c r="N1048" s="116">
        <v>34</v>
      </c>
      <c r="O1048" s="116">
        <v>30.675000000000001</v>
      </c>
      <c r="P1048" s="116">
        <v>31.65</v>
      </c>
      <c r="Q1048" s="116">
        <v>66.25</v>
      </c>
      <c r="R1048">
        <v>254174</v>
      </c>
    </row>
    <row r="1049" spans="1:18" x14ac:dyDescent="0.25">
      <c r="A1049" s="166">
        <v>43546</v>
      </c>
      <c r="B1049" s="116">
        <v>34.549999999999997</v>
      </c>
      <c r="C1049" s="116">
        <v>33.299999999999997</v>
      </c>
      <c r="D1049" s="116">
        <v>33.049999999999997</v>
      </c>
      <c r="E1049" s="116">
        <v>33.575000000000003</v>
      </c>
      <c r="F1049" s="116">
        <v>66.599999999999994</v>
      </c>
      <c r="G1049">
        <v>25390</v>
      </c>
      <c r="H1049" s="116"/>
      <c r="I1049" s="116"/>
      <c r="L1049" s="166">
        <v>43546</v>
      </c>
      <c r="M1049" s="116">
        <v>33.35</v>
      </c>
      <c r="N1049" s="116">
        <v>34.475000000000001</v>
      </c>
      <c r="O1049" s="116">
        <v>33.1</v>
      </c>
      <c r="P1049" s="116">
        <v>33.575000000000003</v>
      </c>
      <c r="Q1049" s="116">
        <v>66.7</v>
      </c>
      <c r="R1049">
        <v>218046</v>
      </c>
    </row>
    <row r="1050" spans="1:18" x14ac:dyDescent="0.25">
      <c r="A1050" s="166">
        <v>43549</v>
      </c>
      <c r="B1050" s="116">
        <v>33.1</v>
      </c>
      <c r="C1050" s="116">
        <v>31.875</v>
      </c>
      <c r="D1050" s="116">
        <v>31.5</v>
      </c>
      <c r="E1050" s="116">
        <v>32.125</v>
      </c>
      <c r="F1050" s="116">
        <v>63.75</v>
      </c>
      <c r="G1050">
        <v>16059</v>
      </c>
      <c r="H1050" s="116"/>
      <c r="I1050" s="116"/>
      <c r="L1050" s="166">
        <v>43549</v>
      </c>
      <c r="M1050" s="116">
        <v>31.75</v>
      </c>
      <c r="N1050" s="116">
        <v>33.25</v>
      </c>
      <c r="O1050" s="116">
        <v>31.324999999999999</v>
      </c>
      <c r="P1050" s="116">
        <v>33.25</v>
      </c>
      <c r="Q1050" s="116">
        <v>63.5</v>
      </c>
      <c r="R1050">
        <v>76973</v>
      </c>
    </row>
    <row r="1051" spans="1:18" x14ac:dyDescent="0.25">
      <c r="A1051" s="166">
        <v>43550</v>
      </c>
      <c r="B1051" s="116">
        <v>32.975000000000001</v>
      </c>
      <c r="C1051" s="116">
        <v>31.425000000000001</v>
      </c>
      <c r="D1051" s="116">
        <v>30.975000000000001</v>
      </c>
      <c r="E1051" s="116">
        <v>32.975000000000001</v>
      </c>
      <c r="F1051" s="116">
        <v>62.85</v>
      </c>
      <c r="G1051">
        <v>12788</v>
      </c>
      <c r="H1051" s="116"/>
      <c r="I1051" s="116"/>
      <c r="L1051" s="166">
        <v>43550</v>
      </c>
      <c r="M1051" s="116">
        <v>31.35</v>
      </c>
      <c r="N1051" s="116">
        <v>32.5</v>
      </c>
      <c r="O1051" s="116">
        <v>30.9</v>
      </c>
      <c r="P1051" s="116">
        <v>31.675000000000001</v>
      </c>
      <c r="Q1051" s="116">
        <v>62.7</v>
      </c>
      <c r="R1051">
        <v>83858</v>
      </c>
    </row>
    <row r="1052" spans="1:18" x14ac:dyDescent="0.25">
      <c r="A1052" s="166">
        <v>43551</v>
      </c>
      <c r="B1052" s="116">
        <v>32.25</v>
      </c>
      <c r="C1052" s="116">
        <v>31.725000000000001</v>
      </c>
      <c r="D1052" s="116">
        <v>31.125</v>
      </c>
      <c r="E1052" s="116">
        <v>31.25</v>
      </c>
      <c r="F1052" s="116">
        <v>63.45</v>
      </c>
      <c r="G1052">
        <v>70117</v>
      </c>
      <c r="H1052" s="116"/>
      <c r="I1052" s="116"/>
      <c r="L1052" s="166">
        <v>43551</v>
      </c>
      <c r="M1052" s="116">
        <v>31.625</v>
      </c>
      <c r="N1052" s="116">
        <v>32.4</v>
      </c>
      <c r="O1052" s="116">
        <v>31.35</v>
      </c>
      <c r="P1052" s="116">
        <v>31.925000000000001</v>
      </c>
      <c r="Q1052" s="116">
        <v>63.25</v>
      </c>
      <c r="R1052">
        <v>71840</v>
      </c>
    </row>
    <row r="1053" spans="1:18" x14ac:dyDescent="0.25">
      <c r="A1053" s="166">
        <v>43552</v>
      </c>
      <c r="B1053" s="116">
        <v>32.5</v>
      </c>
      <c r="C1053" s="116">
        <v>31.65</v>
      </c>
      <c r="D1053" s="116">
        <v>31.55</v>
      </c>
      <c r="E1053" s="116">
        <v>32.1</v>
      </c>
      <c r="F1053" s="116">
        <v>63.3</v>
      </c>
      <c r="G1053">
        <v>7191</v>
      </c>
      <c r="H1053" s="116"/>
      <c r="I1053" s="116"/>
      <c r="L1053" s="166">
        <v>43552</v>
      </c>
      <c r="M1053" s="116">
        <v>31.774999999999999</v>
      </c>
      <c r="N1053" s="116">
        <v>32.35</v>
      </c>
      <c r="O1053" s="116">
        <v>31.55</v>
      </c>
      <c r="P1053" s="116">
        <v>31.875</v>
      </c>
      <c r="Q1053" s="116">
        <v>63.55</v>
      </c>
      <c r="R1053">
        <v>89121</v>
      </c>
    </row>
    <row r="1054" spans="1:18" x14ac:dyDescent="0.25">
      <c r="A1054" s="166">
        <v>43553</v>
      </c>
      <c r="B1054" s="116">
        <v>32.4</v>
      </c>
      <c r="C1054" s="116">
        <v>31.625</v>
      </c>
      <c r="D1054" s="116">
        <v>31.25</v>
      </c>
      <c r="E1054" s="116">
        <v>32.4</v>
      </c>
      <c r="F1054" s="116">
        <v>63.25</v>
      </c>
      <c r="G1054">
        <v>20027</v>
      </c>
      <c r="H1054" s="116"/>
      <c r="I1054" s="116"/>
      <c r="L1054" s="166">
        <v>43553</v>
      </c>
      <c r="M1054" s="116">
        <v>31.5</v>
      </c>
      <c r="N1054" s="116">
        <v>32.4</v>
      </c>
      <c r="O1054" s="116">
        <v>31.25</v>
      </c>
      <c r="P1054" s="116">
        <v>31.85</v>
      </c>
      <c r="Q1054" s="116">
        <v>63</v>
      </c>
      <c r="R1054">
        <v>172766</v>
      </c>
    </row>
    <row r="1055" spans="1:18" x14ac:dyDescent="0.25">
      <c r="A1055" s="166">
        <v>43556</v>
      </c>
      <c r="B1055" s="116">
        <v>32.125</v>
      </c>
      <c r="C1055" s="116">
        <v>31.925000000000001</v>
      </c>
      <c r="D1055" s="116">
        <v>31.75</v>
      </c>
      <c r="E1055" s="116">
        <v>31.975000000000001</v>
      </c>
      <c r="F1055" s="116">
        <v>63.85</v>
      </c>
      <c r="G1055">
        <v>4517</v>
      </c>
      <c r="H1055" s="116"/>
      <c r="I1055" s="116"/>
      <c r="L1055" s="166">
        <v>43556</v>
      </c>
      <c r="M1055" s="116">
        <v>31.95</v>
      </c>
      <c r="N1055" s="116">
        <v>32.174999999999997</v>
      </c>
      <c r="O1055" s="116">
        <v>31.65</v>
      </c>
      <c r="P1055" s="116">
        <v>32.15</v>
      </c>
      <c r="Q1055" s="116">
        <v>63.9</v>
      </c>
      <c r="R1055">
        <v>59823</v>
      </c>
    </row>
    <row r="1056" spans="1:18" x14ac:dyDescent="0.25">
      <c r="A1056" s="166">
        <v>43557</v>
      </c>
      <c r="B1056" s="116">
        <v>31.95</v>
      </c>
      <c r="C1056" s="116">
        <v>31.5</v>
      </c>
      <c r="D1056" s="116">
        <v>31.4</v>
      </c>
      <c r="E1056" s="116">
        <v>31.95</v>
      </c>
      <c r="F1056" s="116">
        <v>63</v>
      </c>
      <c r="G1056">
        <v>6316</v>
      </c>
      <c r="H1056" s="116"/>
      <c r="I1056" s="116"/>
      <c r="L1056" s="166">
        <v>43557</v>
      </c>
      <c r="M1056" s="116">
        <v>31.55</v>
      </c>
      <c r="N1056" s="116">
        <v>32.1</v>
      </c>
      <c r="O1056" s="116">
        <v>31.5</v>
      </c>
      <c r="P1056" s="116">
        <v>32.1</v>
      </c>
      <c r="Q1056" s="116">
        <v>63.1</v>
      </c>
      <c r="R1056">
        <v>35197</v>
      </c>
    </row>
    <row r="1057" spans="1:18" x14ac:dyDescent="0.25">
      <c r="A1057" s="166">
        <v>43558</v>
      </c>
      <c r="B1057" s="116">
        <v>33.200000000000003</v>
      </c>
      <c r="C1057" s="116">
        <v>31.65</v>
      </c>
      <c r="D1057" s="116">
        <v>31.5</v>
      </c>
      <c r="E1057" s="116">
        <v>33.200000000000003</v>
      </c>
      <c r="F1057" s="116">
        <v>63.3</v>
      </c>
      <c r="G1057">
        <v>21869</v>
      </c>
      <c r="H1057" s="116"/>
      <c r="I1057" s="116"/>
      <c r="L1057" s="166">
        <v>43558</v>
      </c>
      <c r="M1057" s="116">
        <v>31.65</v>
      </c>
      <c r="N1057" s="116">
        <v>33.125</v>
      </c>
      <c r="O1057" s="116">
        <v>31.5</v>
      </c>
      <c r="P1057" s="116">
        <v>31.925000000000001</v>
      </c>
      <c r="Q1057" s="116">
        <v>63.3</v>
      </c>
      <c r="R1057">
        <v>274932</v>
      </c>
    </row>
    <row r="1058" spans="1:18" x14ac:dyDescent="0.25">
      <c r="A1058" s="166">
        <v>43559</v>
      </c>
      <c r="B1058" s="116">
        <v>31.824999999999999</v>
      </c>
      <c r="C1058" s="116">
        <v>31.225000000000001</v>
      </c>
      <c r="D1058" s="116">
        <v>31.125</v>
      </c>
      <c r="E1058" s="116">
        <v>31.5</v>
      </c>
      <c r="F1058" s="116">
        <v>62.45</v>
      </c>
      <c r="G1058">
        <v>7976</v>
      </c>
      <c r="H1058" s="116"/>
      <c r="I1058" s="116"/>
      <c r="L1058" s="166">
        <v>43559</v>
      </c>
      <c r="M1058" s="116">
        <v>31.2</v>
      </c>
      <c r="N1058" s="116">
        <v>31.925000000000001</v>
      </c>
      <c r="O1058" s="116">
        <v>31.024999999999999</v>
      </c>
      <c r="P1058" s="116">
        <v>31.4</v>
      </c>
      <c r="Q1058" s="116">
        <v>62.4</v>
      </c>
      <c r="R1058">
        <v>48361</v>
      </c>
    </row>
    <row r="1059" spans="1:18" x14ac:dyDescent="0.25">
      <c r="A1059" s="166">
        <v>43560</v>
      </c>
      <c r="B1059" s="116">
        <v>31.675000000000001</v>
      </c>
      <c r="C1059" s="116">
        <v>31.024999999999999</v>
      </c>
      <c r="D1059" s="116">
        <v>30.925000000000001</v>
      </c>
      <c r="E1059" s="116">
        <v>31.524999999999999</v>
      </c>
      <c r="F1059" s="116">
        <v>62.05</v>
      </c>
      <c r="G1059">
        <v>19909</v>
      </c>
      <c r="H1059" s="116"/>
      <c r="I1059" s="116"/>
      <c r="L1059" s="166">
        <v>43560</v>
      </c>
      <c r="M1059" s="116">
        <v>30.975000000000001</v>
      </c>
      <c r="N1059" s="116">
        <v>31.7</v>
      </c>
      <c r="O1059" s="116">
        <v>30.75</v>
      </c>
      <c r="P1059" s="116">
        <v>31.5</v>
      </c>
      <c r="Q1059" s="116">
        <v>61.95</v>
      </c>
      <c r="R1059">
        <v>63928</v>
      </c>
    </row>
    <row r="1060" spans="1:18" x14ac:dyDescent="0.25">
      <c r="A1060" s="166">
        <v>43563</v>
      </c>
      <c r="B1060" s="116">
        <v>31.625</v>
      </c>
      <c r="C1060" s="116">
        <v>30.774999999999999</v>
      </c>
      <c r="D1060" s="116">
        <v>30.75</v>
      </c>
      <c r="E1060" s="116">
        <v>31.324999999999999</v>
      </c>
      <c r="F1060" s="116">
        <v>61.55</v>
      </c>
      <c r="G1060">
        <v>7958</v>
      </c>
      <c r="H1060" s="116"/>
      <c r="I1060" s="116"/>
      <c r="L1060" s="166">
        <v>43563</v>
      </c>
      <c r="M1060" s="116">
        <v>30.774999999999999</v>
      </c>
      <c r="N1060" s="116">
        <v>31.524999999999999</v>
      </c>
      <c r="O1060" s="116">
        <v>30.675000000000001</v>
      </c>
      <c r="P1060" s="116">
        <v>31.274999999999999</v>
      </c>
      <c r="Q1060" s="116">
        <v>61.55</v>
      </c>
      <c r="R1060">
        <v>46103</v>
      </c>
    </row>
    <row r="1061" spans="1:18" x14ac:dyDescent="0.25">
      <c r="A1061" s="166">
        <v>43564</v>
      </c>
      <c r="B1061" s="116">
        <v>30.824999999999999</v>
      </c>
      <c r="C1061" s="116">
        <v>30.475000000000001</v>
      </c>
      <c r="D1061" s="116">
        <v>30.125</v>
      </c>
      <c r="E1061" s="116">
        <v>30.125</v>
      </c>
      <c r="F1061" s="116">
        <v>60.95</v>
      </c>
      <c r="G1061">
        <v>6725</v>
      </c>
      <c r="H1061" s="116"/>
      <c r="I1061" s="116"/>
      <c r="L1061" s="166">
        <v>43564</v>
      </c>
      <c r="M1061" s="116">
        <v>30.375</v>
      </c>
      <c r="N1061" s="116">
        <v>31</v>
      </c>
      <c r="O1061" s="116">
        <v>30.2</v>
      </c>
      <c r="P1061" s="116">
        <v>31</v>
      </c>
      <c r="Q1061" s="116">
        <v>60.75</v>
      </c>
      <c r="R1061">
        <v>55130</v>
      </c>
    </row>
    <row r="1062" spans="1:18" x14ac:dyDescent="0.25">
      <c r="A1062" s="166">
        <v>43565</v>
      </c>
      <c r="B1062" s="116">
        <v>30.8</v>
      </c>
      <c r="C1062" s="116">
        <v>30.375</v>
      </c>
      <c r="D1062" s="116">
        <v>29.55</v>
      </c>
      <c r="E1062" s="116">
        <v>30.05</v>
      </c>
      <c r="F1062" s="116">
        <v>60.75</v>
      </c>
      <c r="G1062">
        <v>4953</v>
      </c>
      <c r="H1062" s="116"/>
      <c r="I1062" s="116"/>
      <c r="L1062" s="166">
        <v>43565</v>
      </c>
      <c r="M1062" s="116">
        <v>30.4</v>
      </c>
      <c r="N1062" s="116">
        <v>31</v>
      </c>
      <c r="O1062" s="116">
        <v>30.05</v>
      </c>
      <c r="P1062" s="116">
        <v>30.5</v>
      </c>
      <c r="Q1062" s="116">
        <v>60.8</v>
      </c>
      <c r="R1062">
        <v>36599</v>
      </c>
    </row>
    <row r="1063" spans="1:18" x14ac:dyDescent="0.25">
      <c r="A1063" s="166">
        <v>43566</v>
      </c>
      <c r="B1063" s="116">
        <v>30.725000000000001</v>
      </c>
      <c r="C1063" s="116">
        <v>30.2</v>
      </c>
      <c r="D1063" s="116">
        <v>30</v>
      </c>
      <c r="E1063" s="116">
        <v>30.725000000000001</v>
      </c>
      <c r="F1063" s="116">
        <v>60.4</v>
      </c>
      <c r="G1063">
        <v>4029</v>
      </c>
      <c r="H1063" s="116"/>
      <c r="I1063" s="116"/>
      <c r="L1063" s="166">
        <v>43566</v>
      </c>
      <c r="M1063" s="116">
        <v>30.15</v>
      </c>
      <c r="N1063" s="116">
        <v>30.75</v>
      </c>
      <c r="O1063" s="116">
        <v>30.074999999999999</v>
      </c>
      <c r="P1063" s="116">
        <v>30.675000000000001</v>
      </c>
      <c r="Q1063" s="116">
        <v>60.3</v>
      </c>
      <c r="R1063">
        <v>34318</v>
      </c>
    </row>
    <row r="1064" spans="1:18" x14ac:dyDescent="0.25">
      <c r="A1064" s="166">
        <v>43567</v>
      </c>
      <c r="B1064" s="116">
        <v>30.524999999999999</v>
      </c>
      <c r="C1064" s="116">
        <v>30.175000000000001</v>
      </c>
      <c r="D1064" s="116">
        <v>30.125</v>
      </c>
      <c r="E1064" s="116">
        <v>30.15</v>
      </c>
      <c r="F1064" s="116">
        <v>60.35</v>
      </c>
      <c r="G1064">
        <v>7411</v>
      </c>
      <c r="H1064" s="116"/>
      <c r="I1064" s="116"/>
      <c r="L1064" s="166">
        <v>43567</v>
      </c>
      <c r="M1064" s="116">
        <v>30.3</v>
      </c>
      <c r="N1064" s="116">
        <v>30.6</v>
      </c>
      <c r="O1064" s="116">
        <v>30.125</v>
      </c>
      <c r="P1064" s="116">
        <v>30.15</v>
      </c>
      <c r="Q1064" s="116">
        <v>60.6</v>
      </c>
      <c r="R1064">
        <v>80877</v>
      </c>
    </row>
    <row r="1065" spans="1:18" x14ac:dyDescent="0.25">
      <c r="A1065" s="166">
        <v>43570</v>
      </c>
      <c r="B1065" s="116">
        <v>32.174999999999997</v>
      </c>
      <c r="C1065" s="116">
        <v>31.95</v>
      </c>
      <c r="D1065" s="116">
        <v>30.4</v>
      </c>
      <c r="E1065" s="116">
        <v>31.975000000000001</v>
      </c>
      <c r="F1065" s="116">
        <v>63.9</v>
      </c>
      <c r="G1065">
        <v>533678</v>
      </c>
      <c r="H1065" s="116"/>
      <c r="I1065" s="116"/>
      <c r="L1065" s="166">
        <v>43570</v>
      </c>
      <c r="M1065" s="116">
        <v>32.024999999999999</v>
      </c>
      <c r="N1065" s="116">
        <v>32.225000000000001</v>
      </c>
      <c r="O1065" s="116">
        <v>30.25</v>
      </c>
      <c r="P1065" s="116">
        <v>30.574999999999999</v>
      </c>
      <c r="Q1065" s="116">
        <v>64.05</v>
      </c>
      <c r="R1065">
        <v>974380</v>
      </c>
    </row>
    <row r="1066" spans="1:18" x14ac:dyDescent="0.25">
      <c r="A1066" s="166">
        <v>43571</v>
      </c>
      <c r="B1066" s="116">
        <v>32.975000000000001</v>
      </c>
      <c r="C1066" s="116">
        <v>32.424999999999997</v>
      </c>
      <c r="D1066" s="116">
        <v>31.95</v>
      </c>
      <c r="E1066" s="116">
        <v>32.075000000000003</v>
      </c>
      <c r="F1066" s="116">
        <v>64.849999999999994</v>
      </c>
      <c r="G1066">
        <v>16678</v>
      </c>
      <c r="H1066" s="116"/>
      <c r="I1066" s="116"/>
      <c r="L1066" s="166">
        <v>43571</v>
      </c>
      <c r="M1066" s="116">
        <v>32.4</v>
      </c>
      <c r="N1066" s="116">
        <v>33.1</v>
      </c>
      <c r="O1066" s="116">
        <v>31.875</v>
      </c>
      <c r="P1066" s="116">
        <v>32.299999999999997</v>
      </c>
      <c r="Q1066" s="116">
        <v>64.8</v>
      </c>
      <c r="R1066">
        <v>235960</v>
      </c>
    </row>
    <row r="1067" spans="1:18" x14ac:dyDescent="0.25">
      <c r="A1067" s="166">
        <v>43573</v>
      </c>
      <c r="B1067" s="116">
        <v>32.424999999999997</v>
      </c>
      <c r="C1067" s="116">
        <v>31.475000000000001</v>
      </c>
      <c r="D1067" s="116">
        <v>31.425000000000001</v>
      </c>
      <c r="E1067" s="116">
        <v>32.424999999999997</v>
      </c>
      <c r="F1067" s="116">
        <v>62.95</v>
      </c>
      <c r="G1067">
        <v>5740</v>
      </c>
      <c r="H1067" s="116"/>
      <c r="I1067" s="116"/>
      <c r="L1067" s="166">
        <v>43573</v>
      </c>
      <c r="M1067" s="116">
        <v>31.6</v>
      </c>
      <c r="N1067" s="116">
        <v>32.700000000000003</v>
      </c>
      <c r="O1067" s="116">
        <v>31.5</v>
      </c>
      <c r="P1067" s="116">
        <v>32.700000000000003</v>
      </c>
      <c r="Q1067" s="116">
        <v>63.2</v>
      </c>
      <c r="R1067">
        <v>65131</v>
      </c>
    </row>
    <row r="1068" spans="1:18" x14ac:dyDescent="0.25">
      <c r="A1068" s="166">
        <v>43577</v>
      </c>
      <c r="B1068" s="116">
        <v>31</v>
      </c>
      <c r="C1068" s="116">
        <v>30.25</v>
      </c>
      <c r="D1068" s="116">
        <v>30.1</v>
      </c>
      <c r="E1068" s="116">
        <v>31</v>
      </c>
      <c r="F1068" s="116">
        <v>60.5</v>
      </c>
      <c r="G1068">
        <v>6649</v>
      </c>
      <c r="H1068" s="116"/>
      <c r="I1068" s="116"/>
      <c r="L1068" s="166">
        <v>43577</v>
      </c>
      <c r="M1068" s="116">
        <v>30.35</v>
      </c>
      <c r="N1068" s="116">
        <v>31.4</v>
      </c>
      <c r="O1068" s="116">
        <v>30.2</v>
      </c>
      <c r="P1068" s="116">
        <v>31.4</v>
      </c>
      <c r="Q1068" s="116">
        <v>60.7</v>
      </c>
      <c r="R1068">
        <v>56009</v>
      </c>
    </row>
    <row r="1069" spans="1:18" x14ac:dyDescent="0.25">
      <c r="A1069" s="166">
        <v>43578</v>
      </c>
      <c r="B1069" s="116">
        <v>30.925000000000001</v>
      </c>
      <c r="C1069" s="116">
        <v>29.95</v>
      </c>
      <c r="D1069" s="116">
        <v>29.7</v>
      </c>
      <c r="E1069" s="116">
        <v>30.55</v>
      </c>
      <c r="F1069" s="116">
        <v>59.9</v>
      </c>
      <c r="G1069">
        <v>10679</v>
      </c>
      <c r="H1069" s="116"/>
      <c r="I1069" s="116"/>
      <c r="L1069" s="166">
        <v>43578</v>
      </c>
      <c r="M1069" s="116">
        <v>29.925000000000001</v>
      </c>
      <c r="N1069" s="116">
        <v>30.8</v>
      </c>
      <c r="O1069" s="116">
        <v>29.6</v>
      </c>
      <c r="P1069" s="116">
        <v>30.5</v>
      </c>
      <c r="Q1069" s="116">
        <v>59.85</v>
      </c>
      <c r="R1069">
        <v>66605</v>
      </c>
    </row>
    <row r="1070" spans="1:18" x14ac:dyDescent="0.25">
      <c r="A1070" s="166">
        <v>43579</v>
      </c>
      <c r="B1070" s="116">
        <v>30.45</v>
      </c>
      <c r="C1070" s="116">
        <v>29.95</v>
      </c>
      <c r="D1070" s="116">
        <v>29.85</v>
      </c>
      <c r="E1070" s="116">
        <v>30.45</v>
      </c>
      <c r="F1070" s="116">
        <v>59.9</v>
      </c>
      <c r="G1070">
        <v>2479</v>
      </c>
      <c r="H1070" s="116"/>
      <c r="I1070" s="116"/>
      <c r="L1070" s="166">
        <v>43579</v>
      </c>
      <c r="M1070" s="116">
        <v>30.074999999999999</v>
      </c>
      <c r="N1070" s="116">
        <v>30.425000000000001</v>
      </c>
      <c r="O1070" s="116">
        <v>29.95</v>
      </c>
      <c r="P1070" s="116">
        <v>30.125</v>
      </c>
      <c r="Q1070" s="116">
        <v>60.15</v>
      </c>
      <c r="R1070">
        <v>47698</v>
      </c>
    </row>
    <row r="1071" spans="1:18" x14ac:dyDescent="0.25">
      <c r="A1071" s="166">
        <v>43580</v>
      </c>
      <c r="B1071" s="116">
        <v>30.1</v>
      </c>
      <c r="C1071" s="116">
        <v>29.7</v>
      </c>
      <c r="D1071" s="116">
        <v>29.65</v>
      </c>
      <c r="E1071" s="116">
        <v>30.1</v>
      </c>
      <c r="F1071" s="116">
        <v>59.4</v>
      </c>
      <c r="G1071">
        <v>2931</v>
      </c>
      <c r="H1071" s="116"/>
      <c r="I1071" s="116"/>
      <c r="L1071" s="166">
        <v>43580</v>
      </c>
      <c r="M1071" s="116">
        <v>29.725000000000001</v>
      </c>
      <c r="N1071" s="116">
        <v>30.6</v>
      </c>
      <c r="O1071" s="116">
        <v>29.6</v>
      </c>
      <c r="P1071" s="116">
        <v>30.6</v>
      </c>
      <c r="Q1071" s="116">
        <v>59.45</v>
      </c>
      <c r="R1071">
        <v>63000</v>
      </c>
    </row>
    <row r="1072" spans="1:18" x14ac:dyDescent="0.25">
      <c r="A1072" s="166">
        <v>43581</v>
      </c>
      <c r="B1072" s="116">
        <v>29.9</v>
      </c>
      <c r="C1072" s="116">
        <v>29.6</v>
      </c>
      <c r="D1072" s="116">
        <v>29.25</v>
      </c>
      <c r="E1072" s="116">
        <v>29.25</v>
      </c>
      <c r="F1072" s="116">
        <v>59.2</v>
      </c>
      <c r="G1072">
        <v>4688</v>
      </c>
      <c r="H1072" s="116"/>
      <c r="I1072" s="116"/>
      <c r="L1072" s="166">
        <v>43581</v>
      </c>
      <c r="M1072" s="116">
        <v>29.5</v>
      </c>
      <c r="N1072" s="116">
        <v>30.25</v>
      </c>
      <c r="O1072" s="116">
        <v>29.25</v>
      </c>
      <c r="P1072" s="116">
        <v>30.25</v>
      </c>
      <c r="Q1072" s="116">
        <v>59</v>
      </c>
      <c r="R1072">
        <v>24083</v>
      </c>
    </row>
    <row r="1073" spans="1:18" x14ac:dyDescent="0.25">
      <c r="A1073" s="166">
        <v>43585</v>
      </c>
      <c r="B1073" s="116">
        <v>30.074999999999999</v>
      </c>
      <c r="C1073" s="116">
        <v>29.05</v>
      </c>
      <c r="D1073" s="116">
        <v>28.8</v>
      </c>
      <c r="E1073" s="116">
        <v>29.024999999999999</v>
      </c>
      <c r="F1073" s="116">
        <v>58.1</v>
      </c>
      <c r="G1073">
        <v>521823</v>
      </c>
      <c r="H1073" s="116"/>
      <c r="I1073" s="116"/>
      <c r="L1073" s="166">
        <v>43585</v>
      </c>
      <c r="M1073" s="116">
        <v>29.05</v>
      </c>
      <c r="N1073" s="116">
        <v>29.975000000000001</v>
      </c>
      <c r="O1073" s="116">
        <v>28.75</v>
      </c>
      <c r="P1073" s="116">
        <v>29.925000000000001</v>
      </c>
      <c r="Q1073" s="116">
        <v>58.1</v>
      </c>
      <c r="R1073">
        <v>564606</v>
      </c>
    </row>
    <row r="1074" spans="1:18" x14ac:dyDescent="0.25">
      <c r="A1074" s="166">
        <v>43587</v>
      </c>
      <c r="B1074" s="116">
        <v>29.25</v>
      </c>
      <c r="C1074" s="116">
        <v>27.824999999999999</v>
      </c>
      <c r="D1074" s="116">
        <v>27.75</v>
      </c>
      <c r="E1074" s="116">
        <v>29.125</v>
      </c>
      <c r="F1074" s="116">
        <v>55.65</v>
      </c>
      <c r="G1074">
        <v>13443</v>
      </c>
      <c r="H1074" s="116"/>
      <c r="I1074" s="116"/>
      <c r="L1074" s="166">
        <v>43587</v>
      </c>
      <c r="M1074" s="116">
        <v>27.85</v>
      </c>
      <c r="N1074" s="116">
        <v>29.375</v>
      </c>
      <c r="O1074" s="116">
        <v>27.7</v>
      </c>
      <c r="P1074" s="116">
        <v>28.75</v>
      </c>
      <c r="Q1074" s="116">
        <v>55.7</v>
      </c>
      <c r="R1074">
        <v>100720</v>
      </c>
    </row>
    <row r="1075" spans="1:18" x14ac:dyDescent="0.25">
      <c r="A1075" s="166">
        <v>43588</v>
      </c>
      <c r="B1075" s="116">
        <v>28</v>
      </c>
      <c r="C1075" s="116">
        <v>27.425000000000001</v>
      </c>
      <c r="D1075" s="116">
        <v>27.274999999999999</v>
      </c>
      <c r="E1075" s="116">
        <v>27.524999999999999</v>
      </c>
      <c r="F1075" s="116">
        <v>54.85</v>
      </c>
      <c r="G1075">
        <v>17066</v>
      </c>
      <c r="H1075" s="116"/>
      <c r="I1075" s="116"/>
      <c r="L1075" s="166">
        <v>43588</v>
      </c>
      <c r="M1075" s="116">
        <v>27.45</v>
      </c>
      <c r="N1075" s="116">
        <v>28.2</v>
      </c>
      <c r="O1075" s="116">
        <v>27.35</v>
      </c>
      <c r="P1075" s="116">
        <v>27.774999999999999</v>
      </c>
      <c r="Q1075" s="116">
        <v>54.9</v>
      </c>
      <c r="R1075">
        <v>92676</v>
      </c>
    </row>
    <row r="1076" spans="1:18" x14ac:dyDescent="0.25">
      <c r="A1076" s="166">
        <v>43591</v>
      </c>
      <c r="B1076" s="116">
        <v>27.75</v>
      </c>
      <c r="C1076" s="116">
        <v>27.324999999999999</v>
      </c>
      <c r="D1076" s="116">
        <v>26.925000000000001</v>
      </c>
      <c r="E1076" s="116">
        <v>27</v>
      </c>
      <c r="F1076" s="116">
        <v>54.65</v>
      </c>
      <c r="G1076">
        <v>9423</v>
      </c>
      <c r="H1076" s="116"/>
      <c r="I1076" s="116"/>
      <c r="L1076" s="166">
        <v>43591</v>
      </c>
      <c r="M1076" s="116">
        <v>27.475000000000001</v>
      </c>
      <c r="N1076" s="116">
        <v>27.8</v>
      </c>
      <c r="O1076" s="116">
        <v>26.95</v>
      </c>
      <c r="P1076" s="116">
        <v>27.024999999999999</v>
      </c>
      <c r="Q1076" s="116">
        <v>54.95</v>
      </c>
      <c r="R1076">
        <v>103990</v>
      </c>
    </row>
    <row r="1077" spans="1:18" x14ac:dyDescent="0.25">
      <c r="A1077" s="166">
        <v>43592</v>
      </c>
      <c r="B1077" s="116">
        <v>28.925000000000001</v>
      </c>
      <c r="C1077" s="116">
        <v>28.725000000000001</v>
      </c>
      <c r="D1077" s="116">
        <v>28.125</v>
      </c>
      <c r="E1077" s="116">
        <v>28.25</v>
      </c>
      <c r="F1077" s="116">
        <v>57.45</v>
      </c>
      <c r="G1077">
        <v>17767</v>
      </c>
      <c r="H1077" s="116"/>
      <c r="I1077" s="116"/>
      <c r="L1077" s="166">
        <v>43592</v>
      </c>
      <c r="M1077" s="116">
        <v>28.6</v>
      </c>
      <c r="N1077" s="116">
        <v>28.925000000000001</v>
      </c>
      <c r="O1077" s="116">
        <v>27.6</v>
      </c>
      <c r="P1077" s="116">
        <v>27.824999999999999</v>
      </c>
      <c r="Q1077" s="116">
        <v>57.2</v>
      </c>
      <c r="R1077">
        <v>94993</v>
      </c>
    </row>
    <row r="1078" spans="1:18" x14ac:dyDescent="0.25">
      <c r="A1078" s="166">
        <v>43593</v>
      </c>
      <c r="B1078" s="116">
        <v>28.15</v>
      </c>
      <c r="C1078" s="116">
        <v>27</v>
      </c>
      <c r="D1078" s="116">
        <v>26.85</v>
      </c>
      <c r="E1078" s="116">
        <v>28.15</v>
      </c>
      <c r="F1078" s="116">
        <v>54</v>
      </c>
      <c r="G1078">
        <v>24332</v>
      </c>
      <c r="H1078" s="116"/>
      <c r="I1078" s="116"/>
      <c r="L1078" s="166">
        <v>43593</v>
      </c>
      <c r="M1078" s="116">
        <v>26.95</v>
      </c>
      <c r="N1078" s="116">
        <v>28.324999999999999</v>
      </c>
      <c r="O1078" s="116">
        <v>26.774999999999999</v>
      </c>
      <c r="P1078" s="116">
        <v>28.3</v>
      </c>
      <c r="Q1078" s="116">
        <v>53.9</v>
      </c>
      <c r="R1078">
        <v>92399</v>
      </c>
    </row>
    <row r="1079" spans="1:18" x14ac:dyDescent="0.25">
      <c r="A1079" s="166">
        <v>43594</v>
      </c>
      <c r="B1079" s="116">
        <v>26.85</v>
      </c>
      <c r="C1079" s="116">
        <v>26</v>
      </c>
      <c r="D1079" s="116">
        <v>25.725000000000001</v>
      </c>
      <c r="E1079" s="116">
        <v>26.75</v>
      </c>
      <c r="F1079" s="116">
        <v>52</v>
      </c>
      <c r="G1079">
        <v>15403</v>
      </c>
      <c r="H1079" s="116"/>
      <c r="I1079" s="116"/>
      <c r="L1079" s="166">
        <v>43594</v>
      </c>
      <c r="M1079" s="116">
        <v>25.95</v>
      </c>
      <c r="N1079" s="116">
        <v>27.3</v>
      </c>
      <c r="O1079" s="116">
        <v>25.55</v>
      </c>
      <c r="P1079" s="116">
        <v>27.024999999999999</v>
      </c>
      <c r="Q1079" s="116">
        <v>51.9</v>
      </c>
      <c r="R1079">
        <v>80902</v>
      </c>
    </row>
    <row r="1080" spans="1:18" x14ac:dyDescent="0.25">
      <c r="A1080" s="166">
        <v>43595</v>
      </c>
      <c r="B1080" s="116">
        <v>26.25</v>
      </c>
      <c r="C1080" s="116">
        <v>25.7</v>
      </c>
      <c r="D1080" s="116">
        <v>25.475000000000001</v>
      </c>
      <c r="E1080" s="116">
        <v>26.25</v>
      </c>
      <c r="F1080" s="116">
        <v>51.4</v>
      </c>
      <c r="G1080">
        <v>14391</v>
      </c>
      <c r="H1080" s="116"/>
      <c r="I1080" s="116"/>
      <c r="L1080" s="166">
        <v>43595</v>
      </c>
      <c r="M1080" s="116">
        <v>25.55</v>
      </c>
      <c r="N1080" s="116">
        <v>26.4</v>
      </c>
      <c r="O1080" s="116">
        <v>25.375</v>
      </c>
      <c r="P1080" s="116">
        <v>26.024999999999999</v>
      </c>
      <c r="Q1080" s="116">
        <v>51.1</v>
      </c>
      <c r="R1080">
        <v>156284</v>
      </c>
    </row>
    <row r="1081" spans="1:18" x14ac:dyDescent="0.25">
      <c r="A1081" s="166">
        <v>43598</v>
      </c>
      <c r="B1081" s="116">
        <v>25.5</v>
      </c>
      <c r="C1081" s="116">
        <v>24.9</v>
      </c>
      <c r="D1081" s="116">
        <v>24.5</v>
      </c>
      <c r="E1081" s="116">
        <v>25.5</v>
      </c>
      <c r="F1081" s="116">
        <v>49.8</v>
      </c>
      <c r="G1081">
        <v>18870</v>
      </c>
      <c r="H1081" s="116"/>
      <c r="I1081" s="116"/>
      <c r="L1081" s="166">
        <v>43598</v>
      </c>
      <c r="M1081" s="116">
        <v>24.824999999999999</v>
      </c>
      <c r="N1081" s="116">
        <v>26</v>
      </c>
      <c r="O1081" s="116">
        <v>24.425000000000001</v>
      </c>
      <c r="P1081" s="116">
        <v>26</v>
      </c>
      <c r="Q1081" s="116">
        <v>49.65</v>
      </c>
      <c r="R1081">
        <v>84652</v>
      </c>
    </row>
    <row r="1082" spans="1:18" x14ac:dyDescent="0.25">
      <c r="A1082" s="166">
        <v>43599</v>
      </c>
      <c r="B1082" s="116">
        <v>25.45</v>
      </c>
      <c r="C1082" s="116">
        <v>24.425000000000001</v>
      </c>
      <c r="D1082" s="116">
        <v>24.225000000000001</v>
      </c>
      <c r="E1082" s="116">
        <v>24.5</v>
      </c>
      <c r="F1082" s="116">
        <v>48.85</v>
      </c>
      <c r="G1082">
        <v>18307</v>
      </c>
      <c r="H1082" s="116"/>
      <c r="I1082" s="116"/>
      <c r="L1082" s="166">
        <v>43599</v>
      </c>
      <c r="M1082" s="116">
        <v>24.324999999999999</v>
      </c>
      <c r="N1082" s="116">
        <v>25.15</v>
      </c>
      <c r="O1082" s="116">
        <v>24.024999999999999</v>
      </c>
      <c r="P1082" s="116">
        <v>24.024999999999999</v>
      </c>
      <c r="Q1082" s="116">
        <v>48.65</v>
      </c>
      <c r="R1082">
        <v>95912</v>
      </c>
    </row>
    <row r="1083" spans="1:18" x14ac:dyDescent="0.25">
      <c r="A1083" s="166">
        <v>43600</v>
      </c>
      <c r="B1083" s="116">
        <v>26.3</v>
      </c>
      <c r="C1083" s="116">
        <v>24.35</v>
      </c>
      <c r="D1083" s="116">
        <v>24.25</v>
      </c>
      <c r="E1083" s="116">
        <v>25</v>
      </c>
      <c r="F1083" s="116">
        <v>48.7</v>
      </c>
      <c r="G1083">
        <v>11133</v>
      </c>
      <c r="H1083" s="116"/>
      <c r="I1083" s="116"/>
      <c r="L1083" s="166">
        <v>43600</v>
      </c>
      <c r="M1083" s="116">
        <v>24.25</v>
      </c>
      <c r="N1083" s="116">
        <v>27.25</v>
      </c>
      <c r="O1083" s="116">
        <v>24.1</v>
      </c>
      <c r="P1083" s="116">
        <v>24.45</v>
      </c>
      <c r="Q1083" s="116">
        <v>48.5</v>
      </c>
      <c r="R1083">
        <v>151954</v>
      </c>
    </row>
    <row r="1084" spans="1:18" x14ac:dyDescent="0.25">
      <c r="A1084" s="166">
        <v>43601</v>
      </c>
      <c r="B1084" s="116">
        <v>24.725000000000001</v>
      </c>
      <c r="C1084" s="116">
        <v>24.5</v>
      </c>
      <c r="D1084" s="116">
        <v>24.1</v>
      </c>
      <c r="E1084" s="116">
        <v>24.375</v>
      </c>
      <c r="F1084" s="116">
        <v>49</v>
      </c>
      <c r="G1084">
        <v>9672</v>
      </c>
      <c r="H1084" s="116"/>
      <c r="I1084" s="116"/>
      <c r="L1084" s="166">
        <v>43601</v>
      </c>
      <c r="M1084" s="116">
        <v>24.425000000000001</v>
      </c>
      <c r="N1084" s="116">
        <v>24.7</v>
      </c>
      <c r="O1084" s="116">
        <v>24.125</v>
      </c>
      <c r="P1084" s="116">
        <v>24.7</v>
      </c>
      <c r="Q1084" s="116">
        <v>48.85</v>
      </c>
      <c r="R1084">
        <v>39912</v>
      </c>
    </row>
    <row r="1085" spans="1:18" x14ac:dyDescent="0.25">
      <c r="A1085" s="166">
        <v>43602</v>
      </c>
      <c r="B1085" s="116">
        <v>25.3</v>
      </c>
      <c r="C1085" s="116">
        <v>24.45</v>
      </c>
      <c r="D1085" s="116">
        <v>24.225000000000001</v>
      </c>
      <c r="E1085" s="116">
        <v>24.75</v>
      </c>
      <c r="F1085" s="116">
        <v>48.9</v>
      </c>
      <c r="G1085">
        <v>7349</v>
      </c>
      <c r="H1085" s="116"/>
      <c r="I1085" s="116"/>
      <c r="L1085" s="166">
        <v>43602</v>
      </c>
      <c r="M1085" s="116">
        <v>24.324999999999999</v>
      </c>
      <c r="N1085" s="116">
        <v>26.475000000000001</v>
      </c>
      <c r="O1085" s="116">
        <v>24</v>
      </c>
      <c r="P1085" s="116">
        <v>24.3</v>
      </c>
      <c r="Q1085" s="116">
        <v>48.65</v>
      </c>
      <c r="R1085">
        <v>68990</v>
      </c>
    </row>
    <row r="1086" spans="1:18" x14ac:dyDescent="0.25">
      <c r="A1086" s="166">
        <v>43605</v>
      </c>
      <c r="B1086" s="116">
        <v>26.074999999999999</v>
      </c>
      <c r="C1086" s="116">
        <v>25.274999999999999</v>
      </c>
      <c r="D1086" s="116">
        <v>24.5</v>
      </c>
      <c r="E1086" s="116">
        <v>24.5</v>
      </c>
      <c r="F1086" s="116">
        <v>50.55</v>
      </c>
      <c r="G1086">
        <v>25987</v>
      </c>
      <c r="H1086" s="116"/>
      <c r="I1086" s="116"/>
      <c r="L1086" s="166">
        <v>43605</v>
      </c>
      <c r="M1086" s="116">
        <v>25.024999999999999</v>
      </c>
      <c r="N1086" s="116">
        <v>25.95</v>
      </c>
      <c r="O1086" s="116">
        <v>24.925000000000001</v>
      </c>
      <c r="P1086" s="116">
        <v>25</v>
      </c>
      <c r="Q1086" s="116">
        <v>50.05</v>
      </c>
      <c r="R1086">
        <v>127038</v>
      </c>
    </row>
    <row r="1087" spans="1:18" x14ac:dyDescent="0.25">
      <c r="A1087" s="166">
        <v>43606</v>
      </c>
      <c r="B1087" s="116">
        <v>25.475000000000001</v>
      </c>
      <c r="C1087" s="116">
        <v>24.95</v>
      </c>
      <c r="D1087" s="116">
        <v>24.8</v>
      </c>
      <c r="E1087" s="116">
        <v>25.475000000000001</v>
      </c>
      <c r="F1087" s="116">
        <v>49.9</v>
      </c>
      <c r="G1087">
        <v>6029</v>
      </c>
      <c r="H1087" s="116"/>
      <c r="I1087" s="116"/>
      <c r="L1087" s="166">
        <v>43606</v>
      </c>
      <c r="M1087" s="116">
        <v>24.95</v>
      </c>
      <c r="N1087" s="116">
        <v>25.65</v>
      </c>
      <c r="O1087" s="116">
        <v>24.85</v>
      </c>
      <c r="P1087" s="116">
        <v>25.65</v>
      </c>
      <c r="Q1087" s="116">
        <v>49.9</v>
      </c>
      <c r="R1087">
        <v>85156</v>
      </c>
    </row>
    <row r="1088" spans="1:18" x14ac:dyDescent="0.25">
      <c r="A1088" s="166">
        <v>43607</v>
      </c>
      <c r="B1088" s="116">
        <v>25</v>
      </c>
      <c r="C1088" s="116">
        <v>24.975000000000001</v>
      </c>
      <c r="D1088" s="116">
        <v>24.774999999999999</v>
      </c>
      <c r="E1088" s="116">
        <v>25</v>
      </c>
      <c r="F1088" s="116">
        <v>49.95</v>
      </c>
      <c r="G1088">
        <v>6547</v>
      </c>
      <c r="H1088" s="116"/>
      <c r="I1088" s="116"/>
      <c r="L1088" s="166">
        <v>43607</v>
      </c>
      <c r="M1088" s="116">
        <v>24.975000000000001</v>
      </c>
      <c r="N1088" s="116">
        <v>25.425000000000001</v>
      </c>
      <c r="O1088" s="116">
        <v>24.65</v>
      </c>
      <c r="P1088" s="116">
        <v>25.425000000000001</v>
      </c>
      <c r="Q1088" s="116">
        <v>49.95</v>
      </c>
      <c r="R1088">
        <v>26789</v>
      </c>
    </row>
    <row r="1089" spans="1:18" x14ac:dyDescent="0.25">
      <c r="A1089" s="166">
        <v>43608</v>
      </c>
      <c r="B1089" s="116">
        <v>26.425000000000001</v>
      </c>
      <c r="C1089" s="116">
        <v>25.3</v>
      </c>
      <c r="D1089" s="116">
        <v>25.074999999999999</v>
      </c>
      <c r="E1089" s="116">
        <v>26</v>
      </c>
      <c r="F1089" s="116">
        <v>50.6</v>
      </c>
      <c r="G1089">
        <v>14773</v>
      </c>
      <c r="H1089" s="116"/>
      <c r="I1089" s="116"/>
      <c r="L1089" s="166">
        <v>43608</v>
      </c>
      <c r="M1089" s="116">
        <v>25.1</v>
      </c>
      <c r="N1089" s="116">
        <v>25.9</v>
      </c>
      <c r="O1089" s="116">
        <v>25</v>
      </c>
      <c r="P1089" s="116">
        <v>25.45</v>
      </c>
      <c r="Q1089" s="116">
        <v>50.2</v>
      </c>
      <c r="R1089">
        <v>52491</v>
      </c>
    </row>
    <row r="1090" spans="1:18" x14ac:dyDescent="0.25">
      <c r="A1090" s="166">
        <v>43609</v>
      </c>
      <c r="B1090" s="116">
        <v>25.8</v>
      </c>
      <c r="C1090" s="116">
        <v>25.625</v>
      </c>
      <c r="D1090" s="116">
        <v>24.85</v>
      </c>
      <c r="E1090" s="116">
        <v>24.9</v>
      </c>
      <c r="F1090" s="116">
        <v>51.25</v>
      </c>
      <c r="G1090">
        <v>34321</v>
      </c>
      <c r="H1090" s="116"/>
      <c r="I1090" s="116"/>
      <c r="L1090" s="166">
        <v>43609</v>
      </c>
      <c r="M1090" s="116">
        <v>25.625</v>
      </c>
      <c r="N1090" s="116">
        <v>25.824999999999999</v>
      </c>
      <c r="O1090" s="116">
        <v>24.85</v>
      </c>
      <c r="P1090" s="116">
        <v>25.2</v>
      </c>
      <c r="Q1090" s="116">
        <v>51.25</v>
      </c>
      <c r="R1090">
        <v>155171</v>
      </c>
    </row>
    <row r="1091" spans="1:18" x14ac:dyDescent="0.25">
      <c r="A1091" s="166">
        <v>43612</v>
      </c>
      <c r="B1091" s="116">
        <v>27.8</v>
      </c>
      <c r="C1091" s="116">
        <v>27.225000000000001</v>
      </c>
      <c r="D1091" s="116">
        <v>25.8</v>
      </c>
      <c r="E1091" s="116">
        <v>25.8</v>
      </c>
      <c r="F1091" s="116">
        <v>54.45</v>
      </c>
      <c r="G1091">
        <v>41040</v>
      </c>
      <c r="H1091" s="116"/>
      <c r="I1091" s="116"/>
      <c r="L1091" s="166">
        <v>43612</v>
      </c>
      <c r="M1091" s="116">
        <v>27.324999999999999</v>
      </c>
      <c r="N1091" s="116">
        <v>27.95</v>
      </c>
      <c r="O1091" s="116">
        <v>25.274999999999999</v>
      </c>
      <c r="P1091" s="116">
        <v>25.274999999999999</v>
      </c>
      <c r="Q1091" s="116">
        <v>54.65</v>
      </c>
      <c r="R1091">
        <v>645807</v>
      </c>
    </row>
    <row r="1092" spans="1:18" x14ac:dyDescent="0.25">
      <c r="A1092" s="166">
        <v>43613</v>
      </c>
      <c r="B1092" s="116">
        <v>28.375</v>
      </c>
      <c r="C1092" s="116">
        <v>27.425000000000001</v>
      </c>
      <c r="D1092" s="116">
        <v>26.8</v>
      </c>
      <c r="E1092" s="116">
        <v>27.274999999999999</v>
      </c>
      <c r="F1092" s="116">
        <v>54.85</v>
      </c>
      <c r="G1092">
        <v>27015</v>
      </c>
      <c r="H1092" s="116"/>
      <c r="I1092" s="116"/>
      <c r="L1092" s="166">
        <v>43613</v>
      </c>
      <c r="M1092" s="116">
        <v>27.375</v>
      </c>
      <c r="N1092" s="116">
        <v>28.25</v>
      </c>
      <c r="O1092" s="116">
        <v>26.4</v>
      </c>
      <c r="P1092" s="116">
        <v>27.7</v>
      </c>
      <c r="Q1092" s="116">
        <v>54.75</v>
      </c>
      <c r="R1092">
        <v>272774</v>
      </c>
    </row>
    <row r="1093" spans="1:18" x14ac:dyDescent="0.25">
      <c r="A1093" s="166">
        <v>43614</v>
      </c>
      <c r="B1093" s="116">
        <v>27.324999999999999</v>
      </c>
      <c r="C1093" s="116">
        <v>27.2</v>
      </c>
      <c r="D1093" s="116">
        <v>27.024999999999999</v>
      </c>
      <c r="E1093" s="116">
        <v>27.15</v>
      </c>
      <c r="F1093" s="116">
        <v>54.4</v>
      </c>
      <c r="G1093">
        <v>4728</v>
      </c>
      <c r="H1093" s="116"/>
      <c r="I1093" s="116"/>
      <c r="L1093" s="166">
        <v>43614</v>
      </c>
      <c r="M1093" s="116">
        <v>27.15</v>
      </c>
      <c r="N1093" s="116">
        <v>27.675000000000001</v>
      </c>
      <c r="O1093" s="116">
        <v>27</v>
      </c>
      <c r="P1093" s="116">
        <v>27.675000000000001</v>
      </c>
      <c r="Q1093" s="116">
        <v>54.3</v>
      </c>
      <c r="R1093">
        <v>105165</v>
      </c>
    </row>
    <row r="1094" spans="1:18" x14ac:dyDescent="0.25">
      <c r="A1094" s="166">
        <v>43615</v>
      </c>
      <c r="B1094" s="116">
        <v>27.4</v>
      </c>
      <c r="C1094" s="116">
        <v>26.875</v>
      </c>
      <c r="D1094" s="116">
        <v>26.75</v>
      </c>
      <c r="E1094" s="116">
        <v>27.274999999999999</v>
      </c>
      <c r="F1094" s="116">
        <v>53.75</v>
      </c>
      <c r="G1094">
        <v>6423</v>
      </c>
      <c r="H1094" s="116"/>
      <c r="I1094" s="116"/>
      <c r="L1094" s="166">
        <v>43615</v>
      </c>
      <c r="M1094" s="116">
        <v>26.975000000000001</v>
      </c>
      <c r="N1094" s="116">
        <v>28.3</v>
      </c>
      <c r="O1094" s="116">
        <v>26.5</v>
      </c>
      <c r="P1094" s="116">
        <v>27</v>
      </c>
      <c r="Q1094" s="116">
        <v>53.95</v>
      </c>
      <c r="R1094">
        <v>115429</v>
      </c>
    </row>
    <row r="1095" spans="1:18" x14ac:dyDescent="0.25">
      <c r="A1095" s="166">
        <v>43616</v>
      </c>
      <c r="B1095" s="116">
        <v>27</v>
      </c>
      <c r="C1095" s="116">
        <v>26.574999999999999</v>
      </c>
      <c r="D1095" s="116">
        <v>26.5</v>
      </c>
      <c r="E1095" s="116">
        <v>26.8</v>
      </c>
      <c r="F1095" s="116">
        <v>53.15</v>
      </c>
      <c r="G1095">
        <v>4311</v>
      </c>
      <c r="H1095" s="116"/>
      <c r="I1095" s="116"/>
      <c r="L1095" s="166">
        <v>43616</v>
      </c>
      <c r="M1095" s="116">
        <v>26.574999999999999</v>
      </c>
      <c r="N1095" s="116">
        <v>27.074999999999999</v>
      </c>
      <c r="O1095" s="116">
        <v>26.5</v>
      </c>
      <c r="P1095" s="116">
        <v>27.024999999999999</v>
      </c>
      <c r="Q1095" s="116">
        <v>53.15</v>
      </c>
      <c r="R1095">
        <v>48921</v>
      </c>
    </row>
    <row r="1096" spans="1:18" x14ac:dyDescent="0.25">
      <c r="A1096" s="166">
        <v>43619</v>
      </c>
      <c r="B1096" s="116">
        <v>26.65</v>
      </c>
      <c r="C1096" s="116">
        <v>26.175000000000001</v>
      </c>
      <c r="D1096" s="116">
        <v>26.1</v>
      </c>
      <c r="E1096" s="116">
        <v>26.425000000000001</v>
      </c>
      <c r="F1096" s="116">
        <v>52.35</v>
      </c>
      <c r="G1096">
        <v>5062</v>
      </c>
      <c r="H1096" s="116"/>
      <c r="I1096" s="116"/>
      <c r="L1096" s="166">
        <v>43619</v>
      </c>
      <c r="M1096" s="116">
        <v>26.074999999999999</v>
      </c>
      <c r="N1096" s="116">
        <v>26.8</v>
      </c>
      <c r="O1096" s="116">
        <v>26</v>
      </c>
      <c r="P1096" s="116">
        <v>26.524999999999999</v>
      </c>
      <c r="Q1096" s="116">
        <v>52.15</v>
      </c>
      <c r="R1096">
        <v>64237</v>
      </c>
    </row>
    <row r="1097" spans="1:18" x14ac:dyDescent="0.25">
      <c r="A1097" s="166">
        <v>43620</v>
      </c>
      <c r="B1097" s="116">
        <v>26.35</v>
      </c>
      <c r="C1097" s="116">
        <v>25.975000000000001</v>
      </c>
      <c r="D1097" s="116">
        <v>25.95</v>
      </c>
      <c r="E1097" s="116">
        <v>26.074999999999999</v>
      </c>
      <c r="F1097" s="116">
        <v>51.95</v>
      </c>
      <c r="G1097">
        <v>2126</v>
      </c>
      <c r="H1097" s="116"/>
      <c r="I1097" s="116"/>
      <c r="L1097" s="166">
        <v>43620</v>
      </c>
      <c r="M1097" s="116">
        <v>25.9</v>
      </c>
      <c r="N1097" s="116">
        <v>26.324999999999999</v>
      </c>
      <c r="O1097" s="116">
        <v>25.75</v>
      </c>
      <c r="P1097" s="116">
        <v>26.225000000000001</v>
      </c>
      <c r="Q1097" s="116">
        <v>51.8</v>
      </c>
      <c r="R1097">
        <v>44634</v>
      </c>
    </row>
    <row r="1098" spans="1:18" x14ac:dyDescent="0.25">
      <c r="A1098" s="166">
        <v>43622</v>
      </c>
      <c r="B1098" s="116">
        <v>25.725000000000001</v>
      </c>
      <c r="C1098" s="116">
        <v>24.975000000000001</v>
      </c>
      <c r="D1098" s="116">
        <v>24.5</v>
      </c>
      <c r="E1098" s="116">
        <v>25.625</v>
      </c>
      <c r="F1098" s="116">
        <v>49.95</v>
      </c>
      <c r="G1098">
        <v>9012</v>
      </c>
      <c r="H1098" s="116"/>
      <c r="I1098" s="116"/>
      <c r="L1098" s="166">
        <v>43622</v>
      </c>
      <c r="M1098" s="116">
        <v>25.225000000000001</v>
      </c>
      <c r="N1098" s="116">
        <v>25.95</v>
      </c>
      <c r="O1098" s="116">
        <v>25.125</v>
      </c>
      <c r="P1098" s="116">
        <v>25.95</v>
      </c>
      <c r="Q1098" s="116">
        <v>50.45</v>
      </c>
      <c r="R1098">
        <v>34877</v>
      </c>
    </row>
    <row r="1099" spans="1:18" x14ac:dyDescent="0.25">
      <c r="A1099" s="166">
        <v>43623</v>
      </c>
      <c r="B1099" s="116">
        <v>25.75</v>
      </c>
      <c r="C1099" s="116">
        <v>24.824999999999999</v>
      </c>
      <c r="D1099" s="116">
        <v>24.625</v>
      </c>
      <c r="E1099" s="116">
        <v>25.5</v>
      </c>
      <c r="F1099" s="116">
        <v>49.65</v>
      </c>
      <c r="G1099">
        <v>34982</v>
      </c>
      <c r="H1099" s="116"/>
      <c r="I1099" s="116"/>
      <c r="L1099" s="166">
        <v>43623</v>
      </c>
      <c r="M1099" s="116">
        <v>24.8</v>
      </c>
      <c r="N1099" s="116">
        <v>26.4</v>
      </c>
      <c r="O1099" s="116">
        <v>24.574999999999999</v>
      </c>
      <c r="P1099" s="116">
        <v>25.3</v>
      </c>
      <c r="Q1099" s="116">
        <v>49.6</v>
      </c>
      <c r="R1099">
        <v>110610</v>
      </c>
    </row>
    <row r="1100" spans="1:18" x14ac:dyDescent="0.25">
      <c r="A1100" s="166">
        <v>43626</v>
      </c>
      <c r="B1100" s="116">
        <v>25.05</v>
      </c>
      <c r="C1100" s="116">
        <v>24.45</v>
      </c>
      <c r="D1100" s="116">
        <v>24.3</v>
      </c>
      <c r="E1100" s="116">
        <v>24.824999999999999</v>
      </c>
      <c r="F1100" s="116">
        <v>48.9</v>
      </c>
      <c r="G1100">
        <v>7522</v>
      </c>
      <c r="H1100" s="116"/>
      <c r="I1100" s="116"/>
      <c r="L1100" s="166">
        <v>43626</v>
      </c>
      <c r="M1100" s="116">
        <v>24.425000000000001</v>
      </c>
      <c r="N1100" s="116">
        <v>25.375</v>
      </c>
      <c r="O1100" s="116">
        <v>24.2</v>
      </c>
      <c r="P1100" s="116">
        <v>24.65</v>
      </c>
      <c r="Q1100" s="116">
        <v>48.85</v>
      </c>
      <c r="R1100">
        <v>59586</v>
      </c>
    </row>
    <row r="1101" spans="1:18" x14ac:dyDescent="0.25">
      <c r="A1101" s="166">
        <v>43627</v>
      </c>
      <c r="B1101" s="116">
        <v>24.85</v>
      </c>
      <c r="C1101" s="116">
        <v>24.574999999999999</v>
      </c>
      <c r="D1101" s="116">
        <v>24.175000000000001</v>
      </c>
      <c r="E1101" s="116">
        <v>24.225000000000001</v>
      </c>
      <c r="F1101" s="116">
        <v>49.15</v>
      </c>
      <c r="G1101">
        <v>8696</v>
      </c>
      <c r="H1101" s="116"/>
      <c r="I1101" s="116"/>
      <c r="L1101" s="166">
        <v>43627</v>
      </c>
      <c r="M1101" s="116">
        <v>24.625</v>
      </c>
      <c r="N1101" s="116">
        <v>24.925000000000001</v>
      </c>
      <c r="O1101" s="116">
        <v>24.05</v>
      </c>
      <c r="P1101" s="116">
        <v>24.5</v>
      </c>
      <c r="Q1101" s="116">
        <v>49.25</v>
      </c>
      <c r="R1101">
        <v>86342</v>
      </c>
    </row>
    <row r="1102" spans="1:18" x14ac:dyDescent="0.25">
      <c r="A1102" s="166">
        <v>43628</v>
      </c>
      <c r="B1102" s="116">
        <v>24.824999999999999</v>
      </c>
      <c r="C1102" s="116">
        <v>24.574999999999999</v>
      </c>
      <c r="D1102" s="116">
        <v>24.524999999999999</v>
      </c>
      <c r="E1102" s="116">
        <v>24.524999999999999</v>
      </c>
      <c r="F1102" s="116">
        <v>49.15</v>
      </c>
      <c r="G1102">
        <v>4751</v>
      </c>
      <c r="H1102" s="116"/>
      <c r="I1102" s="116"/>
      <c r="L1102" s="166">
        <v>43628</v>
      </c>
      <c r="M1102" s="116">
        <v>24.6</v>
      </c>
      <c r="N1102" s="116">
        <v>24.9</v>
      </c>
      <c r="O1102" s="116">
        <v>24.4</v>
      </c>
      <c r="P1102" s="116">
        <v>24.85</v>
      </c>
      <c r="Q1102" s="116">
        <v>49.2</v>
      </c>
      <c r="R1102">
        <v>21344</v>
      </c>
    </row>
    <row r="1103" spans="1:18" x14ac:dyDescent="0.25">
      <c r="A1103" s="166">
        <v>43629</v>
      </c>
      <c r="B1103" s="116">
        <v>24.75</v>
      </c>
      <c r="C1103" s="116">
        <v>24.6</v>
      </c>
      <c r="D1103" s="116">
        <v>24.25</v>
      </c>
      <c r="E1103" s="116">
        <v>24.75</v>
      </c>
      <c r="F1103" s="116">
        <v>49.2</v>
      </c>
      <c r="G1103">
        <v>5273</v>
      </c>
      <c r="H1103" s="116"/>
      <c r="I1103" s="116"/>
      <c r="L1103" s="166">
        <v>43629</v>
      </c>
      <c r="M1103" s="116">
        <v>24.475000000000001</v>
      </c>
      <c r="N1103" s="116">
        <v>24.75</v>
      </c>
      <c r="O1103" s="116">
        <v>24.05</v>
      </c>
      <c r="P1103" s="116">
        <v>24.375</v>
      </c>
      <c r="Q1103" s="116">
        <v>48.95</v>
      </c>
      <c r="R1103">
        <v>23752</v>
      </c>
    </row>
    <row r="1104" spans="1:18" x14ac:dyDescent="0.25">
      <c r="A1104" s="166">
        <v>43630</v>
      </c>
      <c r="B1104" s="116">
        <v>24.274999999999999</v>
      </c>
      <c r="C1104" s="116">
        <v>23.7</v>
      </c>
      <c r="D1104" s="116">
        <v>23.574999999999999</v>
      </c>
      <c r="E1104" s="116">
        <v>24.274999999999999</v>
      </c>
      <c r="F1104" s="116">
        <v>47.4</v>
      </c>
      <c r="G1104">
        <v>6829</v>
      </c>
      <c r="H1104" s="116"/>
      <c r="I1104" s="116"/>
      <c r="L1104" s="166">
        <v>43630</v>
      </c>
      <c r="M1104" s="116">
        <v>23.774999999999999</v>
      </c>
      <c r="N1104" s="116">
        <v>24.55</v>
      </c>
      <c r="O1104" s="116">
        <v>23.65</v>
      </c>
      <c r="P1104" s="116">
        <v>24.274999999999999</v>
      </c>
      <c r="Q1104" s="116">
        <v>47.55</v>
      </c>
      <c r="R1104">
        <v>54413</v>
      </c>
    </row>
    <row r="1105" spans="1:18" x14ac:dyDescent="0.25">
      <c r="A1105" s="166">
        <v>43633</v>
      </c>
      <c r="B1105" s="116">
        <v>24.6</v>
      </c>
      <c r="C1105" s="116">
        <v>23.925000000000001</v>
      </c>
      <c r="D1105" s="116">
        <v>23.774999999999999</v>
      </c>
      <c r="E1105" s="116">
        <v>24.6</v>
      </c>
      <c r="F1105" s="116">
        <v>47.85</v>
      </c>
      <c r="G1105">
        <v>12732</v>
      </c>
      <c r="H1105" s="116"/>
      <c r="I1105" s="116"/>
      <c r="L1105" s="166">
        <v>43633</v>
      </c>
      <c r="M1105" s="116">
        <v>23.8</v>
      </c>
      <c r="N1105" s="116">
        <v>24.5</v>
      </c>
      <c r="O1105" s="116">
        <v>23.725000000000001</v>
      </c>
      <c r="P1105" s="116">
        <v>24.4</v>
      </c>
      <c r="Q1105" s="116">
        <v>47.6</v>
      </c>
      <c r="R1105">
        <v>105849</v>
      </c>
    </row>
    <row r="1106" spans="1:18" x14ac:dyDescent="0.25">
      <c r="A1106" s="166">
        <v>43634</v>
      </c>
      <c r="B1106" s="116">
        <v>24.2</v>
      </c>
      <c r="C1106" s="116">
        <v>23.574999999999999</v>
      </c>
      <c r="D1106" s="116">
        <v>23.524999999999999</v>
      </c>
      <c r="E1106" s="116">
        <v>23.925000000000001</v>
      </c>
      <c r="F1106" s="116">
        <v>47.15</v>
      </c>
      <c r="G1106">
        <v>15710</v>
      </c>
      <c r="H1106" s="116"/>
      <c r="I1106" s="116"/>
      <c r="L1106" s="166">
        <v>43634</v>
      </c>
      <c r="M1106" s="116">
        <v>23.65</v>
      </c>
      <c r="N1106" s="116">
        <v>24.225000000000001</v>
      </c>
      <c r="O1106" s="116">
        <v>23.524999999999999</v>
      </c>
      <c r="P1106" s="116">
        <v>23.725000000000001</v>
      </c>
      <c r="Q1106" s="116">
        <v>47.3</v>
      </c>
      <c r="R1106">
        <v>40555</v>
      </c>
    </row>
    <row r="1107" spans="1:18" x14ac:dyDescent="0.25">
      <c r="A1107" s="166">
        <v>43635</v>
      </c>
      <c r="B1107" s="116">
        <v>23.875</v>
      </c>
      <c r="C1107" s="116">
        <v>22.875</v>
      </c>
      <c r="D1107" s="116">
        <v>22.65</v>
      </c>
      <c r="E1107" s="116">
        <v>23.725000000000001</v>
      </c>
      <c r="F1107" s="116">
        <v>45.75</v>
      </c>
      <c r="G1107">
        <v>9898</v>
      </c>
      <c r="H1107" s="116"/>
      <c r="I1107" s="116"/>
      <c r="L1107" s="166">
        <v>43635</v>
      </c>
      <c r="M1107" s="116">
        <v>22.8</v>
      </c>
      <c r="N1107" s="116">
        <v>23.975000000000001</v>
      </c>
      <c r="O1107" s="116">
        <v>22.574999999999999</v>
      </c>
      <c r="P1107" s="116">
        <v>23.5</v>
      </c>
      <c r="Q1107" s="116">
        <v>45.6</v>
      </c>
      <c r="R1107">
        <v>59567</v>
      </c>
    </row>
    <row r="1108" spans="1:18" x14ac:dyDescent="0.25">
      <c r="A1108" s="166">
        <v>43636</v>
      </c>
      <c r="B1108" s="116">
        <v>23.375</v>
      </c>
      <c r="C1108" s="116">
        <v>23.35</v>
      </c>
      <c r="D1108" s="116">
        <v>22.024999999999999</v>
      </c>
      <c r="E1108" s="116">
        <v>22.65</v>
      </c>
      <c r="F1108" s="116">
        <v>46.7</v>
      </c>
      <c r="G1108">
        <v>4084</v>
      </c>
      <c r="H1108" s="116"/>
      <c r="I1108" s="116"/>
      <c r="L1108" s="166">
        <v>43636</v>
      </c>
      <c r="M1108" s="116">
        <v>23.3</v>
      </c>
      <c r="N1108" s="116">
        <v>23.45</v>
      </c>
      <c r="O1108" s="116">
        <v>22</v>
      </c>
      <c r="P1108" s="116">
        <v>22.774999999999999</v>
      </c>
      <c r="Q1108" s="116">
        <v>46.6</v>
      </c>
      <c r="R1108">
        <v>27782</v>
      </c>
    </row>
    <row r="1109" spans="1:18" x14ac:dyDescent="0.25">
      <c r="A1109" s="166">
        <v>43637</v>
      </c>
      <c r="B1109" s="116">
        <v>23.6</v>
      </c>
      <c r="C1109" s="116">
        <v>22.875</v>
      </c>
      <c r="D1109" s="116">
        <v>22.75</v>
      </c>
      <c r="E1109" s="116">
        <v>23.024999999999999</v>
      </c>
      <c r="F1109" s="116">
        <v>45.75</v>
      </c>
      <c r="G1109">
        <v>7176</v>
      </c>
      <c r="H1109" s="116"/>
      <c r="I1109" s="116"/>
      <c r="L1109" s="166">
        <v>43637</v>
      </c>
      <c r="M1109" s="116">
        <v>22.875</v>
      </c>
      <c r="N1109" s="116">
        <v>23.625</v>
      </c>
      <c r="O1109" s="116">
        <v>22.5</v>
      </c>
      <c r="P1109" s="116">
        <v>23.2</v>
      </c>
      <c r="Q1109" s="116">
        <v>45.75</v>
      </c>
      <c r="R1109">
        <v>50827</v>
      </c>
    </row>
    <row r="1110" spans="1:18" x14ac:dyDescent="0.25">
      <c r="A1110" s="166">
        <v>43640</v>
      </c>
      <c r="B1110" s="116">
        <v>24.175000000000001</v>
      </c>
      <c r="C1110" s="116">
        <v>22.524999999999999</v>
      </c>
      <c r="D1110" s="116">
        <v>22.4</v>
      </c>
      <c r="E1110" s="116">
        <v>22.85</v>
      </c>
      <c r="F1110" s="116">
        <v>45.05</v>
      </c>
      <c r="G1110">
        <v>6698</v>
      </c>
      <c r="H1110" s="116"/>
      <c r="I1110" s="116"/>
      <c r="L1110" s="166">
        <v>43640</v>
      </c>
      <c r="M1110" s="116">
        <v>22.6</v>
      </c>
      <c r="N1110" s="116">
        <v>23.25</v>
      </c>
      <c r="O1110" s="116">
        <v>22.35</v>
      </c>
      <c r="P1110" s="116">
        <v>22.675000000000001</v>
      </c>
      <c r="Q1110" s="116">
        <v>45.2</v>
      </c>
      <c r="R1110">
        <v>32901</v>
      </c>
    </row>
    <row r="1111" spans="1:18" x14ac:dyDescent="0.25">
      <c r="A1111" s="166">
        <v>43641</v>
      </c>
      <c r="B1111" s="116">
        <v>22.675000000000001</v>
      </c>
      <c r="C1111" s="116">
        <v>22.375</v>
      </c>
      <c r="D1111" s="116">
        <v>21.625</v>
      </c>
      <c r="E1111" s="116">
        <v>21.65</v>
      </c>
      <c r="F1111" s="116">
        <v>44.75</v>
      </c>
      <c r="G1111">
        <v>9487</v>
      </c>
      <c r="H1111" s="116"/>
      <c r="I1111" s="116"/>
      <c r="L1111" s="166">
        <v>43641</v>
      </c>
      <c r="M1111" s="116">
        <v>22.45</v>
      </c>
      <c r="N1111" s="116">
        <v>22.675000000000001</v>
      </c>
      <c r="O1111" s="116">
        <v>22.324999999999999</v>
      </c>
      <c r="P1111" s="116">
        <v>22.5</v>
      </c>
      <c r="Q1111" s="116">
        <v>44.9</v>
      </c>
      <c r="R1111">
        <v>26799</v>
      </c>
    </row>
    <row r="1112" spans="1:18" x14ac:dyDescent="0.25">
      <c r="A1112" s="166">
        <v>43642</v>
      </c>
      <c r="B1112" s="116">
        <v>22.625</v>
      </c>
      <c r="C1112" s="116">
        <v>22.425000000000001</v>
      </c>
      <c r="D1112" s="116">
        <v>21.774999999999999</v>
      </c>
      <c r="E1112" s="116">
        <v>21.774999999999999</v>
      </c>
      <c r="F1112" s="116">
        <v>44.85</v>
      </c>
      <c r="G1112">
        <v>11701</v>
      </c>
      <c r="H1112" s="116"/>
      <c r="I1112" s="116"/>
      <c r="L1112" s="166">
        <v>43642</v>
      </c>
      <c r="M1112" s="116">
        <v>22.4</v>
      </c>
      <c r="N1112" s="116">
        <v>22.625</v>
      </c>
      <c r="O1112" s="116">
        <v>22.15</v>
      </c>
      <c r="P1112" s="116">
        <v>22.375</v>
      </c>
      <c r="Q1112" s="116">
        <v>44.8</v>
      </c>
      <c r="R1112">
        <v>37730</v>
      </c>
    </row>
    <row r="1113" spans="1:18" x14ac:dyDescent="0.25">
      <c r="A1113" s="166">
        <v>43643</v>
      </c>
      <c r="B1113" s="116">
        <v>23.5</v>
      </c>
      <c r="C1113" s="116">
        <v>22.925000000000001</v>
      </c>
      <c r="D1113" s="116">
        <v>22.574999999999999</v>
      </c>
      <c r="E1113" s="116">
        <v>22.574999999999999</v>
      </c>
      <c r="F1113" s="116">
        <v>45.85</v>
      </c>
      <c r="G1113">
        <v>14441</v>
      </c>
      <c r="H1113" s="116"/>
      <c r="I1113" s="116"/>
      <c r="L1113" s="166">
        <v>43643</v>
      </c>
      <c r="M1113" s="116">
        <v>22.975000000000001</v>
      </c>
      <c r="N1113" s="116">
        <v>23.574999999999999</v>
      </c>
      <c r="O1113" s="116">
        <v>22.4</v>
      </c>
      <c r="P1113" s="116">
        <v>22.4</v>
      </c>
      <c r="Q1113" s="116">
        <v>45.95</v>
      </c>
      <c r="R1113">
        <v>52901</v>
      </c>
    </row>
    <row r="1114" spans="1:18" x14ac:dyDescent="0.25">
      <c r="A1114" s="166">
        <v>43644</v>
      </c>
      <c r="B1114" s="116">
        <v>23.625</v>
      </c>
      <c r="C1114" s="116">
        <v>23.1</v>
      </c>
      <c r="D1114" s="116">
        <v>22.7</v>
      </c>
      <c r="E1114" s="116">
        <v>23.2</v>
      </c>
      <c r="F1114" s="116">
        <v>46.2</v>
      </c>
      <c r="G1114">
        <v>12976</v>
      </c>
      <c r="H1114" s="116"/>
      <c r="I1114" s="116"/>
      <c r="L1114" s="166">
        <v>43644</v>
      </c>
      <c r="M1114" s="116">
        <v>23.15</v>
      </c>
      <c r="N1114" s="116">
        <v>23.675000000000001</v>
      </c>
      <c r="O1114" s="116">
        <v>22.574999999999999</v>
      </c>
      <c r="P1114" s="116">
        <v>22.925000000000001</v>
      </c>
      <c r="Q1114" s="116">
        <v>46.3</v>
      </c>
      <c r="R1114">
        <v>58921</v>
      </c>
    </row>
    <row r="1115" spans="1:18" x14ac:dyDescent="0.25">
      <c r="A1115" s="166">
        <v>43647</v>
      </c>
      <c r="B1115" s="116">
        <v>23.25</v>
      </c>
      <c r="C1115" s="116">
        <v>23.1</v>
      </c>
      <c r="D1115" s="116">
        <v>22.95</v>
      </c>
      <c r="E1115" s="116">
        <v>23.225000000000001</v>
      </c>
      <c r="F1115" s="116">
        <v>46.2</v>
      </c>
      <c r="G1115">
        <v>3276</v>
      </c>
      <c r="H1115" s="116"/>
      <c r="I1115" s="116"/>
      <c r="L1115" s="166">
        <v>43647</v>
      </c>
      <c r="M1115" s="116">
        <v>23.175000000000001</v>
      </c>
      <c r="N1115" s="116">
        <v>23.5</v>
      </c>
      <c r="O1115" s="116">
        <v>22.95</v>
      </c>
      <c r="P1115" s="116">
        <v>23.05</v>
      </c>
      <c r="Q1115" s="116">
        <v>46.35</v>
      </c>
      <c r="R1115">
        <v>19030</v>
      </c>
    </row>
    <row r="1116" spans="1:18" x14ac:dyDescent="0.25">
      <c r="A1116" s="166">
        <v>43648</v>
      </c>
      <c r="B1116" s="116">
        <v>23.725000000000001</v>
      </c>
      <c r="C1116" s="116">
        <v>23.225000000000001</v>
      </c>
      <c r="D1116" s="116">
        <v>23</v>
      </c>
      <c r="E1116" s="116">
        <v>23.225000000000001</v>
      </c>
      <c r="F1116" s="116">
        <v>46.45</v>
      </c>
      <c r="G1116">
        <v>8453</v>
      </c>
      <c r="H1116" s="116"/>
      <c r="I1116" s="116"/>
      <c r="L1116" s="166">
        <v>43648</v>
      </c>
      <c r="M1116" s="116">
        <v>23.2</v>
      </c>
      <c r="N1116" s="116">
        <v>23.75</v>
      </c>
      <c r="O1116" s="116">
        <v>23</v>
      </c>
      <c r="P1116" s="116">
        <v>23</v>
      </c>
      <c r="Q1116" s="116">
        <v>46.4</v>
      </c>
      <c r="R1116">
        <v>39236</v>
      </c>
    </row>
    <row r="1117" spans="1:18" x14ac:dyDescent="0.25">
      <c r="A1117" s="166">
        <v>43649</v>
      </c>
      <c r="B1117" s="116">
        <v>23.65</v>
      </c>
      <c r="C1117" s="116">
        <v>23.3</v>
      </c>
      <c r="D1117" s="116">
        <v>23.2</v>
      </c>
      <c r="E1117" s="116">
        <v>23.2</v>
      </c>
      <c r="F1117" s="116">
        <v>46.6</v>
      </c>
      <c r="G1117">
        <v>6021</v>
      </c>
      <c r="H1117" s="116"/>
      <c r="I1117" s="116"/>
      <c r="L1117" s="166">
        <v>43649</v>
      </c>
      <c r="M1117" s="116">
        <v>23.2</v>
      </c>
      <c r="N1117" s="116">
        <v>23.625</v>
      </c>
      <c r="O1117" s="116">
        <v>23.1</v>
      </c>
      <c r="P1117" s="116">
        <v>23.125</v>
      </c>
      <c r="Q1117" s="116">
        <v>46.4</v>
      </c>
      <c r="R1117">
        <v>40903</v>
      </c>
    </row>
    <row r="1118" spans="1:18" x14ac:dyDescent="0.25">
      <c r="A1118" s="166">
        <v>43650</v>
      </c>
      <c r="B1118" s="116">
        <v>24</v>
      </c>
      <c r="C1118" s="116">
        <v>23.175000000000001</v>
      </c>
      <c r="D1118" s="116">
        <v>23.1</v>
      </c>
      <c r="E1118" s="116">
        <v>23.75</v>
      </c>
      <c r="F1118" s="116">
        <v>46.35</v>
      </c>
      <c r="G1118">
        <v>3824</v>
      </c>
      <c r="H1118" s="116"/>
      <c r="I1118" s="116"/>
      <c r="L1118" s="166">
        <v>43650</v>
      </c>
      <c r="M1118" s="116">
        <v>23.15</v>
      </c>
      <c r="N1118" s="116">
        <v>23.925000000000001</v>
      </c>
      <c r="O1118" s="116">
        <v>23.05</v>
      </c>
      <c r="P1118" s="116">
        <v>23.4</v>
      </c>
      <c r="Q1118" s="116">
        <v>46.3</v>
      </c>
      <c r="R1118">
        <v>34850</v>
      </c>
    </row>
    <row r="1119" spans="1:18" x14ac:dyDescent="0.25">
      <c r="A1119" s="166">
        <v>43651</v>
      </c>
      <c r="B1119" s="116">
        <v>23.274999999999999</v>
      </c>
      <c r="C1119" s="116">
        <v>22.85</v>
      </c>
      <c r="D1119" s="116">
        <v>22.75</v>
      </c>
      <c r="E1119" s="116">
        <v>23.074999999999999</v>
      </c>
      <c r="F1119" s="116">
        <v>45.7</v>
      </c>
      <c r="G1119">
        <v>4741</v>
      </c>
      <c r="H1119" s="116"/>
      <c r="I1119" s="116"/>
      <c r="L1119" s="166">
        <v>43651</v>
      </c>
      <c r="M1119" s="116">
        <v>22.85</v>
      </c>
      <c r="N1119" s="116">
        <v>23.4</v>
      </c>
      <c r="O1119" s="116">
        <v>22.7</v>
      </c>
      <c r="P1119" s="116">
        <v>23.05</v>
      </c>
      <c r="Q1119" s="116">
        <v>45.7</v>
      </c>
      <c r="R1119">
        <v>27202</v>
      </c>
    </row>
    <row r="1120" spans="1:18" x14ac:dyDescent="0.25">
      <c r="A1120" s="166">
        <v>43654</v>
      </c>
      <c r="B1120" s="116">
        <v>22.524999999999999</v>
      </c>
      <c r="C1120" s="116">
        <v>22.074999999999999</v>
      </c>
      <c r="D1120" s="116">
        <v>22</v>
      </c>
      <c r="E1120" s="116">
        <v>22.524999999999999</v>
      </c>
      <c r="F1120" s="116">
        <v>44.15</v>
      </c>
      <c r="G1120">
        <v>505665</v>
      </c>
      <c r="H1120" s="116"/>
      <c r="I1120" s="116"/>
      <c r="L1120" s="166">
        <v>43654</v>
      </c>
      <c r="M1120" s="116">
        <v>22.05</v>
      </c>
      <c r="N1120" s="116">
        <v>22.75</v>
      </c>
      <c r="O1120" s="116">
        <v>22</v>
      </c>
      <c r="P1120" s="116">
        <v>22.75</v>
      </c>
      <c r="Q1120" s="116">
        <v>44.1</v>
      </c>
      <c r="R1120">
        <v>40190</v>
      </c>
    </row>
    <row r="1121" spans="1:18" x14ac:dyDescent="0.25">
      <c r="A1121" s="166">
        <v>43655</v>
      </c>
      <c r="B1121" s="116">
        <v>22.5</v>
      </c>
      <c r="C1121" s="116">
        <v>22.125</v>
      </c>
      <c r="D1121" s="116">
        <v>22.05</v>
      </c>
      <c r="E1121" s="116">
        <v>22.324999999999999</v>
      </c>
      <c r="F1121" s="116">
        <v>44.25</v>
      </c>
      <c r="G1121">
        <v>19953</v>
      </c>
      <c r="H1121" s="116"/>
      <c r="I1121" s="116"/>
      <c r="L1121" s="166">
        <v>43655</v>
      </c>
      <c r="M1121" s="116">
        <v>22.2</v>
      </c>
      <c r="N1121" s="116">
        <v>22.5</v>
      </c>
      <c r="O1121" s="116">
        <v>22.024999999999999</v>
      </c>
      <c r="P1121" s="116">
        <v>22.05</v>
      </c>
      <c r="Q1121" s="116">
        <v>44.4</v>
      </c>
      <c r="R1121">
        <v>33766</v>
      </c>
    </row>
    <row r="1122" spans="1:18" x14ac:dyDescent="0.25">
      <c r="A1122" s="166">
        <v>43656</v>
      </c>
      <c r="B1122" s="116">
        <v>22.25</v>
      </c>
      <c r="C1122" s="116">
        <v>21.65</v>
      </c>
      <c r="D1122" s="116">
        <v>21.6</v>
      </c>
      <c r="E1122" s="116">
        <v>22.25</v>
      </c>
      <c r="F1122" s="116">
        <v>43.3</v>
      </c>
      <c r="G1122">
        <v>9686</v>
      </c>
      <c r="H1122" s="116"/>
      <c r="I1122" s="116"/>
      <c r="L1122" s="166">
        <v>43656</v>
      </c>
      <c r="M1122" s="116">
        <v>21.675000000000001</v>
      </c>
      <c r="N1122" s="116">
        <v>22.375</v>
      </c>
      <c r="O1122" s="116">
        <v>21.55</v>
      </c>
      <c r="P1122" s="116">
        <v>22.1</v>
      </c>
      <c r="Q1122" s="116">
        <v>43.35</v>
      </c>
      <c r="R1122">
        <v>40980</v>
      </c>
    </row>
    <row r="1123" spans="1:18" x14ac:dyDescent="0.25">
      <c r="A1123" s="166">
        <v>43657</v>
      </c>
      <c r="B1123" s="116">
        <v>22.375</v>
      </c>
      <c r="C1123" s="116">
        <v>21.675000000000001</v>
      </c>
      <c r="D1123" s="116">
        <v>21.375</v>
      </c>
      <c r="E1123" s="116">
        <v>21.725000000000001</v>
      </c>
      <c r="F1123" s="116">
        <v>43.35</v>
      </c>
      <c r="G1123">
        <v>13163</v>
      </c>
      <c r="H1123" s="116"/>
      <c r="I1123" s="116"/>
      <c r="L1123" s="166">
        <v>43657</v>
      </c>
      <c r="M1123" s="116">
        <v>21.65</v>
      </c>
      <c r="N1123" s="116">
        <v>21.875</v>
      </c>
      <c r="O1123" s="116">
        <v>21.35</v>
      </c>
      <c r="P1123" s="116">
        <v>21.6</v>
      </c>
      <c r="Q1123" s="116">
        <v>43.3</v>
      </c>
      <c r="R1123">
        <v>86529</v>
      </c>
    </row>
    <row r="1124" spans="1:18" x14ac:dyDescent="0.25">
      <c r="A1124" s="166">
        <v>43658</v>
      </c>
      <c r="B1124" s="116">
        <v>21.6</v>
      </c>
      <c r="C1124" s="116">
        <v>21.3</v>
      </c>
      <c r="D1124" s="116">
        <v>21.25</v>
      </c>
      <c r="E1124" s="116">
        <v>21.55</v>
      </c>
      <c r="F1124" s="116">
        <v>42.6</v>
      </c>
      <c r="G1124">
        <v>10192</v>
      </c>
      <c r="H1124" s="116"/>
      <c r="I1124" s="116"/>
      <c r="L1124" s="166">
        <v>43658</v>
      </c>
      <c r="M1124" s="116">
        <v>21.25</v>
      </c>
      <c r="N1124" s="116">
        <v>21.8</v>
      </c>
      <c r="O1124" s="116">
        <v>21.074999999999999</v>
      </c>
      <c r="P1124" s="116">
        <v>21.55</v>
      </c>
      <c r="Q1124" s="116">
        <v>42.5</v>
      </c>
      <c r="R1124">
        <v>36978</v>
      </c>
    </row>
    <row r="1125" spans="1:18" x14ac:dyDescent="0.25">
      <c r="A1125" s="166">
        <v>43661</v>
      </c>
      <c r="B1125" s="116">
        <v>21.45</v>
      </c>
      <c r="C1125" s="116">
        <v>21.375</v>
      </c>
      <c r="D1125" s="116">
        <v>21.225000000000001</v>
      </c>
      <c r="E1125" s="116">
        <v>21.45</v>
      </c>
      <c r="F1125" s="116">
        <v>42.75</v>
      </c>
      <c r="G1125">
        <v>7281</v>
      </c>
      <c r="H1125" s="116"/>
      <c r="I1125" s="116"/>
      <c r="L1125" s="166">
        <v>43661</v>
      </c>
      <c r="M1125" s="116">
        <v>21.324999999999999</v>
      </c>
      <c r="N1125" s="116">
        <v>21.425000000000001</v>
      </c>
      <c r="O1125" s="116">
        <v>21.125</v>
      </c>
      <c r="P1125" s="116">
        <v>21.25</v>
      </c>
      <c r="Q1125" s="116">
        <v>42.65</v>
      </c>
      <c r="R1125">
        <v>26568</v>
      </c>
    </row>
    <row r="1126" spans="1:18" x14ac:dyDescent="0.25">
      <c r="A1126" s="166">
        <v>43662</v>
      </c>
      <c r="B1126" s="116">
        <v>21.5</v>
      </c>
      <c r="C1126" s="116">
        <v>21.225000000000001</v>
      </c>
      <c r="D1126" s="116">
        <v>21.15</v>
      </c>
      <c r="E1126" s="116">
        <v>21.45</v>
      </c>
      <c r="F1126" s="116">
        <v>42.45</v>
      </c>
      <c r="G1126">
        <v>5973</v>
      </c>
      <c r="H1126" s="116"/>
      <c r="I1126" s="116"/>
      <c r="L1126" s="166">
        <v>43662</v>
      </c>
      <c r="M1126" s="116">
        <v>21.225000000000001</v>
      </c>
      <c r="N1126" s="116">
        <v>21.625</v>
      </c>
      <c r="O1126" s="116">
        <v>21.074999999999999</v>
      </c>
      <c r="P1126" s="116">
        <v>21.25</v>
      </c>
      <c r="Q1126" s="116">
        <v>42.45</v>
      </c>
      <c r="R1126">
        <v>39716</v>
      </c>
    </row>
    <row r="1127" spans="1:18" x14ac:dyDescent="0.25">
      <c r="A1127" s="166">
        <v>43663</v>
      </c>
      <c r="B1127" s="116">
        <v>21.25</v>
      </c>
      <c r="C1127" s="116">
        <v>21</v>
      </c>
      <c r="D1127" s="116">
        <v>20.5</v>
      </c>
      <c r="E1127" s="116">
        <v>21.05</v>
      </c>
      <c r="F1127" s="116">
        <v>42</v>
      </c>
      <c r="G1127">
        <v>8986</v>
      </c>
      <c r="H1127" s="116"/>
      <c r="I1127" s="116"/>
      <c r="L1127" s="166">
        <v>43663</v>
      </c>
      <c r="M1127" s="116">
        <v>21.024999999999999</v>
      </c>
      <c r="N1127" s="116">
        <v>21.35</v>
      </c>
      <c r="O1127" s="116">
        <v>20.45</v>
      </c>
      <c r="P1127" s="116">
        <v>21.125</v>
      </c>
      <c r="Q1127" s="116">
        <v>42.05</v>
      </c>
      <c r="R1127">
        <v>66901</v>
      </c>
    </row>
    <row r="1128" spans="1:18" x14ac:dyDescent="0.25">
      <c r="A1128" s="166">
        <v>43664</v>
      </c>
      <c r="B1128" s="116">
        <v>20.925000000000001</v>
      </c>
      <c r="C1128" s="116">
        <v>20.149999999999999</v>
      </c>
      <c r="D1128" s="116">
        <v>20.149999999999999</v>
      </c>
      <c r="E1128" s="116">
        <v>20.85</v>
      </c>
      <c r="F1128" s="116">
        <v>40.299999999999997</v>
      </c>
      <c r="G1128">
        <v>5095</v>
      </c>
      <c r="H1128" s="116"/>
      <c r="I1128" s="116"/>
      <c r="L1128" s="166">
        <v>43664</v>
      </c>
      <c r="M1128" s="116">
        <v>20.2</v>
      </c>
      <c r="N1128" s="116">
        <v>21.074999999999999</v>
      </c>
      <c r="O1128" s="116">
        <v>20.100000000000001</v>
      </c>
      <c r="P1128" s="116">
        <v>20.75</v>
      </c>
      <c r="Q1128" s="116">
        <v>40.4</v>
      </c>
      <c r="R1128">
        <v>31662</v>
      </c>
    </row>
    <row r="1129" spans="1:18" x14ac:dyDescent="0.25">
      <c r="A1129" s="166">
        <v>43665</v>
      </c>
      <c r="B1129" s="116">
        <v>20.5</v>
      </c>
      <c r="C1129" s="116">
        <v>19.45</v>
      </c>
      <c r="D1129" s="116">
        <v>19.324999999999999</v>
      </c>
      <c r="E1129" s="116">
        <v>20.5</v>
      </c>
      <c r="F1129" s="116">
        <v>38.9</v>
      </c>
      <c r="G1129">
        <v>12127</v>
      </c>
      <c r="H1129" s="116"/>
      <c r="I1129" s="116"/>
      <c r="L1129" s="166">
        <v>43665</v>
      </c>
      <c r="M1129" s="116">
        <v>19.5</v>
      </c>
      <c r="N1129" s="116">
        <v>20.9</v>
      </c>
      <c r="O1129" s="116">
        <v>19.25</v>
      </c>
      <c r="P1129" s="116">
        <v>20.9</v>
      </c>
      <c r="Q1129" s="116">
        <v>39</v>
      </c>
      <c r="R1129">
        <v>116418</v>
      </c>
    </row>
    <row r="1130" spans="1:18" x14ac:dyDescent="0.25">
      <c r="A1130" s="166">
        <v>43668</v>
      </c>
      <c r="B1130" s="116">
        <v>19.350000000000001</v>
      </c>
      <c r="C1130" s="116">
        <v>19.274999999999999</v>
      </c>
      <c r="D1130" s="116">
        <v>19.024999999999999</v>
      </c>
      <c r="E1130" s="116">
        <v>19.324999999999999</v>
      </c>
      <c r="F1130" s="116">
        <v>38.549999999999997</v>
      </c>
      <c r="G1130">
        <v>3687</v>
      </c>
      <c r="H1130" s="116"/>
      <c r="I1130" s="116"/>
      <c r="L1130" s="166">
        <v>43668</v>
      </c>
      <c r="M1130" s="116">
        <v>19.274999999999999</v>
      </c>
      <c r="N1130" s="116">
        <v>19.5</v>
      </c>
      <c r="O1130" s="116">
        <v>18.95</v>
      </c>
      <c r="P1130" s="116">
        <v>19.5</v>
      </c>
      <c r="Q1130" s="116">
        <v>38.549999999999997</v>
      </c>
      <c r="R1130">
        <v>29135</v>
      </c>
    </row>
    <row r="1131" spans="1:18" x14ac:dyDescent="0.25">
      <c r="A1131" s="166">
        <v>43669</v>
      </c>
      <c r="B1131" s="116">
        <v>19.425000000000001</v>
      </c>
      <c r="C1131" s="116">
        <v>19.350000000000001</v>
      </c>
      <c r="D1131" s="116">
        <v>18.875</v>
      </c>
      <c r="E1131" s="116">
        <v>19</v>
      </c>
      <c r="F1131" s="116">
        <v>38.700000000000003</v>
      </c>
      <c r="G1131">
        <v>3085</v>
      </c>
      <c r="H1131" s="116"/>
      <c r="I1131" s="116"/>
      <c r="L1131" s="166">
        <v>43669</v>
      </c>
      <c r="M1131" s="116">
        <v>19.225000000000001</v>
      </c>
      <c r="N1131" s="116">
        <v>19.55</v>
      </c>
      <c r="O1131" s="116">
        <v>18.875</v>
      </c>
      <c r="P1131" s="116">
        <v>19.25</v>
      </c>
      <c r="Q1131" s="116">
        <v>38.450000000000003</v>
      </c>
      <c r="R1131">
        <v>27753</v>
      </c>
    </row>
    <row r="1132" spans="1:18" x14ac:dyDescent="0.25">
      <c r="A1132" s="166">
        <v>43670</v>
      </c>
      <c r="B1132" s="116">
        <v>19.45</v>
      </c>
      <c r="C1132" s="116">
        <v>19.2</v>
      </c>
      <c r="D1132" s="116">
        <v>19.024999999999999</v>
      </c>
      <c r="E1132" s="116">
        <v>19.324999999999999</v>
      </c>
      <c r="F1132" s="116">
        <v>38.4</v>
      </c>
      <c r="G1132">
        <v>4687</v>
      </c>
      <c r="H1132" s="116"/>
      <c r="I1132" s="116"/>
      <c r="L1132" s="166">
        <v>43670</v>
      </c>
      <c r="M1132" s="116">
        <v>19.25</v>
      </c>
      <c r="N1132" s="116">
        <v>19.5</v>
      </c>
      <c r="O1132" s="116">
        <v>18.975000000000001</v>
      </c>
      <c r="P1132" s="116">
        <v>18.975000000000001</v>
      </c>
      <c r="Q1132" s="116">
        <v>38.5</v>
      </c>
      <c r="R1132">
        <v>46548</v>
      </c>
    </row>
    <row r="1133" spans="1:18" x14ac:dyDescent="0.25">
      <c r="A1133" s="166">
        <v>43671</v>
      </c>
      <c r="B1133" s="116">
        <v>19.899999999999999</v>
      </c>
      <c r="C1133" s="116">
        <v>19.475000000000001</v>
      </c>
      <c r="D1133" s="116">
        <v>19.100000000000001</v>
      </c>
      <c r="E1133" s="116">
        <v>19.425000000000001</v>
      </c>
      <c r="F1133" s="116">
        <v>38.950000000000003</v>
      </c>
      <c r="G1133">
        <v>9675</v>
      </c>
      <c r="H1133" s="116"/>
      <c r="I1133" s="116"/>
      <c r="L1133" s="166">
        <v>43671</v>
      </c>
      <c r="M1133" s="116">
        <v>19.45</v>
      </c>
      <c r="N1133" s="116">
        <v>19.850000000000001</v>
      </c>
      <c r="O1133" s="116">
        <v>19.274999999999999</v>
      </c>
      <c r="P1133" s="116">
        <v>19.324999999999999</v>
      </c>
      <c r="Q1133" s="116">
        <v>38.9</v>
      </c>
      <c r="R1133">
        <v>22323</v>
      </c>
    </row>
    <row r="1134" spans="1:18" x14ac:dyDescent="0.25">
      <c r="A1134" s="166">
        <v>43672</v>
      </c>
      <c r="B1134" s="116">
        <v>21.024999999999999</v>
      </c>
      <c r="C1134" s="116">
        <v>20.125</v>
      </c>
      <c r="D1134" s="116">
        <v>19.399999999999999</v>
      </c>
      <c r="E1134" s="116">
        <v>19.45</v>
      </c>
      <c r="F1134" s="116">
        <v>40.25</v>
      </c>
      <c r="G1134">
        <v>14529</v>
      </c>
      <c r="H1134" s="116"/>
      <c r="I1134" s="116"/>
      <c r="L1134" s="166">
        <v>43672</v>
      </c>
      <c r="M1134" s="116">
        <v>20.125</v>
      </c>
      <c r="N1134" s="116">
        <v>21</v>
      </c>
      <c r="O1134" s="116">
        <v>19.375</v>
      </c>
      <c r="P1134" s="116">
        <v>19.475000000000001</v>
      </c>
      <c r="Q1134" s="116">
        <v>40.25</v>
      </c>
      <c r="R1134">
        <v>44742</v>
      </c>
    </row>
    <row r="1135" spans="1:18" x14ac:dyDescent="0.25">
      <c r="A1135" s="166">
        <v>43675</v>
      </c>
      <c r="B1135" s="116">
        <v>19.725000000000001</v>
      </c>
      <c r="C1135" s="116">
        <v>18.7</v>
      </c>
      <c r="D1135" s="116">
        <v>18.524999999999999</v>
      </c>
      <c r="E1135" s="116">
        <v>19.55</v>
      </c>
      <c r="F1135" s="116">
        <v>37.4</v>
      </c>
      <c r="G1135">
        <v>11529</v>
      </c>
      <c r="H1135" s="116"/>
      <c r="I1135" s="116"/>
      <c r="L1135" s="166">
        <v>43675</v>
      </c>
      <c r="M1135" s="116">
        <v>18.625</v>
      </c>
      <c r="N1135" s="116">
        <v>19.850000000000001</v>
      </c>
      <c r="O1135" s="116">
        <v>18.375</v>
      </c>
      <c r="P1135" s="116">
        <v>19.850000000000001</v>
      </c>
      <c r="Q1135" s="116">
        <v>37.25</v>
      </c>
      <c r="R1135">
        <v>51108</v>
      </c>
    </row>
    <row r="1136" spans="1:18" x14ac:dyDescent="0.25">
      <c r="A1136" s="166">
        <v>43676</v>
      </c>
      <c r="B1136" s="116">
        <v>18.899999999999999</v>
      </c>
      <c r="C1136" s="116">
        <v>15.725</v>
      </c>
      <c r="D1136" s="116">
        <v>14.975</v>
      </c>
      <c r="E1136" s="116">
        <v>18.574999999999999</v>
      </c>
      <c r="F1136" s="116">
        <v>31.45</v>
      </c>
      <c r="G1136">
        <v>97601</v>
      </c>
      <c r="H1136" s="116"/>
      <c r="I1136" s="116"/>
      <c r="L1136" s="166">
        <v>43676</v>
      </c>
      <c r="M1136" s="116">
        <v>15.725</v>
      </c>
      <c r="N1136" s="116">
        <v>19.5</v>
      </c>
      <c r="O1136" s="116">
        <v>14.9</v>
      </c>
      <c r="P1136" s="116">
        <v>18.5</v>
      </c>
      <c r="Q1136" s="116">
        <v>31.45</v>
      </c>
      <c r="R1136">
        <v>414163</v>
      </c>
    </row>
    <row r="1137" spans="1:18" x14ac:dyDescent="0.25">
      <c r="A1137" s="166">
        <v>43677</v>
      </c>
      <c r="B1137" s="116">
        <v>15.925000000000001</v>
      </c>
      <c r="C1137" s="116">
        <v>15.525</v>
      </c>
      <c r="D1137" s="116">
        <v>15.375</v>
      </c>
      <c r="E1137" s="116">
        <v>15.75</v>
      </c>
      <c r="F1137" s="116">
        <v>31.05</v>
      </c>
      <c r="G1137">
        <v>36948</v>
      </c>
      <c r="H1137" s="116"/>
      <c r="I1137" s="116"/>
      <c r="L1137" s="166">
        <v>43677</v>
      </c>
      <c r="M1137" s="116">
        <v>15.525</v>
      </c>
      <c r="N1137" s="116">
        <v>16.25</v>
      </c>
      <c r="O1137" s="116">
        <v>15.324999999999999</v>
      </c>
      <c r="P1137" s="116">
        <v>16.25</v>
      </c>
      <c r="Q1137" s="116">
        <v>31.05</v>
      </c>
      <c r="R1137">
        <v>78551</v>
      </c>
    </row>
    <row r="1138" spans="1:18" x14ac:dyDescent="0.25">
      <c r="A1138" s="166">
        <v>43678</v>
      </c>
      <c r="B1138" s="116">
        <v>15.475</v>
      </c>
      <c r="C1138" s="116">
        <v>14.824999999999999</v>
      </c>
      <c r="D1138" s="116">
        <v>14.75</v>
      </c>
      <c r="E1138" s="116">
        <v>15.4</v>
      </c>
      <c r="F1138" s="116">
        <v>29.65</v>
      </c>
      <c r="G1138">
        <v>8702</v>
      </c>
      <c r="H1138" s="116"/>
      <c r="I1138" s="116"/>
      <c r="L1138" s="166">
        <v>43678</v>
      </c>
      <c r="M1138" s="116">
        <v>14.8</v>
      </c>
      <c r="N1138" s="116">
        <v>15.574999999999999</v>
      </c>
      <c r="O1138" s="116">
        <v>14.75</v>
      </c>
      <c r="P1138" s="116">
        <v>15.5</v>
      </c>
      <c r="Q1138" s="116">
        <v>29.6</v>
      </c>
      <c r="R1138">
        <v>50179</v>
      </c>
    </row>
    <row r="1139" spans="1:18" x14ac:dyDescent="0.25">
      <c r="A1139" s="166">
        <v>43679</v>
      </c>
      <c r="B1139" s="116">
        <v>14.05</v>
      </c>
      <c r="C1139" s="116">
        <v>13.8</v>
      </c>
      <c r="D1139" s="116">
        <v>12.475</v>
      </c>
      <c r="E1139" s="116">
        <v>14.05</v>
      </c>
      <c r="F1139" s="116">
        <v>27.6</v>
      </c>
      <c r="G1139">
        <v>47822</v>
      </c>
      <c r="H1139" s="116"/>
      <c r="I1139" s="116"/>
      <c r="L1139" s="166">
        <v>43679</v>
      </c>
      <c r="M1139" s="116">
        <v>13.775</v>
      </c>
      <c r="N1139" s="116">
        <v>14.95</v>
      </c>
      <c r="O1139" s="116">
        <v>12.275</v>
      </c>
      <c r="P1139" s="116">
        <v>14.8</v>
      </c>
      <c r="Q1139" s="116">
        <v>27.55</v>
      </c>
      <c r="R1139">
        <v>243608</v>
      </c>
    </row>
    <row r="1140" spans="1:18" x14ac:dyDescent="0.25">
      <c r="A1140" s="166">
        <v>43682</v>
      </c>
      <c r="B1140" s="116">
        <v>13.6</v>
      </c>
      <c r="C1140" s="116">
        <v>13.525</v>
      </c>
      <c r="D1140" s="116">
        <v>12.7</v>
      </c>
      <c r="E1140" s="116">
        <v>13</v>
      </c>
      <c r="F1140" s="116">
        <v>27.05</v>
      </c>
      <c r="G1140">
        <v>5454</v>
      </c>
      <c r="H1140" s="116"/>
      <c r="I1140" s="116"/>
      <c r="L1140" s="166">
        <v>43682</v>
      </c>
      <c r="M1140" s="116">
        <v>13.45</v>
      </c>
      <c r="N1140" s="116">
        <v>14.25</v>
      </c>
      <c r="O1140" s="116">
        <v>13.275</v>
      </c>
      <c r="P1140" s="116">
        <v>14.25</v>
      </c>
      <c r="Q1140" s="116">
        <v>26.9</v>
      </c>
      <c r="R1140">
        <v>72225</v>
      </c>
    </row>
    <row r="1141" spans="1:18" x14ac:dyDescent="0.25">
      <c r="A1141" s="166">
        <v>43683</v>
      </c>
      <c r="B1141" s="116">
        <v>14.25</v>
      </c>
      <c r="C1141" s="116">
        <v>13.9</v>
      </c>
      <c r="D1141" s="116">
        <v>13.5</v>
      </c>
      <c r="E1141" s="116">
        <v>13.5</v>
      </c>
      <c r="F1141" s="116">
        <v>27.8</v>
      </c>
      <c r="G1141">
        <v>10094</v>
      </c>
      <c r="H1141" s="116"/>
      <c r="I1141" s="116"/>
      <c r="L1141" s="166">
        <v>43683</v>
      </c>
      <c r="M1141" s="116">
        <v>13.824999999999999</v>
      </c>
      <c r="N1141" s="116">
        <v>14.25</v>
      </c>
      <c r="O1141" s="116">
        <v>13.425000000000001</v>
      </c>
      <c r="P1141" s="116">
        <v>13.425000000000001</v>
      </c>
      <c r="Q1141" s="116">
        <v>27.65</v>
      </c>
      <c r="R1141">
        <v>87394</v>
      </c>
    </row>
    <row r="1142" spans="1:18" x14ac:dyDescent="0.25">
      <c r="A1142" s="166">
        <v>43684</v>
      </c>
      <c r="B1142" s="116">
        <v>14.35</v>
      </c>
      <c r="C1142" s="116">
        <v>13.925000000000001</v>
      </c>
      <c r="D1142" s="116">
        <v>13.675000000000001</v>
      </c>
      <c r="E1142" s="116">
        <v>13.9</v>
      </c>
      <c r="F1142" s="116">
        <v>27.85</v>
      </c>
      <c r="G1142">
        <v>5360</v>
      </c>
      <c r="H1142" s="116"/>
      <c r="I1142" s="116"/>
      <c r="L1142" s="166">
        <v>43684</v>
      </c>
      <c r="M1142" s="116">
        <v>13.975</v>
      </c>
      <c r="N1142" s="116">
        <v>14.475</v>
      </c>
      <c r="O1142" s="116">
        <v>12.925000000000001</v>
      </c>
      <c r="P1142" s="116">
        <v>14.475</v>
      </c>
      <c r="Q1142" s="116">
        <v>27.95</v>
      </c>
      <c r="R1142">
        <v>46473</v>
      </c>
    </row>
    <row r="1143" spans="1:18" x14ac:dyDescent="0.25">
      <c r="A1143" s="166">
        <v>43685</v>
      </c>
      <c r="B1143" s="116">
        <v>14.95</v>
      </c>
      <c r="C1143" s="116">
        <v>14.6</v>
      </c>
      <c r="D1143" s="116">
        <v>13.925000000000001</v>
      </c>
      <c r="E1143" s="116">
        <v>14.175000000000001</v>
      </c>
      <c r="F1143" s="116">
        <v>29.2</v>
      </c>
      <c r="G1143">
        <v>2949</v>
      </c>
      <c r="H1143" s="116"/>
      <c r="I1143" s="116"/>
      <c r="L1143" s="166">
        <v>43685</v>
      </c>
      <c r="M1143" s="116">
        <v>14.525</v>
      </c>
      <c r="N1143" s="116">
        <v>14.75</v>
      </c>
      <c r="O1143" s="116">
        <v>13.775</v>
      </c>
      <c r="P1143" s="116">
        <v>14</v>
      </c>
      <c r="Q1143" s="116">
        <v>29.05</v>
      </c>
      <c r="R1143">
        <v>27210</v>
      </c>
    </row>
    <row r="1144" spans="1:18" x14ac:dyDescent="0.25">
      <c r="A1144" s="166">
        <v>43686</v>
      </c>
      <c r="B1144" s="116">
        <v>15.7</v>
      </c>
      <c r="C1144" s="116">
        <v>15.5</v>
      </c>
      <c r="D1144" s="116">
        <v>14.574999999999999</v>
      </c>
      <c r="E1144" s="116">
        <v>15.5</v>
      </c>
      <c r="F1144" s="116">
        <v>31</v>
      </c>
      <c r="G1144">
        <v>15719</v>
      </c>
      <c r="H1144" s="116"/>
      <c r="I1144" s="116"/>
      <c r="L1144" s="166">
        <v>43686</v>
      </c>
      <c r="M1144" s="116">
        <v>15.5</v>
      </c>
      <c r="N1144" s="116">
        <v>15.574999999999999</v>
      </c>
      <c r="O1144" s="116">
        <v>14.375</v>
      </c>
      <c r="P1144" s="116">
        <v>14.975</v>
      </c>
      <c r="Q1144" s="116">
        <v>31</v>
      </c>
      <c r="R1144">
        <v>61385</v>
      </c>
    </row>
    <row r="1145" spans="1:18" x14ac:dyDescent="0.25">
      <c r="A1145" s="166">
        <v>43690</v>
      </c>
      <c r="B1145" s="116">
        <v>15.725</v>
      </c>
      <c r="C1145" s="116">
        <v>15.025</v>
      </c>
      <c r="D1145" s="116">
        <v>14.875</v>
      </c>
      <c r="E1145" s="116">
        <v>15.6</v>
      </c>
      <c r="F1145" s="116">
        <v>30.05</v>
      </c>
      <c r="G1145">
        <v>5930</v>
      </c>
      <c r="H1145" s="116"/>
      <c r="I1145" s="116"/>
      <c r="L1145" s="166">
        <v>43690</v>
      </c>
      <c r="M1145" s="116">
        <v>14.975</v>
      </c>
      <c r="N1145" s="116">
        <v>15.75</v>
      </c>
      <c r="O1145" s="116">
        <v>14.85</v>
      </c>
      <c r="P1145" s="116">
        <v>15.5</v>
      </c>
      <c r="Q1145" s="116">
        <v>29.95</v>
      </c>
      <c r="R1145">
        <v>26867</v>
      </c>
    </row>
    <row r="1146" spans="1:18" x14ac:dyDescent="0.25">
      <c r="A1146" s="166">
        <v>43691</v>
      </c>
      <c r="B1146" s="116">
        <v>15.45</v>
      </c>
      <c r="C1146" s="116">
        <v>15.2</v>
      </c>
      <c r="D1146" s="116">
        <v>15.1</v>
      </c>
      <c r="E1146" s="116">
        <v>15.35</v>
      </c>
      <c r="F1146" s="116">
        <v>30.4</v>
      </c>
      <c r="G1146">
        <v>9336</v>
      </c>
      <c r="H1146" s="116"/>
      <c r="I1146" s="116"/>
      <c r="L1146" s="166">
        <v>43691</v>
      </c>
      <c r="M1146" s="116">
        <v>15.2</v>
      </c>
      <c r="N1146" s="116">
        <v>15.45</v>
      </c>
      <c r="O1146" s="116">
        <v>14.625</v>
      </c>
      <c r="P1146" s="116">
        <v>15.45</v>
      </c>
      <c r="Q1146" s="116">
        <v>30.4</v>
      </c>
      <c r="R1146">
        <v>537581</v>
      </c>
    </row>
    <row r="1147" spans="1:18" x14ac:dyDescent="0.25">
      <c r="A1147" s="166">
        <v>43693</v>
      </c>
      <c r="B1147" s="116">
        <v>15.525</v>
      </c>
      <c r="C1147" s="116">
        <v>15.125</v>
      </c>
      <c r="D1147" s="116">
        <v>14.925000000000001</v>
      </c>
      <c r="E1147" s="116">
        <v>15.475</v>
      </c>
      <c r="F1147" s="116">
        <v>30.25</v>
      </c>
      <c r="G1147">
        <v>6249</v>
      </c>
      <c r="H1147" s="116"/>
      <c r="I1147" s="116"/>
      <c r="L1147" s="166">
        <v>43693</v>
      </c>
      <c r="M1147" s="116">
        <v>15.25</v>
      </c>
      <c r="N1147" s="116">
        <v>16</v>
      </c>
      <c r="O1147" s="116">
        <v>15</v>
      </c>
      <c r="P1147" s="116">
        <v>15.2</v>
      </c>
      <c r="Q1147" s="116">
        <v>30.5</v>
      </c>
      <c r="R1147">
        <v>45818</v>
      </c>
    </row>
    <row r="1148" spans="1:18" x14ac:dyDescent="0.25">
      <c r="A1148" s="166">
        <v>43696</v>
      </c>
      <c r="B1148" s="116">
        <v>15.375</v>
      </c>
      <c r="C1148" s="116">
        <v>14.525</v>
      </c>
      <c r="D1148" s="116">
        <v>14.5</v>
      </c>
      <c r="E1148" s="116">
        <v>15</v>
      </c>
      <c r="F1148" s="116">
        <v>29.05</v>
      </c>
      <c r="G1148">
        <v>12569</v>
      </c>
      <c r="H1148" s="116"/>
      <c r="I1148" s="116"/>
      <c r="L1148" s="166">
        <v>43696</v>
      </c>
      <c r="M1148" s="116">
        <v>14.525</v>
      </c>
      <c r="N1148" s="116">
        <v>15.324999999999999</v>
      </c>
      <c r="O1148" s="116">
        <v>14.45</v>
      </c>
      <c r="P1148" s="116">
        <v>15.25</v>
      </c>
      <c r="Q1148" s="116">
        <v>29.05</v>
      </c>
      <c r="R1148">
        <v>528221</v>
      </c>
    </row>
    <row r="1149" spans="1:18" x14ac:dyDescent="0.25">
      <c r="A1149" s="166">
        <v>43697</v>
      </c>
      <c r="B1149" s="116">
        <v>14.824999999999999</v>
      </c>
      <c r="C1149" s="116">
        <v>14.475</v>
      </c>
      <c r="D1149" s="116">
        <v>14.45</v>
      </c>
      <c r="E1149" s="116">
        <v>14.525</v>
      </c>
      <c r="F1149" s="116">
        <v>28.95</v>
      </c>
      <c r="G1149">
        <v>39145</v>
      </c>
      <c r="H1149" s="116"/>
      <c r="I1149" s="116"/>
      <c r="L1149" s="166">
        <v>43697</v>
      </c>
      <c r="M1149" s="116">
        <v>14.45</v>
      </c>
      <c r="N1149" s="116">
        <v>14.9</v>
      </c>
      <c r="O1149" s="116">
        <v>14.375</v>
      </c>
      <c r="P1149" s="116">
        <v>14.5</v>
      </c>
      <c r="Q1149" s="116">
        <v>28.9</v>
      </c>
      <c r="R1149">
        <v>16759</v>
      </c>
    </row>
    <row r="1150" spans="1:18" x14ac:dyDescent="0.25">
      <c r="A1150" s="166">
        <v>43698</v>
      </c>
      <c r="B1150" s="116">
        <v>14.725</v>
      </c>
      <c r="C1150" s="116">
        <v>14.475</v>
      </c>
      <c r="D1150" s="116">
        <v>14.35</v>
      </c>
      <c r="E1150" s="116">
        <v>14.5</v>
      </c>
      <c r="F1150" s="116">
        <v>28.95</v>
      </c>
      <c r="G1150">
        <v>36432</v>
      </c>
      <c r="H1150" s="116"/>
      <c r="I1150" s="116"/>
      <c r="L1150" s="166">
        <v>43698</v>
      </c>
      <c r="M1150" s="116">
        <v>14.45</v>
      </c>
      <c r="N1150" s="116">
        <v>14.775</v>
      </c>
      <c r="O1150" s="116">
        <v>14.2</v>
      </c>
      <c r="P1150" s="116">
        <v>14.45</v>
      </c>
      <c r="Q1150" s="116">
        <v>28.9</v>
      </c>
      <c r="R1150">
        <v>34583</v>
      </c>
    </row>
    <row r="1151" spans="1:18" x14ac:dyDescent="0.25">
      <c r="A1151" s="166">
        <v>43699</v>
      </c>
      <c r="B1151" s="116">
        <v>14.475</v>
      </c>
      <c r="C1151" s="116">
        <v>14.025</v>
      </c>
      <c r="D1151" s="116">
        <v>13.975</v>
      </c>
      <c r="E1151" s="116">
        <v>14.45</v>
      </c>
      <c r="F1151" s="116">
        <v>28.05</v>
      </c>
      <c r="G1151">
        <v>92523</v>
      </c>
      <c r="H1151" s="116"/>
      <c r="I1151" s="116"/>
      <c r="L1151" s="166">
        <v>43699</v>
      </c>
      <c r="M1151" s="116">
        <v>14.025</v>
      </c>
      <c r="N1151" s="116">
        <v>14.625</v>
      </c>
      <c r="O1151" s="116">
        <v>13.95</v>
      </c>
      <c r="P1151" s="116">
        <v>14.4</v>
      </c>
      <c r="Q1151" s="116">
        <v>28.05</v>
      </c>
      <c r="R1151">
        <v>34335</v>
      </c>
    </row>
    <row r="1152" spans="1:18" x14ac:dyDescent="0.25">
      <c r="A1152" s="166">
        <v>43700</v>
      </c>
      <c r="B1152" s="116">
        <v>14.175000000000001</v>
      </c>
      <c r="C1152" s="116">
        <v>13.975</v>
      </c>
      <c r="D1152" s="116">
        <v>13.975</v>
      </c>
      <c r="E1152" s="116">
        <v>14</v>
      </c>
      <c r="F1152" s="116">
        <v>27.95</v>
      </c>
      <c r="G1152">
        <v>87862</v>
      </c>
      <c r="H1152" s="116"/>
      <c r="I1152" s="116"/>
      <c r="L1152" s="166">
        <v>43700</v>
      </c>
      <c r="M1152" s="116">
        <v>14</v>
      </c>
      <c r="N1152" s="116">
        <v>14.375</v>
      </c>
      <c r="O1152" s="116">
        <v>13.925000000000001</v>
      </c>
      <c r="P1152" s="116">
        <v>14</v>
      </c>
      <c r="Q1152" s="116">
        <v>28</v>
      </c>
      <c r="R1152">
        <v>39486</v>
      </c>
    </row>
    <row r="1153" spans="1:18" x14ac:dyDescent="0.25">
      <c r="A1153" s="166">
        <v>43703</v>
      </c>
      <c r="B1153" s="116">
        <v>14.125</v>
      </c>
      <c r="C1153" s="116">
        <v>14.025</v>
      </c>
      <c r="D1153" s="116">
        <v>13.925000000000001</v>
      </c>
      <c r="E1153" s="116">
        <v>14</v>
      </c>
      <c r="F1153" s="116">
        <v>28.05</v>
      </c>
      <c r="G1153">
        <v>35318</v>
      </c>
      <c r="H1153" s="116"/>
      <c r="I1153" s="116"/>
      <c r="L1153" s="166">
        <v>43703</v>
      </c>
      <c r="M1153" s="116">
        <v>14</v>
      </c>
      <c r="N1153" s="116">
        <v>14.45</v>
      </c>
      <c r="O1153" s="116">
        <v>13.9</v>
      </c>
      <c r="P1153" s="116">
        <v>14.175000000000001</v>
      </c>
      <c r="Q1153" s="116">
        <v>28</v>
      </c>
      <c r="R1153">
        <v>31218</v>
      </c>
    </row>
    <row r="1154" spans="1:18" x14ac:dyDescent="0.25">
      <c r="A1154" s="166">
        <v>43704</v>
      </c>
      <c r="B1154" s="116">
        <v>14.7</v>
      </c>
      <c r="C1154" s="116">
        <v>14.675000000000001</v>
      </c>
      <c r="D1154" s="116">
        <v>13.925000000000001</v>
      </c>
      <c r="E1154" s="116">
        <v>13.925000000000001</v>
      </c>
      <c r="F1154" s="116">
        <v>29.35</v>
      </c>
      <c r="G1154">
        <v>4808</v>
      </c>
      <c r="H1154" s="116"/>
      <c r="I1154" s="116"/>
      <c r="L1154" s="166">
        <v>43704</v>
      </c>
      <c r="M1154" s="116">
        <v>14.6</v>
      </c>
      <c r="N1154" s="116">
        <v>14.65</v>
      </c>
      <c r="O1154" s="116">
        <v>13.75</v>
      </c>
      <c r="P1154" s="116">
        <v>14.125</v>
      </c>
      <c r="Q1154" s="116">
        <v>29.2</v>
      </c>
      <c r="R1154">
        <v>45831</v>
      </c>
    </row>
    <row r="1155" spans="1:18" x14ac:dyDescent="0.25">
      <c r="A1155" s="166">
        <v>43705</v>
      </c>
      <c r="B1155" s="116">
        <v>15.324999999999999</v>
      </c>
      <c r="C1155" s="116">
        <v>15.1</v>
      </c>
      <c r="D1155" s="116">
        <v>15.05</v>
      </c>
      <c r="E1155" s="116">
        <v>15.3</v>
      </c>
      <c r="F1155" s="116">
        <v>30.2</v>
      </c>
      <c r="G1155">
        <v>6805</v>
      </c>
      <c r="H1155" s="116"/>
      <c r="I1155" s="116"/>
      <c r="L1155" s="166">
        <v>43705</v>
      </c>
      <c r="M1155" s="116">
        <v>15</v>
      </c>
      <c r="N1155" s="116">
        <v>15.4</v>
      </c>
      <c r="O1155" s="116">
        <v>14.8</v>
      </c>
      <c r="P1155" s="116">
        <v>14.8</v>
      </c>
      <c r="Q1155" s="116">
        <v>30</v>
      </c>
      <c r="R1155">
        <v>41372</v>
      </c>
    </row>
    <row r="1156" spans="1:18" x14ac:dyDescent="0.25">
      <c r="A1156" s="166">
        <v>43706</v>
      </c>
      <c r="B1156" s="116">
        <v>15.25</v>
      </c>
      <c r="C1156" s="116">
        <v>14.75</v>
      </c>
      <c r="D1156" s="116">
        <v>14.625</v>
      </c>
      <c r="E1156" s="116">
        <v>14.65</v>
      </c>
      <c r="F1156" s="116">
        <v>29.5</v>
      </c>
      <c r="G1156">
        <v>18546</v>
      </c>
      <c r="H1156" s="116"/>
      <c r="I1156" s="116"/>
      <c r="L1156" s="166">
        <v>43706</v>
      </c>
      <c r="M1156" s="116">
        <v>14.8</v>
      </c>
      <c r="N1156" s="116">
        <v>15.275</v>
      </c>
      <c r="O1156" s="116">
        <v>14.25</v>
      </c>
      <c r="P1156" s="116">
        <v>15.15</v>
      </c>
      <c r="Q1156" s="116">
        <v>29.6</v>
      </c>
      <c r="R1156">
        <v>46312</v>
      </c>
    </row>
    <row r="1157" spans="1:18" x14ac:dyDescent="0.25">
      <c r="A1157" s="166">
        <v>43707</v>
      </c>
      <c r="B1157" s="116">
        <v>15.2</v>
      </c>
      <c r="C1157" s="116">
        <v>14.95</v>
      </c>
      <c r="D1157" s="116">
        <v>14.125</v>
      </c>
      <c r="E1157" s="116">
        <v>15.125</v>
      </c>
      <c r="F1157" s="116">
        <v>29.9</v>
      </c>
      <c r="G1157">
        <v>15404</v>
      </c>
      <c r="H1157" s="116"/>
      <c r="I1157" s="116"/>
      <c r="L1157" s="166">
        <v>43707</v>
      </c>
      <c r="M1157" s="116">
        <v>14.95</v>
      </c>
      <c r="N1157" s="116">
        <v>15.3</v>
      </c>
      <c r="O1157" s="116">
        <v>14.25</v>
      </c>
      <c r="P1157" s="116">
        <v>14.925000000000001</v>
      </c>
      <c r="Q1157" s="116">
        <v>29.9</v>
      </c>
      <c r="R1157">
        <v>51013</v>
      </c>
    </row>
    <row r="1158" spans="1:18" x14ac:dyDescent="0.25">
      <c r="A1158" s="166">
        <v>43711</v>
      </c>
      <c r="B1158" s="116">
        <v>15.5</v>
      </c>
      <c r="C1158" s="116">
        <v>15.125</v>
      </c>
      <c r="D1158" s="116">
        <v>14.975</v>
      </c>
      <c r="E1158" s="116">
        <v>15</v>
      </c>
      <c r="F1158" s="116">
        <v>30.25</v>
      </c>
      <c r="G1158">
        <v>10038</v>
      </c>
      <c r="H1158" s="116"/>
      <c r="I1158" s="116"/>
      <c r="L1158" s="166">
        <v>43711</v>
      </c>
      <c r="M1158" s="116">
        <v>15.175000000000001</v>
      </c>
      <c r="N1158" s="116">
        <v>16.425000000000001</v>
      </c>
      <c r="O1158" s="116">
        <v>14.775</v>
      </c>
      <c r="P1158" s="116">
        <v>14.824999999999999</v>
      </c>
      <c r="Q1158" s="116">
        <v>30.35</v>
      </c>
      <c r="R1158">
        <v>13011</v>
      </c>
    </row>
    <row r="1159" spans="1:18" x14ac:dyDescent="0.25">
      <c r="A1159" s="166">
        <v>43712</v>
      </c>
      <c r="B1159" s="116">
        <v>15.25</v>
      </c>
      <c r="C1159" s="116">
        <v>15.125</v>
      </c>
      <c r="D1159" s="116">
        <v>14.875</v>
      </c>
      <c r="E1159" s="116">
        <v>15.2</v>
      </c>
      <c r="F1159" s="116">
        <v>30.25</v>
      </c>
      <c r="G1159">
        <v>1947</v>
      </c>
      <c r="H1159" s="116"/>
      <c r="I1159" s="116"/>
      <c r="L1159" s="166">
        <v>43712</v>
      </c>
      <c r="M1159" s="116">
        <v>15.15</v>
      </c>
      <c r="N1159" s="116">
        <v>15.35</v>
      </c>
      <c r="O1159" s="116">
        <v>14.925000000000001</v>
      </c>
      <c r="P1159" s="116">
        <v>15.074999999999999</v>
      </c>
      <c r="Q1159" s="116">
        <v>30.3</v>
      </c>
      <c r="R1159">
        <v>11075</v>
      </c>
    </row>
    <row r="1160" spans="1:18" x14ac:dyDescent="0.25">
      <c r="A1160" s="166">
        <v>43713</v>
      </c>
      <c r="B1160" s="116">
        <v>16.625</v>
      </c>
      <c r="C1160" s="116">
        <v>16.625</v>
      </c>
      <c r="D1160" s="116">
        <v>16</v>
      </c>
      <c r="E1160" s="116">
        <v>16</v>
      </c>
      <c r="F1160" s="116">
        <v>33.25</v>
      </c>
      <c r="G1160">
        <v>4924</v>
      </c>
      <c r="H1160" s="116"/>
      <c r="I1160" s="116"/>
      <c r="L1160" s="166">
        <v>43713</v>
      </c>
      <c r="M1160" s="116">
        <v>16.649999999999999</v>
      </c>
      <c r="N1160" s="116">
        <v>16.649999999999999</v>
      </c>
      <c r="O1160" s="116">
        <v>16.3</v>
      </c>
      <c r="P1160" s="116">
        <v>16.3</v>
      </c>
      <c r="Q1160" s="116">
        <v>33.299999999999997</v>
      </c>
      <c r="R1160">
        <v>82331</v>
      </c>
    </row>
    <row r="1161" spans="1:18" x14ac:dyDescent="0.25">
      <c r="A1161" s="166">
        <v>43714</v>
      </c>
      <c r="B1161" s="116">
        <v>18.274999999999999</v>
      </c>
      <c r="C1161" s="116">
        <v>16.875</v>
      </c>
      <c r="D1161" s="116">
        <v>16.75</v>
      </c>
      <c r="E1161" s="116">
        <v>17.899999999999999</v>
      </c>
      <c r="F1161" s="116">
        <v>33.75</v>
      </c>
      <c r="G1161">
        <v>66966</v>
      </c>
      <c r="H1161" s="116"/>
      <c r="I1161" s="116"/>
      <c r="L1161" s="166">
        <v>43714</v>
      </c>
      <c r="M1161" s="116">
        <v>16.925000000000001</v>
      </c>
      <c r="N1161" s="116">
        <v>18.2</v>
      </c>
      <c r="O1161" s="116">
        <v>16.75</v>
      </c>
      <c r="P1161" s="116">
        <v>17.399999999999999</v>
      </c>
      <c r="Q1161" s="116">
        <v>33.85</v>
      </c>
      <c r="R1161">
        <v>257200</v>
      </c>
    </row>
    <row r="1162" spans="1:18" x14ac:dyDescent="0.25">
      <c r="A1162" s="166">
        <v>43717</v>
      </c>
      <c r="B1162" s="116">
        <v>17.25</v>
      </c>
      <c r="C1162" s="116">
        <v>16.824999999999999</v>
      </c>
      <c r="D1162" s="116">
        <v>16.475000000000001</v>
      </c>
      <c r="E1162" s="116">
        <v>17</v>
      </c>
      <c r="F1162" s="116">
        <v>33.65</v>
      </c>
      <c r="G1162">
        <v>7783</v>
      </c>
      <c r="H1162" s="116"/>
      <c r="I1162" s="116"/>
      <c r="L1162" s="166">
        <v>43717</v>
      </c>
      <c r="M1162" s="116">
        <v>16.875</v>
      </c>
      <c r="N1162" s="116">
        <v>17.524999999999999</v>
      </c>
      <c r="O1162" s="116">
        <v>16.55</v>
      </c>
      <c r="P1162" s="116">
        <v>17.524999999999999</v>
      </c>
      <c r="Q1162" s="116">
        <v>33.75</v>
      </c>
      <c r="R1162">
        <v>37890</v>
      </c>
    </row>
    <row r="1163" spans="1:18" x14ac:dyDescent="0.25">
      <c r="A1163" s="166">
        <v>43719</v>
      </c>
      <c r="B1163" s="116">
        <v>17.425000000000001</v>
      </c>
      <c r="C1163" s="116">
        <v>17</v>
      </c>
      <c r="D1163" s="116">
        <v>16.899999999999999</v>
      </c>
      <c r="E1163" s="116">
        <v>17.024999999999999</v>
      </c>
      <c r="F1163" s="116">
        <v>34</v>
      </c>
      <c r="G1163">
        <v>17976</v>
      </c>
      <c r="H1163" s="116"/>
      <c r="I1163" s="116"/>
      <c r="L1163" s="166">
        <v>43719</v>
      </c>
      <c r="M1163" s="116">
        <v>17</v>
      </c>
      <c r="N1163" s="116">
        <v>17.5</v>
      </c>
      <c r="O1163" s="116">
        <v>16.475000000000001</v>
      </c>
      <c r="P1163" s="116">
        <v>16.824999999999999</v>
      </c>
      <c r="Q1163" s="116">
        <v>34</v>
      </c>
      <c r="R1163">
        <v>318127</v>
      </c>
    </row>
    <row r="1164" spans="1:18" x14ac:dyDescent="0.25">
      <c r="A1164" s="166">
        <v>43720</v>
      </c>
      <c r="B1164" s="116">
        <v>17.55</v>
      </c>
      <c r="C1164" s="116">
        <v>16.925000000000001</v>
      </c>
      <c r="D1164" s="116">
        <v>16.75</v>
      </c>
      <c r="E1164" s="116">
        <v>17.25</v>
      </c>
      <c r="F1164" s="116">
        <v>33.85</v>
      </c>
      <c r="G1164">
        <v>16723</v>
      </c>
      <c r="H1164" s="116"/>
      <c r="I1164" s="116"/>
      <c r="L1164" s="166">
        <v>43720</v>
      </c>
      <c r="M1164" s="116">
        <v>16.875</v>
      </c>
      <c r="N1164" s="116">
        <v>17.55</v>
      </c>
      <c r="O1164" s="116">
        <v>16.8</v>
      </c>
      <c r="P1164" s="116">
        <v>17.2</v>
      </c>
      <c r="Q1164" s="116">
        <v>33.75</v>
      </c>
      <c r="R1164">
        <v>76728</v>
      </c>
    </row>
    <row r="1165" spans="1:18" x14ac:dyDescent="0.25">
      <c r="A1165" s="166">
        <v>43721</v>
      </c>
      <c r="B1165" s="116">
        <v>16.824999999999999</v>
      </c>
      <c r="C1165" s="116">
        <v>16.5</v>
      </c>
      <c r="D1165" s="116">
        <v>16.3</v>
      </c>
      <c r="E1165" s="116">
        <v>16.824999999999999</v>
      </c>
      <c r="F1165" s="116">
        <v>33</v>
      </c>
      <c r="G1165">
        <v>8072</v>
      </c>
      <c r="H1165" s="116"/>
      <c r="I1165" s="116"/>
      <c r="L1165" s="166">
        <v>43721</v>
      </c>
      <c r="M1165" s="116">
        <v>16.425000000000001</v>
      </c>
      <c r="N1165" s="116">
        <v>16.899999999999999</v>
      </c>
      <c r="O1165" s="116">
        <v>16.324999999999999</v>
      </c>
      <c r="P1165" s="116">
        <v>16.875</v>
      </c>
      <c r="Q1165" s="116">
        <v>32.85</v>
      </c>
      <c r="R1165">
        <v>95065</v>
      </c>
    </row>
    <row r="1166" spans="1:18" x14ac:dyDescent="0.25">
      <c r="A1166" s="166">
        <v>43724</v>
      </c>
      <c r="B1166" s="116">
        <v>16.475000000000001</v>
      </c>
      <c r="C1166" s="116">
        <v>16.3</v>
      </c>
      <c r="D1166" s="116">
        <v>16.149999999999999</v>
      </c>
      <c r="E1166" s="116">
        <v>16.175000000000001</v>
      </c>
      <c r="F1166" s="116">
        <v>32.6</v>
      </c>
      <c r="G1166">
        <v>8487</v>
      </c>
      <c r="H1166" s="116"/>
      <c r="I1166" s="116"/>
      <c r="L1166" s="166">
        <v>43724</v>
      </c>
      <c r="M1166" s="116">
        <v>16.324999999999999</v>
      </c>
      <c r="N1166" s="116">
        <v>16.5</v>
      </c>
      <c r="O1166" s="116">
        <v>15.9</v>
      </c>
      <c r="P1166" s="116">
        <v>16.2</v>
      </c>
      <c r="Q1166" s="116">
        <v>32.65</v>
      </c>
      <c r="R1166">
        <v>71828</v>
      </c>
    </row>
    <row r="1167" spans="1:18" x14ac:dyDescent="0.25">
      <c r="A1167" s="166">
        <v>43725</v>
      </c>
      <c r="B1167" s="116">
        <v>16.350000000000001</v>
      </c>
      <c r="C1167" s="116">
        <v>15.95</v>
      </c>
      <c r="D1167" s="116">
        <v>15.875</v>
      </c>
      <c r="E1167" s="116">
        <v>16.324999999999999</v>
      </c>
      <c r="F1167" s="116">
        <v>31.9</v>
      </c>
      <c r="G1167">
        <v>5865</v>
      </c>
      <c r="H1167" s="116"/>
      <c r="I1167" s="116"/>
      <c r="L1167" s="166">
        <v>43725</v>
      </c>
      <c r="M1167" s="116">
        <v>15.975</v>
      </c>
      <c r="N1167" s="116">
        <v>16.399999999999999</v>
      </c>
      <c r="O1167" s="116">
        <v>15.775</v>
      </c>
      <c r="P1167" s="116">
        <v>16.399999999999999</v>
      </c>
      <c r="Q1167" s="116">
        <v>31.95</v>
      </c>
      <c r="R1167">
        <v>45695</v>
      </c>
    </row>
    <row r="1168" spans="1:18" x14ac:dyDescent="0.25">
      <c r="A1168" s="166">
        <v>43726</v>
      </c>
      <c r="B1168" s="116">
        <v>16.3</v>
      </c>
      <c r="C1168" s="116">
        <v>16.149999999999999</v>
      </c>
      <c r="D1168" s="116">
        <v>16.074999999999999</v>
      </c>
      <c r="E1168" s="116">
        <v>16.175000000000001</v>
      </c>
      <c r="F1168" s="116">
        <v>32.299999999999997</v>
      </c>
      <c r="G1168">
        <v>6734</v>
      </c>
      <c r="H1168" s="116"/>
      <c r="I1168" s="116"/>
      <c r="L1168" s="166">
        <v>43726</v>
      </c>
      <c r="M1168" s="116">
        <v>16.074999999999999</v>
      </c>
      <c r="N1168" s="116">
        <v>16.350000000000001</v>
      </c>
      <c r="O1168" s="116">
        <v>16</v>
      </c>
      <c r="P1168" s="116">
        <v>16.074999999999999</v>
      </c>
      <c r="Q1168" s="116">
        <v>32.15</v>
      </c>
      <c r="R1168">
        <v>79753</v>
      </c>
    </row>
    <row r="1169" spans="1:18" x14ac:dyDescent="0.25">
      <c r="A1169" s="166">
        <v>43727</v>
      </c>
      <c r="B1169" s="116">
        <v>16.125</v>
      </c>
      <c r="C1169" s="116">
        <v>15.875</v>
      </c>
      <c r="D1169" s="116">
        <v>15.875</v>
      </c>
      <c r="E1169" s="116">
        <v>16.125</v>
      </c>
      <c r="F1169" s="116">
        <v>31.75</v>
      </c>
      <c r="G1169">
        <v>721</v>
      </c>
      <c r="H1169" s="116"/>
      <c r="I1169" s="116"/>
      <c r="L1169" s="166">
        <v>43727</v>
      </c>
      <c r="M1169" s="116">
        <v>15.9</v>
      </c>
      <c r="N1169" s="116">
        <v>16.2</v>
      </c>
      <c r="O1169" s="116">
        <v>15.8</v>
      </c>
      <c r="P1169" s="116">
        <v>16.2</v>
      </c>
      <c r="Q1169" s="116">
        <v>31.8</v>
      </c>
      <c r="R1169">
        <v>23254</v>
      </c>
    </row>
    <row r="1170" spans="1:18" x14ac:dyDescent="0.25">
      <c r="A1170" s="166">
        <v>43728</v>
      </c>
      <c r="B1170" s="116">
        <v>16.425000000000001</v>
      </c>
      <c r="C1170" s="116">
        <v>16.324999999999999</v>
      </c>
      <c r="D1170" s="116">
        <v>15.15</v>
      </c>
      <c r="E1170" s="116">
        <v>15.8</v>
      </c>
      <c r="F1170" s="116">
        <v>32.65</v>
      </c>
      <c r="G1170">
        <v>12056</v>
      </c>
      <c r="H1170" s="116"/>
      <c r="I1170" s="116"/>
      <c r="L1170" s="166">
        <v>43728</v>
      </c>
      <c r="M1170" s="116">
        <v>16.350000000000001</v>
      </c>
      <c r="N1170" s="116">
        <v>16.5</v>
      </c>
      <c r="O1170" s="116">
        <v>15.45</v>
      </c>
      <c r="P1170" s="116">
        <v>15.85</v>
      </c>
      <c r="Q1170" s="116">
        <v>32.700000000000003</v>
      </c>
      <c r="R1170">
        <v>87807</v>
      </c>
    </row>
    <row r="1171" spans="1:18" x14ac:dyDescent="0.25">
      <c r="A1171" s="166">
        <v>43731</v>
      </c>
      <c r="B1171" s="116">
        <v>17</v>
      </c>
      <c r="C1171" s="116">
        <v>16.600000000000001</v>
      </c>
      <c r="D1171" s="116">
        <v>16.375</v>
      </c>
      <c r="E1171" s="116">
        <v>17</v>
      </c>
      <c r="F1171" s="116">
        <v>33.200000000000003</v>
      </c>
      <c r="G1171">
        <v>12870</v>
      </c>
      <c r="H1171" s="116"/>
      <c r="I1171" s="116"/>
      <c r="L1171" s="166">
        <v>43731</v>
      </c>
      <c r="M1171" s="116">
        <v>16.574999999999999</v>
      </c>
      <c r="N1171" s="116">
        <v>16.850000000000001</v>
      </c>
      <c r="O1171" s="116">
        <v>16.375</v>
      </c>
      <c r="P1171" s="116">
        <v>16.850000000000001</v>
      </c>
      <c r="Q1171" s="116">
        <v>33.15</v>
      </c>
      <c r="R1171">
        <v>182547</v>
      </c>
    </row>
    <row r="1172" spans="1:18" x14ac:dyDescent="0.25">
      <c r="A1172" s="166">
        <v>43732</v>
      </c>
      <c r="B1172" s="116">
        <v>18.2</v>
      </c>
      <c r="C1172" s="116">
        <v>18</v>
      </c>
      <c r="D1172" s="116">
        <v>16.649999999999999</v>
      </c>
      <c r="E1172" s="116">
        <v>16.649999999999999</v>
      </c>
      <c r="F1172" s="116">
        <v>36</v>
      </c>
      <c r="G1172">
        <v>24074</v>
      </c>
      <c r="H1172" s="116"/>
      <c r="I1172" s="116"/>
      <c r="L1172" s="166">
        <v>43732</v>
      </c>
      <c r="M1172" s="116">
        <v>18.074999999999999</v>
      </c>
      <c r="N1172" s="116">
        <v>18.2</v>
      </c>
      <c r="O1172" s="116">
        <v>16.574999999999999</v>
      </c>
      <c r="P1172" s="116">
        <v>16.574999999999999</v>
      </c>
      <c r="Q1172" s="116">
        <v>36.15</v>
      </c>
      <c r="R1172">
        <v>161182</v>
      </c>
    </row>
    <row r="1173" spans="1:18" x14ac:dyDescent="0.25">
      <c r="A1173" s="166">
        <v>43733</v>
      </c>
      <c r="B1173" s="116">
        <v>18.925000000000001</v>
      </c>
      <c r="C1173" s="116">
        <v>18.399999999999999</v>
      </c>
      <c r="D1173" s="116">
        <v>17.899999999999999</v>
      </c>
      <c r="E1173" s="116">
        <v>18</v>
      </c>
      <c r="F1173" s="116">
        <v>36.799999999999997</v>
      </c>
      <c r="G1173">
        <v>25645</v>
      </c>
      <c r="H1173" s="116"/>
      <c r="I1173" s="116"/>
      <c r="L1173" s="166">
        <v>43733</v>
      </c>
      <c r="M1173" s="116">
        <v>18.350000000000001</v>
      </c>
      <c r="N1173" s="116">
        <v>18.899999999999999</v>
      </c>
      <c r="O1173" s="116">
        <v>17.524999999999999</v>
      </c>
      <c r="P1173" s="116">
        <v>17.524999999999999</v>
      </c>
      <c r="Q1173" s="116">
        <v>36.700000000000003</v>
      </c>
      <c r="R1173">
        <v>238786</v>
      </c>
    </row>
    <row r="1174" spans="1:18" x14ac:dyDescent="0.25">
      <c r="A1174" s="166">
        <v>43734</v>
      </c>
      <c r="B1174" s="116">
        <v>18.75</v>
      </c>
      <c r="C1174" s="116">
        <v>18.3</v>
      </c>
      <c r="D1174" s="116">
        <v>18.25</v>
      </c>
      <c r="E1174" s="116">
        <v>18.45</v>
      </c>
      <c r="F1174" s="116">
        <v>36.6</v>
      </c>
      <c r="G1174">
        <v>8099</v>
      </c>
      <c r="H1174" s="116"/>
      <c r="I1174" s="116"/>
      <c r="L1174" s="166">
        <v>43734</v>
      </c>
      <c r="M1174" s="116">
        <v>18.3</v>
      </c>
      <c r="N1174" s="116">
        <v>18.75</v>
      </c>
      <c r="O1174" s="116">
        <v>18.149999999999999</v>
      </c>
      <c r="P1174" s="116">
        <v>18.425000000000001</v>
      </c>
      <c r="Q1174" s="116">
        <v>36.6</v>
      </c>
      <c r="R1174">
        <v>60090</v>
      </c>
    </row>
    <row r="1175" spans="1:18" x14ac:dyDescent="0.25">
      <c r="A1175" s="166">
        <v>43735</v>
      </c>
      <c r="B1175" s="116">
        <v>18.475000000000001</v>
      </c>
      <c r="C1175" s="116">
        <v>18.2</v>
      </c>
      <c r="D1175" s="116">
        <v>17.95</v>
      </c>
      <c r="E1175" s="116">
        <v>18.024999999999999</v>
      </c>
      <c r="F1175" s="116">
        <v>36.4</v>
      </c>
      <c r="G1175">
        <v>5312</v>
      </c>
      <c r="H1175" s="116"/>
      <c r="I1175" s="116"/>
      <c r="L1175" s="166">
        <v>43735</v>
      </c>
      <c r="M1175" s="116">
        <v>18.25</v>
      </c>
      <c r="N1175" s="116">
        <v>18.475000000000001</v>
      </c>
      <c r="O1175" s="116">
        <v>18</v>
      </c>
      <c r="P1175" s="116">
        <v>18.3</v>
      </c>
      <c r="Q1175" s="116">
        <v>36.5</v>
      </c>
      <c r="R1175">
        <v>42890</v>
      </c>
    </row>
    <row r="1176" spans="1:18" x14ac:dyDescent="0.25">
      <c r="A1176" s="166">
        <v>43738</v>
      </c>
      <c r="B1176" s="116">
        <v>18.25</v>
      </c>
      <c r="C1176" s="116">
        <v>17.074999999999999</v>
      </c>
      <c r="D1176" s="116">
        <v>16.399999999999999</v>
      </c>
      <c r="E1176" s="116">
        <v>17.125</v>
      </c>
      <c r="F1176" s="116">
        <v>34.15</v>
      </c>
      <c r="G1176">
        <v>13655</v>
      </c>
      <c r="H1176" s="116"/>
      <c r="I1176" s="116"/>
      <c r="L1176" s="166">
        <v>43738</v>
      </c>
      <c r="M1176" s="116">
        <v>16.95</v>
      </c>
      <c r="N1176" s="116">
        <v>18.399999999999999</v>
      </c>
      <c r="O1176" s="116">
        <v>16.425000000000001</v>
      </c>
      <c r="P1176" s="116">
        <v>18.25</v>
      </c>
      <c r="Q1176" s="116">
        <v>33.9</v>
      </c>
      <c r="R1176">
        <v>51482</v>
      </c>
    </row>
    <row r="1177" spans="1:18" x14ac:dyDescent="0.25">
      <c r="A1177" s="166">
        <v>43739</v>
      </c>
      <c r="B1177" s="116">
        <v>17.05</v>
      </c>
      <c r="C1177" s="116">
        <v>16</v>
      </c>
      <c r="D1177" s="116">
        <v>15.9</v>
      </c>
      <c r="E1177" s="116">
        <v>17.05</v>
      </c>
      <c r="F1177" s="116">
        <v>32</v>
      </c>
      <c r="G1177">
        <v>4576</v>
      </c>
      <c r="H1177" s="116"/>
      <c r="I1177" s="116"/>
      <c r="L1177" s="166">
        <v>43739</v>
      </c>
      <c r="M1177" s="116">
        <v>16.024999999999999</v>
      </c>
      <c r="N1177" s="116">
        <v>17.024999999999999</v>
      </c>
      <c r="O1177" s="116">
        <v>15.9</v>
      </c>
      <c r="P1177" s="116">
        <v>17</v>
      </c>
      <c r="Q1177" s="116">
        <v>32.049999999999997</v>
      </c>
      <c r="R1177">
        <v>33407</v>
      </c>
    </row>
    <row r="1178" spans="1:18" x14ac:dyDescent="0.25">
      <c r="A1178" s="166">
        <v>43741</v>
      </c>
      <c r="B1178" s="116">
        <v>16.100000000000001</v>
      </c>
      <c r="C1178" s="116">
        <v>15.824999999999999</v>
      </c>
      <c r="D1178" s="116">
        <v>15.75</v>
      </c>
      <c r="E1178" s="116">
        <v>15.95</v>
      </c>
      <c r="F1178" s="116">
        <v>31.65</v>
      </c>
      <c r="G1178">
        <v>7442</v>
      </c>
      <c r="H1178" s="116"/>
      <c r="I1178" s="116"/>
      <c r="L1178" s="166">
        <v>43741</v>
      </c>
      <c r="M1178" s="116">
        <v>15.824999999999999</v>
      </c>
      <c r="N1178" s="116">
        <v>16.149999999999999</v>
      </c>
      <c r="O1178" s="116">
        <v>15.6</v>
      </c>
      <c r="P1178" s="116">
        <v>15.6</v>
      </c>
      <c r="Q1178" s="116">
        <v>31.65</v>
      </c>
      <c r="R1178">
        <v>19594</v>
      </c>
    </row>
    <row r="1179" spans="1:18" x14ac:dyDescent="0.25">
      <c r="A1179" s="166">
        <v>43742</v>
      </c>
      <c r="B1179" s="116">
        <v>16.125</v>
      </c>
      <c r="C1179" s="116">
        <v>14.975</v>
      </c>
      <c r="D1179" s="116">
        <v>14.9</v>
      </c>
      <c r="E1179" s="116">
        <v>16.125</v>
      </c>
      <c r="F1179" s="116">
        <v>29.95</v>
      </c>
      <c r="G1179">
        <v>7682</v>
      </c>
      <c r="H1179" s="116"/>
      <c r="I1179" s="116"/>
      <c r="L1179" s="166">
        <v>43742</v>
      </c>
      <c r="M1179" s="116">
        <v>14.925000000000001</v>
      </c>
      <c r="N1179" s="116">
        <v>16.05</v>
      </c>
      <c r="O1179" s="116">
        <v>14.75</v>
      </c>
      <c r="P1179" s="116">
        <v>16.05</v>
      </c>
      <c r="Q1179" s="116">
        <v>29.85</v>
      </c>
      <c r="R1179">
        <v>65009</v>
      </c>
    </row>
    <row r="1180" spans="1:18" x14ac:dyDescent="0.25">
      <c r="A1180" s="166">
        <v>43745</v>
      </c>
      <c r="B1180" s="116">
        <v>15.275</v>
      </c>
      <c r="C1180" s="116">
        <v>14.625</v>
      </c>
      <c r="D1180" s="116">
        <v>14.5</v>
      </c>
      <c r="E1180" s="116">
        <v>14.925000000000001</v>
      </c>
      <c r="F1180" s="116">
        <v>29.25</v>
      </c>
      <c r="G1180">
        <v>3290</v>
      </c>
      <c r="H1180" s="116"/>
      <c r="I1180" s="116"/>
      <c r="L1180" s="166">
        <v>43745</v>
      </c>
      <c r="M1180" s="116">
        <v>14.55</v>
      </c>
      <c r="N1180" s="116">
        <v>15.3</v>
      </c>
      <c r="O1180" s="116">
        <v>14.4</v>
      </c>
      <c r="P1180" s="116">
        <v>15.125</v>
      </c>
      <c r="Q1180" s="116">
        <v>29.1</v>
      </c>
      <c r="R1180">
        <v>31740</v>
      </c>
    </row>
    <row r="1181" spans="1:18" x14ac:dyDescent="0.25">
      <c r="A1181" s="166">
        <v>43747</v>
      </c>
      <c r="B1181" s="116">
        <v>15.074999999999999</v>
      </c>
      <c r="C1181" s="116">
        <v>14.975</v>
      </c>
      <c r="D1181" s="116">
        <v>14.5</v>
      </c>
      <c r="E1181" s="116">
        <v>14.975</v>
      </c>
      <c r="F1181" s="116">
        <v>29.95</v>
      </c>
      <c r="G1181">
        <v>4879</v>
      </c>
      <c r="H1181" s="116"/>
      <c r="I1181" s="116"/>
      <c r="L1181" s="166">
        <v>43747</v>
      </c>
      <c r="M1181" s="116">
        <v>14.95</v>
      </c>
      <c r="N1181" s="116">
        <v>15</v>
      </c>
      <c r="O1181" s="116">
        <v>14.375</v>
      </c>
      <c r="P1181" s="116">
        <v>14.425000000000001</v>
      </c>
      <c r="Q1181" s="116">
        <v>29.9</v>
      </c>
      <c r="R1181">
        <v>21755</v>
      </c>
    </row>
    <row r="1182" spans="1:18" x14ac:dyDescent="0.25">
      <c r="A1182" s="166">
        <v>43748</v>
      </c>
      <c r="B1182" s="116">
        <v>15.074999999999999</v>
      </c>
      <c r="C1182" s="116">
        <v>14.925000000000001</v>
      </c>
      <c r="D1182" s="116">
        <v>14.625</v>
      </c>
      <c r="E1182" s="116">
        <v>14.925000000000001</v>
      </c>
      <c r="F1182" s="116">
        <v>29.85</v>
      </c>
      <c r="G1182">
        <v>1753</v>
      </c>
      <c r="H1182" s="116"/>
      <c r="I1182" s="116"/>
      <c r="L1182" s="166">
        <v>43748</v>
      </c>
      <c r="M1182" s="116">
        <v>14.925000000000001</v>
      </c>
      <c r="N1182" s="116">
        <v>15</v>
      </c>
      <c r="O1182" s="116">
        <v>14.65</v>
      </c>
      <c r="P1182" s="116">
        <v>14.65</v>
      </c>
      <c r="Q1182" s="116">
        <v>29.85</v>
      </c>
      <c r="R1182">
        <v>8815</v>
      </c>
    </row>
    <row r="1183" spans="1:18" x14ac:dyDescent="0.25">
      <c r="A1183" s="166">
        <v>43749</v>
      </c>
      <c r="B1183" s="116">
        <v>15.025</v>
      </c>
      <c r="C1183" s="116">
        <v>14.55</v>
      </c>
      <c r="D1183" s="116">
        <v>14.4</v>
      </c>
      <c r="E1183" s="116">
        <v>15.025</v>
      </c>
      <c r="F1183" s="116">
        <v>29.1</v>
      </c>
      <c r="G1183">
        <v>5755</v>
      </c>
      <c r="H1183" s="116"/>
      <c r="I1183" s="116"/>
      <c r="L1183" s="166">
        <v>43749</v>
      </c>
      <c r="M1183" s="116">
        <v>14.5</v>
      </c>
      <c r="N1183" s="116">
        <v>14.85</v>
      </c>
      <c r="O1183" s="116">
        <v>14.375</v>
      </c>
      <c r="P1183" s="116">
        <v>14.6</v>
      </c>
      <c r="Q1183" s="116">
        <v>29</v>
      </c>
      <c r="R1183">
        <v>19148</v>
      </c>
    </row>
    <row r="1184" spans="1:18" x14ac:dyDescent="0.25">
      <c r="A1184" s="166">
        <v>43752</v>
      </c>
      <c r="B1184" s="116">
        <v>14.775</v>
      </c>
      <c r="C1184" s="116">
        <v>14.4</v>
      </c>
      <c r="D1184" s="116">
        <v>14.25</v>
      </c>
      <c r="E1184" s="116">
        <v>14.55</v>
      </c>
      <c r="F1184" s="116">
        <v>28.8</v>
      </c>
      <c r="G1184">
        <v>6947</v>
      </c>
      <c r="H1184" s="116"/>
      <c r="I1184" s="116"/>
      <c r="L1184" s="166">
        <v>43752</v>
      </c>
      <c r="M1184" s="116">
        <v>14.3</v>
      </c>
      <c r="N1184" s="116">
        <v>14.975</v>
      </c>
      <c r="O1184" s="116">
        <v>14.05</v>
      </c>
      <c r="P1184" s="116">
        <v>14.35</v>
      </c>
      <c r="Q1184" s="116">
        <v>28.6</v>
      </c>
      <c r="R1184">
        <v>28965</v>
      </c>
    </row>
    <row r="1185" spans="1:18" x14ac:dyDescent="0.25">
      <c r="A1185" s="166">
        <v>43753</v>
      </c>
      <c r="B1185" s="116">
        <v>14.725</v>
      </c>
      <c r="C1185" s="116">
        <v>14.525</v>
      </c>
      <c r="D1185" s="116">
        <v>14.4</v>
      </c>
      <c r="E1185" s="116">
        <v>14.6</v>
      </c>
      <c r="F1185" s="116">
        <v>29.05</v>
      </c>
      <c r="G1185">
        <v>1777</v>
      </c>
      <c r="H1185" s="116"/>
      <c r="I1185" s="116"/>
      <c r="L1185" s="166">
        <v>43753</v>
      </c>
      <c r="M1185" s="116">
        <v>14.574999999999999</v>
      </c>
      <c r="N1185" s="116">
        <v>16.25</v>
      </c>
      <c r="O1185" s="116">
        <v>14.074999999999999</v>
      </c>
      <c r="P1185" s="116">
        <v>14.9</v>
      </c>
      <c r="Q1185" s="116">
        <v>29.15</v>
      </c>
      <c r="R1185">
        <v>13696</v>
      </c>
    </row>
    <row r="1186" spans="1:18" x14ac:dyDescent="0.25">
      <c r="A1186" s="166">
        <v>43754</v>
      </c>
      <c r="B1186" s="116">
        <v>15</v>
      </c>
      <c r="C1186" s="116">
        <v>14.45</v>
      </c>
      <c r="D1186" s="116">
        <v>14.324999999999999</v>
      </c>
      <c r="E1186" s="116">
        <v>15</v>
      </c>
      <c r="F1186" s="116">
        <v>28.9</v>
      </c>
      <c r="G1186">
        <v>2070</v>
      </c>
      <c r="H1186" s="116"/>
      <c r="I1186" s="116"/>
      <c r="L1186" s="166">
        <v>43754</v>
      </c>
      <c r="M1186" s="116">
        <v>14.4</v>
      </c>
      <c r="N1186" s="116">
        <v>14.875</v>
      </c>
      <c r="O1186" s="116">
        <v>14.25</v>
      </c>
      <c r="P1186" s="116">
        <v>14.525</v>
      </c>
      <c r="Q1186" s="116">
        <v>28.8</v>
      </c>
      <c r="R1186">
        <v>17730</v>
      </c>
    </row>
    <row r="1187" spans="1:18" x14ac:dyDescent="0.25">
      <c r="A1187" s="166">
        <v>43755</v>
      </c>
      <c r="B1187" s="116">
        <v>14.975</v>
      </c>
      <c r="C1187" s="116">
        <v>14.925000000000001</v>
      </c>
      <c r="D1187" s="116">
        <v>14.6</v>
      </c>
      <c r="E1187" s="116">
        <v>14.775</v>
      </c>
      <c r="F1187" s="116">
        <v>29.85</v>
      </c>
      <c r="G1187">
        <v>10923</v>
      </c>
      <c r="H1187" s="116"/>
      <c r="I1187" s="116"/>
      <c r="L1187" s="166">
        <v>43755</v>
      </c>
      <c r="M1187" s="116">
        <v>14.85</v>
      </c>
      <c r="N1187" s="116">
        <v>15</v>
      </c>
      <c r="O1187" s="116">
        <v>14.15</v>
      </c>
      <c r="P1187" s="116">
        <v>14.9</v>
      </c>
      <c r="Q1187" s="116">
        <v>29.7</v>
      </c>
      <c r="R1187">
        <v>23524</v>
      </c>
    </row>
    <row r="1188" spans="1:18" x14ac:dyDescent="0.25">
      <c r="A1188" s="166">
        <v>43756</v>
      </c>
      <c r="B1188" s="116">
        <v>15.85</v>
      </c>
      <c r="C1188" s="116">
        <v>15.775</v>
      </c>
      <c r="D1188" s="116">
        <v>15.05</v>
      </c>
      <c r="E1188" s="116">
        <v>15.324999999999999</v>
      </c>
      <c r="F1188" s="116">
        <v>31.55</v>
      </c>
      <c r="G1188">
        <v>14515</v>
      </c>
      <c r="H1188" s="116"/>
      <c r="I1188" s="116"/>
      <c r="L1188" s="166">
        <v>43756</v>
      </c>
      <c r="M1188" s="116">
        <v>15.824999999999999</v>
      </c>
      <c r="N1188" s="116">
        <v>16</v>
      </c>
      <c r="O1188" s="116">
        <v>15</v>
      </c>
      <c r="P1188" s="116">
        <v>15</v>
      </c>
      <c r="Q1188" s="116">
        <v>31.65</v>
      </c>
      <c r="R1188">
        <v>68472</v>
      </c>
    </row>
    <row r="1189" spans="1:18" x14ac:dyDescent="0.25">
      <c r="A1189" s="166">
        <v>43760</v>
      </c>
      <c r="B1189" s="116">
        <v>17.024999999999999</v>
      </c>
      <c r="C1189" s="116">
        <v>16.225000000000001</v>
      </c>
      <c r="D1189" s="116">
        <v>16</v>
      </c>
      <c r="E1189" s="116">
        <v>16.05</v>
      </c>
      <c r="F1189" s="116">
        <v>32.450000000000003</v>
      </c>
      <c r="G1189">
        <v>43520</v>
      </c>
      <c r="H1189" s="116"/>
      <c r="I1189" s="116"/>
      <c r="L1189" s="166">
        <v>43760</v>
      </c>
      <c r="M1189" s="116">
        <v>16.125</v>
      </c>
      <c r="N1189" s="116">
        <v>16.975000000000001</v>
      </c>
      <c r="O1189" s="116">
        <v>15.9</v>
      </c>
      <c r="P1189" s="116">
        <v>16</v>
      </c>
      <c r="Q1189" s="116">
        <v>32.25</v>
      </c>
      <c r="R1189">
        <v>92261</v>
      </c>
    </row>
    <row r="1190" spans="1:18" x14ac:dyDescent="0.25">
      <c r="A1190" s="166">
        <v>43761</v>
      </c>
      <c r="B1190" s="116">
        <v>16.45</v>
      </c>
      <c r="C1190" s="116">
        <v>15.85</v>
      </c>
      <c r="D1190" s="116">
        <v>15.675000000000001</v>
      </c>
      <c r="E1190" s="116">
        <v>16.3</v>
      </c>
      <c r="F1190" s="116">
        <v>31.7</v>
      </c>
      <c r="G1190">
        <v>4836</v>
      </c>
      <c r="H1190" s="116"/>
      <c r="I1190" s="116"/>
      <c r="L1190" s="166">
        <v>43761</v>
      </c>
      <c r="M1190" s="116">
        <v>15.9</v>
      </c>
      <c r="N1190" s="116">
        <v>16.5</v>
      </c>
      <c r="O1190" s="116">
        <v>15.75</v>
      </c>
      <c r="P1190" s="116">
        <v>16.125</v>
      </c>
      <c r="Q1190" s="116">
        <v>31.8</v>
      </c>
      <c r="R1190">
        <v>36463</v>
      </c>
    </row>
    <row r="1191" spans="1:18" x14ac:dyDescent="0.25">
      <c r="A1191" s="166">
        <v>43762</v>
      </c>
      <c r="B1191" s="116">
        <v>15.75</v>
      </c>
      <c r="C1191" s="116">
        <v>15.425000000000001</v>
      </c>
      <c r="D1191" s="116">
        <v>15.125</v>
      </c>
      <c r="E1191" s="116">
        <v>15.625</v>
      </c>
      <c r="F1191" s="116">
        <v>30.85</v>
      </c>
      <c r="G1191">
        <v>2812</v>
      </c>
      <c r="H1191" s="116"/>
      <c r="I1191" s="116"/>
      <c r="L1191" s="166">
        <v>43762</v>
      </c>
      <c r="M1191" s="116">
        <v>15.525</v>
      </c>
      <c r="N1191" s="116">
        <v>16</v>
      </c>
      <c r="O1191" s="116">
        <v>15.35</v>
      </c>
      <c r="P1191" s="116">
        <v>15.65</v>
      </c>
      <c r="Q1191" s="116">
        <v>31.05</v>
      </c>
      <c r="R1191">
        <v>21457</v>
      </c>
    </row>
    <row r="1192" spans="1:18" x14ac:dyDescent="0.25">
      <c r="A1192" s="166">
        <v>43763</v>
      </c>
      <c r="B1192" s="116">
        <v>15.45</v>
      </c>
      <c r="C1192" s="116">
        <v>15.125</v>
      </c>
      <c r="D1192" s="116">
        <v>15.025</v>
      </c>
      <c r="E1192" s="116">
        <v>15.45</v>
      </c>
      <c r="F1192" s="116">
        <v>30.25</v>
      </c>
      <c r="G1192">
        <v>1994</v>
      </c>
      <c r="H1192" s="116"/>
      <c r="I1192" s="116"/>
      <c r="L1192" s="166">
        <v>43763</v>
      </c>
      <c r="M1192" s="116">
        <v>15.074999999999999</v>
      </c>
      <c r="N1192" s="116">
        <v>15.5</v>
      </c>
      <c r="O1192" s="116">
        <v>15.05</v>
      </c>
      <c r="P1192" s="116">
        <v>15.2</v>
      </c>
      <c r="Q1192" s="116">
        <v>30.15</v>
      </c>
      <c r="R1192">
        <v>25308</v>
      </c>
    </row>
    <row r="1193" spans="1:18" x14ac:dyDescent="0.25">
      <c r="A1193" s="166">
        <v>43765</v>
      </c>
      <c r="B1193" s="116">
        <v>16.125</v>
      </c>
      <c r="C1193" s="116">
        <v>15.95</v>
      </c>
      <c r="D1193" s="116">
        <v>15.15</v>
      </c>
      <c r="E1193" s="116">
        <v>15.5</v>
      </c>
      <c r="F1193" s="116">
        <v>31.9</v>
      </c>
      <c r="G1193">
        <v>7600</v>
      </c>
      <c r="H1193" s="116"/>
      <c r="I1193" s="116"/>
      <c r="L1193" s="166">
        <v>43765</v>
      </c>
      <c r="M1193" s="116">
        <v>16.024999999999999</v>
      </c>
      <c r="N1193" s="116">
        <v>16.2</v>
      </c>
      <c r="O1193" s="116">
        <v>15.1</v>
      </c>
      <c r="P1193" s="116">
        <v>15.375</v>
      </c>
      <c r="Q1193" s="116">
        <v>32.049999999999997</v>
      </c>
      <c r="R1193">
        <v>29254</v>
      </c>
    </row>
    <row r="1194" spans="1:18" x14ac:dyDescent="0.25">
      <c r="A1194" s="166">
        <v>43767</v>
      </c>
      <c r="B1194" s="116">
        <v>16.375</v>
      </c>
      <c r="C1194" s="116">
        <v>15.775</v>
      </c>
      <c r="D1194" s="116">
        <v>15.574999999999999</v>
      </c>
      <c r="E1194" s="116">
        <v>15.8</v>
      </c>
      <c r="F1194" s="116">
        <v>31.55</v>
      </c>
      <c r="G1194">
        <v>4362</v>
      </c>
      <c r="H1194" s="116"/>
      <c r="I1194" s="116"/>
      <c r="L1194" s="166">
        <v>43767</v>
      </c>
      <c r="M1194" s="116">
        <v>15.875</v>
      </c>
      <c r="N1194" s="116">
        <v>16.7</v>
      </c>
      <c r="O1194" s="116">
        <v>15.5</v>
      </c>
      <c r="P1194" s="116">
        <v>16.125</v>
      </c>
      <c r="Q1194" s="116">
        <v>31.75</v>
      </c>
      <c r="R1194">
        <v>37863</v>
      </c>
    </row>
    <row r="1195" spans="1:18" x14ac:dyDescent="0.25">
      <c r="A1195" s="166">
        <v>43768</v>
      </c>
      <c r="B1195" s="116">
        <v>16.649999999999999</v>
      </c>
      <c r="C1195" s="116">
        <v>16.2</v>
      </c>
      <c r="D1195" s="116">
        <v>16</v>
      </c>
      <c r="E1195" s="116">
        <v>16.149999999999999</v>
      </c>
      <c r="F1195" s="116">
        <v>32.4</v>
      </c>
      <c r="G1195">
        <v>4429</v>
      </c>
      <c r="H1195" s="116"/>
      <c r="I1195" s="116"/>
      <c r="L1195" s="166">
        <v>43768</v>
      </c>
      <c r="M1195" s="116">
        <v>16.175000000000001</v>
      </c>
      <c r="N1195" s="116">
        <v>16.75</v>
      </c>
      <c r="O1195" s="116">
        <v>15.875</v>
      </c>
      <c r="P1195" s="116">
        <v>16.175000000000001</v>
      </c>
      <c r="Q1195" s="116">
        <v>32.35</v>
      </c>
      <c r="R1195">
        <v>52785</v>
      </c>
    </row>
    <row r="1196" spans="1:18" x14ac:dyDescent="0.25">
      <c r="A1196" s="166">
        <v>43769</v>
      </c>
      <c r="B1196" s="116">
        <v>17.149999999999999</v>
      </c>
      <c r="C1196" s="116">
        <v>16.8</v>
      </c>
      <c r="D1196" s="116">
        <v>16.274999999999999</v>
      </c>
      <c r="E1196" s="116">
        <v>16.375</v>
      </c>
      <c r="F1196" s="116">
        <v>33.6</v>
      </c>
      <c r="G1196">
        <v>9264</v>
      </c>
      <c r="H1196" s="116"/>
      <c r="I1196" s="116"/>
      <c r="L1196" s="166">
        <v>43769</v>
      </c>
      <c r="M1196" s="116">
        <v>16.875</v>
      </c>
      <c r="N1196" s="116">
        <v>17.175000000000001</v>
      </c>
      <c r="O1196" s="116">
        <v>16.05</v>
      </c>
      <c r="P1196" s="116">
        <v>16.2</v>
      </c>
      <c r="Q1196" s="116">
        <v>33.75</v>
      </c>
      <c r="R1196">
        <v>71126</v>
      </c>
    </row>
    <row r="1197" spans="1:18" x14ac:dyDescent="0.25">
      <c r="A1197" s="166">
        <v>43770</v>
      </c>
      <c r="B1197" s="116">
        <v>18.774999999999999</v>
      </c>
      <c r="C1197" s="116">
        <v>18.55</v>
      </c>
      <c r="D1197" s="116">
        <v>16.95</v>
      </c>
      <c r="E1197" s="116">
        <v>16.95</v>
      </c>
      <c r="F1197" s="116">
        <v>37.1</v>
      </c>
      <c r="G1197">
        <v>28039</v>
      </c>
      <c r="H1197" s="116"/>
      <c r="I1197" s="116"/>
      <c r="L1197" s="166">
        <v>43770</v>
      </c>
      <c r="M1197" s="116">
        <v>18.55</v>
      </c>
      <c r="N1197" s="116">
        <v>18.75</v>
      </c>
      <c r="O1197" s="116">
        <v>17</v>
      </c>
      <c r="P1197" s="116">
        <v>17.25</v>
      </c>
      <c r="Q1197" s="116">
        <v>37.1</v>
      </c>
      <c r="R1197">
        <v>160948</v>
      </c>
    </row>
    <row r="1198" spans="1:18" x14ac:dyDescent="0.25">
      <c r="A1198" s="166">
        <v>43773</v>
      </c>
      <c r="B1198" s="116">
        <v>19.75</v>
      </c>
      <c r="C1198" s="116">
        <v>19.55</v>
      </c>
      <c r="D1198" s="116">
        <v>18.25</v>
      </c>
      <c r="E1198" s="116">
        <v>18.55</v>
      </c>
      <c r="F1198" s="116">
        <v>39.1</v>
      </c>
      <c r="G1198">
        <v>34364</v>
      </c>
      <c r="H1198" s="116"/>
      <c r="I1198" s="116"/>
      <c r="L1198" s="166">
        <v>43773</v>
      </c>
      <c r="M1198" s="116">
        <v>19.625</v>
      </c>
      <c r="N1198" s="116">
        <v>19.8</v>
      </c>
      <c r="O1198" s="116">
        <v>18.2</v>
      </c>
      <c r="P1198" s="116">
        <v>18.7</v>
      </c>
      <c r="Q1198" s="116">
        <v>39.25</v>
      </c>
      <c r="R1198">
        <v>144248</v>
      </c>
    </row>
    <row r="1199" spans="1:18" x14ac:dyDescent="0.25">
      <c r="A1199" s="166">
        <v>43774</v>
      </c>
      <c r="B1199" s="116">
        <v>20.125</v>
      </c>
      <c r="C1199" s="116">
        <v>18.675000000000001</v>
      </c>
      <c r="D1199" s="116">
        <v>18.55</v>
      </c>
      <c r="E1199" s="116">
        <v>19.600000000000001</v>
      </c>
      <c r="F1199" s="116">
        <v>37.35</v>
      </c>
      <c r="G1199">
        <v>27117</v>
      </c>
      <c r="H1199" s="116"/>
      <c r="I1199" s="116"/>
      <c r="L1199" s="166">
        <v>43774</v>
      </c>
      <c r="M1199" s="116">
        <v>18.7</v>
      </c>
      <c r="N1199" s="116">
        <v>20.05</v>
      </c>
      <c r="O1199" s="116">
        <v>18.25</v>
      </c>
      <c r="P1199" s="116">
        <v>19.625</v>
      </c>
      <c r="Q1199" s="116">
        <v>37.4</v>
      </c>
      <c r="R1199">
        <v>116734</v>
      </c>
    </row>
    <row r="1200" spans="1:18" x14ac:dyDescent="0.25">
      <c r="A1200" s="166">
        <v>43775</v>
      </c>
      <c r="B1200" s="116">
        <v>19.55</v>
      </c>
      <c r="C1200" s="116">
        <v>19.100000000000001</v>
      </c>
      <c r="D1200" s="116">
        <v>18.5</v>
      </c>
      <c r="E1200" s="116">
        <v>18.5</v>
      </c>
      <c r="F1200" s="116">
        <v>38.200000000000003</v>
      </c>
      <c r="G1200">
        <v>14884</v>
      </c>
      <c r="H1200" s="116"/>
      <c r="I1200" s="116"/>
      <c r="L1200" s="166">
        <v>43775</v>
      </c>
      <c r="M1200" s="116">
        <v>19.125</v>
      </c>
      <c r="N1200" s="116">
        <v>19.5</v>
      </c>
      <c r="O1200" s="116">
        <v>18.100000000000001</v>
      </c>
      <c r="P1200" s="116">
        <v>18.100000000000001</v>
      </c>
      <c r="Q1200" s="116">
        <v>38.25</v>
      </c>
      <c r="R1200">
        <v>53196</v>
      </c>
    </row>
    <row r="1201" spans="1:18" x14ac:dyDescent="0.25">
      <c r="A1201" s="166">
        <v>43776</v>
      </c>
      <c r="B1201" s="116">
        <v>19.899999999999999</v>
      </c>
      <c r="C1201" s="116">
        <v>19.225000000000001</v>
      </c>
      <c r="D1201" s="116">
        <v>18.574999999999999</v>
      </c>
      <c r="E1201" s="116">
        <v>19</v>
      </c>
      <c r="F1201" s="116">
        <v>38.450000000000003</v>
      </c>
      <c r="G1201">
        <v>6472</v>
      </c>
      <c r="H1201" s="116"/>
      <c r="I1201" s="116"/>
      <c r="L1201" s="166">
        <v>43776</v>
      </c>
      <c r="M1201" s="116">
        <v>19.225000000000001</v>
      </c>
      <c r="N1201" s="116">
        <v>19.875</v>
      </c>
      <c r="O1201" s="116">
        <v>18.574999999999999</v>
      </c>
      <c r="P1201" s="116">
        <v>19.399999999999999</v>
      </c>
      <c r="Q1201" s="116">
        <v>38.450000000000003</v>
      </c>
      <c r="R1201">
        <v>41958</v>
      </c>
    </row>
    <row r="1202" spans="1:18" x14ac:dyDescent="0.25">
      <c r="A1202" s="166">
        <v>43777</v>
      </c>
      <c r="B1202" s="116">
        <v>19.475000000000001</v>
      </c>
      <c r="C1202" s="116">
        <v>18.675000000000001</v>
      </c>
      <c r="D1202" s="116">
        <v>18.5</v>
      </c>
      <c r="E1202" s="116">
        <v>18.95</v>
      </c>
      <c r="F1202" s="116">
        <v>37.35</v>
      </c>
      <c r="G1202">
        <v>1976</v>
      </c>
      <c r="H1202" s="116"/>
      <c r="I1202" s="116"/>
      <c r="L1202" s="166">
        <v>43777</v>
      </c>
      <c r="M1202" s="116">
        <v>18.375</v>
      </c>
      <c r="N1202" s="116">
        <v>19.725000000000001</v>
      </c>
      <c r="O1202" s="116">
        <v>18.25</v>
      </c>
      <c r="P1202" s="116">
        <v>19.074999999999999</v>
      </c>
      <c r="Q1202" s="116">
        <v>36.75</v>
      </c>
      <c r="R1202">
        <v>44413</v>
      </c>
    </row>
    <row r="1203" spans="1:18" x14ac:dyDescent="0.25">
      <c r="A1203" s="166">
        <v>43780</v>
      </c>
      <c r="B1203" s="116">
        <v>18.600000000000001</v>
      </c>
      <c r="C1203" s="116">
        <v>17.774999999999999</v>
      </c>
      <c r="D1203" s="116">
        <v>17.625</v>
      </c>
      <c r="E1203" s="116">
        <v>18.324999999999999</v>
      </c>
      <c r="F1203" s="116">
        <v>35.549999999999997</v>
      </c>
      <c r="G1203">
        <v>6394</v>
      </c>
      <c r="H1203" s="116"/>
      <c r="I1203" s="116"/>
      <c r="L1203" s="166">
        <v>43780</v>
      </c>
      <c r="M1203" s="116">
        <v>17.675000000000001</v>
      </c>
      <c r="N1203" s="116">
        <v>18.725000000000001</v>
      </c>
      <c r="O1203" s="116">
        <v>17.600000000000001</v>
      </c>
      <c r="P1203" s="116">
        <v>18.125</v>
      </c>
      <c r="Q1203" s="116">
        <v>35.35</v>
      </c>
      <c r="R1203">
        <v>62585</v>
      </c>
    </row>
    <row r="1204" spans="1:18" x14ac:dyDescent="0.25">
      <c r="A1204" s="166">
        <v>43782</v>
      </c>
      <c r="B1204" s="116">
        <v>18.8</v>
      </c>
      <c r="C1204" s="116">
        <v>17.899999999999999</v>
      </c>
      <c r="D1204" s="116">
        <v>17.75</v>
      </c>
      <c r="E1204" s="116">
        <v>18.05</v>
      </c>
      <c r="F1204" s="116">
        <v>35.799999999999997</v>
      </c>
      <c r="G1204">
        <v>10083</v>
      </c>
      <c r="H1204" s="116"/>
      <c r="I1204" s="116"/>
      <c r="L1204" s="166">
        <v>43782</v>
      </c>
      <c r="M1204" s="116">
        <v>17.850000000000001</v>
      </c>
      <c r="N1204" s="116">
        <v>18.75</v>
      </c>
      <c r="O1204" s="116">
        <v>17.5</v>
      </c>
      <c r="P1204" s="116">
        <v>17.899999999999999</v>
      </c>
      <c r="Q1204" s="116">
        <v>35.700000000000003</v>
      </c>
      <c r="R1204">
        <v>52834</v>
      </c>
    </row>
    <row r="1205" spans="1:18" x14ac:dyDescent="0.25">
      <c r="A1205" s="166">
        <v>43783</v>
      </c>
      <c r="B1205" s="116">
        <v>18</v>
      </c>
      <c r="C1205" s="116">
        <v>17.55</v>
      </c>
      <c r="D1205" s="116">
        <v>17.55</v>
      </c>
      <c r="E1205" s="116">
        <v>18</v>
      </c>
      <c r="F1205" s="116">
        <v>35.1</v>
      </c>
      <c r="G1205">
        <v>3003</v>
      </c>
      <c r="H1205" s="116"/>
      <c r="I1205" s="116"/>
      <c r="L1205" s="166">
        <v>43783</v>
      </c>
      <c r="M1205" s="116">
        <v>17.524999999999999</v>
      </c>
      <c r="N1205" s="116">
        <v>18.074999999999999</v>
      </c>
      <c r="O1205" s="116">
        <v>17.475000000000001</v>
      </c>
      <c r="P1205" s="116">
        <v>18.074999999999999</v>
      </c>
      <c r="Q1205" s="116">
        <v>35.049999999999997</v>
      </c>
      <c r="R1205">
        <v>28434</v>
      </c>
    </row>
    <row r="1206" spans="1:18" x14ac:dyDescent="0.25">
      <c r="A1206" s="166">
        <v>43784</v>
      </c>
      <c r="B1206" s="116">
        <v>17.675000000000001</v>
      </c>
      <c r="C1206" s="116">
        <v>17.350000000000001</v>
      </c>
      <c r="D1206" s="116">
        <v>17.2</v>
      </c>
      <c r="E1206" s="116">
        <v>17.5</v>
      </c>
      <c r="F1206" s="116">
        <v>34.700000000000003</v>
      </c>
      <c r="G1206">
        <v>3313</v>
      </c>
      <c r="H1206" s="116"/>
      <c r="I1206" s="116"/>
      <c r="L1206" s="166">
        <v>43784</v>
      </c>
      <c r="M1206" s="116">
        <v>17.375</v>
      </c>
      <c r="N1206" s="116">
        <v>17.95</v>
      </c>
      <c r="O1206" s="116">
        <v>17.149999999999999</v>
      </c>
      <c r="P1206" s="116">
        <v>17.5</v>
      </c>
      <c r="Q1206" s="116">
        <v>34.75</v>
      </c>
      <c r="R1206">
        <v>31270</v>
      </c>
    </row>
    <row r="1207" spans="1:18" x14ac:dyDescent="0.25">
      <c r="A1207" s="166">
        <v>43787</v>
      </c>
      <c r="B1207" s="116">
        <v>17.45</v>
      </c>
      <c r="C1207" s="116">
        <v>17.225000000000001</v>
      </c>
      <c r="D1207" s="116">
        <v>17</v>
      </c>
      <c r="E1207" s="116">
        <v>17.2</v>
      </c>
      <c r="F1207" s="116">
        <v>34.450000000000003</v>
      </c>
      <c r="G1207">
        <v>1444</v>
      </c>
      <c r="H1207" s="116"/>
      <c r="I1207" s="116"/>
      <c r="L1207" s="166">
        <v>43787</v>
      </c>
      <c r="M1207" s="116">
        <v>17.125</v>
      </c>
      <c r="N1207" s="116">
        <v>17.55</v>
      </c>
      <c r="O1207" s="116">
        <v>17</v>
      </c>
      <c r="P1207" s="116">
        <v>17.125</v>
      </c>
      <c r="Q1207" s="116">
        <v>34.25</v>
      </c>
      <c r="R1207">
        <v>33069</v>
      </c>
    </row>
    <row r="1208" spans="1:18" x14ac:dyDescent="0.25">
      <c r="A1208" s="166">
        <v>43788</v>
      </c>
      <c r="B1208" s="116">
        <v>17.2</v>
      </c>
      <c r="C1208" s="116">
        <v>16.75</v>
      </c>
      <c r="D1208" s="116">
        <v>16.7</v>
      </c>
      <c r="E1208" s="116">
        <v>17.2</v>
      </c>
      <c r="F1208" s="116">
        <v>33.5</v>
      </c>
      <c r="G1208">
        <v>6662</v>
      </c>
      <c r="H1208" s="116"/>
      <c r="I1208" s="116"/>
      <c r="L1208" s="166">
        <v>43788</v>
      </c>
      <c r="M1208" s="116">
        <v>16.7</v>
      </c>
      <c r="N1208" s="116">
        <v>17.5</v>
      </c>
      <c r="O1208" s="116">
        <v>16.574999999999999</v>
      </c>
      <c r="P1208" s="116">
        <v>17.2</v>
      </c>
      <c r="Q1208" s="116">
        <v>33.4</v>
      </c>
      <c r="R1208">
        <v>33626</v>
      </c>
    </row>
    <row r="1209" spans="1:18" x14ac:dyDescent="0.25">
      <c r="A1209" s="166">
        <v>43789</v>
      </c>
      <c r="B1209" s="116">
        <v>17.324999999999999</v>
      </c>
      <c r="C1209" s="116">
        <v>16.649999999999999</v>
      </c>
      <c r="D1209" s="116">
        <v>16.600000000000001</v>
      </c>
      <c r="E1209" s="116">
        <v>16.95</v>
      </c>
      <c r="F1209" s="116">
        <v>33.299999999999997</v>
      </c>
      <c r="G1209">
        <v>5303</v>
      </c>
      <c r="H1209" s="116"/>
      <c r="I1209" s="116"/>
      <c r="L1209" s="166">
        <v>43789</v>
      </c>
      <c r="M1209" s="116">
        <v>16.725000000000001</v>
      </c>
      <c r="N1209" s="116">
        <v>17.399999999999999</v>
      </c>
      <c r="O1209" s="116">
        <v>16.600000000000001</v>
      </c>
      <c r="P1209" s="116">
        <v>16.8</v>
      </c>
      <c r="Q1209" s="116">
        <v>33.450000000000003</v>
      </c>
      <c r="R1209">
        <v>55923</v>
      </c>
    </row>
    <row r="1210" spans="1:18" x14ac:dyDescent="0.25">
      <c r="A1210" s="166">
        <v>43790</v>
      </c>
      <c r="B1210" s="116">
        <v>16.95</v>
      </c>
      <c r="C1210" s="116">
        <v>16.55</v>
      </c>
      <c r="D1210" s="116">
        <v>16.5</v>
      </c>
      <c r="E1210" s="116">
        <v>16.524999999999999</v>
      </c>
      <c r="F1210" s="116">
        <v>33.1</v>
      </c>
      <c r="G1210">
        <v>7315</v>
      </c>
      <c r="H1210" s="116"/>
      <c r="I1210" s="116"/>
      <c r="L1210" s="166">
        <v>43790</v>
      </c>
      <c r="M1210" s="116">
        <v>16.574999999999999</v>
      </c>
      <c r="N1210" s="116">
        <v>17</v>
      </c>
      <c r="O1210" s="116">
        <v>16.399999999999999</v>
      </c>
      <c r="P1210" s="116">
        <v>16.725000000000001</v>
      </c>
      <c r="Q1210" s="116">
        <v>33.15</v>
      </c>
      <c r="R1210">
        <v>22016</v>
      </c>
    </row>
    <row r="1211" spans="1:18" x14ac:dyDescent="0.25">
      <c r="A1211" s="166">
        <v>43791</v>
      </c>
      <c r="B1211" s="116">
        <v>16.649999999999999</v>
      </c>
      <c r="C1211" s="116">
        <v>16.45</v>
      </c>
      <c r="D1211" s="116">
        <v>16.350000000000001</v>
      </c>
      <c r="E1211" s="116">
        <v>16.625</v>
      </c>
      <c r="F1211" s="116">
        <v>32.9</v>
      </c>
      <c r="G1211">
        <v>1192</v>
      </c>
      <c r="H1211" s="116"/>
      <c r="I1211" s="116"/>
      <c r="L1211" s="166">
        <v>43791</v>
      </c>
      <c r="M1211" s="116">
        <v>16.399999999999999</v>
      </c>
      <c r="N1211" s="116">
        <v>16.774999999999999</v>
      </c>
      <c r="O1211" s="116">
        <v>16.274999999999999</v>
      </c>
      <c r="P1211" s="116">
        <v>16.5</v>
      </c>
      <c r="Q1211" s="116">
        <v>32.799999999999997</v>
      </c>
      <c r="R1211">
        <v>25496</v>
      </c>
    </row>
    <row r="1212" spans="1:18" x14ac:dyDescent="0.25">
      <c r="A1212" s="166">
        <v>43794</v>
      </c>
      <c r="B1212" s="116">
        <v>16.850000000000001</v>
      </c>
      <c r="C1212" s="116">
        <v>16.55</v>
      </c>
      <c r="D1212" s="116">
        <v>16.5</v>
      </c>
      <c r="E1212" s="116">
        <v>16.75</v>
      </c>
      <c r="F1212" s="116">
        <v>33.1</v>
      </c>
      <c r="G1212">
        <v>4995</v>
      </c>
      <c r="H1212" s="116"/>
      <c r="I1212" s="116"/>
      <c r="L1212" s="166">
        <v>43794</v>
      </c>
      <c r="M1212" s="116">
        <v>16.5</v>
      </c>
      <c r="N1212" s="116">
        <v>16.850000000000001</v>
      </c>
      <c r="O1212" s="116">
        <v>16.175000000000001</v>
      </c>
      <c r="P1212" s="116">
        <v>16.25</v>
      </c>
      <c r="Q1212" s="116">
        <v>33</v>
      </c>
      <c r="R1212">
        <v>26292</v>
      </c>
    </row>
    <row r="1213" spans="1:18" x14ac:dyDescent="0.25">
      <c r="A1213" s="166">
        <v>43795</v>
      </c>
      <c r="B1213" s="116">
        <v>17.225000000000001</v>
      </c>
      <c r="C1213" s="116">
        <v>16.55</v>
      </c>
      <c r="D1213" s="116">
        <v>16.55</v>
      </c>
      <c r="E1213" s="116">
        <v>16.75</v>
      </c>
      <c r="F1213" s="116">
        <v>33.1</v>
      </c>
      <c r="G1213">
        <v>2500</v>
      </c>
      <c r="H1213" s="116"/>
      <c r="I1213" s="116"/>
      <c r="L1213" s="166">
        <v>43795</v>
      </c>
      <c r="M1213" s="116">
        <v>16.55</v>
      </c>
      <c r="N1213" s="116">
        <v>17.175000000000001</v>
      </c>
      <c r="O1213" s="116">
        <v>16.425000000000001</v>
      </c>
      <c r="P1213" s="116">
        <v>16.925000000000001</v>
      </c>
      <c r="Q1213" s="116">
        <v>33.1</v>
      </c>
      <c r="R1213">
        <v>64553</v>
      </c>
    </row>
    <row r="1214" spans="1:18" x14ac:dyDescent="0.25">
      <c r="A1214" s="166">
        <v>43796</v>
      </c>
      <c r="B1214" s="116">
        <v>16.95</v>
      </c>
      <c r="C1214" s="116">
        <v>16.75</v>
      </c>
      <c r="D1214" s="116">
        <v>16.649999999999999</v>
      </c>
      <c r="E1214" s="116">
        <v>16.95</v>
      </c>
      <c r="F1214" s="116">
        <v>33.5</v>
      </c>
      <c r="G1214">
        <v>2629</v>
      </c>
      <c r="H1214" s="116"/>
      <c r="I1214" s="116"/>
      <c r="L1214" s="166">
        <v>43796</v>
      </c>
      <c r="M1214" s="116">
        <v>16.75</v>
      </c>
      <c r="N1214" s="116">
        <v>17.024999999999999</v>
      </c>
      <c r="O1214" s="116">
        <v>16.600000000000001</v>
      </c>
      <c r="P1214" s="116">
        <v>16.875</v>
      </c>
      <c r="Q1214" s="116">
        <v>33.5</v>
      </c>
      <c r="R1214">
        <v>32429</v>
      </c>
    </row>
    <row r="1215" spans="1:18" x14ac:dyDescent="0.25">
      <c r="A1215" s="166">
        <v>43797</v>
      </c>
      <c r="B1215" s="116">
        <v>16.55</v>
      </c>
      <c r="C1215" s="116">
        <v>16.25</v>
      </c>
      <c r="D1215" s="116">
        <v>16.149999999999999</v>
      </c>
      <c r="E1215" s="116">
        <v>16.524999999999999</v>
      </c>
      <c r="F1215" s="116">
        <v>32.5</v>
      </c>
      <c r="G1215">
        <v>3535</v>
      </c>
      <c r="H1215" s="116"/>
      <c r="I1215" s="116"/>
      <c r="L1215" s="166">
        <v>43797</v>
      </c>
      <c r="M1215" s="116">
        <v>16.225000000000001</v>
      </c>
      <c r="N1215" s="116">
        <v>16.75</v>
      </c>
      <c r="O1215" s="116">
        <v>16.100000000000001</v>
      </c>
      <c r="P1215" s="116">
        <v>16.5</v>
      </c>
      <c r="Q1215" s="116">
        <v>32.450000000000003</v>
      </c>
      <c r="R1215">
        <v>70209</v>
      </c>
    </row>
    <row r="1216" spans="1:18" x14ac:dyDescent="0.25">
      <c r="A1216" s="166">
        <v>43798</v>
      </c>
      <c r="B1216" s="116">
        <v>17.45</v>
      </c>
      <c r="C1216" s="116">
        <v>17.175000000000001</v>
      </c>
      <c r="D1216" s="116">
        <v>16.024999999999999</v>
      </c>
      <c r="E1216" s="116">
        <v>16.100000000000001</v>
      </c>
      <c r="F1216" s="116">
        <v>34.35</v>
      </c>
      <c r="G1216">
        <v>13170</v>
      </c>
      <c r="H1216" s="116"/>
      <c r="I1216" s="116"/>
      <c r="L1216" s="166">
        <v>43798</v>
      </c>
      <c r="M1216" s="116">
        <v>17.2</v>
      </c>
      <c r="N1216" s="116">
        <v>17.5</v>
      </c>
      <c r="O1216" s="116">
        <v>16</v>
      </c>
      <c r="P1216" s="116">
        <v>16.175000000000001</v>
      </c>
      <c r="Q1216" s="116">
        <v>34.4</v>
      </c>
      <c r="R1216">
        <v>204900</v>
      </c>
    </row>
    <row r="1217" spans="1:18" x14ac:dyDescent="0.25">
      <c r="A1217" s="166">
        <v>43801</v>
      </c>
      <c r="B1217" s="116">
        <v>17.824999999999999</v>
      </c>
      <c r="C1217" s="116">
        <v>17.024999999999999</v>
      </c>
      <c r="D1217" s="116">
        <v>16.675000000000001</v>
      </c>
      <c r="E1217" s="116">
        <v>17.45</v>
      </c>
      <c r="F1217" s="116">
        <v>34.049999999999997</v>
      </c>
      <c r="G1217">
        <v>13103</v>
      </c>
      <c r="H1217" s="116"/>
      <c r="I1217" s="116"/>
      <c r="L1217" s="166">
        <v>43801</v>
      </c>
      <c r="M1217" s="116">
        <v>17.100000000000001</v>
      </c>
      <c r="N1217" s="116">
        <v>17.925000000000001</v>
      </c>
      <c r="O1217" s="116">
        <v>17</v>
      </c>
      <c r="P1217" s="116">
        <v>17.399999999999999</v>
      </c>
      <c r="Q1217" s="116">
        <v>34.200000000000003</v>
      </c>
      <c r="R1217">
        <v>167192</v>
      </c>
    </row>
    <row r="1218" spans="1:18" x14ac:dyDescent="0.25">
      <c r="A1218" s="166">
        <v>43802</v>
      </c>
      <c r="B1218" s="116">
        <v>16.824999999999999</v>
      </c>
      <c r="C1218" s="116">
        <v>16.350000000000001</v>
      </c>
      <c r="D1218" s="116">
        <v>16.274999999999999</v>
      </c>
      <c r="E1218" s="116">
        <v>16.824999999999999</v>
      </c>
      <c r="F1218" s="116">
        <v>32.700000000000003</v>
      </c>
      <c r="G1218">
        <v>7906</v>
      </c>
      <c r="H1218" s="116"/>
      <c r="I1218" s="116"/>
      <c r="L1218" s="166">
        <v>43802</v>
      </c>
      <c r="M1218" s="116">
        <v>16.375</v>
      </c>
      <c r="N1218" s="116">
        <v>17.225000000000001</v>
      </c>
      <c r="O1218" s="116">
        <v>16.274999999999999</v>
      </c>
      <c r="P1218" s="116">
        <v>17.175000000000001</v>
      </c>
      <c r="Q1218" s="116">
        <v>32.75</v>
      </c>
      <c r="R1218">
        <v>50914</v>
      </c>
    </row>
    <row r="1219" spans="1:18" x14ac:dyDescent="0.25">
      <c r="A1219" s="166">
        <v>43803</v>
      </c>
      <c r="B1219" s="116">
        <v>16.675000000000001</v>
      </c>
      <c r="C1219" s="116">
        <v>16.55</v>
      </c>
      <c r="D1219" s="116">
        <v>16.3</v>
      </c>
      <c r="E1219" s="116">
        <v>16.600000000000001</v>
      </c>
      <c r="F1219" s="116">
        <v>33.1</v>
      </c>
      <c r="G1219">
        <v>1605</v>
      </c>
      <c r="H1219" s="116"/>
      <c r="I1219" s="116"/>
      <c r="L1219" s="166">
        <v>43803</v>
      </c>
      <c r="M1219" s="116">
        <v>16.375</v>
      </c>
      <c r="N1219" s="116">
        <v>16.7</v>
      </c>
      <c r="O1219" s="116">
        <v>16.25</v>
      </c>
      <c r="P1219" s="116">
        <v>16.274999999999999</v>
      </c>
      <c r="Q1219" s="116">
        <v>32.75</v>
      </c>
      <c r="R1219">
        <v>39399</v>
      </c>
    </row>
    <row r="1220" spans="1:18" x14ac:dyDescent="0.25">
      <c r="A1220" s="166">
        <v>43804</v>
      </c>
      <c r="B1220" s="116">
        <v>16.625</v>
      </c>
      <c r="C1220" s="116">
        <v>16.375</v>
      </c>
      <c r="D1220" s="116">
        <v>16.3</v>
      </c>
      <c r="E1220" s="116">
        <v>16.5</v>
      </c>
      <c r="F1220" s="116">
        <v>32.75</v>
      </c>
      <c r="G1220">
        <v>1316</v>
      </c>
      <c r="H1220" s="116"/>
      <c r="I1220" s="116"/>
      <c r="L1220" s="166">
        <v>43804</v>
      </c>
      <c r="M1220" s="116">
        <v>16.375</v>
      </c>
      <c r="N1220" s="116">
        <v>16.75</v>
      </c>
      <c r="O1220" s="116">
        <v>16.274999999999999</v>
      </c>
      <c r="P1220" s="116">
        <v>16.600000000000001</v>
      </c>
      <c r="Q1220" s="116">
        <v>32.75</v>
      </c>
      <c r="R1220">
        <v>26753</v>
      </c>
    </row>
    <row r="1221" spans="1:18" x14ac:dyDescent="0.25">
      <c r="A1221" s="166">
        <v>43805</v>
      </c>
      <c r="B1221" s="116">
        <v>16.725000000000001</v>
      </c>
      <c r="C1221" s="116">
        <v>15.824999999999999</v>
      </c>
      <c r="D1221" s="116">
        <v>15.75</v>
      </c>
      <c r="E1221" s="116">
        <v>16.725000000000001</v>
      </c>
      <c r="F1221" s="116">
        <v>31.65</v>
      </c>
      <c r="G1221">
        <v>2516</v>
      </c>
      <c r="H1221" s="116"/>
      <c r="I1221" s="116"/>
      <c r="L1221" s="166">
        <v>43805</v>
      </c>
      <c r="M1221" s="116">
        <v>15.824999999999999</v>
      </c>
      <c r="N1221" s="116">
        <v>16.600000000000001</v>
      </c>
      <c r="O1221" s="116">
        <v>15.775</v>
      </c>
      <c r="P1221" s="116">
        <v>16.524999999999999</v>
      </c>
      <c r="Q1221" s="116">
        <v>31.65</v>
      </c>
      <c r="R1221">
        <v>48587</v>
      </c>
    </row>
    <row r="1222" spans="1:18" x14ac:dyDescent="0.25">
      <c r="A1222" s="166">
        <v>43808</v>
      </c>
      <c r="B1222" s="116">
        <v>15.824999999999999</v>
      </c>
      <c r="C1222" s="116">
        <v>15.5</v>
      </c>
      <c r="D1222" s="116">
        <v>15.4</v>
      </c>
      <c r="E1222" s="116">
        <v>15.8</v>
      </c>
      <c r="F1222" s="116">
        <v>31</v>
      </c>
      <c r="G1222">
        <v>1477</v>
      </c>
      <c r="H1222" s="116"/>
      <c r="I1222" s="116"/>
      <c r="L1222" s="166">
        <v>43808</v>
      </c>
      <c r="M1222" s="116">
        <v>15.475</v>
      </c>
      <c r="N1222" s="116">
        <v>16.3</v>
      </c>
      <c r="O1222" s="116">
        <v>15.324999999999999</v>
      </c>
      <c r="P1222" s="116">
        <v>15.6</v>
      </c>
      <c r="Q1222" s="116">
        <v>30.95</v>
      </c>
      <c r="R1222">
        <v>30466</v>
      </c>
    </row>
    <row r="1223" spans="1:18" x14ac:dyDescent="0.25">
      <c r="A1223" s="166">
        <v>43809</v>
      </c>
      <c r="B1223" s="116">
        <v>15.375</v>
      </c>
      <c r="C1223" s="116">
        <v>15.1</v>
      </c>
      <c r="D1223" s="116">
        <v>15.025</v>
      </c>
      <c r="E1223" s="116">
        <v>15.3</v>
      </c>
      <c r="F1223" s="116">
        <v>30.2</v>
      </c>
      <c r="G1223">
        <v>3016</v>
      </c>
      <c r="H1223" s="116"/>
      <c r="I1223" s="116"/>
      <c r="L1223" s="166">
        <v>43809</v>
      </c>
      <c r="M1223" s="116">
        <v>15.05</v>
      </c>
      <c r="N1223" s="116">
        <v>15.5</v>
      </c>
      <c r="O1223" s="116">
        <v>15</v>
      </c>
      <c r="P1223" s="116">
        <v>15.5</v>
      </c>
      <c r="Q1223" s="116">
        <v>30.1</v>
      </c>
      <c r="R1223">
        <v>29156</v>
      </c>
    </row>
    <row r="1224" spans="1:18" x14ac:dyDescent="0.25">
      <c r="A1224" s="166">
        <v>43810</v>
      </c>
      <c r="B1224" s="116">
        <v>15.375</v>
      </c>
      <c r="C1224" s="116">
        <v>14.525</v>
      </c>
      <c r="D1224" s="116">
        <v>14.45</v>
      </c>
      <c r="E1224" s="116">
        <v>15.2</v>
      </c>
      <c r="F1224" s="116">
        <v>29.05</v>
      </c>
      <c r="G1224">
        <v>6880</v>
      </c>
      <c r="H1224" s="116"/>
      <c r="I1224" s="116"/>
      <c r="L1224" s="166">
        <v>43810</v>
      </c>
      <c r="M1224" s="116">
        <v>14.6</v>
      </c>
      <c r="N1224" s="116">
        <v>15.475</v>
      </c>
      <c r="O1224" s="116">
        <v>14.5</v>
      </c>
      <c r="P1224" s="116">
        <v>15.475</v>
      </c>
      <c r="Q1224" s="116">
        <v>29.2</v>
      </c>
      <c r="R1224">
        <v>32362</v>
      </c>
    </row>
    <row r="1225" spans="1:18" x14ac:dyDescent="0.25">
      <c r="A1225" s="166">
        <v>43811</v>
      </c>
      <c r="B1225" s="116">
        <v>14.925000000000001</v>
      </c>
      <c r="C1225" s="116">
        <v>14.75</v>
      </c>
      <c r="D1225" s="116">
        <v>14.45</v>
      </c>
      <c r="E1225" s="116">
        <v>14.725</v>
      </c>
      <c r="F1225" s="116">
        <v>29.5</v>
      </c>
      <c r="G1225">
        <v>6826</v>
      </c>
      <c r="H1225" s="116"/>
      <c r="I1225" s="116"/>
      <c r="L1225" s="166">
        <v>43811</v>
      </c>
      <c r="M1225" s="116">
        <v>14.775</v>
      </c>
      <c r="N1225" s="116">
        <v>14.975</v>
      </c>
      <c r="O1225" s="116">
        <v>14.324999999999999</v>
      </c>
      <c r="P1225" s="116">
        <v>14.525</v>
      </c>
      <c r="Q1225" s="116">
        <v>29.55</v>
      </c>
      <c r="R1225">
        <v>54418</v>
      </c>
    </row>
    <row r="1226" spans="1:18" x14ac:dyDescent="0.25">
      <c r="A1226" s="166">
        <v>43812</v>
      </c>
      <c r="B1226" s="116">
        <v>15.45</v>
      </c>
      <c r="C1226" s="116">
        <v>15.324999999999999</v>
      </c>
      <c r="D1226" s="116">
        <v>14.75</v>
      </c>
      <c r="E1226" s="116">
        <v>14.75</v>
      </c>
      <c r="F1226" s="116">
        <v>30.65</v>
      </c>
      <c r="G1226">
        <v>7255</v>
      </c>
      <c r="H1226" s="116"/>
      <c r="I1226" s="116"/>
      <c r="L1226" s="166">
        <v>43812</v>
      </c>
      <c r="M1226" s="116">
        <v>15.35</v>
      </c>
      <c r="N1226" s="116">
        <v>15.475</v>
      </c>
      <c r="O1226" s="116">
        <v>14.5</v>
      </c>
      <c r="P1226" s="116">
        <v>14.775</v>
      </c>
      <c r="Q1226" s="116">
        <v>30.7</v>
      </c>
      <c r="R1226">
        <v>56020</v>
      </c>
    </row>
    <row r="1227" spans="1:18" x14ac:dyDescent="0.25">
      <c r="A1227" s="166">
        <v>43815</v>
      </c>
      <c r="B1227" s="116">
        <v>15.275</v>
      </c>
      <c r="C1227" s="116">
        <v>15.025</v>
      </c>
      <c r="D1227" s="116">
        <v>15</v>
      </c>
      <c r="E1227" s="116">
        <v>15.275</v>
      </c>
      <c r="F1227" s="116">
        <v>30.05</v>
      </c>
      <c r="G1227">
        <v>783</v>
      </c>
      <c r="H1227" s="116"/>
      <c r="I1227" s="116"/>
      <c r="L1227" s="166">
        <v>43815</v>
      </c>
      <c r="M1227" s="116">
        <v>15</v>
      </c>
      <c r="N1227" s="116">
        <v>15.45</v>
      </c>
      <c r="O1227" s="116">
        <v>14.925000000000001</v>
      </c>
      <c r="P1227" s="116">
        <v>15.45</v>
      </c>
      <c r="Q1227" s="116">
        <v>30</v>
      </c>
      <c r="R1227">
        <v>20946</v>
      </c>
    </row>
    <row r="1228" spans="1:18" x14ac:dyDescent="0.25">
      <c r="A1228" s="166">
        <v>43816</v>
      </c>
      <c r="B1228" s="116">
        <v>16.725000000000001</v>
      </c>
      <c r="C1228" s="116">
        <v>16.524999999999999</v>
      </c>
      <c r="D1228" s="116">
        <v>15.175000000000001</v>
      </c>
      <c r="E1228" s="116">
        <v>15.375</v>
      </c>
      <c r="F1228" s="116">
        <v>33.049999999999997</v>
      </c>
      <c r="G1228">
        <v>28796</v>
      </c>
      <c r="H1228" s="116"/>
      <c r="I1228" s="116"/>
      <c r="L1228" s="166">
        <v>43816</v>
      </c>
      <c r="M1228" s="116">
        <v>16.574999999999999</v>
      </c>
      <c r="N1228" s="116">
        <v>16.7</v>
      </c>
      <c r="O1228" s="116">
        <v>14.875</v>
      </c>
      <c r="P1228" s="116">
        <v>15</v>
      </c>
      <c r="Q1228" s="116">
        <v>33.15</v>
      </c>
      <c r="R1228">
        <v>168059</v>
      </c>
    </row>
    <row r="1229" spans="1:18" x14ac:dyDescent="0.25">
      <c r="A1229" s="166">
        <v>43817</v>
      </c>
      <c r="B1229" s="116">
        <v>16.5</v>
      </c>
      <c r="C1229" s="116">
        <v>16.125</v>
      </c>
      <c r="D1229" s="116">
        <v>16.024999999999999</v>
      </c>
      <c r="E1229" s="116">
        <v>16.375</v>
      </c>
      <c r="F1229" s="116">
        <v>32.25</v>
      </c>
      <c r="G1229">
        <v>15764</v>
      </c>
      <c r="H1229" s="116"/>
      <c r="I1229" s="116"/>
      <c r="L1229" s="166">
        <v>43817</v>
      </c>
      <c r="M1229" s="116">
        <v>16.100000000000001</v>
      </c>
      <c r="N1229" s="116">
        <v>16.675000000000001</v>
      </c>
      <c r="O1229" s="116">
        <v>15.9</v>
      </c>
      <c r="P1229" s="116">
        <v>16.600000000000001</v>
      </c>
      <c r="Q1229" s="116">
        <v>32.200000000000003</v>
      </c>
      <c r="R1229">
        <v>64241</v>
      </c>
    </row>
    <row r="1230" spans="1:18" x14ac:dyDescent="0.25">
      <c r="A1230" s="166">
        <v>43818</v>
      </c>
      <c r="B1230" s="116">
        <v>16.925000000000001</v>
      </c>
      <c r="C1230" s="116">
        <v>16.600000000000001</v>
      </c>
      <c r="D1230" s="116">
        <v>15.975</v>
      </c>
      <c r="E1230" s="116">
        <v>16.149999999999999</v>
      </c>
      <c r="F1230" s="116">
        <v>33.200000000000003</v>
      </c>
      <c r="G1230">
        <v>11989</v>
      </c>
      <c r="H1230" s="116"/>
      <c r="I1230" s="116"/>
      <c r="L1230" s="166">
        <v>43818</v>
      </c>
      <c r="M1230" s="116">
        <v>16.55</v>
      </c>
      <c r="N1230" s="116">
        <v>16.95</v>
      </c>
      <c r="O1230" s="116">
        <v>15.975</v>
      </c>
      <c r="P1230" s="116">
        <v>16.149999999999999</v>
      </c>
      <c r="Q1230" s="116">
        <v>33.1</v>
      </c>
      <c r="R1230">
        <v>87119</v>
      </c>
    </row>
    <row r="1231" spans="1:18" x14ac:dyDescent="0.25">
      <c r="A1231" s="166">
        <v>43819</v>
      </c>
      <c r="B1231" s="116">
        <v>17.574999999999999</v>
      </c>
      <c r="C1231" s="116">
        <v>17.399999999999999</v>
      </c>
      <c r="D1231" s="116">
        <v>16.774999999999999</v>
      </c>
      <c r="E1231" s="116">
        <v>16.8</v>
      </c>
      <c r="F1231" s="116">
        <v>34.799999999999997</v>
      </c>
      <c r="G1231">
        <v>19284</v>
      </c>
      <c r="H1231" s="116"/>
      <c r="I1231" s="116"/>
      <c r="L1231" s="166">
        <v>43819</v>
      </c>
      <c r="M1231" s="116">
        <v>17.45</v>
      </c>
      <c r="N1231" s="116">
        <v>17.55</v>
      </c>
      <c r="O1231" s="116">
        <v>16.574999999999999</v>
      </c>
      <c r="P1231" s="116">
        <v>16.824999999999999</v>
      </c>
      <c r="Q1231" s="116">
        <v>34.9</v>
      </c>
      <c r="R1231">
        <v>207309</v>
      </c>
    </row>
    <row r="1232" spans="1:18" x14ac:dyDescent="0.25">
      <c r="A1232" s="166">
        <v>43822</v>
      </c>
      <c r="B1232" s="116">
        <v>17.75</v>
      </c>
      <c r="C1232" s="116">
        <v>17.350000000000001</v>
      </c>
      <c r="D1232" s="116">
        <v>17.05</v>
      </c>
      <c r="E1232" s="116">
        <v>17.524999999999999</v>
      </c>
      <c r="F1232" s="116">
        <v>34.700000000000003</v>
      </c>
      <c r="G1232">
        <v>7342</v>
      </c>
      <c r="H1232" s="116"/>
      <c r="I1232" s="116"/>
      <c r="L1232" s="166">
        <v>43822</v>
      </c>
      <c r="M1232" s="116">
        <v>17.425000000000001</v>
      </c>
      <c r="N1232" s="116">
        <v>17.7</v>
      </c>
      <c r="O1232" s="116">
        <v>17</v>
      </c>
      <c r="P1232" s="116">
        <v>17.7</v>
      </c>
      <c r="Q1232" s="116">
        <v>34.85</v>
      </c>
      <c r="R1232">
        <v>81112</v>
      </c>
    </row>
    <row r="1233" spans="1:18" x14ac:dyDescent="0.25">
      <c r="A1233" s="166">
        <v>43823</v>
      </c>
      <c r="B1233" s="116">
        <v>17.399999999999999</v>
      </c>
      <c r="C1233" s="116">
        <v>16.850000000000001</v>
      </c>
      <c r="D1233" s="116">
        <v>16.850000000000001</v>
      </c>
      <c r="E1233" s="116">
        <v>17.399999999999999</v>
      </c>
      <c r="F1233" s="116">
        <v>33.700000000000003</v>
      </c>
      <c r="G1233">
        <v>2821</v>
      </c>
      <c r="H1233" s="116"/>
      <c r="I1233" s="116"/>
      <c r="L1233" s="166">
        <v>43823</v>
      </c>
      <c r="M1233" s="116">
        <v>16.875</v>
      </c>
      <c r="N1233" s="116">
        <v>17.649999999999999</v>
      </c>
      <c r="O1233" s="116">
        <v>16.8</v>
      </c>
      <c r="P1233" s="116">
        <v>17.425000000000001</v>
      </c>
      <c r="Q1233" s="116">
        <v>33.75</v>
      </c>
      <c r="R1233">
        <v>32400</v>
      </c>
    </row>
    <row r="1234" spans="1:18" x14ac:dyDescent="0.25">
      <c r="A1234" s="166">
        <v>43825</v>
      </c>
      <c r="B1234" s="116">
        <v>17.8</v>
      </c>
      <c r="C1234" s="116">
        <v>17.600000000000001</v>
      </c>
      <c r="D1234" s="116">
        <v>17.125</v>
      </c>
      <c r="E1234" s="116">
        <v>17.125</v>
      </c>
      <c r="F1234" s="116">
        <v>35.200000000000003</v>
      </c>
      <c r="G1234">
        <v>12837</v>
      </c>
      <c r="H1234" s="116"/>
      <c r="I1234" s="116"/>
      <c r="L1234" s="166">
        <v>43825</v>
      </c>
      <c r="M1234" s="116">
        <v>17.600000000000001</v>
      </c>
      <c r="N1234" s="116">
        <v>17.850000000000001</v>
      </c>
      <c r="O1234" s="116">
        <v>16.75</v>
      </c>
      <c r="P1234" s="116">
        <v>16.75</v>
      </c>
      <c r="Q1234" s="116">
        <v>35.200000000000003</v>
      </c>
      <c r="R1234">
        <v>81111</v>
      </c>
    </row>
    <row r="1235" spans="1:18" x14ac:dyDescent="0.25">
      <c r="A1235" s="166">
        <v>43826</v>
      </c>
      <c r="B1235" s="116">
        <v>18.149999999999999</v>
      </c>
      <c r="C1235" s="116">
        <v>17.875</v>
      </c>
      <c r="D1235" s="116">
        <v>17.524999999999999</v>
      </c>
      <c r="E1235" s="116">
        <v>17.524999999999999</v>
      </c>
      <c r="F1235" s="116">
        <v>35.75</v>
      </c>
      <c r="G1235">
        <v>7868</v>
      </c>
      <c r="H1235" s="116"/>
      <c r="I1235" s="116"/>
      <c r="L1235" s="166">
        <v>43826</v>
      </c>
      <c r="M1235" s="116">
        <v>17.95</v>
      </c>
      <c r="N1235" s="116">
        <v>18.2</v>
      </c>
      <c r="O1235" s="116">
        <v>17.524999999999999</v>
      </c>
      <c r="P1235" s="116">
        <v>17.725000000000001</v>
      </c>
      <c r="Q1235" s="116">
        <v>35.9</v>
      </c>
      <c r="R1235">
        <v>78723</v>
      </c>
    </row>
    <row r="1236" spans="1:18" x14ac:dyDescent="0.25">
      <c r="A1236" s="166">
        <v>43829</v>
      </c>
      <c r="B1236" s="116">
        <v>18.05</v>
      </c>
      <c r="C1236" s="116">
        <v>17.7</v>
      </c>
      <c r="D1236" s="116">
        <v>17.5</v>
      </c>
      <c r="E1236" s="116">
        <v>18.05</v>
      </c>
      <c r="F1236" s="116">
        <v>35.4</v>
      </c>
      <c r="G1236">
        <v>3622</v>
      </c>
      <c r="H1236" s="116"/>
      <c r="I1236" s="116"/>
      <c r="L1236" s="166">
        <v>43829</v>
      </c>
      <c r="M1236" s="116">
        <v>17.725000000000001</v>
      </c>
      <c r="N1236" s="116">
        <v>18.100000000000001</v>
      </c>
      <c r="O1236" s="116">
        <v>17.524999999999999</v>
      </c>
      <c r="P1236" s="116">
        <v>17.524999999999999</v>
      </c>
      <c r="Q1236" s="116">
        <v>35.450000000000003</v>
      </c>
      <c r="R1236">
        <v>26101</v>
      </c>
    </row>
    <row r="1237" spans="1:18" x14ac:dyDescent="0.25">
      <c r="A1237" s="166">
        <v>43830</v>
      </c>
      <c r="B1237" s="116">
        <v>18.975000000000001</v>
      </c>
      <c r="C1237" s="116">
        <v>18.350000000000001</v>
      </c>
      <c r="D1237" s="116">
        <v>17.7</v>
      </c>
      <c r="E1237" s="116">
        <v>17.7</v>
      </c>
      <c r="F1237" s="116">
        <v>36.700000000000003</v>
      </c>
      <c r="G1237">
        <v>23200</v>
      </c>
      <c r="H1237" s="116"/>
      <c r="I1237" s="116"/>
      <c r="L1237" s="166">
        <v>43830</v>
      </c>
      <c r="M1237" s="116">
        <v>18.350000000000001</v>
      </c>
      <c r="N1237" s="116">
        <v>19.05</v>
      </c>
      <c r="O1237" s="116">
        <v>17.75</v>
      </c>
      <c r="P1237" s="116">
        <v>17.875</v>
      </c>
      <c r="Q1237" s="116">
        <v>36.700000000000003</v>
      </c>
      <c r="R1237">
        <v>158222</v>
      </c>
    </row>
    <row r="1238" spans="1:18" x14ac:dyDescent="0.25">
      <c r="A1238" s="166">
        <v>43831</v>
      </c>
      <c r="B1238" s="116">
        <v>18.75</v>
      </c>
      <c r="C1238" s="116">
        <v>18.350000000000001</v>
      </c>
      <c r="D1238" s="116">
        <v>18.175000000000001</v>
      </c>
      <c r="E1238" s="116">
        <v>18.5</v>
      </c>
      <c r="F1238" s="116">
        <v>36.700000000000003</v>
      </c>
      <c r="G1238">
        <v>3141</v>
      </c>
      <c r="H1238" s="116"/>
      <c r="I1238" s="116"/>
      <c r="L1238" s="166">
        <v>43831</v>
      </c>
      <c r="M1238" s="116">
        <v>18.3</v>
      </c>
      <c r="N1238" s="116">
        <v>18.850000000000001</v>
      </c>
      <c r="O1238" s="116">
        <v>18.024999999999999</v>
      </c>
      <c r="P1238" s="116">
        <v>18.375</v>
      </c>
      <c r="Q1238" s="116">
        <v>36.6</v>
      </c>
      <c r="R1238">
        <v>48068</v>
      </c>
    </row>
    <row r="1239" spans="1:18" x14ac:dyDescent="0.25">
      <c r="A1239" s="166">
        <v>43832</v>
      </c>
      <c r="B1239" s="116">
        <v>18.600000000000001</v>
      </c>
      <c r="C1239" s="116">
        <v>18.324999999999999</v>
      </c>
      <c r="D1239" s="116">
        <v>17.7</v>
      </c>
      <c r="E1239" s="116">
        <v>18.600000000000001</v>
      </c>
      <c r="F1239" s="116">
        <v>36.65</v>
      </c>
      <c r="G1239">
        <v>8389</v>
      </c>
      <c r="H1239" s="116"/>
      <c r="I1239" s="116"/>
      <c r="L1239" s="166">
        <v>43832</v>
      </c>
      <c r="M1239" s="116">
        <v>18.324999999999999</v>
      </c>
      <c r="N1239" s="116">
        <v>18.649999999999999</v>
      </c>
      <c r="O1239" s="116">
        <v>17.5</v>
      </c>
      <c r="P1239" s="116">
        <v>18.45</v>
      </c>
      <c r="Q1239" s="116">
        <v>36.65</v>
      </c>
      <c r="R1239">
        <v>76065</v>
      </c>
    </row>
    <row r="1240" spans="1:18" x14ac:dyDescent="0.25">
      <c r="A1240" s="166">
        <v>43833</v>
      </c>
      <c r="B1240" s="116">
        <v>18.95</v>
      </c>
      <c r="C1240" s="116">
        <v>18.100000000000001</v>
      </c>
      <c r="D1240" s="116">
        <v>18</v>
      </c>
      <c r="E1240" s="116">
        <v>18.5</v>
      </c>
      <c r="F1240" s="116">
        <v>36.200000000000003</v>
      </c>
      <c r="G1240">
        <v>7641</v>
      </c>
      <c r="H1240" s="116"/>
      <c r="I1240" s="116"/>
      <c r="L1240" s="166">
        <v>43833</v>
      </c>
      <c r="M1240" s="116">
        <v>18.149999999999999</v>
      </c>
      <c r="N1240" s="116">
        <v>18.925000000000001</v>
      </c>
      <c r="O1240" s="116">
        <v>18</v>
      </c>
      <c r="P1240" s="116">
        <v>18.45</v>
      </c>
      <c r="Q1240" s="116">
        <v>36.299999999999997</v>
      </c>
      <c r="R1240">
        <v>61014</v>
      </c>
    </row>
    <row r="1241" spans="1:18" x14ac:dyDescent="0.25">
      <c r="A1241" s="166">
        <v>43836</v>
      </c>
      <c r="B1241" s="116">
        <v>17.875</v>
      </c>
      <c r="C1241" s="116">
        <v>16.875</v>
      </c>
      <c r="D1241" s="116">
        <v>16.649999999999999</v>
      </c>
      <c r="E1241" s="116">
        <v>17.8</v>
      </c>
      <c r="F1241" s="116">
        <v>33.75</v>
      </c>
      <c r="G1241">
        <v>27302</v>
      </c>
      <c r="H1241" s="116"/>
      <c r="I1241" s="116"/>
      <c r="L1241" s="166">
        <v>43836</v>
      </c>
      <c r="M1241" s="116">
        <v>16.850000000000001</v>
      </c>
      <c r="N1241" s="116">
        <v>18</v>
      </c>
      <c r="O1241" s="116">
        <v>16.5</v>
      </c>
      <c r="P1241" s="116">
        <v>18</v>
      </c>
      <c r="Q1241" s="116">
        <v>33.700000000000003</v>
      </c>
      <c r="R1241">
        <v>53673</v>
      </c>
    </row>
    <row r="1242" spans="1:18" x14ac:dyDescent="0.25">
      <c r="A1242" s="166">
        <v>43837</v>
      </c>
      <c r="B1242" s="116">
        <v>17.425000000000001</v>
      </c>
      <c r="C1242" s="116">
        <v>16.875</v>
      </c>
      <c r="D1242" s="116">
        <v>16.850000000000001</v>
      </c>
      <c r="E1242" s="116">
        <v>17.375</v>
      </c>
      <c r="F1242" s="116">
        <v>33.75</v>
      </c>
      <c r="G1242">
        <v>15078</v>
      </c>
      <c r="H1242" s="116"/>
      <c r="I1242" s="116"/>
      <c r="L1242" s="166">
        <v>43837</v>
      </c>
      <c r="M1242" s="116">
        <v>16.95</v>
      </c>
      <c r="N1242" s="116">
        <v>17.5</v>
      </c>
      <c r="O1242" s="116">
        <v>16.850000000000001</v>
      </c>
      <c r="P1242" s="116">
        <v>16.850000000000001</v>
      </c>
      <c r="Q1242" s="116">
        <v>33.9</v>
      </c>
      <c r="R1242">
        <v>34871</v>
      </c>
    </row>
    <row r="1243" spans="1:18" x14ac:dyDescent="0.25">
      <c r="A1243" s="166">
        <v>43838</v>
      </c>
      <c r="B1243" s="116">
        <v>19.975000000000001</v>
      </c>
      <c r="C1243" s="116">
        <v>19.55</v>
      </c>
      <c r="D1243" s="116">
        <v>16.649999999999999</v>
      </c>
      <c r="E1243" s="116">
        <v>17.5</v>
      </c>
      <c r="F1243" s="116">
        <v>39.1</v>
      </c>
      <c r="G1243">
        <v>70991</v>
      </c>
      <c r="H1243" s="116"/>
      <c r="I1243" s="116"/>
      <c r="L1243" s="166">
        <v>43838</v>
      </c>
      <c r="M1243" s="116">
        <v>19.45</v>
      </c>
      <c r="N1243" s="116">
        <v>20</v>
      </c>
      <c r="O1243" s="116">
        <v>16.5</v>
      </c>
      <c r="P1243" s="116">
        <v>16.899999999999999</v>
      </c>
      <c r="Q1243" s="116">
        <v>38.9</v>
      </c>
      <c r="R1243">
        <v>484026</v>
      </c>
    </row>
    <row r="1244" spans="1:18" x14ac:dyDescent="0.25">
      <c r="A1244" s="166">
        <v>43839</v>
      </c>
      <c r="B1244" s="116">
        <v>20.350000000000001</v>
      </c>
      <c r="C1244" s="116">
        <v>19.524999999999999</v>
      </c>
      <c r="D1244" s="116">
        <v>18.95</v>
      </c>
      <c r="E1244" s="116">
        <v>19.95</v>
      </c>
      <c r="F1244" s="116">
        <v>39.049999999999997</v>
      </c>
      <c r="G1244">
        <v>64094</v>
      </c>
      <c r="H1244" s="116"/>
      <c r="I1244" s="116"/>
      <c r="L1244" s="166">
        <v>43839</v>
      </c>
      <c r="M1244" s="116">
        <v>19.574999999999999</v>
      </c>
      <c r="N1244" s="116">
        <v>20.5</v>
      </c>
      <c r="O1244" s="116">
        <v>18.975000000000001</v>
      </c>
      <c r="P1244" s="116">
        <v>20.2</v>
      </c>
      <c r="Q1244" s="116">
        <v>39.15</v>
      </c>
      <c r="R1244">
        <v>365571</v>
      </c>
    </row>
    <row r="1245" spans="1:18" x14ac:dyDescent="0.25">
      <c r="A1245" s="166">
        <v>43840</v>
      </c>
      <c r="B1245" s="116">
        <v>19.725000000000001</v>
      </c>
      <c r="C1245" s="116">
        <v>19.2</v>
      </c>
      <c r="D1245" s="116">
        <v>19</v>
      </c>
      <c r="E1245" s="116">
        <v>19.5</v>
      </c>
      <c r="F1245" s="116">
        <v>38.4</v>
      </c>
      <c r="G1245">
        <v>17934</v>
      </c>
      <c r="H1245" s="116"/>
      <c r="I1245" s="116"/>
      <c r="L1245" s="166">
        <v>43840</v>
      </c>
      <c r="M1245" s="116">
        <v>19.2</v>
      </c>
      <c r="N1245" s="116">
        <v>19.8</v>
      </c>
      <c r="O1245" s="116">
        <v>19</v>
      </c>
      <c r="P1245" s="116">
        <v>19.600000000000001</v>
      </c>
      <c r="Q1245" s="116">
        <v>38.4</v>
      </c>
      <c r="R1245">
        <v>92494</v>
      </c>
    </row>
    <row r="1246" spans="1:18" x14ac:dyDescent="0.25">
      <c r="A1246" s="166">
        <v>43843</v>
      </c>
      <c r="B1246" s="116">
        <v>19.625</v>
      </c>
      <c r="C1246" s="116">
        <v>19.3</v>
      </c>
      <c r="D1246" s="116">
        <v>19.024999999999999</v>
      </c>
      <c r="E1246" s="116">
        <v>19.024999999999999</v>
      </c>
      <c r="F1246" s="116">
        <v>38.6</v>
      </c>
      <c r="G1246">
        <v>20163</v>
      </c>
      <c r="H1246" s="116"/>
      <c r="I1246" s="116"/>
      <c r="L1246" s="166">
        <v>43843</v>
      </c>
      <c r="M1246" s="116">
        <v>19.25</v>
      </c>
      <c r="N1246" s="116">
        <v>19.625</v>
      </c>
      <c r="O1246" s="116">
        <v>19</v>
      </c>
      <c r="P1246" s="116">
        <v>19.05</v>
      </c>
      <c r="Q1246" s="116">
        <v>38.5</v>
      </c>
      <c r="R1246">
        <v>60387</v>
      </c>
    </row>
    <row r="1247" spans="1:18" x14ac:dyDescent="0.25">
      <c r="A1247" s="166">
        <v>43844</v>
      </c>
      <c r="B1247" s="116">
        <v>19.75</v>
      </c>
      <c r="C1247" s="116">
        <v>19.45</v>
      </c>
      <c r="D1247" s="116">
        <v>19.375</v>
      </c>
      <c r="E1247" s="116">
        <v>19.675000000000001</v>
      </c>
      <c r="F1247" s="116">
        <v>38.9</v>
      </c>
      <c r="G1247">
        <v>21568</v>
      </c>
      <c r="H1247" s="116"/>
      <c r="I1247" s="116"/>
      <c r="L1247" s="166">
        <v>43844</v>
      </c>
      <c r="M1247" s="116">
        <v>19.5</v>
      </c>
      <c r="N1247" s="116">
        <v>19.899999999999999</v>
      </c>
      <c r="O1247" s="116">
        <v>19.350000000000001</v>
      </c>
      <c r="P1247" s="116">
        <v>19.725000000000001</v>
      </c>
      <c r="Q1247" s="116">
        <v>39</v>
      </c>
      <c r="R1247">
        <v>67434</v>
      </c>
    </row>
    <row r="1248" spans="1:18" x14ac:dyDescent="0.25">
      <c r="A1248" s="166">
        <v>43845</v>
      </c>
      <c r="B1248" s="116">
        <v>20.7</v>
      </c>
      <c r="C1248" s="116">
        <v>20.350000000000001</v>
      </c>
      <c r="D1248" s="116">
        <v>19.375</v>
      </c>
      <c r="E1248" s="116">
        <v>19.55</v>
      </c>
      <c r="F1248" s="116">
        <v>40.700000000000003</v>
      </c>
      <c r="G1248">
        <v>45498</v>
      </c>
      <c r="H1248" s="116"/>
      <c r="I1248" s="116"/>
      <c r="L1248" s="166">
        <v>43845</v>
      </c>
      <c r="M1248" s="116">
        <v>20.375</v>
      </c>
      <c r="N1248" s="116">
        <v>20.675000000000001</v>
      </c>
      <c r="O1248" s="116">
        <v>19.324999999999999</v>
      </c>
      <c r="P1248" s="116">
        <v>19.850000000000001</v>
      </c>
      <c r="Q1248" s="116">
        <v>40.75</v>
      </c>
      <c r="R1248">
        <v>173461</v>
      </c>
    </row>
    <row r="1249" spans="1:18" x14ac:dyDescent="0.25">
      <c r="A1249" s="166">
        <v>43846</v>
      </c>
      <c r="B1249" s="116">
        <v>21.4</v>
      </c>
      <c r="C1249" s="116">
        <v>21.15</v>
      </c>
      <c r="D1249" s="116">
        <v>20.375</v>
      </c>
      <c r="E1249" s="116">
        <v>20.824999999999999</v>
      </c>
      <c r="F1249" s="116">
        <v>42.3</v>
      </c>
      <c r="G1249">
        <v>18925</v>
      </c>
      <c r="H1249" s="116"/>
      <c r="I1249" s="116"/>
      <c r="L1249" s="166">
        <v>43846</v>
      </c>
      <c r="M1249" s="116">
        <v>21.05</v>
      </c>
      <c r="N1249" s="116">
        <v>21.4</v>
      </c>
      <c r="O1249" s="116">
        <v>20.375</v>
      </c>
      <c r="P1249" s="116">
        <v>20.725000000000001</v>
      </c>
      <c r="Q1249" s="116">
        <v>42.1</v>
      </c>
      <c r="R1249">
        <v>171235</v>
      </c>
    </row>
    <row r="1250" spans="1:18" x14ac:dyDescent="0.25">
      <c r="A1250" s="166">
        <v>43847</v>
      </c>
      <c r="B1250" s="116">
        <v>21.824999999999999</v>
      </c>
      <c r="C1250" s="116">
        <v>21.45</v>
      </c>
      <c r="D1250" s="116">
        <v>20.875</v>
      </c>
      <c r="E1250" s="116">
        <v>21.45</v>
      </c>
      <c r="F1250" s="116">
        <v>42.9</v>
      </c>
      <c r="G1250">
        <v>26758</v>
      </c>
      <c r="H1250" s="116"/>
      <c r="I1250" s="116"/>
      <c r="L1250" s="166">
        <v>43847</v>
      </c>
      <c r="M1250" s="116">
        <v>21.425000000000001</v>
      </c>
      <c r="N1250" s="116">
        <v>21.85</v>
      </c>
      <c r="O1250" s="116">
        <v>20.875</v>
      </c>
      <c r="P1250" s="116">
        <v>21.125</v>
      </c>
      <c r="Q1250" s="116">
        <v>42.85</v>
      </c>
      <c r="R1250">
        <v>145016</v>
      </c>
    </row>
    <row r="1251" spans="1:18" x14ac:dyDescent="0.25">
      <c r="A1251" s="166">
        <v>43850</v>
      </c>
      <c r="B1251" s="116">
        <v>21.75</v>
      </c>
      <c r="C1251" s="116">
        <v>20.524999999999999</v>
      </c>
      <c r="D1251" s="116">
        <v>20.399999999999999</v>
      </c>
      <c r="E1251" s="116">
        <v>21.75</v>
      </c>
      <c r="F1251" s="116">
        <v>41.05</v>
      </c>
      <c r="G1251">
        <v>20469</v>
      </c>
      <c r="H1251" s="116"/>
      <c r="I1251" s="116"/>
      <c r="L1251" s="166">
        <v>43850</v>
      </c>
      <c r="M1251" s="116">
        <v>20.475000000000001</v>
      </c>
      <c r="N1251" s="116">
        <v>21.8</v>
      </c>
      <c r="O1251" s="116">
        <v>20.25</v>
      </c>
      <c r="P1251" s="116">
        <v>21.5</v>
      </c>
      <c r="Q1251" s="116">
        <v>40.950000000000003</v>
      </c>
      <c r="R1251">
        <v>83848</v>
      </c>
    </row>
    <row r="1252" spans="1:18" x14ac:dyDescent="0.25">
      <c r="A1252" s="166">
        <v>43851</v>
      </c>
      <c r="B1252" s="116">
        <v>20.175000000000001</v>
      </c>
      <c r="C1252" s="116">
        <v>18.675000000000001</v>
      </c>
      <c r="D1252" s="116">
        <v>18.5</v>
      </c>
      <c r="E1252" s="116">
        <v>20.175000000000001</v>
      </c>
      <c r="F1252" s="116">
        <v>37.35</v>
      </c>
      <c r="G1252">
        <v>19324</v>
      </c>
      <c r="H1252" s="116"/>
      <c r="I1252" s="116"/>
      <c r="L1252" s="166">
        <v>43851</v>
      </c>
      <c r="M1252" s="116">
        <v>18.625</v>
      </c>
      <c r="N1252" s="116">
        <v>20.475000000000001</v>
      </c>
      <c r="O1252" s="116">
        <v>18.45</v>
      </c>
      <c r="P1252" s="116">
        <v>20.024999999999999</v>
      </c>
      <c r="Q1252" s="116">
        <v>37.25</v>
      </c>
      <c r="R1252">
        <v>179517</v>
      </c>
    </row>
    <row r="1253" spans="1:18" x14ac:dyDescent="0.25">
      <c r="A1253" s="166">
        <v>43852</v>
      </c>
      <c r="B1253" s="116">
        <v>19.3</v>
      </c>
      <c r="C1253" s="116">
        <v>18.925000000000001</v>
      </c>
      <c r="D1253" s="116">
        <v>18.625</v>
      </c>
      <c r="E1253" s="116">
        <v>18.625</v>
      </c>
      <c r="F1253" s="116">
        <v>37.85</v>
      </c>
      <c r="G1253">
        <v>10591</v>
      </c>
      <c r="H1253" s="116"/>
      <c r="I1253" s="116"/>
      <c r="L1253" s="166">
        <v>43852</v>
      </c>
      <c r="M1253" s="116">
        <v>18.925000000000001</v>
      </c>
      <c r="N1253" s="116">
        <v>19.274999999999999</v>
      </c>
      <c r="O1253" s="116">
        <v>18.625</v>
      </c>
      <c r="P1253" s="116">
        <v>18.95</v>
      </c>
      <c r="Q1253" s="116">
        <v>37.85</v>
      </c>
      <c r="R1253">
        <v>115837</v>
      </c>
    </row>
    <row r="1254" spans="1:18" x14ac:dyDescent="0.25">
      <c r="A1254" s="166">
        <v>43853</v>
      </c>
      <c r="B1254" s="116">
        <v>19.625</v>
      </c>
      <c r="C1254" s="116">
        <v>19.425000000000001</v>
      </c>
      <c r="D1254" s="116">
        <v>18.95</v>
      </c>
      <c r="E1254" s="116">
        <v>18.95</v>
      </c>
      <c r="F1254" s="116">
        <v>38.85</v>
      </c>
      <c r="G1254">
        <v>14233</v>
      </c>
      <c r="H1254" s="116"/>
      <c r="I1254" s="116"/>
      <c r="L1254" s="166">
        <v>43853</v>
      </c>
      <c r="M1254" s="116">
        <v>19.425000000000001</v>
      </c>
      <c r="N1254" s="116">
        <v>19.625</v>
      </c>
      <c r="O1254" s="116">
        <v>19</v>
      </c>
      <c r="P1254" s="116">
        <v>19</v>
      </c>
      <c r="Q1254" s="116">
        <v>38.85</v>
      </c>
      <c r="R1254">
        <v>88069</v>
      </c>
    </row>
    <row r="1255" spans="1:18" x14ac:dyDescent="0.25">
      <c r="A1255" s="166">
        <v>43854</v>
      </c>
      <c r="B1255" s="116">
        <v>19.925000000000001</v>
      </c>
      <c r="C1255" s="116">
        <v>19.824999999999999</v>
      </c>
      <c r="D1255" s="116">
        <v>19.3</v>
      </c>
      <c r="E1255" s="116">
        <v>19.625</v>
      </c>
      <c r="F1255" s="116">
        <v>39.65</v>
      </c>
      <c r="G1255">
        <v>9038</v>
      </c>
      <c r="H1255" s="116"/>
      <c r="I1255" s="116"/>
      <c r="L1255" s="166">
        <v>43854</v>
      </c>
      <c r="M1255" s="116">
        <v>19.8</v>
      </c>
      <c r="N1255" s="116">
        <v>20</v>
      </c>
      <c r="O1255" s="116">
        <v>19.2</v>
      </c>
      <c r="P1255" s="116">
        <v>19.8</v>
      </c>
      <c r="Q1255" s="116">
        <v>39.6</v>
      </c>
      <c r="R1255">
        <v>67478</v>
      </c>
    </row>
    <row r="1256" spans="1:18" x14ac:dyDescent="0.25">
      <c r="A1256" s="166">
        <v>43857</v>
      </c>
      <c r="B1256" s="116">
        <v>19.95</v>
      </c>
      <c r="C1256" s="116">
        <v>19.55</v>
      </c>
      <c r="D1256" s="116">
        <v>19.45</v>
      </c>
      <c r="E1256" s="116">
        <v>19.45</v>
      </c>
      <c r="F1256" s="116">
        <v>39.1</v>
      </c>
      <c r="G1256">
        <v>7074</v>
      </c>
      <c r="H1256" s="116"/>
      <c r="I1256" s="116"/>
      <c r="L1256" s="166">
        <v>43857</v>
      </c>
      <c r="M1256" s="116">
        <v>19.625</v>
      </c>
      <c r="N1256" s="116">
        <v>19.75</v>
      </c>
      <c r="O1256" s="116">
        <v>19.5</v>
      </c>
      <c r="P1256" s="116">
        <v>19.649999999999999</v>
      </c>
      <c r="Q1256" s="116">
        <v>39.25</v>
      </c>
      <c r="R1256">
        <v>47604</v>
      </c>
    </row>
    <row r="1257" spans="1:18" x14ac:dyDescent="0.25">
      <c r="A1257" s="166">
        <v>43858</v>
      </c>
      <c r="B1257" s="116">
        <v>19.675000000000001</v>
      </c>
      <c r="C1257" s="116">
        <v>19.175000000000001</v>
      </c>
      <c r="D1257" s="116">
        <v>18.850000000000001</v>
      </c>
      <c r="E1257" s="116">
        <v>19.675000000000001</v>
      </c>
      <c r="F1257" s="116">
        <v>38.35</v>
      </c>
      <c r="G1257">
        <v>4659</v>
      </c>
      <c r="H1257" s="116"/>
      <c r="I1257" s="116"/>
      <c r="L1257" s="166">
        <v>43858</v>
      </c>
      <c r="M1257" s="116">
        <v>19.175000000000001</v>
      </c>
      <c r="N1257" s="116">
        <v>19.75</v>
      </c>
      <c r="O1257" s="116">
        <v>18.8</v>
      </c>
      <c r="P1257" s="116">
        <v>19.475000000000001</v>
      </c>
      <c r="Q1257" s="116">
        <v>38.35</v>
      </c>
      <c r="R1257">
        <v>50652</v>
      </c>
    </row>
    <row r="1258" spans="1:18" x14ac:dyDescent="0.25">
      <c r="A1258" s="166">
        <v>43859</v>
      </c>
      <c r="B1258" s="116">
        <v>19.3</v>
      </c>
      <c r="C1258" s="116">
        <v>19.05</v>
      </c>
      <c r="D1258" s="116">
        <v>18.975000000000001</v>
      </c>
      <c r="E1258" s="116">
        <v>19.2</v>
      </c>
      <c r="F1258" s="116">
        <v>38.1</v>
      </c>
      <c r="G1258">
        <v>1906</v>
      </c>
      <c r="H1258" s="116"/>
      <c r="I1258" s="116"/>
      <c r="L1258" s="166">
        <v>43859</v>
      </c>
      <c r="M1258" s="116">
        <v>19</v>
      </c>
      <c r="N1258" s="116">
        <v>19.600000000000001</v>
      </c>
      <c r="O1258" s="116">
        <v>19</v>
      </c>
      <c r="P1258" s="116">
        <v>19.600000000000001</v>
      </c>
      <c r="Q1258" s="116">
        <v>38</v>
      </c>
      <c r="R1258">
        <v>42494</v>
      </c>
    </row>
    <row r="1259" spans="1:18" x14ac:dyDescent="0.25">
      <c r="A1259" s="166">
        <v>43860</v>
      </c>
      <c r="B1259" s="116">
        <v>19.225000000000001</v>
      </c>
      <c r="C1259" s="116">
        <v>18.774999999999999</v>
      </c>
      <c r="D1259" s="116">
        <v>18.649999999999999</v>
      </c>
      <c r="E1259" s="116">
        <v>19.225000000000001</v>
      </c>
      <c r="F1259" s="116">
        <v>37.549999999999997</v>
      </c>
      <c r="G1259">
        <v>3877</v>
      </c>
      <c r="H1259" s="116"/>
      <c r="I1259" s="116"/>
      <c r="L1259" s="166">
        <v>43860</v>
      </c>
      <c r="M1259" s="116">
        <v>18.675000000000001</v>
      </c>
      <c r="N1259" s="116">
        <v>19.2</v>
      </c>
      <c r="O1259" s="116">
        <v>18.625</v>
      </c>
      <c r="P1259" s="116">
        <v>19</v>
      </c>
      <c r="Q1259" s="116">
        <v>37.35</v>
      </c>
      <c r="R1259">
        <v>24351</v>
      </c>
    </row>
    <row r="1260" spans="1:18" x14ac:dyDescent="0.25">
      <c r="A1260" s="166">
        <v>43861</v>
      </c>
      <c r="B1260" s="116">
        <v>21.35</v>
      </c>
      <c r="C1260" s="116">
        <v>20</v>
      </c>
      <c r="D1260" s="116">
        <v>18.75</v>
      </c>
      <c r="E1260" s="116">
        <v>18.75</v>
      </c>
      <c r="F1260" s="116">
        <v>40</v>
      </c>
      <c r="G1260">
        <v>60216</v>
      </c>
      <c r="H1260" s="116"/>
      <c r="I1260" s="116"/>
      <c r="L1260" s="166">
        <v>43861</v>
      </c>
      <c r="M1260" s="116">
        <v>20.024999999999999</v>
      </c>
      <c r="N1260" s="116">
        <v>21.475000000000001</v>
      </c>
      <c r="O1260" s="116">
        <v>18.524999999999999</v>
      </c>
      <c r="P1260" s="116">
        <v>18.524999999999999</v>
      </c>
      <c r="Q1260" s="116">
        <v>40.049999999999997</v>
      </c>
      <c r="R1260">
        <v>611578</v>
      </c>
    </row>
    <row r="1261" spans="1:18" x14ac:dyDescent="0.25">
      <c r="A1261" s="166">
        <v>43862</v>
      </c>
      <c r="B1261" s="116">
        <v>20.274999999999999</v>
      </c>
      <c r="C1261" s="116">
        <v>18.8</v>
      </c>
      <c r="D1261" s="116">
        <v>18.25</v>
      </c>
      <c r="E1261" s="116">
        <v>20.100000000000001</v>
      </c>
      <c r="F1261" s="116">
        <v>37.6</v>
      </c>
      <c r="G1261">
        <v>12457</v>
      </c>
      <c r="H1261" s="116"/>
      <c r="I1261" s="116"/>
      <c r="L1261" s="166">
        <v>43862</v>
      </c>
      <c r="M1261" s="116">
        <v>19</v>
      </c>
      <c r="N1261" s="116">
        <v>20.25</v>
      </c>
      <c r="O1261" s="116">
        <v>18.274999999999999</v>
      </c>
      <c r="P1261" s="116">
        <v>20</v>
      </c>
      <c r="Q1261" s="116">
        <v>38</v>
      </c>
      <c r="R1261">
        <v>71521</v>
      </c>
    </row>
    <row r="1262" spans="1:18" x14ac:dyDescent="0.25">
      <c r="A1262" s="166">
        <v>43864</v>
      </c>
      <c r="B1262" s="116">
        <v>19.324999999999999</v>
      </c>
      <c r="C1262" s="116">
        <v>18.899999999999999</v>
      </c>
      <c r="D1262" s="116">
        <v>18.324999999999999</v>
      </c>
      <c r="E1262" s="116">
        <v>18.475000000000001</v>
      </c>
      <c r="F1262" s="116">
        <v>37.799999999999997</v>
      </c>
      <c r="G1262">
        <v>5864</v>
      </c>
      <c r="H1262" s="116"/>
      <c r="I1262" s="116"/>
      <c r="L1262" s="166">
        <v>43864</v>
      </c>
      <c r="M1262" s="116">
        <v>18.925000000000001</v>
      </c>
      <c r="N1262" s="116">
        <v>19.350000000000001</v>
      </c>
      <c r="O1262" s="116">
        <v>18.274999999999999</v>
      </c>
      <c r="P1262" s="116">
        <v>18.75</v>
      </c>
      <c r="Q1262" s="116">
        <v>37.85</v>
      </c>
      <c r="R1262">
        <v>66642</v>
      </c>
    </row>
    <row r="1263" spans="1:18" x14ac:dyDescent="0.25">
      <c r="A1263" s="166">
        <v>43865</v>
      </c>
      <c r="B1263" s="116">
        <v>19.875</v>
      </c>
      <c r="C1263" s="116">
        <v>19.125</v>
      </c>
      <c r="D1263" s="116">
        <v>19.024999999999999</v>
      </c>
      <c r="E1263" s="116">
        <v>19.5</v>
      </c>
      <c r="F1263" s="116">
        <v>38.25</v>
      </c>
      <c r="G1263">
        <v>5557</v>
      </c>
      <c r="H1263" s="116"/>
      <c r="I1263" s="116"/>
      <c r="L1263" s="166">
        <v>43865</v>
      </c>
      <c r="M1263" s="116">
        <v>19.149999999999999</v>
      </c>
      <c r="N1263" s="116">
        <v>19.8</v>
      </c>
      <c r="O1263" s="116">
        <v>19</v>
      </c>
      <c r="P1263" s="116">
        <v>19.7</v>
      </c>
      <c r="Q1263" s="116">
        <v>38.299999999999997</v>
      </c>
      <c r="R1263">
        <v>59120</v>
      </c>
    </row>
    <row r="1264" spans="1:18" x14ac:dyDescent="0.25">
      <c r="A1264" s="166">
        <v>43866</v>
      </c>
      <c r="B1264" s="116">
        <v>19.649999999999999</v>
      </c>
      <c r="C1264" s="116">
        <v>19.25</v>
      </c>
      <c r="D1264" s="116">
        <v>19.175000000000001</v>
      </c>
      <c r="E1264" s="116">
        <v>19.399999999999999</v>
      </c>
      <c r="F1264" s="116">
        <v>38.5</v>
      </c>
      <c r="G1264">
        <v>3545</v>
      </c>
      <c r="H1264" s="116"/>
      <c r="I1264" s="116"/>
      <c r="L1264" s="166">
        <v>43866</v>
      </c>
      <c r="M1264" s="116">
        <v>19.2</v>
      </c>
      <c r="N1264" s="116">
        <v>19.75</v>
      </c>
      <c r="O1264" s="116">
        <v>19.125</v>
      </c>
      <c r="P1264" s="116">
        <v>19.225000000000001</v>
      </c>
      <c r="Q1264" s="116">
        <v>38.4</v>
      </c>
      <c r="R1264">
        <v>41252</v>
      </c>
    </row>
    <row r="1265" spans="1:18" x14ac:dyDescent="0.25">
      <c r="A1265" s="166">
        <v>43867</v>
      </c>
      <c r="B1265" s="116">
        <v>18.975000000000001</v>
      </c>
      <c r="C1265" s="116">
        <v>18.675000000000001</v>
      </c>
      <c r="D1265" s="116">
        <v>18.55</v>
      </c>
      <c r="E1265" s="116">
        <v>18.7</v>
      </c>
      <c r="F1265" s="116">
        <v>37.35</v>
      </c>
      <c r="G1265">
        <v>38771</v>
      </c>
      <c r="H1265" s="116"/>
      <c r="I1265" s="116"/>
      <c r="L1265" s="166">
        <v>43867</v>
      </c>
      <c r="M1265" s="116">
        <v>18.725000000000001</v>
      </c>
      <c r="N1265" s="116">
        <v>19</v>
      </c>
      <c r="O1265" s="116">
        <v>18.5</v>
      </c>
      <c r="P1265" s="116">
        <v>19</v>
      </c>
      <c r="Q1265" s="116">
        <v>37.450000000000003</v>
      </c>
      <c r="R1265">
        <v>84172</v>
      </c>
    </row>
    <row r="1266" spans="1:18" x14ac:dyDescent="0.25">
      <c r="A1266" s="166">
        <v>43868</v>
      </c>
      <c r="B1266" s="116">
        <v>19.25</v>
      </c>
      <c r="C1266" s="116">
        <v>18.475000000000001</v>
      </c>
      <c r="D1266" s="116">
        <v>18.375</v>
      </c>
      <c r="E1266" s="116">
        <v>18.774999999999999</v>
      </c>
      <c r="F1266" s="116">
        <v>36.950000000000003</v>
      </c>
      <c r="G1266">
        <v>6670</v>
      </c>
      <c r="H1266" s="116"/>
      <c r="I1266" s="116"/>
      <c r="L1266" s="166">
        <v>43868</v>
      </c>
      <c r="M1266" s="116">
        <v>18.524999999999999</v>
      </c>
      <c r="N1266" s="116">
        <v>19.425000000000001</v>
      </c>
      <c r="O1266" s="116">
        <v>18.350000000000001</v>
      </c>
      <c r="P1266" s="116">
        <v>19.399999999999999</v>
      </c>
      <c r="Q1266" s="116">
        <v>37.049999999999997</v>
      </c>
      <c r="R1266">
        <v>60830</v>
      </c>
    </row>
    <row r="1267" spans="1:18" x14ac:dyDescent="0.25">
      <c r="A1267" s="166">
        <v>43871</v>
      </c>
      <c r="B1267" s="116">
        <v>18.475000000000001</v>
      </c>
      <c r="C1267" s="116">
        <v>18.25</v>
      </c>
      <c r="D1267" s="116">
        <v>18.25</v>
      </c>
      <c r="E1267" s="116">
        <v>18.475000000000001</v>
      </c>
      <c r="F1267" s="116">
        <v>36.5</v>
      </c>
      <c r="G1267">
        <v>1990</v>
      </c>
      <c r="H1267" s="116"/>
      <c r="I1267" s="116"/>
      <c r="L1267" s="166">
        <v>43871</v>
      </c>
      <c r="M1267" s="116">
        <v>18.3</v>
      </c>
      <c r="N1267" s="116">
        <v>18.925000000000001</v>
      </c>
      <c r="O1267" s="116">
        <v>18.175000000000001</v>
      </c>
      <c r="P1267" s="116">
        <v>18.850000000000001</v>
      </c>
      <c r="Q1267" s="116">
        <v>36.6</v>
      </c>
      <c r="R1267">
        <v>36292</v>
      </c>
    </row>
    <row r="1268" spans="1:18" x14ac:dyDescent="0.25">
      <c r="A1268" s="166">
        <v>43872</v>
      </c>
      <c r="B1268" s="116">
        <v>18.375</v>
      </c>
      <c r="C1268" s="116">
        <v>17.600000000000001</v>
      </c>
      <c r="D1268" s="116">
        <v>17.55</v>
      </c>
      <c r="E1268" s="116">
        <v>18.25</v>
      </c>
      <c r="F1268" s="116">
        <v>35.200000000000003</v>
      </c>
      <c r="G1268">
        <v>5122</v>
      </c>
      <c r="H1268" s="116"/>
      <c r="I1268" s="116"/>
      <c r="L1268" s="166">
        <v>43872</v>
      </c>
      <c r="M1268" s="116">
        <v>17.574999999999999</v>
      </c>
      <c r="N1268" s="116">
        <v>18.600000000000001</v>
      </c>
      <c r="O1268" s="116">
        <v>17.5</v>
      </c>
      <c r="P1268" s="116">
        <v>18.350000000000001</v>
      </c>
      <c r="Q1268" s="116">
        <v>35.15</v>
      </c>
      <c r="R1268">
        <v>57056</v>
      </c>
    </row>
    <row r="1269" spans="1:18" x14ac:dyDescent="0.25">
      <c r="A1269" s="166">
        <v>43873</v>
      </c>
      <c r="B1269" s="116">
        <v>18.324999999999999</v>
      </c>
      <c r="C1269" s="116">
        <v>17.8</v>
      </c>
      <c r="D1269" s="116">
        <v>17.7</v>
      </c>
      <c r="E1269" s="116">
        <v>17.925000000000001</v>
      </c>
      <c r="F1269" s="116">
        <v>35.6</v>
      </c>
      <c r="G1269">
        <v>9283</v>
      </c>
      <c r="H1269" s="116"/>
      <c r="I1269" s="116"/>
      <c r="L1269" s="166">
        <v>43873</v>
      </c>
      <c r="M1269" s="116">
        <v>17.899999999999999</v>
      </c>
      <c r="N1269" s="116">
        <v>18.350000000000001</v>
      </c>
      <c r="O1269" s="116">
        <v>17.7</v>
      </c>
      <c r="P1269" s="116">
        <v>17.75</v>
      </c>
      <c r="Q1269" s="116">
        <v>35.799999999999997</v>
      </c>
      <c r="R1269">
        <v>37243</v>
      </c>
    </row>
    <row r="1270" spans="1:18" x14ac:dyDescent="0.25">
      <c r="A1270" s="166">
        <v>43874</v>
      </c>
      <c r="B1270" s="116">
        <v>17.675000000000001</v>
      </c>
      <c r="C1270" s="116">
        <v>17.3</v>
      </c>
      <c r="D1270" s="116">
        <v>17.175000000000001</v>
      </c>
      <c r="E1270" s="116">
        <v>17.675000000000001</v>
      </c>
      <c r="F1270" s="116">
        <v>34.6</v>
      </c>
      <c r="G1270">
        <v>4695</v>
      </c>
      <c r="H1270" s="116"/>
      <c r="I1270" s="116"/>
      <c r="L1270" s="166">
        <v>43874</v>
      </c>
      <c r="M1270" s="116">
        <v>17.25</v>
      </c>
      <c r="N1270" s="116">
        <v>17.899999999999999</v>
      </c>
      <c r="O1270" s="116">
        <v>17.024999999999999</v>
      </c>
      <c r="P1270" s="116">
        <v>17.75</v>
      </c>
      <c r="Q1270" s="116">
        <v>34.5</v>
      </c>
      <c r="R1270">
        <v>59265</v>
      </c>
    </row>
    <row r="1271" spans="1:18" x14ac:dyDescent="0.25">
      <c r="A1271" s="166">
        <v>43875</v>
      </c>
      <c r="B1271" s="116">
        <v>17.2</v>
      </c>
      <c r="C1271" s="116">
        <v>16.8</v>
      </c>
      <c r="D1271" s="116">
        <v>16.7</v>
      </c>
      <c r="E1271" s="116">
        <v>17.125</v>
      </c>
      <c r="F1271" s="116">
        <v>33.6</v>
      </c>
      <c r="G1271">
        <v>3480</v>
      </c>
      <c r="H1271" s="116"/>
      <c r="I1271" s="116"/>
      <c r="L1271" s="166">
        <v>43875</v>
      </c>
      <c r="M1271" s="116">
        <v>16.8</v>
      </c>
      <c r="N1271" s="116">
        <v>17.3</v>
      </c>
      <c r="O1271" s="116">
        <v>16.574999999999999</v>
      </c>
      <c r="P1271" s="116">
        <v>17.074999999999999</v>
      </c>
      <c r="Q1271" s="116">
        <v>33.6</v>
      </c>
      <c r="R1271">
        <v>73091</v>
      </c>
    </row>
    <row r="1272" spans="1:18" x14ac:dyDescent="0.25">
      <c r="A1272" s="166">
        <v>43878</v>
      </c>
      <c r="B1272" s="116">
        <v>16.925000000000001</v>
      </c>
      <c r="C1272" s="116">
        <v>16.350000000000001</v>
      </c>
      <c r="D1272" s="116">
        <v>16.25</v>
      </c>
      <c r="E1272" s="116">
        <v>16.850000000000001</v>
      </c>
      <c r="F1272" s="116">
        <v>32.700000000000003</v>
      </c>
      <c r="G1272">
        <v>4855</v>
      </c>
      <c r="H1272" s="116"/>
      <c r="I1272" s="116"/>
      <c r="L1272" s="166">
        <v>43878</v>
      </c>
      <c r="M1272" s="116">
        <v>16.274999999999999</v>
      </c>
      <c r="N1272" s="116">
        <v>16.95</v>
      </c>
      <c r="O1272" s="116">
        <v>16.024999999999999</v>
      </c>
      <c r="P1272" s="116">
        <v>16.75</v>
      </c>
      <c r="Q1272" s="116">
        <v>32.549999999999997</v>
      </c>
      <c r="R1272">
        <v>49942</v>
      </c>
    </row>
    <row r="1273" spans="1:18" x14ac:dyDescent="0.25">
      <c r="A1273" s="166">
        <v>43879</v>
      </c>
      <c r="B1273" s="116">
        <v>16.45</v>
      </c>
      <c r="C1273" s="116">
        <v>16.274999999999999</v>
      </c>
      <c r="D1273" s="116">
        <v>15.55</v>
      </c>
      <c r="E1273" s="116">
        <v>16.25</v>
      </c>
      <c r="F1273" s="116">
        <v>32.549999999999997</v>
      </c>
      <c r="G1273">
        <v>9826</v>
      </c>
      <c r="H1273" s="116"/>
      <c r="I1273" s="116"/>
      <c r="L1273" s="166">
        <v>43879</v>
      </c>
      <c r="M1273" s="116">
        <v>16.25</v>
      </c>
      <c r="N1273" s="116">
        <v>16.5</v>
      </c>
      <c r="O1273" s="116">
        <v>15.4</v>
      </c>
      <c r="P1273" s="116">
        <v>16.149999999999999</v>
      </c>
      <c r="Q1273" s="116">
        <v>32.5</v>
      </c>
      <c r="R1273">
        <v>49312</v>
      </c>
    </row>
    <row r="1274" spans="1:18" x14ac:dyDescent="0.25">
      <c r="A1274" s="166">
        <v>43880</v>
      </c>
      <c r="B1274" s="116">
        <v>17</v>
      </c>
      <c r="C1274" s="116">
        <v>16.55</v>
      </c>
      <c r="D1274" s="116">
        <v>16.399999999999999</v>
      </c>
      <c r="E1274" s="116">
        <v>16.850000000000001</v>
      </c>
      <c r="F1274" s="116">
        <v>33.1</v>
      </c>
      <c r="G1274">
        <v>4895</v>
      </c>
      <c r="H1274" s="116"/>
      <c r="I1274" s="116"/>
      <c r="L1274" s="166">
        <v>43880</v>
      </c>
      <c r="M1274" s="116">
        <v>16.55</v>
      </c>
      <c r="N1274" s="116">
        <v>17</v>
      </c>
      <c r="O1274" s="116">
        <v>16.225000000000001</v>
      </c>
      <c r="P1274" s="116">
        <v>16.225000000000001</v>
      </c>
      <c r="Q1274" s="116">
        <v>33.1</v>
      </c>
      <c r="R1274">
        <v>37719</v>
      </c>
    </row>
    <row r="1275" spans="1:18" x14ac:dyDescent="0.25">
      <c r="A1275" s="166">
        <v>43881</v>
      </c>
      <c r="B1275" s="116">
        <v>16.625</v>
      </c>
      <c r="C1275" s="116">
        <v>16.399999999999999</v>
      </c>
      <c r="D1275" s="116">
        <v>16.324999999999999</v>
      </c>
      <c r="E1275" s="116">
        <v>16.625</v>
      </c>
      <c r="F1275" s="116">
        <v>32.799999999999997</v>
      </c>
      <c r="G1275">
        <v>1484</v>
      </c>
      <c r="H1275" s="116"/>
      <c r="I1275" s="116"/>
      <c r="L1275" s="166">
        <v>43881</v>
      </c>
      <c r="M1275" s="116">
        <v>16.375</v>
      </c>
      <c r="N1275" s="116">
        <v>16.95</v>
      </c>
      <c r="O1275" s="116">
        <v>16.25</v>
      </c>
      <c r="P1275" s="116">
        <v>16.625</v>
      </c>
      <c r="Q1275" s="116">
        <v>32.75</v>
      </c>
      <c r="R1275">
        <v>17886</v>
      </c>
    </row>
    <row r="1276" spans="1:18" x14ac:dyDescent="0.25">
      <c r="A1276" s="166">
        <v>43885</v>
      </c>
      <c r="B1276" s="116">
        <v>16.175000000000001</v>
      </c>
      <c r="C1276" s="116">
        <v>15.775</v>
      </c>
      <c r="D1276" s="116">
        <v>15.675000000000001</v>
      </c>
      <c r="E1276" s="116">
        <v>16</v>
      </c>
      <c r="F1276" s="116">
        <v>31.55</v>
      </c>
      <c r="G1276">
        <v>6504</v>
      </c>
      <c r="H1276" s="116"/>
      <c r="I1276" s="116"/>
      <c r="L1276" s="166">
        <v>43885</v>
      </c>
      <c r="M1276" s="116">
        <v>15.7</v>
      </c>
      <c r="N1276" s="116">
        <v>16.375</v>
      </c>
      <c r="O1276" s="116">
        <v>15.525</v>
      </c>
      <c r="P1276" s="116">
        <v>16.375</v>
      </c>
      <c r="Q1276" s="116">
        <v>31.4</v>
      </c>
      <c r="R1276">
        <v>32881</v>
      </c>
    </row>
    <row r="1277" spans="1:18" x14ac:dyDescent="0.25">
      <c r="A1277" s="166">
        <v>43886</v>
      </c>
      <c r="B1277" s="116">
        <v>15.675000000000001</v>
      </c>
      <c r="C1277" s="116">
        <v>15.35</v>
      </c>
      <c r="D1277" s="116">
        <v>15.25</v>
      </c>
      <c r="E1277" s="116">
        <v>15.675000000000001</v>
      </c>
      <c r="F1277" s="116">
        <v>30.7</v>
      </c>
      <c r="G1277">
        <v>9943</v>
      </c>
      <c r="H1277" s="116"/>
      <c r="I1277" s="116"/>
      <c r="L1277" s="166">
        <v>43886</v>
      </c>
      <c r="M1277" s="116">
        <v>15.375</v>
      </c>
      <c r="N1277" s="116">
        <v>15.9</v>
      </c>
      <c r="O1277" s="116">
        <v>15</v>
      </c>
      <c r="P1277" s="116">
        <v>15.525</v>
      </c>
      <c r="Q1277" s="116">
        <v>30.75</v>
      </c>
      <c r="R1277">
        <v>29840</v>
      </c>
    </row>
    <row r="1278" spans="1:18" x14ac:dyDescent="0.25">
      <c r="A1278" s="166">
        <v>43887</v>
      </c>
      <c r="B1278" s="116">
        <v>15.5</v>
      </c>
      <c r="C1278" s="116">
        <v>14.65</v>
      </c>
      <c r="D1278" s="116">
        <v>14.5</v>
      </c>
      <c r="E1278" s="116">
        <v>15.5</v>
      </c>
      <c r="F1278" s="116">
        <v>29.3</v>
      </c>
      <c r="G1278">
        <v>9086</v>
      </c>
      <c r="H1278" s="116"/>
      <c r="I1278" s="116"/>
      <c r="L1278" s="166">
        <v>43887</v>
      </c>
      <c r="M1278" s="116">
        <v>14.625</v>
      </c>
      <c r="N1278" s="116">
        <v>15.6</v>
      </c>
      <c r="O1278" s="116">
        <v>14.4</v>
      </c>
      <c r="P1278" s="116">
        <v>15.25</v>
      </c>
      <c r="Q1278" s="116">
        <v>29.25</v>
      </c>
      <c r="R1278">
        <v>108325</v>
      </c>
    </row>
    <row r="1279" spans="1:18" x14ac:dyDescent="0.25">
      <c r="A1279" s="166">
        <v>43888</v>
      </c>
      <c r="B1279" s="116">
        <v>14.6</v>
      </c>
      <c r="C1279" s="116">
        <v>14.5</v>
      </c>
      <c r="D1279" s="116">
        <v>14.05</v>
      </c>
      <c r="E1279" s="116">
        <v>14.05</v>
      </c>
      <c r="F1279" s="116">
        <v>29</v>
      </c>
      <c r="G1279">
        <v>5365</v>
      </c>
      <c r="H1279" s="116"/>
      <c r="I1279" s="116"/>
      <c r="L1279" s="166">
        <v>43888</v>
      </c>
      <c r="M1279" s="116">
        <v>14.5</v>
      </c>
      <c r="N1279" s="116">
        <v>14.85</v>
      </c>
      <c r="O1279" s="116">
        <v>14.025</v>
      </c>
      <c r="P1279" s="116">
        <v>14.85</v>
      </c>
      <c r="Q1279" s="116">
        <v>29</v>
      </c>
      <c r="R1279">
        <v>60777</v>
      </c>
    </row>
    <row r="1280" spans="1:18" x14ac:dyDescent="0.25">
      <c r="A1280" s="166">
        <v>43889</v>
      </c>
      <c r="B1280" s="116">
        <v>14.425000000000001</v>
      </c>
      <c r="C1280" s="116">
        <v>14.225</v>
      </c>
      <c r="D1280" s="116">
        <v>13.75</v>
      </c>
      <c r="E1280" s="116">
        <v>14</v>
      </c>
      <c r="F1280" s="116">
        <v>28.45</v>
      </c>
      <c r="G1280">
        <v>3437</v>
      </c>
      <c r="H1280" s="116"/>
      <c r="I1280" s="116"/>
      <c r="L1280" s="166">
        <v>43889</v>
      </c>
      <c r="M1280" s="116">
        <v>14.3</v>
      </c>
      <c r="N1280" s="116">
        <v>14.45</v>
      </c>
      <c r="O1280" s="116">
        <v>13.55</v>
      </c>
      <c r="P1280" s="116">
        <v>14.45</v>
      </c>
      <c r="Q1280" s="116">
        <v>28.6</v>
      </c>
      <c r="R1280">
        <v>52545</v>
      </c>
    </row>
    <row r="1281" spans="1:18" x14ac:dyDescent="0.25">
      <c r="A1281" s="166">
        <v>43892</v>
      </c>
      <c r="B1281" s="116">
        <v>14.7</v>
      </c>
      <c r="C1281" s="116">
        <v>13.824999999999999</v>
      </c>
      <c r="D1281" s="116">
        <v>13.8</v>
      </c>
      <c r="E1281" s="116">
        <v>14.55</v>
      </c>
      <c r="F1281" s="116">
        <v>27.65</v>
      </c>
      <c r="G1281">
        <v>3435</v>
      </c>
      <c r="H1281" s="116"/>
      <c r="I1281" s="116"/>
      <c r="L1281" s="166">
        <v>43892</v>
      </c>
      <c r="M1281" s="116">
        <v>13.95</v>
      </c>
      <c r="N1281" s="116">
        <v>15</v>
      </c>
      <c r="O1281" s="116">
        <v>13.6</v>
      </c>
      <c r="P1281" s="116">
        <v>14.4</v>
      </c>
      <c r="Q1281" s="116">
        <v>27.9</v>
      </c>
      <c r="R1281">
        <v>28299</v>
      </c>
    </row>
    <row r="1282" spans="1:18" x14ac:dyDescent="0.25">
      <c r="A1282" s="166">
        <v>43893</v>
      </c>
      <c r="B1282" s="116">
        <v>14.5</v>
      </c>
      <c r="C1282" s="116">
        <v>14.324999999999999</v>
      </c>
      <c r="D1282" s="116">
        <v>13.5</v>
      </c>
      <c r="E1282" s="116">
        <v>13.75</v>
      </c>
      <c r="F1282" s="116">
        <v>28.65</v>
      </c>
      <c r="G1282">
        <v>2690</v>
      </c>
      <c r="H1282" s="116"/>
      <c r="I1282" s="116"/>
      <c r="L1282" s="166">
        <v>43893</v>
      </c>
      <c r="M1282" s="116">
        <v>14.275</v>
      </c>
      <c r="N1282" s="116">
        <v>14.5</v>
      </c>
      <c r="O1282" s="116">
        <v>13.5</v>
      </c>
      <c r="P1282" s="116">
        <v>14.425000000000001</v>
      </c>
      <c r="Q1282" s="116">
        <v>28.55</v>
      </c>
      <c r="R1282">
        <v>51820</v>
      </c>
    </row>
    <row r="1283" spans="1:18" x14ac:dyDescent="0.25">
      <c r="A1283" s="166">
        <v>43894</v>
      </c>
      <c r="B1283" s="116">
        <v>14.3</v>
      </c>
      <c r="C1283" s="116">
        <v>14</v>
      </c>
      <c r="D1283" s="116">
        <v>13.65</v>
      </c>
      <c r="E1283" s="116">
        <v>14.225</v>
      </c>
      <c r="F1283" s="116">
        <v>28</v>
      </c>
      <c r="G1283">
        <v>9698</v>
      </c>
      <c r="H1283" s="116"/>
      <c r="I1283" s="116"/>
      <c r="L1283" s="166">
        <v>43894</v>
      </c>
      <c r="M1283" s="116">
        <v>13.9</v>
      </c>
      <c r="N1283" s="116">
        <v>14.45</v>
      </c>
      <c r="O1283" s="116">
        <v>13.625</v>
      </c>
      <c r="P1283" s="116">
        <v>14.15</v>
      </c>
      <c r="Q1283" s="116">
        <v>27.8</v>
      </c>
      <c r="R1283">
        <v>35785</v>
      </c>
    </row>
    <row r="1284" spans="1:18" x14ac:dyDescent="0.25">
      <c r="A1284" s="166">
        <v>43895</v>
      </c>
      <c r="B1284" s="116">
        <v>14.074999999999999</v>
      </c>
      <c r="C1284" s="116">
        <v>14.05</v>
      </c>
      <c r="D1284" s="116">
        <v>13.5</v>
      </c>
      <c r="E1284" s="116">
        <v>13.975</v>
      </c>
      <c r="F1284" s="116">
        <v>28.1</v>
      </c>
      <c r="G1284">
        <v>3089</v>
      </c>
      <c r="H1284" s="116"/>
      <c r="I1284" s="116"/>
      <c r="L1284" s="166">
        <v>43895</v>
      </c>
      <c r="M1284" s="116">
        <v>14.025</v>
      </c>
      <c r="N1284" s="116">
        <v>14.25</v>
      </c>
      <c r="O1284" s="116">
        <v>13.5</v>
      </c>
      <c r="P1284" s="116">
        <v>13.6</v>
      </c>
      <c r="Q1284" s="116">
        <v>28.05</v>
      </c>
      <c r="R1284">
        <v>162033</v>
      </c>
    </row>
    <row r="1285" spans="1:18" x14ac:dyDescent="0.25">
      <c r="A1285" s="166">
        <v>43896</v>
      </c>
      <c r="B1285" s="116">
        <v>13.875</v>
      </c>
      <c r="C1285" s="116">
        <v>13.675000000000001</v>
      </c>
      <c r="D1285" s="116">
        <v>12.9</v>
      </c>
      <c r="E1285" s="116">
        <v>12.9</v>
      </c>
      <c r="F1285" s="116">
        <v>27.35</v>
      </c>
      <c r="G1285">
        <v>4551</v>
      </c>
      <c r="H1285" s="116"/>
      <c r="I1285" s="116"/>
      <c r="L1285" s="166">
        <v>43896</v>
      </c>
      <c r="M1285" s="116">
        <v>13.824999999999999</v>
      </c>
      <c r="N1285" s="116">
        <v>14</v>
      </c>
      <c r="O1285" s="116">
        <v>13.3</v>
      </c>
      <c r="P1285" s="116">
        <v>13.625</v>
      </c>
      <c r="Q1285" s="116">
        <v>27.65</v>
      </c>
      <c r="R1285">
        <v>43742</v>
      </c>
    </row>
    <row r="1286" spans="1:18" x14ac:dyDescent="0.25">
      <c r="A1286" s="166">
        <v>43899</v>
      </c>
      <c r="B1286" s="116">
        <v>13.875</v>
      </c>
      <c r="C1286" s="116">
        <v>13.15</v>
      </c>
      <c r="D1286" s="116">
        <v>13.025</v>
      </c>
      <c r="E1286" s="116">
        <v>13.875</v>
      </c>
      <c r="F1286" s="116">
        <v>26.3</v>
      </c>
      <c r="G1286">
        <v>5423</v>
      </c>
      <c r="H1286" s="116"/>
      <c r="I1286" s="116"/>
      <c r="L1286" s="166">
        <v>43899</v>
      </c>
      <c r="M1286" s="116">
        <v>13.175000000000001</v>
      </c>
      <c r="N1286" s="116">
        <v>13.8</v>
      </c>
      <c r="O1286" s="116">
        <v>13</v>
      </c>
      <c r="P1286" s="116">
        <v>13</v>
      </c>
      <c r="Q1286" s="116">
        <v>26.35</v>
      </c>
      <c r="R1286">
        <v>37679</v>
      </c>
    </row>
    <row r="1287" spans="1:18" x14ac:dyDescent="0.25">
      <c r="A1287" s="166">
        <v>43901</v>
      </c>
      <c r="B1287" s="116">
        <v>13.7</v>
      </c>
      <c r="C1287" s="116">
        <v>13.25</v>
      </c>
      <c r="D1287" s="116">
        <v>13.074999999999999</v>
      </c>
      <c r="E1287" s="116">
        <v>13.45</v>
      </c>
      <c r="F1287" s="116">
        <v>26.5</v>
      </c>
      <c r="G1287">
        <v>117076</v>
      </c>
      <c r="H1287" s="116"/>
      <c r="I1287" s="116"/>
      <c r="L1287" s="166">
        <v>43901</v>
      </c>
      <c r="M1287" s="116">
        <v>13.175000000000001</v>
      </c>
      <c r="N1287" s="116">
        <v>13.5</v>
      </c>
      <c r="O1287" s="116">
        <v>13.074999999999999</v>
      </c>
      <c r="P1287" s="116">
        <v>13.5</v>
      </c>
      <c r="Q1287" s="116">
        <v>26.35</v>
      </c>
      <c r="R1287">
        <v>154281</v>
      </c>
    </row>
    <row r="1288" spans="1:18" x14ac:dyDescent="0.25">
      <c r="A1288" s="166">
        <v>43902</v>
      </c>
      <c r="B1288" s="116">
        <v>13.2</v>
      </c>
      <c r="C1288" s="116">
        <v>11.975</v>
      </c>
      <c r="D1288" s="116">
        <v>10.6</v>
      </c>
      <c r="E1288" s="116">
        <v>12.824999999999999</v>
      </c>
      <c r="F1288" s="116">
        <v>23.95</v>
      </c>
      <c r="G1288">
        <v>175787</v>
      </c>
      <c r="H1288" s="116"/>
      <c r="I1288" s="116"/>
      <c r="L1288" s="166">
        <v>43902</v>
      </c>
      <c r="M1288" s="116">
        <v>12.2</v>
      </c>
      <c r="N1288" s="116">
        <v>13.15</v>
      </c>
      <c r="O1288" s="116">
        <v>12</v>
      </c>
      <c r="P1288" s="116">
        <v>12.3</v>
      </c>
      <c r="Q1288" s="116">
        <v>24.4</v>
      </c>
      <c r="R1288">
        <v>93969</v>
      </c>
    </row>
    <row r="1289" spans="1:18" x14ac:dyDescent="0.25">
      <c r="A1289" s="166">
        <v>43903</v>
      </c>
      <c r="B1289" s="116">
        <v>12.475</v>
      </c>
      <c r="C1289" s="116">
        <v>11.975</v>
      </c>
      <c r="D1289" s="116">
        <v>9.6</v>
      </c>
      <c r="E1289" s="116">
        <v>10</v>
      </c>
      <c r="F1289" s="116">
        <v>23.95</v>
      </c>
      <c r="G1289">
        <v>16443</v>
      </c>
      <c r="H1289" s="116"/>
      <c r="I1289" s="116"/>
      <c r="L1289" s="166">
        <v>43903</v>
      </c>
      <c r="M1289" s="116">
        <v>11.95</v>
      </c>
      <c r="N1289" s="116">
        <v>12.5</v>
      </c>
      <c r="O1289" s="116">
        <v>9.7750000000000004</v>
      </c>
      <c r="P1289" s="116">
        <v>10.324999999999999</v>
      </c>
      <c r="Q1289" s="116">
        <v>23.9</v>
      </c>
      <c r="R1289">
        <v>96924</v>
      </c>
    </row>
    <row r="1290" spans="1:18" x14ac:dyDescent="0.25">
      <c r="A1290" s="166">
        <v>43906</v>
      </c>
      <c r="B1290" s="116">
        <v>12.15</v>
      </c>
      <c r="C1290" s="116">
        <v>11.55</v>
      </c>
      <c r="D1290" s="116">
        <v>10.8</v>
      </c>
      <c r="E1290" s="116">
        <v>10.975</v>
      </c>
      <c r="F1290" s="116">
        <v>23.1</v>
      </c>
      <c r="G1290">
        <v>12174</v>
      </c>
      <c r="H1290" s="116"/>
      <c r="I1290" s="116"/>
      <c r="L1290" s="166">
        <v>43906</v>
      </c>
      <c r="M1290" s="116">
        <v>11.324999999999999</v>
      </c>
      <c r="N1290" s="116">
        <v>12.25</v>
      </c>
      <c r="O1290" s="116">
        <v>10.75</v>
      </c>
      <c r="P1290" s="116">
        <v>11.95</v>
      </c>
      <c r="Q1290" s="116">
        <v>22.65</v>
      </c>
      <c r="R1290">
        <v>81259</v>
      </c>
    </row>
    <row r="1291" spans="1:18" x14ac:dyDescent="0.25">
      <c r="A1291" s="166">
        <v>43907</v>
      </c>
      <c r="B1291" s="116">
        <v>12.225</v>
      </c>
      <c r="C1291" s="116">
        <v>11.65</v>
      </c>
      <c r="D1291" s="116">
        <v>11</v>
      </c>
      <c r="E1291" s="116">
        <v>11.75</v>
      </c>
      <c r="F1291" s="116">
        <v>23.3</v>
      </c>
      <c r="G1291">
        <v>20325</v>
      </c>
      <c r="H1291" s="116"/>
      <c r="I1291" s="116"/>
      <c r="L1291" s="166">
        <v>43907</v>
      </c>
      <c r="M1291" s="116">
        <v>11.574999999999999</v>
      </c>
      <c r="N1291" s="116">
        <v>12.175000000000001</v>
      </c>
      <c r="O1291" s="116">
        <v>11.025</v>
      </c>
      <c r="P1291" s="116">
        <v>11.324999999999999</v>
      </c>
      <c r="Q1291" s="116">
        <v>23.15</v>
      </c>
      <c r="R1291">
        <v>109047</v>
      </c>
    </row>
    <row r="1292" spans="1:18" x14ac:dyDescent="0.25">
      <c r="A1292" s="166">
        <v>43908</v>
      </c>
      <c r="B1292" s="116">
        <v>11.975</v>
      </c>
      <c r="C1292" s="116">
        <v>10.15</v>
      </c>
      <c r="D1292" s="116">
        <v>9.7750000000000004</v>
      </c>
      <c r="E1292" s="116">
        <v>11.975</v>
      </c>
      <c r="F1292" s="116">
        <v>20.3</v>
      </c>
      <c r="G1292">
        <v>17289</v>
      </c>
      <c r="H1292" s="116"/>
      <c r="I1292" s="116"/>
      <c r="L1292" s="166">
        <v>43908</v>
      </c>
      <c r="M1292" s="116">
        <v>10.025</v>
      </c>
      <c r="N1292" s="116">
        <v>12.225</v>
      </c>
      <c r="O1292" s="116">
        <v>9.8249999999999993</v>
      </c>
      <c r="P1292" s="116">
        <v>11.574999999999999</v>
      </c>
      <c r="Q1292" s="116">
        <v>20.05</v>
      </c>
      <c r="R1292">
        <v>200106</v>
      </c>
    </row>
    <row r="1293" spans="1:18" x14ac:dyDescent="0.25">
      <c r="A1293" s="166">
        <v>43909</v>
      </c>
      <c r="B1293" s="116">
        <v>10.5</v>
      </c>
      <c r="C1293" s="116">
        <v>9.8000000000000007</v>
      </c>
      <c r="D1293" s="116">
        <v>9.5</v>
      </c>
      <c r="E1293" s="116">
        <v>9.9499999999999993</v>
      </c>
      <c r="F1293" s="116">
        <v>19.600000000000001</v>
      </c>
      <c r="G1293">
        <v>14942</v>
      </c>
      <c r="H1293" s="116"/>
      <c r="I1293" s="116"/>
      <c r="L1293" s="166">
        <v>43909</v>
      </c>
      <c r="M1293" s="116">
        <v>9.6999999999999993</v>
      </c>
      <c r="N1293" s="116">
        <v>10.45</v>
      </c>
      <c r="O1293" s="116">
        <v>9.0500000000000007</v>
      </c>
      <c r="P1293" s="116">
        <v>10.45</v>
      </c>
      <c r="Q1293" s="116">
        <v>19.399999999999999</v>
      </c>
      <c r="R1293">
        <v>130778</v>
      </c>
    </row>
    <row r="1294" spans="1:18" x14ac:dyDescent="0.25">
      <c r="A1294" s="166">
        <v>43910</v>
      </c>
      <c r="B1294" s="116">
        <v>11.35</v>
      </c>
      <c r="C1294" s="116">
        <v>10.199999999999999</v>
      </c>
      <c r="D1294" s="116">
        <v>9.9</v>
      </c>
      <c r="E1294" s="116">
        <v>10.5</v>
      </c>
      <c r="F1294" s="116">
        <v>20.399999999999999</v>
      </c>
      <c r="G1294">
        <v>14803</v>
      </c>
      <c r="H1294" s="116"/>
      <c r="I1294" s="116"/>
      <c r="L1294" s="166">
        <v>43910</v>
      </c>
      <c r="M1294" s="116">
        <v>10.175000000000001</v>
      </c>
      <c r="N1294" s="116">
        <v>11.5</v>
      </c>
      <c r="O1294" s="116">
        <v>9.6999999999999993</v>
      </c>
      <c r="P1294" s="116">
        <v>9.6999999999999993</v>
      </c>
      <c r="Q1294" s="116">
        <v>20.350000000000001</v>
      </c>
      <c r="R1294">
        <v>65045</v>
      </c>
    </row>
    <row r="1295" spans="1:18" x14ac:dyDescent="0.25">
      <c r="A1295" s="166">
        <v>43913</v>
      </c>
      <c r="B1295" s="116">
        <v>9.65</v>
      </c>
      <c r="C1295" s="116">
        <v>8.85</v>
      </c>
      <c r="D1295" s="116">
        <v>8.5</v>
      </c>
      <c r="E1295" s="116">
        <v>9.6</v>
      </c>
      <c r="F1295" s="116">
        <v>17.7</v>
      </c>
      <c r="G1295">
        <v>14565</v>
      </c>
      <c r="H1295" s="116"/>
      <c r="I1295" s="116"/>
      <c r="L1295" s="166">
        <v>43913</v>
      </c>
      <c r="M1295" s="116">
        <v>8.75</v>
      </c>
      <c r="N1295" s="116">
        <v>9.9749999999999996</v>
      </c>
      <c r="O1295" s="116">
        <v>8.4250000000000007</v>
      </c>
      <c r="P1295" s="116">
        <v>9.75</v>
      </c>
      <c r="Q1295" s="116">
        <v>17.5</v>
      </c>
      <c r="R1295">
        <v>106881</v>
      </c>
    </row>
    <row r="1296" spans="1:18" x14ac:dyDescent="0.25">
      <c r="A1296" s="166">
        <v>43914</v>
      </c>
      <c r="B1296" s="116">
        <v>9</v>
      </c>
      <c r="C1296" s="116">
        <v>8.5749999999999993</v>
      </c>
      <c r="D1296" s="116">
        <v>8.25</v>
      </c>
      <c r="E1296" s="116">
        <v>9</v>
      </c>
      <c r="F1296" s="116">
        <v>17.149999999999999</v>
      </c>
      <c r="G1296">
        <v>8431</v>
      </c>
      <c r="H1296" s="116"/>
      <c r="I1296" s="116"/>
      <c r="L1296" s="166">
        <v>43914</v>
      </c>
      <c r="M1296" s="116">
        <v>8.5500000000000007</v>
      </c>
      <c r="N1296" s="116">
        <v>9.4250000000000007</v>
      </c>
      <c r="O1296" s="116">
        <v>8.1750000000000007</v>
      </c>
      <c r="P1296" s="116">
        <v>8.7750000000000004</v>
      </c>
      <c r="Q1296" s="116">
        <v>17.100000000000001</v>
      </c>
      <c r="R1296">
        <v>82047</v>
      </c>
    </row>
    <row r="1297" spans="1:18" x14ac:dyDescent="0.25">
      <c r="A1297" s="166">
        <v>43915</v>
      </c>
      <c r="B1297" s="116">
        <v>8.8000000000000007</v>
      </c>
      <c r="C1297" s="116">
        <v>8.625</v>
      </c>
      <c r="D1297" s="116">
        <v>6.875</v>
      </c>
      <c r="E1297" s="116">
        <v>6.875</v>
      </c>
      <c r="F1297" s="116">
        <v>17.25</v>
      </c>
      <c r="G1297">
        <v>4506</v>
      </c>
      <c r="H1297" s="116"/>
      <c r="I1297" s="116"/>
      <c r="L1297" s="166">
        <v>43915</v>
      </c>
      <c r="M1297" s="116">
        <v>8.6</v>
      </c>
      <c r="N1297" s="116">
        <v>8.875</v>
      </c>
      <c r="O1297" s="116">
        <v>8.1</v>
      </c>
      <c r="P1297" s="116">
        <v>8.2249999999999996</v>
      </c>
      <c r="Q1297" s="116">
        <v>17.2</v>
      </c>
      <c r="R1297">
        <v>33641</v>
      </c>
    </row>
    <row r="1298" spans="1:18" x14ac:dyDescent="0.25">
      <c r="A1298" s="166">
        <v>43916</v>
      </c>
      <c r="B1298" s="116">
        <v>9.3249999999999993</v>
      </c>
      <c r="C1298" s="116">
        <v>9.15</v>
      </c>
      <c r="D1298" s="116">
        <v>8.5</v>
      </c>
      <c r="E1298" s="116">
        <v>8.6</v>
      </c>
      <c r="F1298" s="116">
        <v>18.3</v>
      </c>
      <c r="G1298">
        <v>5625</v>
      </c>
      <c r="H1298" s="116"/>
      <c r="I1298" s="116"/>
      <c r="L1298" s="166">
        <v>43916</v>
      </c>
      <c r="M1298" s="116">
        <v>9.1</v>
      </c>
      <c r="N1298" s="116">
        <v>9.4499999999999993</v>
      </c>
      <c r="O1298" s="116">
        <v>8.15</v>
      </c>
      <c r="P1298" s="116">
        <v>8.15</v>
      </c>
      <c r="Q1298" s="116">
        <v>18.2</v>
      </c>
      <c r="R1298">
        <v>60069</v>
      </c>
    </row>
    <row r="1299" spans="1:18" x14ac:dyDescent="0.25">
      <c r="A1299" s="166">
        <v>43917</v>
      </c>
      <c r="B1299" s="116">
        <v>9.65</v>
      </c>
      <c r="C1299" s="116">
        <v>9.4</v>
      </c>
      <c r="D1299" s="116">
        <v>9.1999999999999993</v>
      </c>
      <c r="E1299" s="116">
        <v>9.5500000000000007</v>
      </c>
      <c r="F1299" s="116">
        <v>18.8</v>
      </c>
      <c r="G1299">
        <v>8863</v>
      </c>
      <c r="H1299" s="116"/>
      <c r="I1299" s="116"/>
      <c r="L1299" s="166">
        <v>43917</v>
      </c>
      <c r="M1299" s="116">
        <v>9.375</v>
      </c>
      <c r="N1299" s="116">
        <v>9.625</v>
      </c>
      <c r="O1299" s="116">
        <v>9.25</v>
      </c>
      <c r="P1299" s="116">
        <v>9.4749999999999996</v>
      </c>
      <c r="Q1299" s="116">
        <v>18.75</v>
      </c>
      <c r="R1299">
        <v>56917</v>
      </c>
    </row>
    <row r="1300" spans="1:18" x14ac:dyDescent="0.25">
      <c r="A1300" s="166">
        <v>43920</v>
      </c>
      <c r="B1300" s="116">
        <v>9.5</v>
      </c>
      <c r="C1300" s="116">
        <v>9.125</v>
      </c>
      <c r="D1300" s="116">
        <v>8.85</v>
      </c>
      <c r="E1300" s="116">
        <v>8.85</v>
      </c>
      <c r="F1300" s="116">
        <v>18.25</v>
      </c>
      <c r="G1300">
        <v>1003</v>
      </c>
      <c r="H1300" s="116"/>
      <c r="I1300" s="116"/>
      <c r="L1300" s="166">
        <v>43920</v>
      </c>
      <c r="M1300" s="116">
        <v>9.1999999999999993</v>
      </c>
      <c r="N1300" s="116">
        <v>9.35</v>
      </c>
      <c r="O1300" s="116">
        <v>9</v>
      </c>
      <c r="P1300" s="116">
        <v>9.25</v>
      </c>
      <c r="Q1300" s="116">
        <v>18.399999999999999</v>
      </c>
      <c r="R1300">
        <v>20576</v>
      </c>
    </row>
    <row r="1301" spans="1:18" x14ac:dyDescent="0.25">
      <c r="A1301" s="166">
        <v>43921</v>
      </c>
      <c r="B1301" s="116">
        <v>9.8249999999999993</v>
      </c>
      <c r="C1301" s="116">
        <v>9.5250000000000004</v>
      </c>
      <c r="D1301" s="116">
        <v>9.3249999999999993</v>
      </c>
      <c r="E1301" s="116">
        <v>9.3249999999999993</v>
      </c>
      <c r="F1301" s="116">
        <v>19.05</v>
      </c>
      <c r="G1301">
        <v>4370</v>
      </c>
      <c r="H1301" s="116"/>
      <c r="I1301" s="116"/>
      <c r="L1301" s="166">
        <v>43921</v>
      </c>
      <c r="M1301" s="116">
        <v>9.4749999999999996</v>
      </c>
      <c r="N1301" s="116">
        <v>9.625</v>
      </c>
      <c r="O1301" s="116">
        <v>9.1999999999999993</v>
      </c>
      <c r="P1301" s="116">
        <v>9.1999999999999993</v>
      </c>
      <c r="Q1301" s="116">
        <v>18.95</v>
      </c>
      <c r="R1301">
        <v>27461</v>
      </c>
    </row>
    <row r="1302" spans="1:18" x14ac:dyDescent="0.25">
      <c r="A1302" s="166">
        <v>43922</v>
      </c>
      <c r="B1302" s="116">
        <v>10.025</v>
      </c>
      <c r="C1302" s="116">
        <v>10</v>
      </c>
      <c r="D1302" s="116">
        <v>9.375</v>
      </c>
      <c r="E1302" s="116">
        <v>9.7750000000000004</v>
      </c>
      <c r="F1302" s="116">
        <v>20</v>
      </c>
      <c r="G1302">
        <v>1381</v>
      </c>
      <c r="H1302" s="116"/>
      <c r="I1302" s="116"/>
      <c r="L1302" s="166">
        <v>43922</v>
      </c>
      <c r="M1302" s="116">
        <v>9.9250000000000007</v>
      </c>
      <c r="N1302" s="116">
        <v>10.074999999999999</v>
      </c>
      <c r="O1302" s="116">
        <v>9.4749999999999996</v>
      </c>
      <c r="P1302" s="116">
        <v>9.4749999999999996</v>
      </c>
      <c r="Q1302" s="116">
        <v>19.850000000000001</v>
      </c>
      <c r="R1302">
        <v>19542</v>
      </c>
    </row>
    <row r="1303" spans="1:18" x14ac:dyDescent="0.25">
      <c r="A1303" s="166">
        <v>43924</v>
      </c>
      <c r="B1303" s="116">
        <v>10.25</v>
      </c>
      <c r="C1303" s="116">
        <v>9.875</v>
      </c>
      <c r="D1303" s="116">
        <v>9.5749999999999993</v>
      </c>
      <c r="E1303" s="116">
        <v>9.85</v>
      </c>
      <c r="F1303" s="116">
        <v>19.75</v>
      </c>
      <c r="G1303">
        <v>8095</v>
      </c>
      <c r="H1303" s="116"/>
      <c r="I1303" s="116"/>
      <c r="L1303" s="166">
        <v>43924</v>
      </c>
      <c r="M1303" s="116">
        <v>9.9250000000000007</v>
      </c>
      <c r="N1303" s="116">
        <v>10.4</v>
      </c>
      <c r="O1303" s="116">
        <v>9.1</v>
      </c>
      <c r="P1303" s="116">
        <v>9.8249999999999993</v>
      </c>
      <c r="Q1303" s="116">
        <v>19.850000000000001</v>
      </c>
      <c r="R1303">
        <v>45650</v>
      </c>
    </row>
    <row r="1304" spans="1:18" x14ac:dyDescent="0.25">
      <c r="A1304" s="166">
        <v>43928</v>
      </c>
      <c r="B1304" s="116">
        <v>10.75</v>
      </c>
      <c r="C1304" s="116">
        <v>9.375</v>
      </c>
      <c r="D1304" s="116">
        <v>8.6999999999999993</v>
      </c>
      <c r="E1304" s="116">
        <v>10.375</v>
      </c>
      <c r="F1304" s="116">
        <v>18.75</v>
      </c>
      <c r="G1304">
        <v>31306</v>
      </c>
      <c r="H1304" s="116"/>
      <c r="I1304" s="116"/>
      <c r="L1304" s="166">
        <v>43928</v>
      </c>
      <c r="M1304" s="116">
        <v>9.35</v>
      </c>
      <c r="N1304" s="116">
        <v>10.5</v>
      </c>
      <c r="O1304" s="116">
        <v>8.85</v>
      </c>
      <c r="P1304" s="116">
        <v>10</v>
      </c>
      <c r="Q1304" s="116">
        <v>18.7</v>
      </c>
      <c r="R1304">
        <v>261821</v>
      </c>
    </row>
    <row r="1305" spans="1:18" x14ac:dyDescent="0.25">
      <c r="A1305" s="166">
        <v>43929</v>
      </c>
      <c r="B1305" s="116">
        <v>10</v>
      </c>
      <c r="C1305" s="116">
        <v>9.65</v>
      </c>
      <c r="D1305" s="116">
        <v>9.1</v>
      </c>
      <c r="E1305" s="116">
        <v>9.3000000000000007</v>
      </c>
      <c r="F1305" s="116">
        <v>19.3</v>
      </c>
      <c r="G1305">
        <v>2906</v>
      </c>
      <c r="H1305" s="116"/>
      <c r="I1305" s="116"/>
      <c r="L1305" s="166">
        <v>43929</v>
      </c>
      <c r="M1305" s="116">
        <v>9.6750000000000007</v>
      </c>
      <c r="N1305" s="116">
        <v>10</v>
      </c>
      <c r="O1305" s="116">
        <v>9.15</v>
      </c>
      <c r="P1305" s="116">
        <v>9.35</v>
      </c>
      <c r="Q1305" s="116">
        <v>19.350000000000001</v>
      </c>
      <c r="R1305">
        <v>51398</v>
      </c>
    </row>
    <row r="1306" spans="1:18" x14ac:dyDescent="0.25">
      <c r="A1306" s="166">
        <v>43930</v>
      </c>
      <c r="B1306" s="116">
        <v>10.175000000000001</v>
      </c>
      <c r="C1306" s="116">
        <v>9.9250000000000007</v>
      </c>
      <c r="D1306" s="116">
        <v>8.7750000000000004</v>
      </c>
      <c r="E1306" s="116">
        <v>8.7750000000000004</v>
      </c>
      <c r="F1306" s="116">
        <v>19.850000000000001</v>
      </c>
      <c r="G1306">
        <v>13457</v>
      </c>
      <c r="H1306" s="116"/>
      <c r="I1306" s="116"/>
      <c r="L1306" s="166">
        <v>43930</v>
      </c>
      <c r="M1306" s="116">
        <v>9.875</v>
      </c>
      <c r="N1306" s="116">
        <v>10.199999999999999</v>
      </c>
      <c r="O1306" s="116">
        <v>9.4</v>
      </c>
      <c r="P1306" s="116">
        <v>9.9250000000000007</v>
      </c>
      <c r="Q1306" s="116">
        <v>19.75</v>
      </c>
      <c r="R1306">
        <v>66511</v>
      </c>
    </row>
    <row r="1307" spans="1:18" x14ac:dyDescent="0.25">
      <c r="A1307" s="166">
        <v>43934</v>
      </c>
      <c r="B1307" s="116">
        <v>10</v>
      </c>
      <c r="C1307" s="116">
        <v>9.7750000000000004</v>
      </c>
      <c r="D1307" s="116">
        <v>9.5</v>
      </c>
      <c r="E1307" s="116">
        <v>9.9499999999999993</v>
      </c>
      <c r="F1307" s="116">
        <v>19.55</v>
      </c>
      <c r="G1307">
        <v>6004</v>
      </c>
      <c r="H1307" s="116"/>
      <c r="I1307" s="116"/>
      <c r="L1307" s="166">
        <v>43934</v>
      </c>
      <c r="M1307" s="116">
        <v>9.6999999999999993</v>
      </c>
      <c r="N1307" s="116">
        <v>10</v>
      </c>
      <c r="O1307" s="116">
        <v>9.5</v>
      </c>
      <c r="P1307" s="116">
        <v>9.9749999999999996</v>
      </c>
      <c r="Q1307" s="116">
        <v>19.399999999999999</v>
      </c>
      <c r="R1307">
        <v>35885</v>
      </c>
    </row>
    <row r="1308" spans="1:18" x14ac:dyDescent="0.25">
      <c r="A1308" s="166">
        <v>43936</v>
      </c>
      <c r="B1308" s="116">
        <v>10.324999999999999</v>
      </c>
      <c r="C1308" s="116">
        <v>10</v>
      </c>
      <c r="D1308" s="116">
        <v>9.9250000000000007</v>
      </c>
      <c r="E1308" s="116">
        <v>10.1</v>
      </c>
      <c r="F1308" s="116">
        <v>20</v>
      </c>
      <c r="G1308">
        <v>14127</v>
      </c>
      <c r="H1308" s="116"/>
      <c r="I1308" s="116"/>
      <c r="L1308" s="166">
        <v>43936</v>
      </c>
      <c r="M1308" s="116">
        <v>10.074999999999999</v>
      </c>
      <c r="N1308" s="116">
        <v>10.324999999999999</v>
      </c>
      <c r="O1308" s="116">
        <v>9.7750000000000004</v>
      </c>
      <c r="P1308" s="116">
        <v>9.7750000000000004</v>
      </c>
      <c r="Q1308" s="116">
        <v>20.149999999999999</v>
      </c>
      <c r="R1308">
        <v>65565</v>
      </c>
    </row>
    <row r="1309" spans="1:18" x14ac:dyDescent="0.25">
      <c r="A1309" s="166">
        <v>43937</v>
      </c>
      <c r="B1309" s="116">
        <v>11.074999999999999</v>
      </c>
      <c r="C1309" s="116">
        <v>10.824999999999999</v>
      </c>
      <c r="D1309" s="116">
        <v>10.25</v>
      </c>
      <c r="E1309" s="116">
        <v>10.25</v>
      </c>
      <c r="F1309" s="116">
        <v>21.65</v>
      </c>
      <c r="G1309">
        <v>16625</v>
      </c>
      <c r="H1309" s="116"/>
      <c r="I1309" s="116"/>
      <c r="L1309" s="166">
        <v>43937</v>
      </c>
      <c r="M1309" s="116">
        <v>10.95</v>
      </c>
      <c r="N1309" s="116">
        <v>11</v>
      </c>
      <c r="O1309" s="116">
        <v>10</v>
      </c>
      <c r="P1309" s="116">
        <v>10</v>
      </c>
      <c r="Q1309" s="116">
        <v>21.9</v>
      </c>
      <c r="R1309">
        <v>81015</v>
      </c>
    </row>
    <row r="1310" spans="1:18" x14ac:dyDescent="0.25">
      <c r="A1310" s="166">
        <v>43938</v>
      </c>
      <c r="B1310" s="116">
        <v>11.95</v>
      </c>
      <c r="C1310" s="116">
        <v>11.475</v>
      </c>
      <c r="D1310" s="116">
        <v>11.05</v>
      </c>
      <c r="E1310" s="116">
        <v>11.475</v>
      </c>
      <c r="F1310" s="116">
        <v>22.95</v>
      </c>
      <c r="G1310">
        <v>13090</v>
      </c>
      <c r="H1310" s="116"/>
      <c r="I1310" s="116"/>
      <c r="L1310" s="166">
        <v>43938</v>
      </c>
      <c r="M1310" s="116">
        <v>11.425000000000001</v>
      </c>
      <c r="N1310" s="116">
        <v>11.975</v>
      </c>
      <c r="O1310" s="116">
        <v>11</v>
      </c>
      <c r="P1310" s="116">
        <v>11.125</v>
      </c>
      <c r="Q1310" s="116">
        <v>22.85</v>
      </c>
      <c r="R1310">
        <v>72036</v>
      </c>
    </row>
    <row r="1311" spans="1:18" x14ac:dyDescent="0.25">
      <c r="A1311" s="166">
        <v>43941</v>
      </c>
      <c r="B1311" s="116">
        <v>12.7</v>
      </c>
      <c r="C1311" s="116">
        <v>11.925000000000001</v>
      </c>
      <c r="D1311" s="116">
        <v>11.5</v>
      </c>
      <c r="E1311" s="116">
        <v>11.75</v>
      </c>
      <c r="F1311" s="116">
        <v>23.85</v>
      </c>
      <c r="G1311">
        <v>16534</v>
      </c>
      <c r="H1311" s="116"/>
      <c r="I1311" s="116"/>
      <c r="L1311" s="166">
        <v>43941</v>
      </c>
      <c r="M1311" s="116">
        <v>11.85</v>
      </c>
      <c r="N1311" s="116">
        <v>12.824999999999999</v>
      </c>
      <c r="O1311" s="116">
        <v>11.45</v>
      </c>
      <c r="P1311" s="116">
        <v>11.875</v>
      </c>
      <c r="Q1311" s="116">
        <v>23.7</v>
      </c>
      <c r="R1311">
        <v>185128</v>
      </c>
    </row>
    <row r="1312" spans="1:18" x14ac:dyDescent="0.25">
      <c r="A1312" s="166">
        <v>43942</v>
      </c>
      <c r="B1312" s="116">
        <v>11.65</v>
      </c>
      <c r="C1312" s="116">
        <v>11.225</v>
      </c>
      <c r="D1312" s="116">
        <v>11</v>
      </c>
      <c r="E1312" s="116">
        <v>11.45</v>
      </c>
      <c r="F1312" s="116">
        <v>22.45</v>
      </c>
      <c r="G1312">
        <v>48083</v>
      </c>
      <c r="H1312" s="116"/>
      <c r="I1312" s="116"/>
      <c r="L1312" s="166">
        <v>43942</v>
      </c>
      <c r="M1312" s="116">
        <v>11.25</v>
      </c>
      <c r="N1312" s="116">
        <v>11.6</v>
      </c>
      <c r="O1312" s="116">
        <v>10.9</v>
      </c>
      <c r="P1312" s="116">
        <v>11.45</v>
      </c>
      <c r="Q1312" s="116">
        <v>22.5</v>
      </c>
      <c r="R1312">
        <v>90711</v>
      </c>
    </row>
    <row r="1313" spans="1:18" x14ac:dyDescent="0.25">
      <c r="A1313" s="166">
        <v>43943</v>
      </c>
      <c r="B1313" s="116">
        <v>11.25</v>
      </c>
      <c r="C1313" s="116">
        <v>10.975</v>
      </c>
      <c r="D1313" s="116">
        <v>10.625</v>
      </c>
      <c r="E1313" s="116">
        <v>10.95</v>
      </c>
      <c r="F1313" s="116">
        <v>21.95</v>
      </c>
      <c r="G1313">
        <v>38473</v>
      </c>
      <c r="H1313" s="116"/>
      <c r="I1313" s="116"/>
      <c r="L1313" s="166">
        <v>43943</v>
      </c>
      <c r="M1313" s="116">
        <v>10.975</v>
      </c>
      <c r="N1313" s="116">
        <v>11.45</v>
      </c>
      <c r="O1313" s="116">
        <v>10.65</v>
      </c>
      <c r="P1313" s="116">
        <v>10.75</v>
      </c>
      <c r="Q1313" s="116">
        <v>21.95</v>
      </c>
      <c r="R1313">
        <v>46055</v>
      </c>
    </row>
    <row r="1314" spans="1:18" x14ac:dyDescent="0.25">
      <c r="A1314" s="166">
        <v>43944</v>
      </c>
      <c r="B1314" s="116">
        <v>11.425000000000001</v>
      </c>
      <c r="C1314" s="116">
        <v>11</v>
      </c>
      <c r="D1314" s="116">
        <v>10.75</v>
      </c>
      <c r="E1314" s="116">
        <v>10.875</v>
      </c>
      <c r="F1314" s="116">
        <v>22</v>
      </c>
      <c r="G1314">
        <v>17631</v>
      </c>
      <c r="H1314" s="116"/>
      <c r="I1314" s="116"/>
      <c r="L1314" s="166">
        <v>43944</v>
      </c>
      <c r="M1314" s="116">
        <v>10.875</v>
      </c>
      <c r="N1314" s="116">
        <v>11.45</v>
      </c>
      <c r="O1314" s="116">
        <v>10.65</v>
      </c>
      <c r="P1314" s="116">
        <v>11.45</v>
      </c>
      <c r="Q1314" s="116">
        <v>21.75</v>
      </c>
      <c r="R1314">
        <v>74695</v>
      </c>
    </row>
    <row r="1315" spans="1:18" x14ac:dyDescent="0.25">
      <c r="A1315" s="166">
        <v>43945</v>
      </c>
      <c r="B1315" s="116">
        <v>10.925000000000001</v>
      </c>
      <c r="C1315" s="116">
        <v>10.55</v>
      </c>
      <c r="D1315" s="116">
        <v>10.125</v>
      </c>
      <c r="E1315" s="116">
        <v>10.7</v>
      </c>
      <c r="F1315" s="116">
        <v>21.1</v>
      </c>
      <c r="G1315">
        <v>13588</v>
      </c>
      <c r="H1315" s="116"/>
      <c r="I1315" s="116"/>
      <c r="L1315" s="166">
        <v>43945</v>
      </c>
      <c r="M1315" s="116">
        <v>10.6</v>
      </c>
      <c r="N1315" s="116">
        <v>10.8</v>
      </c>
      <c r="O1315" s="116">
        <v>10.5</v>
      </c>
      <c r="P1315" s="116">
        <v>10.675000000000001</v>
      </c>
      <c r="Q1315" s="116">
        <v>21.2</v>
      </c>
      <c r="R1315">
        <v>33234</v>
      </c>
    </row>
    <row r="1316" spans="1:18" x14ac:dyDescent="0.25">
      <c r="A1316" s="166">
        <v>43948</v>
      </c>
      <c r="B1316" s="116">
        <v>10.875</v>
      </c>
      <c r="C1316" s="116">
        <v>10.65</v>
      </c>
      <c r="D1316" s="116">
        <v>10.574999999999999</v>
      </c>
      <c r="E1316" s="116">
        <v>10.8</v>
      </c>
      <c r="F1316" s="116">
        <v>21.3</v>
      </c>
      <c r="G1316">
        <v>24636</v>
      </c>
      <c r="H1316" s="116"/>
      <c r="I1316" s="116"/>
      <c r="L1316" s="166">
        <v>43948</v>
      </c>
      <c r="M1316" s="116">
        <v>10.65</v>
      </c>
      <c r="N1316" s="116">
        <v>10.975</v>
      </c>
      <c r="O1316" s="116">
        <v>10.6</v>
      </c>
      <c r="P1316" s="116">
        <v>10.625</v>
      </c>
      <c r="Q1316" s="116">
        <v>21.3</v>
      </c>
      <c r="R1316">
        <v>70115</v>
      </c>
    </row>
    <row r="1317" spans="1:18" x14ac:dyDescent="0.25">
      <c r="A1317" s="166">
        <v>43949</v>
      </c>
      <c r="B1317" s="116">
        <v>10.875</v>
      </c>
      <c r="C1317" s="116">
        <v>10.675000000000001</v>
      </c>
      <c r="D1317" s="116">
        <v>10.375</v>
      </c>
      <c r="E1317" s="116">
        <v>10.75</v>
      </c>
      <c r="F1317" s="116">
        <v>21.35</v>
      </c>
      <c r="G1317">
        <v>45738</v>
      </c>
      <c r="H1317" s="116"/>
      <c r="I1317" s="116"/>
      <c r="L1317" s="166">
        <v>43949</v>
      </c>
      <c r="M1317" s="116">
        <v>10.7</v>
      </c>
      <c r="N1317" s="116">
        <v>11</v>
      </c>
      <c r="O1317" s="116">
        <v>10.4</v>
      </c>
      <c r="P1317" s="116">
        <v>11</v>
      </c>
      <c r="Q1317" s="116">
        <v>21.4</v>
      </c>
      <c r="R1317">
        <v>70104</v>
      </c>
    </row>
    <row r="1318" spans="1:18" x14ac:dyDescent="0.25">
      <c r="A1318" s="166">
        <v>43950</v>
      </c>
      <c r="B1318" s="116">
        <v>10.875</v>
      </c>
      <c r="C1318" s="116">
        <v>10.675000000000001</v>
      </c>
      <c r="D1318" s="116">
        <v>10.5</v>
      </c>
      <c r="E1318" s="116">
        <v>10.75</v>
      </c>
      <c r="F1318" s="116">
        <v>21.35</v>
      </c>
      <c r="G1318">
        <v>51479</v>
      </c>
      <c r="H1318" s="116"/>
      <c r="I1318" s="116"/>
      <c r="L1318" s="166">
        <v>43950</v>
      </c>
      <c r="M1318" s="116">
        <v>10.675000000000001</v>
      </c>
      <c r="N1318" s="116">
        <v>10.9</v>
      </c>
      <c r="O1318" s="116">
        <v>10.15</v>
      </c>
      <c r="P1318" s="116">
        <v>10.15</v>
      </c>
      <c r="Q1318" s="116">
        <v>21.35</v>
      </c>
      <c r="R1318">
        <v>116446</v>
      </c>
    </row>
    <row r="1319" spans="1:18" x14ac:dyDescent="0.25">
      <c r="A1319" s="166">
        <v>43951</v>
      </c>
      <c r="B1319" s="116">
        <v>11.4</v>
      </c>
      <c r="C1319" s="116">
        <v>10.9</v>
      </c>
      <c r="D1319" s="116">
        <v>10.675000000000001</v>
      </c>
      <c r="E1319" s="116">
        <v>10.8</v>
      </c>
      <c r="F1319" s="116">
        <v>21.8</v>
      </c>
      <c r="G1319">
        <v>23892</v>
      </c>
      <c r="H1319" s="116"/>
      <c r="I1319" s="116"/>
      <c r="L1319" s="166">
        <v>43951</v>
      </c>
      <c r="M1319" s="116">
        <v>10.9</v>
      </c>
      <c r="N1319" s="116">
        <v>11.45</v>
      </c>
      <c r="O1319" s="116">
        <v>10.65</v>
      </c>
      <c r="P1319" s="116">
        <v>10.75</v>
      </c>
      <c r="Q1319" s="116">
        <v>21.8</v>
      </c>
      <c r="R1319">
        <v>106487</v>
      </c>
    </row>
    <row r="1320" spans="1:18" x14ac:dyDescent="0.25">
      <c r="A1320" s="166">
        <v>43955</v>
      </c>
      <c r="B1320" s="116">
        <v>10.7</v>
      </c>
      <c r="C1320" s="116">
        <v>10.45</v>
      </c>
      <c r="D1320" s="116">
        <v>10.25</v>
      </c>
      <c r="E1320" s="116">
        <v>10.45</v>
      </c>
      <c r="F1320" s="116">
        <v>20.9</v>
      </c>
      <c r="G1320">
        <v>51250</v>
      </c>
      <c r="H1320" s="116"/>
      <c r="I1320" s="116"/>
      <c r="L1320" s="166">
        <v>43955</v>
      </c>
      <c r="M1320" s="116">
        <v>10.4</v>
      </c>
      <c r="N1320" s="116">
        <v>10.7</v>
      </c>
      <c r="O1320" s="116">
        <v>10</v>
      </c>
      <c r="P1320" s="116">
        <v>10.65</v>
      </c>
      <c r="Q1320" s="116">
        <v>20.8</v>
      </c>
      <c r="R1320">
        <v>138314</v>
      </c>
    </row>
    <row r="1321" spans="1:18" x14ac:dyDescent="0.25">
      <c r="A1321" s="166">
        <v>43956</v>
      </c>
      <c r="B1321" s="116">
        <v>11.074999999999999</v>
      </c>
      <c r="C1321" s="116">
        <v>10.25</v>
      </c>
      <c r="D1321" s="116">
        <v>10.125</v>
      </c>
      <c r="E1321" s="116">
        <v>10.65</v>
      </c>
      <c r="F1321" s="116">
        <v>20.5</v>
      </c>
      <c r="G1321">
        <v>30365</v>
      </c>
      <c r="H1321" s="116"/>
      <c r="I1321" s="116"/>
      <c r="L1321" s="166">
        <v>43956</v>
      </c>
      <c r="M1321" s="116">
        <v>10.199999999999999</v>
      </c>
      <c r="N1321" s="116">
        <v>10.925000000000001</v>
      </c>
      <c r="O1321" s="116">
        <v>10</v>
      </c>
      <c r="P1321" s="116">
        <v>10.525</v>
      </c>
      <c r="Q1321" s="116">
        <v>20.399999999999999</v>
      </c>
      <c r="R1321">
        <v>79173</v>
      </c>
    </row>
    <row r="1322" spans="1:18" x14ac:dyDescent="0.25">
      <c r="A1322" s="166">
        <v>43957</v>
      </c>
      <c r="B1322" s="116">
        <v>10.225</v>
      </c>
      <c r="C1322" s="116">
        <v>9.9</v>
      </c>
      <c r="D1322" s="116">
        <v>9.9</v>
      </c>
      <c r="E1322" s="116">
        <v>10.1</v>
      </c>
      <c r="F1322" s="116">
        <v>19.8</v>
      </c>
      <c r="G1322">
        <v>7273</v>
      </c>
      <c r="H1322" s="116"/>
      <c r="I1322" s="116"/>
      <c r="L1322" s="166">
        <v>43957</v>
      </c>
      <c r="M1322" s="116">
        <v>9.9499999999999993</v>
      </c>
      <c r="N1322" s="116">
        <v>10.324999999999999</v>
      </c>
      <c r="O1322" s="116">
        <v>9.875</v>
      </c>
      <c r="P1322" s="116">
        <v>10.074999999999999</v>
      </c>
      <c r="Q1322" s="116">
        <v>19.899999999999999</v>
      </c>
      <c r="R1322">
        <v>107944</v>
      </c>
    </row>
    <row r="1323" spans="1:18" x14ac:dyDescent="0.25">
      <c r="A1323" s="166">
        <v>43958</v>
      </c>
      <c r="B1323" s="116">
        <v>10.275</v>
      </c>
      <c r="C1323" s="116">
        <v>9.6750000000000007</v>
      </c>
      <c r="D1323" s="116">
        <v>9.5749999999999993</v>
      </c>
      <c r="E1323" s="116">
        <v>10.275</v>
      </c>
      <c r="F1323" s="116">
        <v>19.350000000000001</v>
      </c>
      <c r="G1323">
        <v>5745</v>
      </c>
      <c r="H1323" s="116"/>
      <c r="I1323" s="116"/>
      <c r="L1323" s="166">
        <v>43958</v>
      </c>
      <c r="M1323" s="116">
        <v>9.65</v>
      </c>
      <c r="N1323" s="116">
        <v>10.3</v>
      </c>
      <c r="O1323" s="116">
        <v>9.5</v>
      </c>
      <c r="P1323" s="116">
        <v>10.074999999999999</v>
      </c>
      <c r="Q1323" s="116">
        <v>19.3</v>
      </c>
      <c r="R1323">
        <v>121796</v>
      </c>
    </row>
    <row r="1324" spans="1:18" x14ac:dyDescent="0.25">
      <c r="A1324" s="166">
        <v>43959</v>
      </c>
      <c r="B1324" s="116">
        <v>10</v>
      </c>
      <c r="C1324" s="116">
        <v>9.7750000000000004</v>
      </c>
      <c r="D1324" s="116">
        <v>9.7249999999999996</v>
      </c>
      <c r="E1324" s="116">
        <v>10</v>
      </c>
      <c r="F1324" s="116">
        <v>19.55</v>
      </c>
      <c r="G1324">
        <v>13898</v>
      </c>
      <c r="H1324" s="116"/>
      <c r="I1324" s="116"/>
      <c r="L1324" s="166">
        <v>43959</v>
      </c>
      <c r="M1324" s="116">
        <v>9.7750000000000004</v>
      </c>
      <c r="N1324" s="116">
        <v>9.9749999999999996</v>
      </c>
      <c r="O1324" s="116">
        <v>9.6</v>
      </c>
      <c r="P1324" s="116">
        <v>9.6750000000000007</v>
      </c>
      <c r="Q1324" s="116">
        <v>19.55</v>
      </c>
      <c r="R1324">
        <v>67327</v>
      </c>
    </row>
    <row r="1325" spans="1:18" x14ac:dyDescent="0.25">
      <c r="A1325" s="166">
        <v>43962</v>
      </c>
      <c r="B1325" s="116">
        <v>9.9749999999999996</v>
      </c>
      <c r="C1325" s="116">
        <v>9.8249999999999993</v>
      </c>
      <c r="D1325" s="116">
        <v>9.7249999999999996</v>
      </c>
      <c r="E1325" s="116">
        <v>9.875</v>
      </c>
      <c r="F1325" s="116">
        <v>19.649999999999999</v>
      </c>
      <c r="G1325">
        <v>10781</v>
      </c>
      <c r="H1325" s="116"/>
      <c r="I1325" s="116"/>
      <c r="L1325" s="166">
        <v>43962</v>
      </c>
      <c r="M1325" s="116">
        <v>9.8249999999999993</v>
      </c>
      <c r="N1325" s="116">
        <v>9.9749999999999996</v>
      </c>
      <c r="O1325" s="116">
        <v>9.75</v>
      </c>
      <c r="P1325" s="116">
        <v>9.7750000000000004</v>
      </c>
      <c r="Q1325" s="116">
        <v>19.649999999999999</v>
      </c>
      <c r="R1325">
        <v>46095</v>
      </c>
    </row>
    <row r="1326" spans="1:18" x14ac:dyDescent="0.25">
      <c r="A1326" s="166">
        <v>43963</v>
      </c>
      <c r="B1326" s="116">
        <v>11</v>
      </c>
      <c r="C1326" s="116">
        <v>9.4</v>
      </c>
      <c r="D1326" s="116">
        <v>9.1999999999999993</v>
      </c>
      <c r="E1326" s="116">
        <v>11</v>
      </c>
      <c r="F1326" s="116">
        <v>18.8</v>
      </c>
      <c r="G1326">
        <v>36910</v>
      </c>
      <c r="H1326" s="116"/>
      <c r="I1326" s="116"/>
      <c r="L1326" s="166">
        <v>43963</v>
      </c>
      <c r="M1326" s="116">
        <v>9.375</v>
      </c>
      <c r="N1326" s="116">
        <v>9.9499999999999993</v>
      </c>
      <c r="O1326" s="116">
        <v>9.15</v>
      </c>
      <c r="P1326" s="116">
        <v>9.875</v>
      </c>
      <c r="Q1326" s="116">
        <v>18.75</v>
      </c>
      <c r="R1326">
        <v>129508</v>
      </c>
    </row>
    <row r="1327" spans="1:18" x14ac:dyDescent="0.25">
      <c r="A1327" s="166">
        <v>43964</v>
      </c>
      <c r="B1327" s="116">
        <v>10.025</v>
      </c>
      <c r="C1327" s="116">
        <v>10</v>
      </c>
      <c r="D1327" s="116">
        <v>9.625</v>
      </c>
      <c r="E1327" s="116">
        <v>9.75</v>
      </c>
      <c r="F1327" s="116">
        <v>20</v>
      </c>
      <c r="G1327">
        <v>47543</v>
      </c>
      <c r="H1327" s="116"/>
      <c r="I1327" s="116"/>
      <c r="L1327" s="166">
        <v>43964</v>
      </c>
      <c r="M1327" s="116">
        <v>9.9749999999999996</v>
      </c>
      <c r="N1327" s="116">
        <v>10</v>
      </c>
      <c r="O1327" s="116">
        <v>9.5</v>
      </c>
      <c r="P1327" s="116">
        <v>9.5250000000000004</v>
      </c>
      <c r="Q1327" s="116">
        <v>19.95</v>
      </c>
      <c r="R1327">
        <v>142200</v>
      </c>
    </row>
    <row r="1328" spans="1:18" x14ac:dyDescent="0.25">
      <c r="A1328" s="166">
        <v>43965</v>
      </c>
      <c r="B1328" s="116">
        <v>10.074999999999999</v>
      </c>
      <c r="C1328" s="116">
        <v>10</v>
      </c>
      <c r="D1328" s="116">
        <v>9.8249999999999993</v>
      </c>
      <c r="E1328" s="116">
        <v>9.9</v>
      </c>
      <c r="F1328" s="116">
        <v>20</v>
      </c>
      <c r="G1328">
        <v>78664</v>
      </c>
      <c r="H1328" s="116"/>
      <c r="I1328" s="116"/>
      <c r="L1328" s="166">
        <v>43965</v>
      </c>
      <c r="M1328" s="116">
        <v>9.9749999999999996</v>
      </c>
      <c r="N1328" s="116">
        <v>10.074999999999999</v>
      </c>
      <c r="O1328" s="116">
        <v>9.8000000000000007</v>
      </c>
      <c r="P1328" s="116">
        <v>10.074999999999999</v>
      </c>
      <c r="Q1328" s="116">
        <v>19.95</v>
      </c>
      <c r="R1328">
        <v>141005</v>
      </c>
    </row>
    <row r="1329" spans="1:18" x14ac:dyDescent="0.25">
      <c r="A1329" s="166">
        <v>43966</v>
      </c>
      <c r="B1329" s="116">
        <v>10.225</v>
      </c>
      <c r="C1329" s="116">
        <v>10.050000000000001</v>
      </c>
      <c r="D1329" s="116">
        <v>9.9499999999999993</v>
      </c>
      <c r="E1329" s="116">
        <v>10.1</v>
      </c>
      <c r="F1329" s="116">
        <v>20.100000000000001</v>
      </c>
      <c r="G1329">
        <v>21427</v>
      </c>
      <c r="H1329" s="116"/>
      <c r="I1329" s="116"/>
      <c r="L1329" s="166">
        <v>43966</v>
      </c>
      <c r="M1329" s="116">
        <v>10.025</v>
      </c>
      <c r="N1329" s="116">
        <v>10.225</v>
      </c>
      <c r="O1329" s="116">
        <v>9.85</v>
      </c>
      <c r="P1329" s="116">
        <v>9.9749999999999996</v>
      </c>
      <c r="Q1329" s="116">
        <v>20.05</v>
      </c>
      <c r="R1329">
        <v>80957</v>
      </c>
    </row>
    <row r="1330" spans="1:18" x14ac:dyDescent="0.25">
      <c r="A1330" s="166">
        <v>43969</v>
      </c>
      <c r="B1330" s="116">
        <v>10.1</v>
      </c>
      <c r="C1330" s="116">
        <v>9.7249999999999996</v>
      </c>
      <c r="D1330" s="116">
        <v>9.5749999999999993</v>
      </c>
      <c r="E1330" s="116">
        <v>10</v>
      </c>
      <c r="F1330" s="116">
        <v>19.45</v>
      </c>
      <c r="G1330">
        <v>20978</v>
      </c>
      <c r="H1330" s="116"/>
      <c r="I1330" s="116"/>
      <c r="L1330" s="166">
        <v>43969</v>
      </c>
      <c r="M1330" s="116">
        <v>9.7249999999999996</v>
      </c>
      <c r="N1330" s="116">
        <v>10.125</v>
      </c>
      <c r="O1330" s="116">
        <v>9.5749999999999993</v>
      </c>
      <c r="P1330" s="116">
        <v>10</v>
      </c>
      <c r="Q1330" s="116">
        <v>19.45</v>
      </c>
      <c r="R1330">
        <v>94481</v>
      </c>
    </row>
    <row r="1331" spans="1:18" x14ac:dyDescent="0.25">
      <c r="A1331" s="166">
        <v>43970</v>
      </c>
      <c r="B1331" s="116">
        <v>10.025</v>
      </c>
      <c r="C1331" s="116">
        <v>9.5250000000000004</v>
      </c>
      <c r="D1331" s="116">
        <v>9.4250000000000007</v>
      </c>
      <c r="E1331" s="116">
        <v>10.025</v>
      </c>
      <c r="F1331" s="116">
        <v>19.05</v>
      </c>
      <c r="G1331">
        <v>4148</v>
      </c>
      <c r="H1331" s="116"/>
      <c r="I1331" s="116"/>
      <c r="L1331" s="166">
        <v>43970</v>
      </c>
      <c r="M1331" s="116">
        <v>9.5500000000000007</v>
      </c>
      <c r="N1331" s="116">
        <v>10</v>
      </c>
      <c r="O1331" s="116">
        <v>9.4499999999999993</v>
      </c>
      <c r="P1331" s="116">
        <v>10</v>
      </c>
      <c r="Q1331" s="116">
        <v>19.100000000000001</v>
      </c>
      <c r="R1331">
        <v>78230</v>
      </c>
    </row>
    <row r="1332" spans="1:18" x14ac:dyDescent="0.25">
      <c r="A1332" s="166">
        <v>43971</v>
      </c>
      <c r="B1332" s="116">
        <v>9.7750000000000004</v>
      </c>
      <c r="C1332" s="116">
        <v>9.5</v>
      </c>
      <c r="D1332" s="116">
        <v>9.4250000000000007</v>
      </c>
      <c r="E1332" s="116">
        <v>9.6750000000000007</v>
      </c>
      <c r="F1332" s="116">
        <v>19</v>
      </c>
      <c r="G1332">
        <v>14297</v>
      </c>
      <c r="H1332" s="116"/>
      <c r="I1332" s="116"/>
      <c r="L1332" s="166">
        <v>43971</v>
      </c>
      <c r="M1332" s="116">
        <v>9.5</v>
      </c>
      <c r="N1332" s="116">
        <v>9.875</v>
      </c>
      <c r="O1332" s="116">
        <v>9.375</v>
      </c>
      <c r="P1332" s="116">
        <v>9.375</v>
      </c>
      <c r="Q1332" s="116">
        <v>19</v>
      </c>
      <c r="R1332">
        <v>85087</v>
      </c>
    </row>
    <row r="1333" spans="1:18" x14ac:dyDescent="0.25">
      <c r="A1333" s="166">
        <v>43972</v>
      </c>
      <c r="B1333" s="116">
        <v>9.5250000000000004</v>
      </c>
      <c r="C1333" s="116">
        <v>9.5250000000000004</v>
      </c>
      <c r="D1333" s="116">
        <v>9.35</v>
      </c>
      <c r="E1333" s="116">
        <v>9.4499999999999993</v>
      </c>
      <c r="F1333" s="116">
        <v>19.05</v>
      </c>
      <c r="G1333">
        <v>4453</v>
      </c>
      <c r="H1333" s="116"/>
      <c r="I1333" s="116"/>
      <c r="L1333" s="166">
        <v>43972</v>
      </c>
      <c r="M1333" s="116">
        <v>9.4749999999999996</v>
      </c>
      <c r="N1333" s="116">
        <v>9.6</v>
      </c>
      <c r="O1333" s="116">
        <v>9.1750000000000007</v>
      </c>
      <c r="P1333" s="116">
        <v>9.4499999999999993</v>
      </c>
      <c r="Q1333" s="116">
        <v>18.95</v>
      </c>
      <c r="R1333">
        <v>69478</v>
      </c>
    </row>
    <row r="1334" spans="1:18" x14ac:dyDescent="0.25">
      <c r="A1334" s="166">
        <v>43973</v>
      </c>
      <c r="B1334" s="116">
        <v>9.5250000000000004</v>
      </c>
      <c r="C1334" s="116">
        <v>9.5250000000000004</v>
      </c>
      <c r="D1334" s="116">
        <v>9.4</v>
      </c>
      <c r="E1334" s="116">
        <v>9.4250000000000007</v>
      </c>
      <c r="F1334" s="116">
        <v>19.05</v>
      </c>
      <c r="G1334">
        <v>1016</v>
      </c>
      <c r="H1334" s="116"/>
      <c r="I1334" s="116"/>
      <c r="L1334" s="166">
        <v>43973</v>
      </c>
      <c r="M1334" s="116">
        <v>9.6</v>
      </c>
      <c r="N1334" s="116">
        <v>10.1</v>
      </c>
      <c r="O1334" s="116">
        <v>9.25</v>
      </c>
      <c r="P1334" s="116">
        <v>9.4250000000000007</v>
      </c>
      <c r="Q1334" s="116">
        <v>19.2</v>
      </c>
      <c r="R1334">
        <v>47087</v>
      </c>
    </row>
    <row r="1335" spans="1:18" x14ac:dyDescent="0.25">
      <c r="A1335" s="166">
        <v>43977</v>
      </c>
      <c r="B1335" s="116">
        <v>9.9250000000000007</v>
      </c>
      <c r="C1335" s="116">
        <v>9.65</v>
      </c>
      <c r="D1335" s="116">
        <v>9.625</v>
      </c>
      <c r="E1335" s="116">
        <v>9.75</v>
      </c>
      <c r="F1335" s="116">
        <v>19.3</v>
      </c>
      <c r="G1335">
        <v>846</v>
      </c>
      <c r="H1335" s="116"/>
      <c r="I1335" s="116"/>
      <c r="L1335" s="166">
        <v>43977</v>
      </c>
      <c r="M1335" s="116">
        <v>9.625</v>
      </c>
      <c r="N1335" s="116">
        <v>9.9499999999999993</v>
      </c>
      <c r="O1335" s="116">
        <v>9.5</v>
      </c>
      <c r="P1335" s="116">
        <v>9.625</v>
      </c>
      <c r="Q1335" s="116">
        <v>19.25</v>
      </c>
      <c r="R1335">
        <v>26480</v>
      </c>
    </row>
    <row r="1336" spans="1:18" x14ac:dyDescent="0.25">
      <c r="A1336" s="166">
        <v>43978</v>
      </c>
      <c r="B1336" s="116">
        <v>9.8249999999999993</v>
      </c>
      <c r="C1336" s="116">
        <v>9.4499999999999993</v>
      </c>
      <c r="D1336" s="116">
        <v>9.4</v>
      </c>
      <c r="E1336" s="116">
        <v>9.6</v>
      </c>
      <c r="F1336" s="116">
        <v>18.899999999999999</v>
      </c>
      <c r="G1336">
        <v>6001</v>
      </c>
      <c r="H1336" s="116"/>
      <c r="I1336" s="116"/>
      <c r="L1336" s="166">
        <v>43978</v>
      </c>
      <c r="M1336" s="116">
        <v>9.4250000000000007</v>
      </c>
      <c r="N1336" s="116">
        <v>9.8249999999999993</v>
      </c>
      <c r="O1336" s="116">
        <v>9.375</v>
      </c>
      <c r="P1336" s="116">
        <v>9.6</v>
      </c>
      <c r="Q1336" s="116">
        <v>18.850000000000001</v>
      </c>
      <c r="R1336">
        <v>50817</v>
      </c>
    </row>
    <row r="1337" spans="1:18" x14ac:dyDescent="0.25">
      <c r="A1337" s="166">
        <v>43979</v>
      </c>
      <c r="B1337" s="116">
        <v>9.75</v>
      </c>
      <c r="C1337" s="116">
        <v>9.7249999999999996</v>
      </c>
      <c r="D1337" s="116">
        <v>9.4250000000000007</v>
      </c>
      <c r="E1337" s="116">
        <v>9.5</v>
      </c>
      <c r="F1337" s="116">
        <v>19.45</v>
      </c>
      <c r="G1337">
        <v>4283</v>
      </c>
      <c r="H1337" s="116"/>
      <c r="I1337" s="116"/>
      <c r="L1337" s="166">
        <v>43979</v>
      </c>
      <c r="M1337" s="116">
        <v>9.6999999999999993</v>
      </c>
      <c r="N1337" s="116">
        <v>9.8000000000000007</v>
      </c>
      <c r="O1337" s="116">
        <v>9.375</v>
      </c>
      <c r="P1337" s="116">
        <v>9.4250000000000007</v>
      </c>
      <c r="Q1337" s="116">
        <v>19.399999999999999</v>
      </c>
      <c r="R1337">
        <v>59259</v>
      </c>
    </row>
    <row r="1338" spans="1:18" x14ac:dyDescent="0.25">
      <c r="A1338" s="166">
        <v>43980</v>
      </c>
      <c r="B1338" s="116">
        <v>9.9499999999999993</v>
      </c>
      <c r="C1338" s="116">
        <v>9.6750000000000007</v>
      </c>
      <c r="D1338" s="116">
        <v>9.5749999999999993</v>
      </c>
      <c r="E1338" s="116">
        <v>9.625</v>
      </c>
      <c r="F1338" s="116">
        <v>19.350000000000001</v>
      </c>
      <c r="G1338">
        <v>4453</v>
      </c>
      <c r="H1338" s="116"/>
      <c r="I1338" s="116"/>
      <c r="L1338" s="166">
        <v>43980</v>
      </c>
      <c r="M1338" s="116">
        <v>9.6750000000000007</v>
      </c>
      <c r="N1338" s="116">
        <v>9.9499999999999993</v>
      </c>
      <c r="O1338" s="116">
        <v>9.5</v>
      </c>
      <c r="P1338" s="116">
        <v>9.5749999999999993</v>
      </c>
      <c r="Q1338" s="116">
        <v>19.350000000000001</v>
      </c>
      <c r="R1338">
        <v>58528</v>
      </c>
    </row>
    <row r="1339" spans="1:18" x14ac:dyDescent="0.25">
      <c r="A1339" s="166">
        <v>43983</v>
      </c>
      <c r="B1339" s="116">
        <v>10.525</v>
      </c>
      <c r="C1339" s="116">
        <v>10.375</v>
      </c>
      <c r="D1339" s="116">
        <v>9.5</v>
      </c>
      <c r="E1339" s="116">
        <v>9.5</v>
      </c>
      <c r="F1339" s="116">
        <v>20.75</v>
      </c>
      <c r="G1339">
        <v>16183</v>
      </c>
      <c r="H1339" s="116"/>
      <c r="I1339" s="116"/>
      <c r="L1339" s="166">
        <v>43983</v>
      </c>
      <c r="M1339" s="116">
        <v>10.324999999999999</v>
      </c>
      <c r="N1339" s="116">
        <v>10.625</v>
      </c>
      <c r="O1339" s="116">
        <v>9.625</v>
      </c>
      <c r="P1339" s="116">
        <v>9.65</v>
      </c>
      <c r="Q1339" s="116">
        <v>20.65</v>
      </c>
      <c r="R1339">
        <v>114113</v>
      </c>
    </row>
    <row r="1340" spans="1:18" x14ac:dyDescent="0.25">
      <c r="A1340" s="166">
        <v>43984</v>
      </c>
      <c r="B1340" s="116">
        <v>11.5</v>
      </c>
      <c r="C1340" s="116">
        <v>10.75</v>
      </c>
      <c r="D1340" s="116">
        <v>10.025</v>
      </c>
      <c r="E1340" s="116">
        <v>11.5</v>
      </c>
      <c r="F1340" s="116">
        <v>21.5</v>
      </c>
      <c r="G1340">
        <v>8291</v>
      </c>
      <c r="H1340" s="116"/>
      <c r="I1340" s="116"/>
      <c r="L1340" s="166">
        <v>43984</v>
      </c>
      <c r="M1340" s="116">
        <v>10.7</v>
      </c>
      <c r="N1340" s="116">
        <v>10.8</v>
      </c>
      <c r="O1340" s="116">
        <v>10</v>
      </c>
      <c r="P1340" s="116">
        <v>10.475</v>
      </c>
      <c r="Q1340" s="116">
        <v>21.4</v>
      </c>
      <c r="R1340">
        <v>151023</v>
      </c>
    </row>
    <row r="1341" spans="1:18" x14ac:dyDescent="0.25">
      <c r="A1341" s="166">
        <v>43985</v>
      </c>
      <c r="B1341" s="116">
        <v>11.35</v>
      </c>
      <c r="C1341" s="116">
        <v>10.85</v>
      </c>
      <c r="D1341" s="116">
        <v>10.5</v>
      </c>
      <c r="E1341" s="116">
        <v>10.9</v>
      </c>
      <c r="F1341" s="116">
        <v>21.7</v>
      </c>
      <c r="G1341">
        <v>23653</v>
      </c>
      <c r="H1341" s="116"/>
      <c r="I1341" s="116"/>
      <c r="L1341" s="166">
        <v>43985</v>
      </c>
      <c r="M1341" s="116">
        <v>10.824999999999999</v>
      </c>
      <c r="N1341" s="116">
        <v>11.375</v>
      </c>
      <c r="O1341" s="116">
        <v>10.475</v>
      </c>
      <c r="P1341" s="116">
        <v>10.875</v>
      </c>
      <c r="Q1341" s="116">
        <v>21.65</v>
      </c>
      <c r="R1341">
        <v>158959</v>
      </c>
    </row>
    <row r="1342" spans="1:18" x14ac:dyDescent="0.25">
      <c r="A1342" s="166">
        <v>43986</v>
      </c>
      <c r="B1342" s="116">
        <v>10.925000000000001</v>
      </c>
      <c r="C1342" s="116">
        <v>10.275</v>
      </c>
      <c r="D1342" s="116">
        <v>10.25</v>
      </c>
      <c r="E1342" s="116">
        <v>10.875</v>
      </c>
      <c r="F1342" s="116">
        <v>20.55</v>
      </c>
      <c r="G1342">
        <v>9406</v>
      </c>
      <c r="H1342" s="116"/>
      <c r="I1342" s="116"/>
      <c r="L1342" s="166">
        <v>43986</v>
      </c>
      <c r="M1342" s="116">
        <v>10.4</v>
      </c>
      <c r="N1342" s="116">
        <v>10.975</v>
      </c>
      <c r="O1342" s="116">
        <v>10.25</v>
      </c>
      <c r="P1342" s="116">
        <v>10.7</v>
      </c>
      <c r="Q1342" s="116">
        <v>20.8</v>
      </c>
      <c r="R1342">
        <v>99891</v>
      </c>
    </row>
    <row r="1343" spans="1:18" x14ac:dyDescent="0.25">
      <c r="A1343" s="166">
        <v>43987</v>
      </c>
      <c r="B1343" s="116">
        <v>11.9</v>
      </c>
      <c r="C1343" s="116">
        <v>11.525</v>
      </c>
      <c r="D1343" s="116">
        <v>10.675000000000001</v>
      </c>
      <c r="E1343" s="116">
        <v>10.675000000000001</v>
      </c>
      <c r="F1343" s="116">
        <v>23.05</v>
      </c>
      <c r="G1343">
        <v>34818</v>
      </c>
      <c r="H1343" s="116"/>
      <c r="I1343" s="116"/>
      <c r="L1343" s="166">
        <v>43987</v>
      </c>
      <c r="M1343" s="116">
        <v>11.574999999999999</v>
      </c>
      <c r="N1343" s="116">
        <v>11.95</v>
      </c>
      <c r="O1343" s="116">
        <v>10.5</v>
      </c>
      <c r="P1343" s="116">
        <v>10.65</v>
      </c>
      <c r="Q1343" s="116">
        <v>23.15</v>
      </c>
      <c r="R1343">
        <v>225975</v>
      </c>
    </row>
    <row r="1344" spans="1:18" x14ac:dyDescent="0.25">
      <c r="A1344" s="166">
        <v>43990</v>
      </c>
      <c r="B1344" s="116">
        <v>12.4</v>
      </c>
      <c r="C1344" s="116">
        <v>11.625</v>
      </c>
      <c r="D1344" s="116">
        <v>11.574999999999999</v>
      </c>
      <c r="E1344" s="116">
        <v>12.25</v>
      </c>
      <c r="F1344" s="116">
        <v>23.25</v>
      </c>
      <c r="G1344">
        <v>39064</v>
      </c>
      <c r="H1344" s="116"/>
      <c r="I1344" s="116"/>
      <c r="L1344" s="166">
        <v>43990</v>
      </c>
      <c r="M1344" s="116">
        <v>11.65</v>
      </c>
      <c r="N1344" s="116">
        <v>12.45</v>
      </c>
      <c r="O1344" s="116">
        <v>11.55</v>
      </c>
      <c r="P1344" s="116">
        <v>12.425000000000001</v>
      </c>
      <c r="Q1344" s="116">
        <v>23.3</v>
      </c>
      <c r="R1344">
        <v>190855</v>
      </c>
    </row>
    <row r="1345" spans="1:18" x14ac:dyDescent="0.25">
      <c r="A1345" s="166">
        <v>43991</v>
      </c>
      <c r="B1345" s="116">
        <v>11.85</v>
      </c>
      <c r="C1345" s="116">
        <v>11.1</v>
      </c>
      <c r="D1345" s="116">
        <v>10.9</v>
      </c>
      <c r="E1345" s="116">
        <v>11.85</v>
      </c>
      <c r="F1345" s="116">
        <v>22.2</v>
      </c>
      <c r="G1345">
        <v>15850</v>
      </c>
      <c r="H1345" s="116"/>
      <c r="I1345" s="116"/>
      <c r="L1345" s="166">
        <v>43991</v>
      </c>
      <c r="M1345" s="116">
        <v>11.15</v>
      </c>
      <c r="N1345" s="116">
        <v>11.95</v>
      </c>
      <c r="O1345" s="116">
        <v>10.85</v>
      </c>
      <c r="P1345" s="116">
        <v>11.95</v>
      </c>
      <c r="Q1345" s="116">
        <v>22.3</v>
      </c>
      <c r="R1345">
        <v>118923</v>
      </c>
    </row>
    <row r="1346" spans="1:18" x14ac:dyDescent="0.25">
      <c r="A1346" s="166">
        <v>43992</v>
      </c>
      <c r="B1346" s="116">
        <v>11.5</v>
      </c>
      <c r="C1346" s="116">
        <v>11.2</v>
      </c>
      <c r="D1346" s="116">
        <v>11.15</v>
      </c>
      <c r="E1346" s="116">
        <v>11.45</v>
      </c>
      <c r="F1346" s="116">
        <v>22.4</v>
      </c>
      <c r="G1346">
        <v>5972</v>
      </c>
      <c r="H1346" s="116"/>
      <c r="I1346" s="116"/>
      <c r="L1346" s="166">
        <v>43992</v>
      </c>
      <c r="M1346" s="116">
        <v>11.2</v>
      </c>
      <c r="N1346" s="116">
        <v>11.5</v>
      </c>
      <c r="O1346" s="116">
        <v>11.1</v>
      </c>
      <c r="P1346" s="116">
        <v>11.1</v>
      </c>
      <c r="Q1346" s="116">
        <v>22.4</v>
      </c>
      <c r="R1346">
        <v>80607</v>
      </c>
    </row>
    <row r="1347" spans="1:18" x14ac:dyDescent="0.25">
      <c r="A1347" s="166">
        <v>43993</v>
      </c>
      <c r="B1347" s="116">
        <v>11.95</v>
      </c>
      <c r="C1347" s="116">
        <v>11.3</v>
      </c>
      <c r="D1347" s="116">
        <v>11.225</v>
      </c>
      <c r="E1347" s="116">
        <v>11.275</v>
      </c>
      <c r="F1347" s="116">
        <v>22.6</v>
      </c>
      <c r="G1347">
        <v>25904</v>
      </c>
      <c r="H1347" s="116"/>
      <c r="I1347" s="116"/>
      <c r="L1347" s="166">
        <v>43993</v>
      </c>
      <c r="M1347" s="116">
        <v>11.25</v>
      </c>
      <c r="N1347" s="116">
        <v>11.925000000000001</v>
      </c>
      <c r="O1347" s="116">
        <v>11.125</v>
      </c>
      <c r="P1347" s="116">
        <v>11.125</v>
      </c>
      <c r="Q1347" s="116">
        <v>22.5</v>
      </c>
      <c r="R1347">
        <v>154759</v>
      </c>
    </row>
    <row r="1348" spans="1:18" x14ac:dyDescent="0.25">
      <c r="A1348" s="166">
        <v>43994</v>
      </c>
      <c r="B1348" s="116">
        <v>11.574999999999999</v>
      </c>
      <c r="C1348" s="116">
        <v>11.45</v>
      </c>
      <c r="D1348" s="116">
        <v>10.675000000000001</v>
      </c>
      <c r="E1348" s="116">
        <v>10.725</v>
      </c>
      <c r="F1348" s="116">
        <v>22.9</v>
      </c>
      <c r="G1348">
        <v>18842</v>
      </c>
      <c r="H1348" s="116"/>
      <c r="I1348" s="116"/>
      <c r="L1348" s="166">
        <v>43994</v>
      </c>
      <c r="M1348" s="116">
        <v>11.425000000000001</v>
      </c>
      <c r="N1348" s="116">
        <v>11.75</v>
      </c>
      <c r="O1348" s="116">
        <v>10.574999999999999</v>
      </c>
      <c r="P1348" s="116">
        <v>10.574999999999999</v>
      </c>
      <c r="Q1348" s="116">
        <v>22.85</v>
      </c>
      <c r="R1348">
        <v>123205</v>
      </c>
    </row>
    <row r="1349" spans="1:18" x14ac:dyDescent="0.25">
      <c r="A1349" s="166">
        <v>43997</v>
      </c>
      <c r="B1349" s="116">
        <v>11.6</v>
      </c>
      <c r="C1349" s="116">
        <v>11.225</v>
      </c>
      <c r="D1349" s="116">
        <v>11.074999999999999</v>
      </c>
      <c r="E1349" s="116">
        <v>11.525</v>
      </c>
      <c r="F1349" s="116">
        <v>22.45</v>
      </c>
      <c r="G1349">
        <v>8525</v>
      </c>
      <c r="H1349" s="116"/>
      <c r="I1349" s="116"/>
      <c r="L1349" s="166">
        <v>43997</v>
      </c>
      <c r="M1349" s="116">
        <v>11.3</v>
      </c>
      <c r="N1349" s="116">
        <v>11.725</v>
      </c>
      <c r="O1349" s="116">
        <v>11.1</v>
      </c>
      <c r="P1349" s="116">
        <v>11.15</v>
      </c>
      <c r="Q1349" s="116">
        <v>22.6</v>
      </c>
      <c r="R1349">
        <v>48332</v>
      </c>
    </row>
    <row r="1350" spans="1:18" x14ac:dyDescent="0.25">
      <c r="A1350" s="166">
        <v>43998</v>
      </c>
      <c r="B1350" s="116">
        <v>12.3</v>
      </c>
      <c r="C1350" s="116">
        <v>11.7</v>
      </c>
      <c r="D1350" s="116">
        <v>11.25</v>
      </c>
      <c r="E1350" s="116">
        <v>11.525</v>
      </c>
      <c r="F1350" s="116">
        <v>23.4</v>
      </c>
      <c r="G1350">
        <v>34732</v>
      </c>
      <c r="H1350" s="116"/>
      <c r="I1350" s="116"/>
      <c r="L1350" s="166">
        <v>43998</v>
      </c>
      <c r="M1350" s="116">
        <v>11.7</v>
      </c>
      <c r="N1350" s="116">
        <v>12.375</v>
      </c>
      <c r="O1350" s="116">
        <v>11.25</v>
      </c>
      <c r="P1350" s="116">
        <v>11.475</v>
      </c>
      <c r="Q1350" s="116">
        <v>23.4</v>
      </c>
      <c r="R1350">
        <v>251418</v>
      </c>
    </row>
    <row r="1351" spans="1:18" x14ac:dyDescent="0.25">
      <c r="A1351" s="166">
        <v>43999</v>
      </c>
      <c r="B1351" s="116">
        <v>12.175000000000001</v>
      </c>
      <c r="C1351" s="116">
        <v>11.975</v>
      </c>
      <c r="D1351" s="116">
        <v>11</v>
      </c>
      <c r="E1351" s="116">
        <v>11</v>
      </c>
      <c r="F1351" s="116">
        <v>23.95</v>
      </c>
      <c r="G1351">
        <v>12245</v>
      </c>
      <c r="H1351" s="116"/>
      <c r="I1351" s="116"/>
      <c r="L1351" s="166">
        <v>43999</v>
      </c>
      <c r="M1351" s="116">
        <v>11.975</v>
      </c>
      <c r="N1351" s="116">
        <v>12.25</v>
      </c>
      <c r="O1351" s="116">
        <v>11.55</v>
      </c>
      <c r="P1351" s="116">
        <v>11.7</v>
      </c>
      <c r="Q1351" s="116">
        <v>23.95</v>
      </c>
      <c r="R1351">
        <v>86508</v>
      </c>
    </row>
    <row r="1352" spans="1:18" x14ac:dyDescent="0.25">
      <c r="A1352" s="166">
        <v>44000</v>
      </c>
      <c r="B1352" s="116">
        <v>14.35</v>
      </c>
      <c r="C1352" s="116">
        <v>14.35</v>
      </c>
      <c r="D1352" s="116">
        <v>11.875</v>
      </c>
      <c r="E1352" s="116">
        <v>12.05</v>
      </c>
      <c r="F1352" s="116">
        <v>28.7</v>
      </c>
      <c r="G1352">
        <v>133307</v>
      </c>
      <c r="H1352" s="116"/>
      <c r="I1352" s="116"/>
      <c r="L1352" s="166">
        <v>44000</v>
      </c>
      <c r="M1352" s="116">
        <v>14.35</v>
      </c>
      <c r="N1352" s="116">
        <v>14.35</v>
      </c>
      <c r="O1352" s="116">
        <v>11.875</v>
      </c>
      <c r="P1352" s="116">
        <v>11.875</v>
      </c>
      <c r="Q1352" s="116">
        <v>28.7</v>
      </c>
      <c r="R1352">
        <v>686919</v>
      </c>
    </row>
    <row r="1353" spans="1:18" x14ac:dyDescent="0.25">
      <c r="A1353" s="166">
        <v>44001</v>
      </c>
      <c r="B1353" s="116">
        <v>15.4</v>
      </c>
      <c r="C1353" s="116">
        <v>13.625</v>
      </c>
      <c r="D1353" s="116">
        <v>13.5</v>
      </c>
      <c r="E1353" s="116">
        <v>14.925000000000001</v>
      </c>
      <c r="F1353" s="116">
        <v>27.25</v>
      </c>
      <c r="G1353">
        <v>50798</v>
      </c>
      <c r="H1353" s="116"/>
      <c r="I1353" s="116"/>
      <c r="L1353" s="166">
        <v>44001</v>
      </c>
      <c r="M1353" s="116">
        <v>13.6</v>
      </c>
      <c r="N1353" s="116">
        <v>15.3</v>
      </c>
      <c r="O1353" s="116">
        <v>13.4</v>
      </c>
      <c r="P1353" s="116">
        <v>15.2</v>
      </c>
      <c r="Q1353" s="116">
        <v>27.2</v>
      </c>
      <c r="R1353">
        <v>361932</v>
      </c>
    </row>
    <row r="1354" spans="1:18" x14ac:dyDescent="0.25">
      <c r="A1354" s="166">
        <v>44004</v>
      </c>
      <c r="B1354" s="116">
        <v>13.85</v>
      </c>
      <c r="C1354" s="116">
        <v>13.35</v>
      </c>
      <c r="D1354" s="116">
        <v>12.95</v>
      </c>
      <c r="E1354" s="116">
        <v>13.55</v>
      </c>
      <c r="F1354" s="116">
        <v>26.7</v>
      </c>
      <c r="G1354">
        <v>31098</v>
      </c>
      <c r="H1354" s="116"/>
      <c r="I1354" s="116"/>
      <c r="L1354" s="166">
        <v>44004</v>
      </c>
      <c r="M1354" s="116">
        <v>13.35</v>
      </c>
      <c r="N1354" s="116">
        <v>14</v>
      </c>
      <c r="O1354" s="116">
        <v>12.8</v>
      </c>
      <c r="P1354" s="116">
        <v>13.65</v>
      </c>
      <c r="Q1354" s="116">
        <v>26.7</v>
      </c>
      <c r="R1354">
        <v>120171</v>
      </c>
    </row>
    <row r="1355" spans="1:18" x14ac:dyDescent="0.25">
      <c r="A1355" s="166">
        <v>44005</v>
      </c>
      <c r="B1355" s="116">
        <v>13.675000000000001</v>
      </c>
      <c r="C1355" s="116">
        <v>13.525</v>
      </c>
      <c r="D1355" s="116">
        <v>13.35</v>
      </c>
      <c r="E1355" s="116">
        <v>13.525</v>
      </c>
      <c r="F1355" s="116">
        <v>27.05</v>
      </c>
      <c r="G1355">
        <v>20743</v>
      </c>
      <c r="H1355" s="116"/>
      <c r="I1355" s="116"/>
      <c r="L1355" s="166">
        <v>44005</v>
      </c>
      <c r="M1355" s="116">
        <v>13.525</v>
      </c>
      <c r="N1355" s="116">
        <v>13.725</v>
      </c>
      <c r="O1355" s="116">
        <v>13.324999999999999</v>
      </c>
      <c r="P1355" s="116">
        <v>13.375</v>
      </c>
      <c r="Q1355" s="116">
        <v>27.05</v>
      </c>
      <c r="R1355">
        <v>119622</v>
      </c>
    </row>
    <row r="1356" spans="1:18" x14ac:dyDescent="0.25">
      <c r="A1356" s="166">
        <v>44006</v>
      </c>
      <c r="B1356" s="116">
        <v>13.775</v>
      </c>
      <c r="C1356" s="116">
        <v>12.824999999999999</v>
      </c>
      <c r="D1356" s="116">
        <v>12.75</v>
      </c>
      <c r="E1356" s="116">
        <v>13.775</v>
      </c>
      <c r="F1356" s="116">
        <v>25.65</v>
      </c>
      <c r="G1356">
        <v>24282</v>
      </c>
      <c r="H1356" s="116"/>
      <c r="I1356" s="116"/>
      <c r="L1356" s="166">
        <v>44006</v>
      </c>
      <c r="M1356" s="116">
        <v>12.875</v>
      </c>
      <c r="N1356" s="116">
        <v>13.85</v>
      </c>
      <c r="O1356" s="116">
        <v>12.75</v>
      </c>
      <c r="P1356" s="116">
        <v>13.55</v>
      </c>
      <c r="Q1356" s="116">
        <v>25.75</v>
      </c>
      <c r="R1356">
        <v>125156</v>
      </c>
    </row>
    <row r="1357" spans="1:18" x14ac:dyDescent="0.25">
      <c r="A1357" s="166">
        <v>44007</v>
      </c>
      <c r="B1357" s="116">
        <v>13.074999999999999</v>
      </c>
      <c r="C1357" s="116">
        <v>12.975</v>
      </c>
      <c r="D1357" s="116">
        <v>12.574999999999999</v>
      </c>
      <c r="E1357" s="116">
        <v>12.975</v>
      </c>
      <c r="F1357" s="116">
        <v>25.95</v>
      </c>
      <c r="G1357">
        <v>19555</v>
      </c>
      <c r="H1357" s="116"/>
      <c r="I1357" s="116"/>
      <c r="L1357" s="166">
        <v>44007</v>
      </c>
      <c r="M1357" s="116">
        <v>12.95</v>
      </c>
      <c r="N1357" s="116">
        <v>13.125</v>
      </c>
      <c r="O1357" s="116">
        <v>12.5</v>
      </c>
      <c r="P1357" s="116">
        <v>13.125</v>
      </c>
      <c r="Q1357" s="116">
        <v>25.9</v>
      </c>
      <c r="R1357">
        <v>64220</v>
      </c>
    </row>
    <row r="1358" spans="1:18" x14ac:dyDescent="0.25">
      <c r="A1358" s="166">
        <v>44008</v>
      </c>
      <c r="B1358" s="116">
        <v>13.75</v>
      </c>
      <c r="C1358" s="116">
        <v>13.175000000000001</v>
      </c>
      <c r="D1358" s="116">
        <v>12.55</v>
      </c>
      <c r="E1358" s="116">
        <v>13.074999999999999</v>
      </c>
      <c r="F1358" s="116">
        <v>26.35</v>
      </c>
      <c r="G1358">
        <v>31794</v>
      </c>
      <c r="H1358" s="116"/>
      <c r="I1358" s="116"/>
      <c r="L1358" s="166">
        <v>44008</v>
      </c>
      <c r="M1358" s="116">
        <v>13.15</v>
      </c>
      <c r="N1358" s="116">
        <v>13.725</v>
      </c>
      <c r="O1358" s="116">
        <v>12.45</v>
      </c>
      <c r="P1358" s="116">
        <v>13.375</v>
      </c>
      <c r="Q1358" s="116">
        <v>26.3</v>
      </c>
      <c r="R1358">
        <v>257939</v>
      </c>
    </row>
    <row r="1359" spans="1:18" x14ac:dyDescent="0.25">
      <c r="A1359" s="166">
        <v>44011</v>
      </c>
      <c r="B1359" s="116">
        <v>14.45</v>
      </c>
      <c r="C1359" s="116">
        <v>13.75</v>
      </c>
      <c r="D1359" s="116">
        <v>13.275</v>
      </c>
      <c r="E1359" s="116">
        <v>13.275</v>
      </c>
      <c r="F1359" s="116">
        <v>27.5</v>
      </c>
      <c r="G1359">
        <v>88081</v>
      </c>
      <c r="H1359" s="116"/>
      <c r="I1359" s="116"/>
      <c r="L1359" s="166">
        <v>44011</v>
      </c>
      <c r="M1359" s="116">
        <v>13.7</v>
      </c>
      <c r="N1359" s="116">
        <v>14.4</v>
      </c>
      <c r="O1359" s="116">
        <v>13.45</v>
      </c>
      <c r="P1359" s="116">
        <v>14</v>
      </c>
      <c r="Q1359" s="116">
        <v>27.4</v>
      </c>
      <c r="R1359">
        <v>487111</v>
      </c>
    </row>
    <row r="1360" spans="1:18" x14ac:dyDescent="0.25">
      <c r="A1360" s="166">
        <v>44012</v>
      </c>
      <c r="B1360" s="116">
        <v>13.9</v>
      </c>
      <c r="C1360" s="116">
        <v>13.175000000000001</v>
      </c>
      <c r="D1360" s="116">
        <v>13.025</v>
      </c>
      <c r="E1360" s="116">
        <v>13.85</v>
      </c>
      <c r="F1360" s="116">
        <v>26.35</v>
      </c>
      <c r="G1360">
        <v>17717</v>
      </c>
      <c r="H1360" s="116"/>
      <c r="I1360" s="116"/>
      <c r="L1360" s="166">
        <v>44012</v>
      </c>
      <c r="M1360" s="116">
        <v>13.05</v>
      </c>
      <c r="N1360" s="116">
        <v>14</v>
      </c>
      <c r="O1360" s="116">
        <v>12.95</v>
      </c>
      <c r="P1360" s="116">
        <v>14</v>
      </c>
      <c r="Q1360" s="116">
        <v>26.1</v>
      </c>
      <c r="R1360">
        <v>110533</v>
      </c>
    </row>
    <row r="1361" spans="1:18" x14ac:dyDescent="0.25">
      <c r="A1361" s="166">
        <v>44013</v>
      </c>
      <c r="B1361" s="116">
        <v>13.05</v>
      </c>
      <c r="C1361" s="116">
        <v>12.75</v>
      </c>
      <c r="D1361" s="116">
        <v>12.6</v>
      </c>
      <c r="E1361" s="116">
        <v>12.6</v>
      </c>
      <c r="F1361" s="116">
        <v>25.5</v>
      </c>
      <c r="G1361">
        <v>17354</v>
      </c>
      <c r="H1361" s="116"/>
      <c r="I1361" s="116"/>
      <c r="L1361" s="166">
        <v>44013</v>
      </c>
      <c r="M1361" s="116">
        <v>12.725</v>
      </c>
      <c r="N1361" s="116">
        <v>13.25</v>
      </c>
      <c r="O1361" s="116">
        <v>12.6</v>
      </c>
      <c r="P1361" s="116">
        <v>13.25</v>
      </c>
      <c r="Q1361" s="116">
        <v>25.45</v>
      </c>
      <c r="R1361">
        <v>115170</v>
      </c>
    </row>
    <row r="1362" spans="1:18" x14ac:dyDescent="0.25">
      <c r="A1362" s="166">
        <v>44014</v>
      </c>
      <c r="B1362" s="116">
        <v>13.175000000000001</v>
      </c>
      <c r="C1362" s="116">
        <v>12.65</v>
      </c>
      <c r="D1362" s="116">
        <v>12.55</v>
      </c>
      <c r="E1362" s="116">
        <v>12.824999999999999</v>
      </c>
      <c r="F1362" s="116">
        <v>25.3</v>
      </c>
      <c r="G1362">
        <v>14307</v>
      </c>
      <c r="H1362" s="116"/>
      <c r="I1362" s="116"/>
      <c r="L1362" s="166">
        <v>44014</v>
      </c>
      <c r="M1362" s="116">
        <v>12.675000000000001</v>
      </c>
      <c r="N1362" s="116">
        <v>13</v>
      </c>
      <c r="O1362" s="116">
        <v>12.574999999999999</v>
      </c>
      <c r="P1362" s="116">
        <v>12.975</v>
      </c>
      <c r="Q1362" s="116">
        <v>25.35</v>
      </c>
      <c r="R1362">
        <v>100482</v>
      </c>
    </row>
    <row r="1363" spans="1:18" x14ac:dyDescent="0.25">
      <c r="A1363" s="166">
        <v>44015</v>
      </c>
      <c r="B1363" s="116">
        <v>13.025</v>
      </c>
      <c r="C1363" s="116">
        <v>12.525</v>
      </c>
      <c r="D1363" s="116">
        <v>12.45</v>
      </c>
      <c r="E1363" s="116">
        <v>13</v>
      </c>
      <c r="F1363" s="116">
        <v>25.05</v>
      </c>
      <c r="G1363">
        <v>12309</v>
      </c>
      <c r="H1363" s="116"/>
      <c r="I1363" s="116"/>
      <c r="L1363" s="166">
        <v>44015</v>
      </c>
      <c r="M1363" s="116">
        <v>12.5</v>
      </c>
      <c r="N1363" s="116">
        <v>12.875</v>
      </c>
      <c r="O1363" s="116">
        <v>12.4</v>
      </c>
      <c r="P1363" s="116">
        <v>12.725</v>
      </c>
      <c r="Q1363" s="116">
        <v>25</v>
      </c>
      <c r="R1363">
        <v>112724</v>
      </c>
    </row>
    <row r="1364" spans="1:18" x14ac:dyDescent="0.25">
      <c r="A1364" s="166">
        <v>44018</v>
      </c>
      <c r="B1364" s="116">
        <v>14.5</v>
      </c>
      <c r="C1364" s="116">
        <v>14.025</v>
      </c>
      <c r="D1364" s="116">
        <v>12.3</v>
      </c>
      <c r="E1364" s="116">
        <v>12.85</v>
      </c>
      <c r="F1364" s="116">
        <v>28.05</v>
      </c>
      <c r="G1364">
        <v>144083</v>
      </c>
      <c r="H1364" s="116"/>
      <c r="I1364" s="116"/>
      <c r="L1364" s="166">
        <v>44018</v>
      </c>
      <c r="M1364" s="116">
        <v>13.95</v>
      </c>
      <c r="N1364" s="116">
        <v>14.5</v>
      </c>
      <c r="O1364" s="116">
        <v>12.324999999999999</v>
      </c>
      <c r="P1364" s="116">
        <v>12.85</v>
      </c>
      <c r="Q1364" s="116">
        <v>27.9</v>
      </c>
      <c r="R1364">
        <v>971772</v>
      </c>
    </row>
    <row r="1365" spans="1:18" x14ac:dyDescent="0.25">
      <c r="A1365" s="166">
        <v>44019</v>
      </c>
      <c r="B1365" s="116">
        <v>15.2</v>
      </c>
      <c r="C1365" s="116">
        <v>14.7</v>
      </c>
      <c r="D1365" s="116">
        <v>14.275</v>
      </c>
      <c r="E1365" s="116">
        <v>14.3</v>
      </c>
      <c r="F1365" s="116">
        <v>29.4</v>
      </c>
      <c r="G1365">
        <v>153976</v>
      </c>
      <c r="H1365" s="116"/>
      <c r="I1365" s="116"/>
      <c r="L1365" s="166">
        <v>44019</v>
      </c>
      <c r="M1365" s="116">
        <v>14.7</v>
      </c>
      <c r="N1365" s="116">
        <v>15.425000000000001</v>
      </c>
      <c r="O1365" s="116">
        <v>14.025</v>
      </c>
      <c r="P1365" s="116">
        <v>14.225</v>
      </c>
      <c r="Q1365" s="116">
        <v>29.4</v>
      </c>
      <c r="R1365">
        <v>684624</v>
      </c>
    </row>
    <row r="1366" spans="1:18" x14ac:dyDescent="0.25">
      <c r="A1366" s="166">
        <v>44020</v>
      </c>
      <c r="B1366" s="116">
        <v>15.425000000000001</v>
      </c>
      <c r="C1366" s="116">
        <v>14.05</v>
      </c>
      <c r="D1366" s="116">
        <v>13.925000000000001</v>
      </c>
      <c r="E1366" s="116">
        <v>15</v>
      </c>
      <c r="F1366" s="116">
        <v>28.1</v>
      </c>
      <c r="G1366">
        <v>42515</v>
      </c>
      <c r="H1366" s="116"/>
      <c r="I1366" s="116"/>
      <c r="L1366" s="166">
        <v>44020</v>
      </c>
      <c r="M1366" s="116">
        <v>14</v>
      </c>
      <c r="N1366" s="116">
        <v>15.5</v>
      </c>
      <c r="O1366" s="116">
        <v>13.85</v>
      </c>
      <c r="P1366" s="116">
        <v>14.95</v>
      </c>
      <c r="Q1366" s="116">
        <v>28</v>
      </c>
      <c r="R1366">
        <v>309339</v>
      </c>
    </row>
    <row r="1367" spans="1:18" x14ac:dyDescent="0.25">
      <c r="A1367" s="166">
        <v>44021</v>
      </c>
      <c r="B1367" s="116">
        <v>14.4</v>
      </c>
      <c r="C1367" s="116">
        <v>13.824999999999999</v>
      </c>
      <c r="D1367" s="116">
        <v>13.7</v>
      </c>
      <c r="E1367" s="116">
        <v>14.25</v>
      </c>
      <c r="F1367" s="116">
        <v>27.65</v>
      </c>
      <c r="G1367">
        <v>22454</v>
      </c>
      <c r="H1367" s="116"/>
      <c r="I1367" s="116"/>
      <c r="L1367" s="166">
        <v>44021</v>
      </c>
      <c r="M1367" s="116">
        <v>13.824999999999999</v>
      </c>
      <c r="N1367" s="116">
        <v>14.45</v>
      </c>
      <c r="O1367" s="116">
        <v>13.675000000000001</v>
      </c>
      <c r="P1367" s="116">
        <v>14.05</v>
      </c>
      <c r="Q1367" s="116">
        <v>27.65</v>
      </c>
      <c r="R1367">
        <v>134464</v>
      </c>
    </row>
    <row r="1368" spans="1:18" x14ac:dyDescent="0.25">
      <c r="A1368" s="166">
        <v>44022</v>
      </c>
      <c r="B1368" s="116">
        <v>13.9</v>
      </c>
      <c r="C1368" s="116">
        <v>13.4</v>
      </c>
      <c r="D1368" s="116">
        <v>13.375</v>
      </c>
      <c r="E1368" s="116">
        <v>13.65</v>
      </c>
      <c r="F1368" s="116">
        <v>26.8</v>
      </c>
      <c r="G1368">
        <v>13409</v>
      </c>
      <c r="H1368" s="116"/>
      <c r="I1368" s="116"/>
      <c r="L1368" s="166">
        <v>44022</v>
      </c>
      <c r="M1368" s="116">
        <v>13.45</v>
      </c>
      <c r="N1368" s="116">
        <v>13.875</v>
      </c>
      <c r="O1368" s="116">
        <v>13.35</v>
      </c>
      <c r="P1368" s="116">
        <v>13.55</v>
      </c>
      <c r="Q1368" s="116">
        <v>26.9</v>
      </c>
      <c r="R1368">
        <v>140992</v>
      </c>
    </row>
    <row r="1369" spans="1:18" x14ac:dyDescent="0.25">
      <c r="A1369" s="166">
        <v>44025</v>
      </c>
      <c r="B1369" s="116">
        <v>13.75</v>
      </c>
      <c r="C1369" s="116">
        <v>13.25</v>
      </c>
      <c r="D1369" s="116">
        <v>13.2</v>
      </c>
      <c r="E1369" s="116">
        <v>13.6</v>
      </c>
      <c r="F1369" s="116">
        <v>26.5</v>
      </c>
      <c r="G1369">
        <v>18195</v>
      </c>
      <c r="H1369" s="116"/>
      <c r="I1369" s="116"/>
      <c r="L1369" s="166">
        <v>44025</v>
      </c>
      <c r="M1369" s="116">
        <v>13.275</v>
      </c>
      <c r="N1369" s="116">
        <v>13.75</v>
      </c>
      <c r="O1369" s="116">
        <v>13.2</v>
      </c>
      <c r="P1369" s="116">
        <v>13.55</v>
      </c>
      <c r="Q1369" s="116">
        <v>26.55</v>
      </c>
      <c r="R1369">
        <v>80380</v>
      </c>
    </row>
    <row r="1370" spans="1:18" x14ac:dyDescent="0.25">
      <c r="A1370" s="166">
        <v>44026</v>
      </c>
      <c r="B1370" s="116">
        <v>13.175000000000001</v>
      </c>
      <c r="C1370" s="116">
        <v>12.925000000000001</v>
      </c>
      <c r="D1370" s="116">
        <v>12.824999999999999</v>
      </c>
      <c r="E1370" s="116">
        <v>13.1</v>
      </c>
      <c r="F1370" s="116">
        <v>25.85</v>
      </c>
      <c r="G1370">
        <v>2661</v>
      </c>
      <c r="H1370" s="116"/>
      <c r="I1370" s="116"/>
      <c r="L1370" s="166">
        <v>44026</v>
      </c>
      <c r="M1370" s="116">
        <v>12.9</v>
      </c>
      <c r="N1370" s="116">
        <v>13.25</v>
      </c>
      <c r="O1370" s="116">
        <v>12.8</v>
      </c>
      <c r="P1370" s="116">
        <v>13.25</v>
      </c>
      <c r="Q1370" s="116">
        <v>25.8</v>
      </c>
      <c r="R1370">
        <v>78830</v>
      </c>
    </row>
    <row r="1371" spans="1:18" x14ac:dyDescent="0.25">
      <c r="A1371" s="166">
        <v>44027</v>
      </c>
      <c r="B1371" s="116">
        <v>13.75</v>
      </c>
      <c r="C1371" s="116">
        <v>12.85</v>
      </c>
      <c r="D1371" s="116">
        <v>12.675000000000001</v>
      </c>
      <c r="E1371" s="116">
        <v>13.75</v>
      </c>
      <c r="F1371" s="116">
        <v>25.7</v>
      </c>
      <c r="G1371">
        <v>22007</v>
      </c>
      <c r="H1371" s="116"/>
      <c r="I1371" s="116"/>
      <c r="L1371" s="166">
        <v>44027</v>
      </c>
      <c r="M1371" s="116">
        <v>12.824999999999999</v>
      </c>
      <c r="N1371" s="116">
        <v>13.4</v>
      </c>
      <c r="O1371" s="116">
        <v>12.75</v>
      </c>
      <c r="P1371" s="116">
        <v>13.025</v>
      </c>
      <c r="Q1371" s="116">
        <v>25.65</v>
      </c>
      <c r="R1371">
        <v>87122</v>
      </c>
    </row>
    <row r="1372" spans="1:18" x14ac:dyDescent="0.25">
      <c r="A1372" s="166">
        <v>44028</v>
      </c>
      <c r="B1372" s="116">
        <v>12.975</v>
      </c>
      <c r="C1372" s="116">
        <v>12.574999999999999</v>
      </c>
      <c r="D1372" s="116">
        <v>12.125</v>
      </c>
      <c r="E1372" s="116">
        <v>12.95</v>
      </c>
      <c r="F1372" s="116">
        <v>25.15</v>
      </c>
      <c r="G1372">
        <v>19999</v>
      </c>
      <c r="H1372" s="116"/>
      <c r="I1372" s="116"/>
      <c r="L1372" s="166">
        <v>44028</v>
      </c>
      <c r="M1372" s="116">
        <v>12.675000000000001</v>
      </c>
      <c r="N1372" s="116">
        <v>13</v>
      </c>
      <c r="O1372" s="116">
        <v>12.25</v>
      </c>
      <c r="P1372" s="116">
        <v>12.9</v>
      </c>
      <c r="Q1372" s="116">
        <v>25.35</v>
      </c>
      <c r="R1372">
        <v>109615</v>
      </c>
    </row>
    <row r="1373" spans="1:18" x14ac:dyDescent="0.25">
      <c r="A1373" s="166">
        <v>44029</v>
      </c>
      <c r="B1373" s="116">
        <v>13.225</v>
      </c>
      <c r="C1373" s="116">
        <v>12.925000000000001</v>
      </c>
      <c r="D1373" s="116">
        <v>12.8</v>
      </c>
      <c r="E1373" s="116">
        <v>13</v>
      </c>
      <c r="F1373" s="116">
        <v>25.85</v>
      </c>
      <c r="G1373">
        <v>6542</v>
      </c>
      <c r="H1373" s="116"/>
      <c r="I1373" s="116"/>
      <c r="L1373" s="166">
        <v>44029</v>
      </c>
      <c r="M1373" s="116">
        <v>12.975</v>
      </c>
      <c r="N1373" s="116">
        <v>13.3</v>
      </c>
      <c r="O1373" s="116">
        <v>12.55</v>
      </c>
      <c r="P1373" s="116">
        <v>12.65</v>
      </c>
      <c r="Q1373" s="116">
        <v>25.95</v>
      </c>
      <c r="R1373">
        <v>89586</v>
      </c>
    </row>
    <row r="1374" spans="1:18" x14ac:dyDescent="0.25">
      <c r="A1374" s="166">
        <v>44032</v>
      </c>
      <c r="B1374" s="116">
        <v>13.25</v>
      </c>
      <c r="C1374" s="116">
        <v>13.05</v>
      </c>
      <c r="D1374" s="116">
        <v>12.9</v>
      </c>
      <c r="E1374" s="116">
        <v>13</v>
      </c>
      <c r="F1374" s="116">
        <v>26.1</v>
      </c>
      <c r="G1374">
        <v>9158</v>
      </c>
      <c r="H1374" s="116"/>
      <c r="I1374" s="116"/>
      <c r="L1374" s="166">
        <v>44032</v>
      </c>
      <c r="M1374" s="116">
        <v>13.05</v>
      </c>
      <c r="N1374" s="116">
        <v>13.275</v>
      </c>
      <c r="O1374" s="116">
        <v>12.9</v>
      </c>
      <c r="P1374" s="116">
        <v>13.25</v>
      </c>
      <c r="Q1374" s="116">
        <v>26.1</v>
      </c>
      <c r="R1374">
        <v>70770</v>
      </c>
    </row>
    <row r="1375" spans="1:18" x14ac:dyDescent="0.25">
      <c r="A1375" s="166">
        <v>44033</v>
      </c>
      <c r="B1375" s="116">
        <v>13.175000000000001</v>
      </c>
      <c r="C1375" s="116">
        <v>12.975</v>
      </c>
      <c r="D1375" s="116">
        <v>12.975</v>
      </c>
      <c r="E1375" s="116">
        <v>13.05</v>
      </c>
      <c r="F1375" s="116">
        <v>25.95</v>
      </c>
      <c r="G1375">
        <v>4885</v>
      </c>
      <c r="H1375" s="116"/>
      <c r="I1375" s="116"/>
      <c r="L1375" s="166">
        <v>44033</v>
      </c>
      <c r="M1375" s="116">
        <v>13</v>
      </c>
      <c r="N1375" s="116">
        <v>13.175000000000001</v>
      </c>
      <c r="O1375" s="116">
        <v>12.9</v>
      </c>
      <c r="P1375" s="116">
        <v>13</v>
      </c>
      <c r="Q1375" s="116">
        <v>26</v>
      </c>
      <c r="R1375">
        <v>67891</v>
      </c>
    </row>
    <row r="1376" spans="1:18" x14ac:dyDescent="0.25">
      <c r="A1376" s="166">
        <v>44034</v>
      </c>
      <c r="B1376" s="116">
        <v>12.925000000000001</v>
      </c>
      <c r="C1376" s="116">
        <v>12.55</v>
      </c>
      <c r="D1376" s="116">
        <v>12.5</v>
      </c>
      <c r="E1376" s="116">
        <v>12.8</v>
      </c>
      <c r="F1376" s="116">
        <v>25.1</v>
      </c>
      <c r="G1376">
        <v>7137</v>
      </c>
      <c r="H1376" s="116"/>
      <c r="I1376" s="116"/>
      <c r="L1376" s="166">
        <v>44034</v>
      </c>
      <c r="M1376" s="116">
        <v>12.65</v>
      </c>
      <c r="N1376" s="116">
        <v>13</v>
      </c>
      <c r="O1376" s="116">
        <v>12.45</v>
      </c>
      <c r="P1376" s="116">
        <v>13</v>
      </c>
      <c r="Q1376" s="116">
        <v>25.3</v>
      </c>
      <c r="R1376">
        <v>75367</v>
      </c>
    </row>
    <row r="1377" spans="1:18" x14ac:dyDescent="0.25">
      <c r="A1377" s="166">
        <v>44035</v>
      </c>
      <c r="B1377" s="116">
        <v>12.9</v>
      </c>
      <c r="C1377" s="116">
        <v>12.725</v>
      </c>
      <c r="D1377" s="116">
        <v>12.625</v>
      </c>
      <c r="E1377" s="116">
        <v>12.65</v>
      </c>
      <c r="F1377" s="116">
        <v>25.45</v>
      </c>
      <c r="G1377">
        <v>7345</v>
      </c>
      <c r="H1377" s="116"/>
      <c r="I1377" s="116"/>
      <c r="L1377" s="166">
        <v>44035</v>
      </c>
      <c r="M1377" s="116">
        <v>12.8</v>
      </c>
      <c r="N1377" s="116">
        <v>12.9</v>
      </c>
      <c r="O1377" s="116">
        <v>12.55</v>
      </c>
      <c r="P1377" s="116">
        <v>12.824999999999999</v>
      </c>
      <c r="Q1377" s="116">
        <v>25.6</v>
      </c>
      <c r="R1377">
        <v>64274</v>
      </c>
    </row>
    <row r="1378" spans="1:18" x14ac:dyDescent="0.25">
      <c r="A1378" s="166">
        <v>44036</v>
      </c>
      <c r="B1378" s="116">
        <v>12.725</v>
      </c>
      <c r="C1378" s="116">
        <v>12.5</v>
      </c>
      <c r="D1378" s="116">
        <v>12.45</v>
      </c>
      <c r="E1378" s="116">
        <v>12.65</v>
      </c>
      <c r="F1378" s="116">
        <v>25</v>
      </c>
      <c r="G1378">
        <v>9457</v>
      </c>
      <c r="H1378" s="116"/>
      <c r="I1378" s="116"/>
      <c r="L1378" s="166">
        <v>44036</v>
      </c>
      <c r="M1378" s="116">
        <v>12.574999999999999</v>
      </c>
      <c r="N1378" s="116">
        <v>12.8</v>
      </c>
      <c r="O1378" s="116">
        <v>12.5</v>
      </c>
      <c r="P1378" s="116">
        <v>12.8</v>
      </c>
      <c r="Q1378" s="116">
        <v>25.15</v>
      </c>
      <c r="R1378">
        <v>62554</v>
      </c>
    </row>
    <row r="1379" spans="1:18" x14ac:dyDescent="0.25">
      <c r="A1379" s="166">
        <v>44039</v>
      </c>
      <c r="B1379" s="116">
        <v>12.574999999999999</v>
      </c>
      <c r="C1379" s="116">
        <v>12.25</v>
      </c>
      <c r="D1379" s="116">
        <v>12</v>
      </c>
      <c r="E1379" s="116">
        <v>12.574999999999999</v>
      </c>
      <c r="F1379" s="116">
        <v>24.5</v>
      </c>
      <c r="G1379">
        <v>19509</v>
      </c>
      <c r="H1379" s="116"/>
      <c r="I1379" s="116"/>
      <c r="L1379" s="166">
        <v>44039</v>
      </c>
      <c r="M1379" s="116">
        <v>12.2</v>
      </c>
      <c r="N1379" s="116">
        <v>12.75</v>
      </c>
      <c r="O1379" s="116">
        <v>11.65</v>
      </c>
      <c r="P1379" s="116">
        <v>12.675000000000001</v>
      </c>
      <c r="Q1379" s="116">
        <v>24.4</v>
      </c>
      <c r="R1379">
        <v>90766</v>
      </c>
    </row>
    <row r="1380" spans="1:18" x14ac:dyDescent="0.25">
      <c r="A1380" s="166">
        <v>44040</v>
      </c>
      <c r="B1380" s="116">
        <v>12.8</v>
      </c>
      <c r="C1380" s="116">
        <v>12.324999999999999</v>
      </c>
      <c r="D1380" s="116">
        <v>11.95</v>
      </c>
      <c r="E1380" s="116">
        <v>11.95</v>
      </c>
      <c r="F1380" s="116">
        <v>24.65</v>
      </c>
      <c r="G1380">
        <v>9153</v>
      </c>
      <c r="H1380" s="116"/>
      <c r="I1380" s="116"/>
      <c r="L1380" s="166">
        <v>44040</v>
      </c>
      <c r="M1380" s="116">
        <v>12.375</v>
      </c>
      <c r="N1380" s="116">
        <v>12.7</v>
      </c>
      <c r="O1380" s="116">
        <v>12.275</v>
      </c>
      <c r="P1380" s="116">
        <v>12.3</v>
      </c>
      <c r="Q1380" s="116">
        <v>24.75</v>
      </c>
      <c r="R1380">
        <v>51449</v>
      </c>
    </row>
    <row r="1381" spans="1:18" x14ac:dyDescent="0.25">
      <c r="A1381" s="166">
        <v>44041</v>
      </c>
      <c r="B1381" s="116">
        <v>13.975</v>
      </c>
      <c r="C1381" s="116">
        <v>13.475</v>
      </c>
      <c r="D1381" s="116">
        <v>12.3</v>
      </c>
      <c r="E1381" s="116">
        <v>12.375</v>
      </c>
      <c r="F1381" s="116">
        <v>26.95</v>
      </c>
      <c r="G1381">
        <v>31752</v>
      </c>
      <c r="H1381" s="116"/>
      <c r="I1381" s="116"/>
      <c r="L1381" s="166">
        <v>44041</v>
      </c>
      <c r="M1381" s="116">
        <v>13.5</v>
      </c>
      <c r="N1381" s="116">
        <v>13.975</v>
      </c>
      <c r="O1381" s="116">
        <v>12.25</v>
      </c>
      <c r="P1381" s="116">
        <v>12.475</v>
      </c>
      <c r="Q1381" s="116">
        <v>27</v>
      </c>
      <c r="R1381">
        <v>500185</v>
      </c>
    </row>
    <row r="1382" spans="1:18" x14ac:dyDescent="0.25">
      <c r="A1382" s="166">
        <v>44042</v>
      </c>
      <c r="B1382" s="116">
        <v>13.7</v>
      </c>
      <c r="C1382" s="116">
        <v>13</v>
      </c>
      <c r="D1382" s="116">
        <v>12.875</v>
      </c>
      <c r="E1382" s="116">
        <v>13.05</v>
      </c>
      <c r="F1382" s="116">
        <v>26</v>
      </c>
      <c r="G1382">
        <v>16119</v>
      </c>
      <c r="H1382" s="116"/>
      <c r="I1382" s="116"/>
      <c r="L1382" s="166">
        <v>44042</v>
      </c>
      <c r="M1382" s="116">
        <v>12.975</v>
      </c>
      <c r="N1382" s="116">
        <v>13.8</v>
      </c>
      <c r="O1382" s="116">
        <v>12.85</v>
      </c>
      <c r="P1382" s="116">
        <v>13.5</v>
      </c>
      <c r="Q1382" s="116">
        <v>25.95</v>
      </c>
      <c r="R1382">
        <v>140450</v>
      </c>
    </row>
    <row r="1383" spans="1:18" x14ac:dyDescent="0.25">
      <c r="A1383" s="166">
        <v>44043</v>
      </c>
      <c r="B1383" s="116">
        <v>13.225</v>
      </c>
      <c r="C1383" s="116">
        <v>12.3</v>
      </c>
      <c r="D1383" s="116">
        <v>12.2</v>
      </c>
      <c r="E1383" s="116">
        <v>13</v>
      </c>
      <c r="F1383" s="116">
        <v>24.6</v>
      </c>
      <c r="G1383">
        <v>530011</v>
      </c>
      <c r="H1383" s="116"/>
      <c r="I1383" s="116"/>
      <c r="L1383" s="166">
        <v>44043</v>
      </c>
      <c r="M1383" s="116">
        <v>12.324999999999999</v>
      </c>
      <c r="N1383" s="116">
        <v>13</v>
      </c>
      <c r="O1383" s="116">
        <v>12.125</v>
      </c>
      <c r="P1383" s="116">
        <v>12.95</v>
      </c>
      <c r="Q1383" s="116">
        <v>24.65</v>
      </c>
      <c r="R1383">
        <v>143625</v>
      </c>
    </row>
    <row r="1384" spans="1:18" x14ac:dyDescent="0.25">
      <c r="A1384" s="166">
        <v>44046</v>
      </c>
      <c r="B1384" s="116">
        <v>13.05</v>
      </c>
      <c r="C1384" s="116">
        <v>12.3</v>
      </c>
      <c r="D1384" s="116">
        <v>12.025</v>
      </c>
      <c r="E1384" s="116">
        <v>12.025</v>
      </c>
      <c r="F1384" s="116">
        <v>24.6</v>
      </c>
      <c r="G1384">
        <v>514627</v>
      </c>
      <c r="H1384" s="116"/>
      <c r="I1384" s="116"/>
      <c r="L1384" s="166">
        <v>44046</v>
      </c>
      <c r="M1384" s="116">
        <v>12.25</v>
      </c>
      <c r="N1384" s="116">
        <v>13.25</v>
      </c>
      <c r="O1384" s="116">
        <v>12</v>
      </c>
      <c r="P1384" s="116">
        <v>12.324999999999999</v>
      </c>
      <c r="Q1384" s="116">
        <v>24.5</v>
      </c>
      <c r="R1384">
        <v>132182</v>
      </c>
    </row>
    <row r="1385" spans="1:18" x14ac:dyDescent="0.25">
      <c r="A1385" s="166">
        <v>44047</v>
      </c>
      <c r="B1385" s="116">
        <v>13.25</v>
      </c>
      <c r="C1385" s="116">
        <v>12.8</v>
      </c>
      <c r="D1385" s="116">
        <v>12.5</v>
      </c>
      <c r="E1385" s="116">
        <v>12.55</v>
      </c>
      <c r="F1385" s="116">
        <v>25.6</v>
      </c>
      <c r="G1385">
        <v>14522</v>
      </c>
      <c r="H1385" s="116"/>
      <c r="I1385" s="116"/>
      <c r="L1385" s="166">
        <v>44047</v>
      </c>
      <c r="M1385" s="116">
        <v>12.775</v>
      </c>
      <c r="N1385" s="116">
        <v>13.225</v>
      </c>
      <c r="O1385" s="116">
        <v>12.275</v>
      </c>
      <c r="P1385" s="116">
        <v>12.275</v>
      </c>
      <c r="Q1385" s="116">
        <v>25.55</v>
      </c>
      <c r="R1385">
        <v>612653</v>
      </c>
    </row>
    <row r="1386" spans="1:18" x14ac:dyDescent="0.25">
      <c r="A1386" s="166">
        <v>44048</v>
      </c>
      <c r="B1386" s="116">
        <v>13.25</v>
      </c>
      <c r="C1386" s="116">
        <v>12.8</v>
      </c>
      <c r="D1386" s="116">
        <v>12.75</v>
      </c>
      <c r="E1386" s="116">
        <v>12.875</v>
      </c>
      <c r="F1386" s="116">
        <v>25.6</v>
      </c>
      <c r="G1386">
        <v>13794</v>
      </c>
      <c r="H1386" s="116"/>
      <c r="I1386" s="116"/>
      <c r="L1386" s="166">
        <v>44048</v>
      </c>
      <c r="M1386" s="116">
        <v>12.85</v>
      </c>
      <c r="N1386" s="116">
        <v>13.225</v>
      </c>
      <c r="O1386" s="116">
        <v>12.725</v>
      </c>
      <c r="P1386" s="116">
        <v>12.85</v>
      </c>
      <c r="Q1386" s="116">
        <v>25.7</v>
      </c>
      <c r="R1386">
        <v>79816</v>
      </c>
    </row>
    <row r="1387" spans="1:18" x14ac:dyDescent="0.25">
      <c r="A1387" s="166">
        <v>44049</v>
      </c>
      <c r="B1387" s="116">
        <v>12.95</v>
      </c>
      <c r="C1387" s="116">
        <v>12.8</v>
      </c>
      <c r="D1387" s="116">
        <v>12.675000000000001</v>
      </c>
      <c r="E1387" s="116">
        <v>12.925000000000001</v>
      </c>
      <c r="F1387" s="116">
        <v>25.6</v>
      </c>
      <c r="G1387">
        <v>12014</v>
      </c>
      <c r="H1387" s="116"/>
      <c r="I1387" s="116"/>
      <c r="L1387" s="166">
        <v>44049</v>
      </c>
      <c r="M1387" s="116">
        <v>12.725</v>
      </c>
      <c r="N1387" s="116">
        <v>12.95</v>
      </c>
      <c r="O1387" s="116">
        <v>12.574999999999999</v>
      </c>
      <c r="P1387" s="116">
        <v>12.9</v>
      </c>
      <c r="Q1387" s="116">
        <v>25.45</v>
      </c>
      <c r="R1387">
        <v>82354</v>
      </c>
    </row>
    <row r="1388" spans="1:18" x14ac:dyDescent="0.25">
      <c r="A1388" s="166">
        <v>44050</v>
      </c>
      <c r="B1388" s="116">
        <v>13.625</v>
      </c>
      <c r="C1388" s="116">
        <v>13.3</v>
      </c>
      <c r="D1388" s="116">
        <v>12.725</v>
      </c>
      <c r="E1388" s="116">
        <v>12.75</v>
      </c>
      <c r="F1388" s="116">
        <v>26.6</v>
      </c>
      <c r="G1388">
        <v>545390</v>
      </c>
      <c r="H1388" s="116"/>
      <c r="I1388" s="116"/>
      <c r="L1388" s="166">
        <v>44050</v>
      </c>
      <c r="M1388" s="116">
        <v>13.3</v>
      </c>
      <c r="N1388" s="116">
        <v>13.675000000000001</v>
      </c>
      <c r="O1388" s="116">
        <v>12.7</v>
      </c>
      <c r="P1388" s="116">
        <v>12.75</v>
      </c>
      <c r="Q1388" s="116">
        <v>26.6</v>
      </c>
      <c r="R1388">
        <v>274673</v>
      </c>
    </row>
    <row r="1389" spans="1:18" x14ac:dyDescent="0.25">
      <c r="A1389" s="166">
        <v>44053</v>
      </c>
      <c r="B1389" s="116">
        <v>13.7</v>
      </c>
      <c r="C1389" s="116">
        <v>13.324999999999999</v>
      </c>
      <c r="D1389" s="116">
        <v>13.25</v>
      </c>
      <c r="E1389" s="116">
        <v>13.525</v>
      </c>
      <c r="F1389" s="116">
        <v>26.65</v>
      </c>
      <c r="G1389">
        <v>356773</v>
      </c>
      <c r="H1389" s="116"/>
      <c r="I1389" s="116"/>
      <c r="L1389" s="166">
        <v>44053</v>
      </c>
      <c r="M1389" s="116">
        <v>13.275</v>
      </c>
      <c r="N1389" s="116">
        <v>13.7</v>
      </c>
      <c r="O1389" s="116">
        <v>13.2</v>
      </c>
      <c r="P1389" s="116">
        <v>13.375</v>
      </c>
      <c r="Q1389" s="116">
        <v>26.55</v>
      </c>
      <c r="R1389">
        <v>171370</v>
      </c>
    </row>
    <row r="1390" spans="1:18" x14ac:dyDescent="0.25">
      <c r="A1390" s="166">
        <v>44054</v>
      </c>
      <c r="B1390" s="116">
        <v>13.725</v>
      </c>
      <c r="C1390" s="116">
        <v>13.324999999999999</v>
      </c>
      <c r="D1390" s="116">
        <v>13.25</v>
      </c>
      <c r="E1390" s="116">
        <v>13.6</v>
      </c>
      <c r="F1390" s="116">
        <v>26.65</v>
      </c>
      <c r="G1390">
        <v>19091</v>
      </c>
      <c r="H1390" s="116"/>
      <c r="I1390" s="116"/>
      <c r="L1390" s="166">
        <v>44054</v>
      </c>
      <c r="M1390" s="116">
        <v>13.3</v>
      </c>
      <c r="N1390" s="116">
        <v>13.75</v>
      </c>
      <c r="O1390" s="116">
        <v>13.175000000000001</v>
      </c>
      <c r="P1390" s="116">
        <v>13.5</v>
      </c>
      <c r="Q1390" s="116">
        <v>26.6</v>
      </c>
      <c r="R1390">
        <v>194705</v>
      </c>
    </row>
    <row r="1391" spans="1:18" x14ac:dyDescent="0.25">
      <c r="A1391" s="166">
        <v>44055</v>
      </c>
      <c r="B1391" s="116">
        <v>13.275</v>
      </c>
      <c r="C1391" s="116">
        <v>13.175000000000001</v>
      </c>
      <c r="D1391" s="116">
        <v>12.8</v>
      </c>
      <c r="E1391" s="116">
        <v>13.1</v>
      </c>
      <c r="F1391" s="116">
        <v>26.35</v>
      </c>
      <c r="G1391">
        <v>19463</v>
      </c>
      <c r="H1391" s="116"/>
      <c r="I1391" s="116"/>
      <c r="L1391" s="166">
        <v>44055</v>
      </c>
      <c r="M1391" s="116">
        <v>13.2</v>
      </c>
      <c r="N1391" s="116">
        <v>13.3</v>
      </c>
      <c r="O1391" s="116">
        <v>12.75</v>
      </c>
      <c r="P1391" s="116">
        <v>13.25</v>
      </c>
      <c r="Q1391" s="116">
        <v>26.4</v>
      </c>
      <c r="R1391">
        <v>143174</v>
      </c>
    </row>
    <row r="1392" spans="1:18" x14ac:dyDescent="0.25">
      <c r="A1392" s="166">
        <v>44056</v>
      </c>
      <c r="B1392" s="116">
        <v>13.6</v>
      </c>
      <c r="C1392" s="116">
        <v>13.425000000000001</v>
      </c>
      <c r="D1392" s="116">
        <v>13.05</v>
      </c>
      <c r="E1392" s="116">
        <v>13.05</v>
      </c>
      <c r="F1392" s="116">
        <v>26.85</v>
      </c>
      <c r="G1392">
        <v>14911</v>
      </c>
      <c r="H1392" s="116"/>
      <c r="I1392" s="116"/>
      <c r="L1392" s="166">
        <v>44056</v>
      </c>
      <c r="M1392" s="116">
        <v>13.4</v>
      </c>
      <c r="N1392" s="116">
        <v>13.65</v>
      </c>
      <c r="O1392" s="116">
        <v>13.2</v>
      </c>
      <c r="P1392" s="116">
        <v>13.2</v>
      </c>
      <c r="Q1392" s="116">
        <v>26.8</v>
      </c>
      <c r="R1392">
        <v>108828</v>
      </c>
    </row>
    <row r="1393" spans="1:18" x14ac:dyDescent="0.25">
      <c r="A1393" s="166">
        <v>44057</v>
      </c>
      <c r="B1393" s="116">
        <v>14.3</v>
      </c>
      <c r="C1393" s="116">
        <v>13.7</v>
      </c>
      <c r="D1393" s="116">
        <v>13.5</v>
      </c>
      <c r="E1393" s="116">
        <v>13.5</v>
      </c>
      <c r="F1393" s="116">
        <v>27.4</v>
      </c>
      <c r="G1393">
        <v>64291</v>
      </c>
      <c r="H1393" s="116"/>
      <c r="I1393" s="116"/>
      <c r="L1393" s="166">
        <v>44057</v>
      </c>
      <c r="M1393" s="116">
        <v>13.725</v>
      </c>
      <c r="N1393" s="116">
        <v>14.35</v>
      </c>
      <c r="O1393" s="116">
        <v>13.5</v>
      </c>
      <c r="P1393" s="116">
        <v>13.525</v>
      </c>
      <c r="Q1393" s="116">
        <v>27.45</v>
      </c>
      <c r="R1393">
        <v>376854</v>
      </c>
    </row>
    <row r="1394" spans="1:18" x14ac:dyDescent="0.25">
      <c r="A1394" s="166">
        <v>44060</v>
      </c>
      <c r="B1394" s="116">
        <v>14.25</v>
      </c>
      <c r="C1394" s="116">
        <v>14</v>
      </c>
      <c r="D1394" s="116">
        <v>13.775</v>
      </c>
      <c r="E1394" s="116">
        <v>13.85</v>
      </c>
      <c r="F1394" s="116">
        <v>28</v>
      </c>
      <c r="G1394">
        <v>18724</v>
      </c>
      <c r="H1394" s="116"/>
      <c r="I1394" s="116"/>
      <c r="L1394" s="166">
        <v>44060</v>
      </c>
      <c r="M1394" s="116">
        <v>13.9</v>
      </c>
      <c r="N1394" s="116">
        <v>14.2</v>
      </c>
      <c r="O1394" s="116">
        <v>13.725</v>
      </c>
      <c r="P1394" s="116">
        <v>13.75</v>
      </c>
      <c r="Q1394" s="116">
        <v>27.8</v>
      </c>
      <c r="R1394">
        <v>139724</v>
      </c>
    </row>
    <row r="1395" spans="1:18" x14ac:dyDescent="0.25">
      <c r="A1395" s="166">
        <v>44061</v>
      </c>
      <c r="B1395" s="116">
        <v>14.9</v>
      </c>
      <c r="C1395" s="116">
        <v>14.425000000000001</v>
      </c>
      <c r="D1395" s="116">
        <v>13.7</v>
      </c>
      <c r="E1395" s="116">
        <v>14.225</v>
      </c>
      <c r="F1395" s="116">
        <v>28.85</v>
      </c>
      <c r="G1395">
        <v>49923</v>
      </c>
      <c r="H1395" s="116"/>
      <c r="I1395" s="116"/>
      <c r="L1395" s="166">
        <v>44061</v>
      </c>
      <c r="M1395" s="116">
        <v>14.4</v>
      </c>
      <c r="N1395" s="116">
        <v>14.9</v>
      </c>
      <c r="O1395" s="116">
        <v>13.925000000000001</v>
      </c>
      <c r="P1395" s="116">
        <v>14</v>
      </c>
      <c r="Q1395" s="116">
        <v>28.8</v>
      </c>
      <c r="R1395">
        <v>450019</v>
      </c>
    </row>
    <row r="1396" spans="1:18" x14ac:dyDescent="0.25">
      <c r="A1396" s="166">
        <v>44062</v>
      </c>
      <c r="B1396" s="116">
        <v>16</v>
      </c>
      <c r="C1396" s="116">
        <v>15.75</v>
      </c>
      <c r="D1396" s="116">
        <v>14.475</v>
      </c>
      <c r="E1396" s="116">
        <v>14.475</v>
      </c>
      <c r="F1396" s="116">
        <v>31.5</v>
      </c>
      <c r="G1396">
        <v>85484</v>
      </c>
      <c r="H1396" s="116"/>
      <c r="I1396" s="116"/>
      <c r="L1396" s="166">
        <v>44062</v>
      </c>
      <c r="M1396" s="116">
        <v>15.675000000000001</v>
      </c>
      <c r="N1396" s="116">
        <v>15.95</v>
      </c>
      <c r="O1396" s="116">
        <v>14.5</v>
      </c>
      <c r="P1396" s="116">
        <v>14.95</v>
      </c>
      <c r="Q1396" s="116">
        <v>31.35</v>
      </c>
      <c r="R1396">
        <v>693766</v>
      </c>
    </row>
    <row r="1397" spans="1:18" x14ac:dyDescent="0.25">
      <c r="A1397" s="166">
        <v>44063</v>
      </c>
      <c r="B1397" s="116">
        <v>16.774999999999999</v>
      </c>
      <c r="C1397" s="116">
        <v>15.85</v>
      </c>
      <c r="D1397" s="116">
        <v>15.45</v>
      </c>
      <c r="E1397" s="116">
        <v>15.5</v>
      </c>
      <c r="F1397" s="116">
        <v>31.7</v>
      </c>
      <c r="G1397">
        <v>97821</v>
      </c>
      <c r="H1397" s="116"/>
      <c r="I1397" s="116"/>
      <c r="L1397" s="166">
        <v>44063</v>
      </c>
      <c r="M1397" s="116">
        <v>15.8</v>
      </c>
      <c r="N1397" s="116">
        <v>16.875</v>
      </c>
      <c r="O1397" s="116">
        <v>15.5</v>
      </c>
      <c r="P1397" s="116">
        <v>15.725</v>
      </c>
      <c r="Q1397" s="116">
        <v>31.6</v>
      </c>
      <c r="R1397">
        <v>827499</v>
      </c>
    </row>
    <row r="1398" spans="1:18" x14ac:dyDescent="0.25">
      <c r="A1398" s="166">
        <v>44064</v>
      </c>
      <c r="B1398" s="116">
        <v>16.3</v>
      </c>
      <c r="C1398" s="116">
        <v>15.55</v>
      </c>
      <c r="D1398" s="116">
        <v>15.25</v>
      </c>
      <c r="E1398" s="116">
        <v>15.25</v>
      </c>
      <c r="F1398" s="116">
        <v>31.1</v>
      </c>
      <c r="G1398">
        <v>32831</v>
      </c>
      <c r="H1398" s="116"/>
      <c r="I1398" s="116"/>
      <c r="L1398" s="166">
        <v>44064</v>
      </c>
      <c r="M1398" s="116">
        <v>15.55</v>
      </c>
      <c r="N1398" s="116">
        <v>16.375</v>
      </c>
      <c r="O1398" s="116">
        <v>15.5</v>
      </c>
      <c r="P1398" s="116">
        <v>15.95</v>
      </c>
      <c r="Q1398" s="116">
        <v>31.1</v>
      </c>
      <c r="R1398">
        <v>187365</v>
      </c>
    </row>
    <row r="1399" spans="1:18" x14ac:dyDescent="0.25">
      <c r="A1399" s="166">
        <v>44067</v>
      </c>
      <c r="B1399" s="116">
        <v>16.45</v>
      </c>
      <c r="C1399" s="116">
        <v>16.05</v>
      </c>
      <c r="D1399" s="116">
        <v>15.7</v>
      </c>
      <c r="E1399" s="116">
        <v>15.7</v>
      </c>
      <c r="F1399" s="116">
        <v>32.1</v>
      </c>
      <c r="G1399">
        <v>39923</v>
      </c>
      <c r="H1399" s="116"/>
      <c r="I1399" s="116"/>
      <c r="L1399" s="166">
        <v>44067</v>
      </c>
      <c r="M1399" s="116">
        <v>16.05</v>
      </c>
      <c r="N1399" s="116">
        <v>16.475000000000001</v>
      </c>
      <c r="O1399" s="116">
        <v>15.7</v>
      </c>
      <c r="P1399" s="116">
        <v>15.9</v>
      </c>
      <c r="Q1399" s="116">
        <v>32.1</v>
      </c>
      <c r="R1399">
        <v>329079</v>
      </c>
    </row>
    <row r="1400" spans="1:18" x14ac:dyDescent="0.25">
      <c r="A1400" s="166">
        <v>44068</v>
      </c>
      <c r="B1400" s="116">
        <v>16.05</v>
      </c>
      <c r="C1400" s="116">
        <v>15.5</v>
      </c>
      <c r="D1400" s="116">
        <v>15.25</v>
      </c>
      <c r="E1400" s="116">
        <v>16.05</v>
      </c>
      <c r="F1400" s="116">
        <v>31</v>
      </c>
      <c r="G1400">
        <v>13992</v>
      </c>
      <c r="H1400" s="116"/>
      <c r="I1400" s="116"/>
      <c r="L1400" s="166">
        <v>44068</v>
      </c>
      <c r="M1400" s="116">
        <v>15.475</v>
      </c>
      <c r="N1400" s="116">
        <v>16.149999999999999</v>
      </c>
      <c r="O1400" s="116">
        <v>15.15</v>
      </c>
      <c r="P1400" s="116">
        <v>16</v>
      </c>
      <c r="Q1400" s="116">
        <v>30.95</v>
      </c>
      <c r="R1400">
        <v>219738</v>
      </c>
    </row>
    <row r="1401" spans="1:18" x14ac:dyDescent="0.25">
      <c r="A1401" s="166">
        <v>44069</v>
      </c>
      <c r="B1401" s="116">
        <v>17.725000000000001</v>
      </c>
      <c r="C1401" s="116">
        <v>16.95</v>
      </c>
      <c r="D1401" s="116">
        <v>14.875</v>
      </c>
      <c r="E1401" s="116">
        <v>15.5</v>
      </c>
      <c r="F1401" s="116">
        <v>33.9</v>
      </c>
      <c r="G1401">
        <v>157172</v>
      </c>
      <c r="H1401" s="116"/>
      <c r="I1401" s="116"/>
      <c r="L1401" s="166">
        <v>44069</v>
      </c>
      <c r="M1401" s="116">
        <v>16.774999999999999</v>
      </c>
      <c r="N1401" s="116">
        <v>17.725000000000001</v>
      </c>
      <c r="O1401" s="116">
        <v>15.05</v>
      </c>
      <c r="P1401" s="116">
        <v>15.475</v>
      </c>
      <c r="Q1401" s="116">
        <v>33.549999999999997</v>
      </c>
      <c r="R1401">
        <v>752656</v>
      </c>
    </row>
    <row r="1402" spans="1:18" x14ac:dyDescent="0.25">
      <c r="A1402" s="166">
        <v>44070</v>
      </c>
      <c r="B1402" s="116">
        <v>18.3</v>
      </c>
      <c r="C1402" s="116">
        <v>16.850000000000001</v>
      </c>
      <c r="D1402" s="116">
        <v>16.625</v>
      </c>
      <c r="E1402" s="116">
        <v>17.3</v>
      </c>
      <c r="F1402" s="116">
        <v>33.700000000000003</v>
      </c>
      <c r="G1402">
        <v>85771</v>
      </c>
      <c r="H1402" s="116"/>
      <c r="I1402" s="116"/>
      <c r="L1402" s="166">
        <v>44070</v>
      </c>
      <c r="M1402" s="116">
        <v>16.8</v>
      </c>
      <c r="N1402" s="116">
        <v>18.399999999999999</v>
      </c>
      <c r="O1402" s="116">
        <v>16.625</v>
      </c>
      <c r="P1402" s="116">
        <v>17.350000000000001</v>
      </c>
      <c r="Q1402" s="116">
        <v>33.6</v>
      </c>
      <c r="R1402">
        <v>675572</v>
      </c>
    </row>
    <row r="1403" spans="1:18" x14ac:dyDescent="0.25">
      <c r="A1403" s="166">
        <v>44071</v>
      </c>
      <c r="B1403" s="116">
        <v>17.2</v>
      </c>
      <c r="C1403" s="116">
        <v>16.350000000000001</v>
      </c>
      <c r="D1403" s="116">
        <v>16</v>
      </c>
      <c r="E1403" s="116">
        <v>16.95</v>
      </c>
      <c r="F1403" s="116">
        <v>32.700000000000003</v>
      </c>
      <c r="G1403">
        <v>31540</v>
      </c>
      <c r="H1403" s="116"/>
      <c r="I1403" s="116"/>
      <c r="L1403" s="166">
        <v>44071</v>
      </c>
      <c r="M1403" s="116">
        <v>16.324999999999999</v>
      </c>
      <c r="N1403" s="116">
        <v>17.25</v>
      </c>
      <c r="O1403" s="116">
        <v>16.125</v>
      </c>
      <c r="P1403" s="116">
        <v>16.824999999999999</v>
      </c>
      <c r="Q1403" s="116">
        <v>32.65</v>
      </c>
      <c r="R1403">
        <v>151044</v>
      </c>
    </row>
    <row r="1404" spans="1:18" x14ac:dyDescent="0.25">
      <c r="A1404" s="166">
        <v>44074</v>
      </c>
      <c r="B1404" s="116">
        <v>16.375</v>
      </c>
      <c r="C1404" s="116">
        <v>14.95</v>
      </c>
      <c r="D1404" s="116">
        <v>14.1</v>
      </c>
      <c r="E1404" s="116">
        <v>16.3</v>
      </c>
      <c r="F1404" s="116">
        <v>29.9</v>
      </c>
      <c r="G1404">
        <v>60473</v>
      </c>
      <c r="H1404" s="116"/>
      <c r="I1404" s="116"/>
      <c r="L1404" s="166">
        <v>44074</v>
      </c>
      <c r="M1404" s="116">
        <v>14.95</v>
      </c>
      <c r="N1404" s="116">
        <v>16.5</v>
      </c>
      <c r="O1404" s="116">
        <v>14</v>
      </c>
      <c r="P1404" s="116">
        <v>16.5</v>
      </c>
      <c r="Q1404" s="116">
        <v>29.9</v>
      </c>
      <c r="R1404">
        <v>230589</v>
      </c>
    </row>
    <row r="1405" spans="1:18" x14ac:dyDescent="0.25">
      <c r="A1405" s="166">
        <v>44075</v>
      </c>
      <c r="B1405" s="116">
        <v>15.4</v>
      </c>
      <c r="C1405" s="116">
        <v>14.9</v>
      </c>
      <c r="D1405" s="116">
        <v>14.3</v>
      </c>
      <c r="E1405" s="116">
        <v>14.75</v>
      </c>
      <c r="F1405" s="116">
        <v>29.8</v>
      </c>
      <c r="G1405">
        <v>9506</v>
      </c>
      <c r="H1405" s="116"/>
      <c r="I1405" s="116"/>
      <c r="L1405" s="166">
        <v>44075</v>
      </c>
      <c r="M1405" s="116">
        <v>14.9</v>
      </c>
      <c r="N1405" s="116">
        <v>15.4</v>
      </c>
      <c r="O1405" s="116">
        <v>14.225</v>
      </c>
      <c r="P1405" s="116">
        <v>15.25</v>
      </c>
      <c r="Q1405" s="116">
        <v>29.8</v>
      </c>
      <c r="R1405">
        <v>100574</v>
      </c>
    </row>
    <row r="1406" spans="1:18" x14ac:dyDescent="0.25">
      <c r="A1406" s="166">
        <v>44076</v>
      </c>
      <c r="B1406" s="116">
        <v>15.35</v>
      </c>
      <c r="C1406" s="116">
        <v>15.05</v>
      </c>
      <c r="D1406" s="116">
        <v>14.75</v>
      </c>
      <c r="E1406" s="116">
        <v>14.925000000000001</v>
      </c>
      <c r="F1406" s="116">
        <v>30.1</v>
      </c>
      <c r="G1406">
        <v>9773</v>
      </c>
      <c r="H1406" s="116"/>
      <c r="I1406" s="116"/>
      <c r="L1406" s="166">
        <v>44076</v>
      </c>
      <c r="M1406" s="116">
        <v>15.1</v>
      </c>
      <c r="N1406" s="116">
        <v>15.45</v>
      </c>
      <c r="O1406" s="116">
        <v>14.725</v>
      </c>
      <c r="P1406" s="116">
        <v>14.925000000000001</v>
      </c>
      <c r="Q1406" s="116">
        <v>30.2</v>
      </c>
      <c r="R1406">
        <v>71699</v>
      </c>
    </row>
    <row r="1407" spans="1:18" x14ac:dyDescent="0.25">
      <c r="A1407" s="166">
        <v>44077</v>
      </c>
      <c r="B1407" s="116">
        <v>15.475</v>
      </c>
      <c r="C1407" s="116">
        <v>15.175000000000001</v>
      </c>
      <c r="D1407" s="116">
        <v>14.875</v>
      </c>
      <c r="E1407" s="116">
        <v>15.475</v>
      </c>
      <c r="F1407" s="116">
        <v>30.35</v>
      </c>
      <c r="G1407">
        <v>3985</v>
      </c>
      <c r="H1407" s="116"/>
      <c r="I1407" s="116"/>
      <c r="L1407" s="166">
        <v>44077</v>
      </c>
      <c r="M1407" s="116">
        <v>15.15</v>
      </c>
      <c r="N1407" s="116">
        <v>15.5</v>
      </c>
      <c r="O1407" s="116">
        <v>14.85</v>
      </c>
      <c r="P1407" s="116">
        <v>15.25</v>
      </c>
      <c r="Q1407" s="116">
        <v>30.3</v>
      </c>
      <c r="R1407">
        <v>154966</v>
      </c>
    </row>
    <row r="1408" spans="1:18" x14ac:dyDescent="0.25">
      <c r="A1408" s="166">
        <v>44078</v>
      </c>
      <c r="B1408" s="116">
        <v>15.275</v>
      </c>
      <c r="C1408" s="116">
        <v>14.95</v>
      </c>
      <c r="D1408" s="116">
        <v>14.824999999999999</v>
      </c>
      <c r="E1408" s="116">
        <v>14.9</v>
      </c>
      <c r="F1408" s="116">
        <v>29.9</v>
      </c>
      <c r="G1408">
        <v>21740</v>
      </c>
      <c r="H1408" s="116"/>
      <c r="I1408" s="116"/>
      <c r="L1408" s="166">
        <v>44078</v>
      </c>
      <c r="M1408" s="116">
        <v>14.95</v>
      </c>
      <c r="N1408" s="116">
        <v>15.35</v>
      </c>
      <c r="O1408" s="116">
        <v>14.85</v>
      </c>
      <c r="P1408" s="116">
        <v>14.85</v>
      </c>
      <c r="Q1408" s="116">
        <v>29.9</v>
      </c>
      <c r="R1408">
        <v>69841</v>
      </c>
    </row>
    <row r="1409" spans="1:18" x14ac:dyDescent="0.25">
      <c r="A1409" s="166">
        <v>44081</v>
      </c>
      <c r="B1409" s="116">
        <v>14.875</v>
      </c>
      <c r="C1409" s="116">
        <v>14.525</v>
      </c>
      <c r="D1409" s="116">
        <v>14.425000000000001</v>
      </c>
      <c r="E1409" s="116">
        <v>14.875</v>
      </c>
      <c r="F1409" s="116">
        <v>29.05</v>
      </c>
      <c r="G1409">
        <v>11118</v>
      </c>
      <c r="H1409" s="116"/>
      <c r="I1409" s="116"/>
      <c r="L1409" s="166">
        <v>44081</v>
      </c>
      <c r="M1409" s="116">
        <v>14.475</v>
      </c>
      <c r="N1409" s="116">
        <v>15.35</v>
      </c>
      <c r="O1409" s="116">
        <v>14.25</v>
      </c>
      <c r="P1409" s="116">
        <v>15.35</v>
      </c>
      <c r="Q1409" s="116">
        <v>28.95</v>
      </c>
      <c r="R1409">
        <v>83868</v>
      </c>
    </row>
    <row r="1410" spans="1:18" x14ac:dyDescent="0.25">
      <c r="A1410" s="166">
        <v>44082</v>
      </c>
      <c r="B1410" s="116">
        <v>15.65</v>
      </c>
      <c r="C1410" s="116">
        <v>14.324999999999999</v>
      </c>
      <c r="D1410" s="116">
        <v>14.15</v>
      </c>
      <c r="E1410" s="116">
        <v>14.65</v>
      </c>
      <c r="F1410" s="116">
        <v>28.65</v>
      </c>
      <c r="G1410">
        <v>19266</v>
      </c>
      <c r="H1410" s="116"/>
      <c r="I1410" s="116"/>
      <c r="L1410" s="166">
        <v>44082</v>
      </c>
      <c r="M1410" s="116">
        <v>14.324999999999999</v>
      </c>
      <c r="N1410" s="116">
        <v>15.7</v>
      </c>
      <c r="O1410" s="116">
        <v>14.125</v>
      </c>
      <c r="P1410" s="116">
        <v>14.85</v>
      </c>
      <c r="Q1410" s="116">
        <v>28.65</v>
      </c>
      <c r="R1410">
        <v>265633</v>
      </c>
    </row>
    <row r="1411" spans="1:18" x14ac:dyDescent="0.25">
      <c r="A1411" s="166">
        <v>44083</v>
      </c>
      <c r="B1411" s="116">
        <v>14.324999999999999</v>
      </c>
      <c r="C1411" s="116">
        <v>14.2</v>
      </c>
      <c r="D1411" s="116">
        <v>13.625</v>
      </c>
      <c r="E1411" s="116">
        <v>14.15</v>
      </c>
      <c r="F1411" s="116">
        <v>28.4</v>
      </c>
      <c r="G1411">
        <v>9915</v>
      </c>
      <c r="H1411" s="116"/>
      <c r="I1411" s="116"/>
      <c r="L1411" s="166">
        <v>44083</v>
      </c>
      <c r="M1411" s="116">
        <v>14.175000000000001</v>
      </c>
      <c r="N1411" s="116">
        <v>14.35</v>
      </c>
      <c r="O1411" s="116">
        <v>13.55</v>
      </c>
      <c r="P1411" s="116">
        <v>14.35</v>
      </c>
      <c r="Q1411" s="116">
        <v>28.35</v>
      </c>
      <c r="R1411">
        <v>182473</v>
      </c>
    </row>
    <row r="1412" spans="1:18" x14ac:dyDescent="0.25">
      <c r="A1412" s="166">
        <v>44084</v>
      </c>
      <c r="B1412" s="116">
        <v>14.75</v>
      </c>
      <c r="C1412" s="116">
        <v>14.025</v>
      </c>
      <c r="D1412" s="116">
        <v>13.95</v>
      </c>
      <c r="E1412" s="116">
        <v>14.45</v>
      </c>
      <c r="F1412" s="116">
        <v>28.05</v>
      </c>
      <c r="G1412">
        <v>13201</v>
      </c>
      <c r="H1412" s="116"/>
      <c r="I1412" s="116"/>
      <c r="L1412" s="166">
        <v>44084</v>
      </c>
      <c r="M1412" s="116">
        <v>13.975</v>
      </c>
      <c r="N1412" s="116">
        <v>14.725</v>
      </c>
      <c r="O1412" s="116">
        <v>13.875</v>
      </c>
      <c r="P1412" s="116">
        <v>14.4</v>
      </c>
      <c r="Q1412" s="116">
        <v>27.95</v>
      </c>
      <c r="R1412">
        <v>99667</v>
      </c>
    </row>
    <row r="1413" spans="1:18" x14ac:dyDescent="0.25">
      <c r="A1413" s="166">
        <v>44085</v>
      </c>
      <c r="B1413" s="116">
        <v>14.2</v>
      </c>
      <c r="C1413" s="116">
        <v>13.85</v>
      </c>
      <c r="D1413" s="116">
        <v>13.8</v>
      </c>
      <c r="E1413" s="116">
        <v>14.2</v>
      </c>
      <c r="F1413" s="116">
        <v>27.7</v>
      </c>
      <c r="G1413">
        <v>9989</v>
      </c>
      <c r="H1413" s="116"/>
      <c r="I1413" s="116"/>
      <c r="L1413" s="166">
        <v>44085</v>
      </c>
      <c r="M1413" s="116">
        <v>13.875</v>
      </c>
      <c r="N1413" s="116">
        <v>14.324999999999999</v>
      </c>
      <c r="O1413" s="116">
        <v>13.6</v>
      </c>
      <c r="P1413" s="116">
        <v>14.3</v>
      </c>
      <c r="Q1413" s="116">
        <v>27.75</v>
      </c>
      <c r="R1413">
        <v>108340</v>
      </c>
    </row>
    <row r="1414" spans="1:18" x14ac:dyDescent="0.25">
      <c r="A1414" s="166">
        <v>44088</v>
      </c>
      <c r="B1414" s="116">
        <v>14.675000000000001</v>
      </c>
      <c r="C1414" s="116">
        <v>14.275</v>
      </c>
      <c r="D1414" s="116">
        <v>14</v>
      </c>
      <c r="E1414" s="116">
        <v>14.15</v>
      </c>
      <c r="F1414" s="116">
        <v>28.55</v>
      </c>
      <c r="G1414">
        <v>20356</v>
      </c>
      <c r="H1414" s="116"/>
      <c r="I1414" s="116"/>
      <c r="L1414" s="166">
        <v>44088</v>
      </c>
      <c r="M1414" s="116">
        <v>14.3</v>
      </c>
      <c r="N1414" s="116">
        <v>14.75</v>
      </c>
      <c r="O1414" s="116">
        <v>13.875</v>
      </c>
      <c r="P1414" s="116">
        <v>14.324999999999999</v>
      </c>
      <c r="Q1414" s="116">
        <v>28.6</v>
      </c>
      <c r="R1414">
        <v>183277</v>
      </c>
    </row>
    <row r="1415" spans="1:18" x14ac:dyDescent="0.25">
      <c r="A1415" s="166">
        <v>44089</v>
      </c>
      <c r="B1415" s="116">
        <v>14.625</v>
      </c>
      <c r="C1415" s="116">
        <v>14.425000000000001</v>
      </c>
      <c r="D1415" s="116">
        <v>14.3</v>
      </c>
      <c r="E1415" s="116">
        <v>14.4</v>
      </c>
      <c r="F1415" s="116">
        <v>28.85</v>
      </c>
      <c r="G1415">
        <v>4996</v>
      </c>
      <c r="H1415" s="116"/>
      <c r="I1415" s="116"/>
      <c r="L1415" s="166">
        <v>44089</v>
      </c>
      <c r="M1415" s="116">
        <v>14.45</v>
      </c>
      <c r="N1415" s="116">
        <v>14.65</v>
      </c>
      <c r="O1415" s="116">
        <v>14.05</v>
      </c>
      <c r="P1415" s="116">
        <v>14.45</v>
      </c>
      <c r="Q1415" s="116">
        <v>28.9</v>
      </c>
      <c r="R1415">
        <v>75311</v>
      </c>
    </row>
    <row r="1416" spans="1:18" x14ac:dyDescent="0.25">
      <c r="A1416" s="166">
        <v>44090</v>
      </c>
      <c r="B1416" s="116">
        <v>14.55</v>
      </c>
      <c r="C1416" s="116">
        <v>13.9</v>
      </c>
      <c r="D1416" s="116">
        <v>13.824999999999999</v>
      </c>
      <c r="E1416" s="116">
        <v>14.55</v>
      </c>
      <c r="F1416" s="116">
        <v>27.8</v>
      </c>
      <c r="G1416">
        <v>9480</v>
      </c>
      <c r="H1416" s="116"/>
      <c r="I1416" s="116"/>
      <c r="L1416" s="166">
        <v>44090</v>
      </c>
      <c r="M1416" s="116">
        <v>13.875</v>
      </c>
      <c r="N1416" s="116">
        <v>14.574999999999999</v>
      </c>
      <c r="O1416" s="116">
        <v>13.7</v>
      </c>
      <c r="P1416" s="116">
        <v>14.25</v>
      </c>
      <c r="Q1416" s="116">
        <v>27.75</v>
      </c>
      <c r="R1416">
        <v>197542</v>
      </c>
    </row>
    <row r="1417" spans="1:18" x14ac:dyDescent="0.25">
      <c r="A1417" s="166">
        <v>44091</v>
      </c>
      <c r="B1417" s="116">
        <v>15.15</v>
      </c>
      <c r="C1417" s="116">
        <v>14.8</v>
      </c>
      <c r="D1417" s="116">
        <v>13.7</v>
      </c>
      <c r="E1417" s="116">
        <v>14.025</v>
      </c>
      <c r="F1417" s="116">
        <v>29.6</v>
      </c>
      <c r="G1417">
        <v>166237</v>
      </c>
      <c r="H1417" s="116"/>
      <c r="I1417" s="116"/>
      <c r="L1417" s="166">
        <v>44091</v>
      </c>
      <c r="M1417" s="116">
        <v>14.75</v>
      </c>
      <c r="N1417" s="116">
        <v>15.225</v>
      </c>
      <c r="O1417" s="116">
        <v>13.7</v>
      </c>
      <c r="P1417" s="116">
        <v>13.875</v>
      </c>
      <c r="Q1417" s="116">
        <v>29.5</v>
      </c>
      <c r="R1417">
        <v>973195</v>
      </c>
    </row>
    <row r="1418" spans="1:18" x14ac:dyDescent="0.25">
      <c r="A1418" s="166">
        <v>44092</v>
      </c>
      <c r="B1418" s="116">
        <v>14.85</v>
      </c>
      <c r="C1418" s="116">
        <v>14.425000000000001</v>
      </c>
      <c r="D1418" s="116">
        <v>14.324999999999999</v>
      </c>
      <c r="E1418" s="116">
        <v>14.85</v>
      </c>
      <c r="F1418" s="116">
        <v>28.85</v>
      </c>
      <c r="G1418">
        <v>37403</v>
      </c>
      <c r="H1418" s="116"/>
      <c r="I1418" s="116"/>
      <c r="L1418" s="166">
        <v>44092</v>
      </c>
      <c r="M1418" s="116">
        <v>14.4</v>
      </c>
      <c r="N1418" s="116">
        <v>14.85</v>
      </c>
      <c r="O1418" s="116">
        <v>14.25</v>
      </c>
      <c r="P1418" s="116">
        <v>14.7</v>
      </c>
      <c r="Q1418" s="116">
        <v>28.8</v>
      </c>
      <c r="R1418">
        <v>194210</v>
      </c>
    </row>
    <row r="1419" spans="1:18" x14ac:dyDescent="0.25">
      <c r="A1419" s="166">
        <v>44095</v>
      </c>
      <c r="B1419" s="116">
        <v>14.45</v>
      </c>
      <c r="C1419" s="116">
        <v>13.1</v>
      </c>
      <c r="D1419" s="116">
        <v>13</v>
      </c>
      <c r="E1419" s="116">
        <v>14.4</v>
      </c>
      <c r="F1419" s="116">
        <v>26.2</v>
      </c>
      <c r="G1419">
        <v>31285</v>
      </c>
      <c r="H1419" s="116"/>
      <c r="I1419" s="116"/>
      <c r="L1419" s="166">
        <v>44095</v>
      </c>
      <c r="M1419" s="116">
        <v>13.1</v>
      </c>
      <c r="N1419" s="116">
        <v>14.475</v>
      </c>
      <c r="O1419" s="116">
        <v>12.95</v>
      </c>
      <c r="P1419" s="116">
        <v>14.475</v>
      </c>
      <c r="Q1419" s="116">
        <v>26.2</v>
      </c>
      <c r="R1419">
        <v>240652</v>
      </c>
    </row>
    <row r="1420" spans="1:18" x14ac:dyDescent="0.25">
      <c r="A1420" s="166">
        <v>44096</v>
      </c>
      <c r="B1420" s="116">
        <v>13.5</v>
      </c>
      <c r="C1420" s="116">
        <v>12.8</v>
      </c>
      <c r="D1420" s="116">
        <v>12.3</v>
      </c>
      <c r="E1420" s="116">
        <v>13.5</v>
      </c>
      <c r="F1420" s="116">
        <v>25.6</v>
      </c>
      <c r="G1420">
        <v>18087</v>
      </c>
      <c r="H1420" s="116"/>
      <c r="I1420" s="116"/>
      <c r="L1420" s="166">
        <v>44096</v>
      </c>
      <c r="M1420" s="116">
        <v>12.675000000000001</v>
      </c>
      <c r="N1420" s="116">
        <v>13.45</v>
      </c>
      <c r="O1420" s="116">
        <v>12.324999999999999</v>
      </c>
      <c r="P1420" s="116">
        <v>13.35</v>
      </c>
      <c r="Q1420" s="116">
        <v>25.35</v>
      </c>
      <c r="R1420">
        <v>213216</v>
      </c>
    </row>
    <row r="1421" spans="1:18" x14ac:dyDescent="0.25">
      <c r="A1421" s="166">
        <v>44097</v>
      </c>
      <c r="B1421" s="116">
        <v>13.8</v>
      </c>
      <c r="C1421" s="116">
        <v>13.05</v>
      </c>
      <c r="D1421" s="116">
        <v>12.625</v>
      </c>
      <c r="E1421" s="116">
        <v>12.875</v>
      </c>
      <c r="F1421" s="116">
        <v>26.1</v>
      </c>
      <c r="G1421">
        <v>36884</v>
      </c>
      <c r="H1421" s="116"/>
      <c r="I1421" s="116"/>
      <c r="L1421" s="166">
        <v>44097</v>
      </c>
      <c r="M1421" s="116">
        <v>13.05</v>
      </c>
      <c r="N1421" s="116">
        <v>13.875</v>
      </c>
      <c r="O1421" s="116">
        <v>12.55</v>
      </c>
      <c r="P1421" s="116">
        <v>13.1</v>
      </c>
      <c r="Q1421" s="116">
        <v>26.1</v>
      </c>
      <c r="R1421">
        <v>526473</v>
      </c>
    </row>
    <row r="1422" spans="1:18" x14ac:dyDescent="0.25">
      <c r="A1422" s="166">
        <v>44098</v>
      </c>
      <c r="B1422" s="116">
        <v>13</v>
      </c>
      <c r="C1422" s="116">
        <v>12.475</v>
      </c>
      <c r="D1422" s="116">
        <v>12.2</v>
      </c>
      <c r="E1422" s="116">
        <v>12.925000000000001</v>
      </c>
      <c r="F1422" s="116">
        <v>24.95</v>
      </c>
      <c r="G1422">
        <v>28521</v>
      </c>
      <c r="H1422" s="116"/>
      <c r="I1422" s="116"/>
      <c r="L1422" s="166">
        <v>44098</v>
      </c>
      <c r="M1422" s="116">
        <v>12.475</v>
      </c>
      <c r="N1422" s="116">
        <v>13.15</v>
      </c>
      <c r="O1422" s="116">
        <v>12.125</v>
      </c>
      <c r="P1422" s="116">
        <v>12.95</v>
      </c>
      <c r="Q1422" s="116">
        <v>24.95</v>
      </c>
      <c r="R1422">
        <v>256295</v>
      </c>
    </row>
    <row r="1423" spans="1:18" x14ac:dyDescent="0.25">
      <c r="A1423" s="166">
        <v>44099</v>
      </c>
      <c r="B1423" s="116">
        <v>13.05</v>
      </c>
      <c r="C1423" s="116">
        <v>13.025</v>
      </c>
      <c r="D1423" s="116">
        <v>12.65</v>
      </c>
      <c r="E1423" s="116">
        <v>12.75</v>
      </c>
      <c r="F1423" s="116">
        <v>26.05</v>
      </c>
      <c r="G1423">
        <v>8257</v>
      </c>
      <c r="H1423" s="116"/>
      <c r="I1423" s="116"/>
      <c r="L1423" s="166">
        <v>44099</v>
      </c>
      <c r="M1423" s="116">
        <v>12.975</v>
      </c>
      <c r="N1423" s="116">
        <v>13.074999999999999</v>
      </c>
      <c r="O1423" s="116">
        <v>12.5</v>
      </c>
      <c r="P1423" s="116">
        <v>12.7</v>
      </c>
      <c r="Q1423" s="116">
        <v>25.95</v>
      </c>
      <c r="R1423">
        <v>95428</v>
      </c>
    </row>
    <row r="1424" spans="1:18" x14ac:dyDescent="0.25">
      <c r="A1424" s="166">
        <v>44102</v>
      </c>
      <c r="B1424" s="116">
        <v>13.275</v>
      </c>
      <c r="C1424" s="116">
        <v>13.15</v>
      </c>
      <c r="D1424" s="116">
        <v>12.875</v>
      </c>
      <c r="E1424" s="116">
        <v>12.875</v>
      </c>
      <c r="F1424" s="116">
        <v>26.3</v>
      </c>
      <c r="G1424">
        <v>16900</v>
      </c>
      <c r="H1424" s="116"/>
      <c r="I1424" s="116"/>
      <c r="L1424" s="166">
        <v>44102</v>
      </c>
      <c r="M1424" s="116">
        <v>13.15</v>
      </c>
      <c r="N1424" s="116">
        <v>13.25</v>
      </c>
      <c r="O1424" s="116">
        <v>13.05</v>
      </c>
      <c r="P1424" s="116">
        <v>13.25</v>
      </c>
      <c r="Q1424" s="116">
        <v>26.3</v>
      </c>
      <c r="R1424">
        <v>59567</v>
      </c>
    </row>
    <row r="1425" spans="1:18" x14ac:dyDescent="0.25">
      <c r="A1425" s="166">
        <v>44103</v>
      </c>
      <c r="B1425" s="116">
        <v>13.2</v>
      </c>
      <c r="C1425" s="116">
        <v>12.7</v>
      </c>
      <c r="D1425" s="116">
        <v>12.675000000000001</v>
      </c>
      <c r="E1425" s="116">
        <v>13.2</v>
      </c>
      <c r="F1425" s="116">
        <v>25.4</v>
      </c>
      <c r="G1425">
        <v>8759</v>
      </c>
      <c r="H1425" s="116"/>
      <c r="I1425" s="116"/>
      <c r="L1425" s="166">
        <v>44103</v>
      </c>
      <c r="M1425" s="116">
        <v>12.7</v>
      </c>
      <c r="N1425" s="116">
        <v>13.225</v>
      </c>
      <c r="O1425" s="116">
        <v>12.525</v>
      </c>
      <c r="P1425" s="116">
        <v>12.975</v>
      </c>
      <c r="Q1425" s="116">
        <v>25.4</v>
      </c>
      <c r="R1425">
        <v>102980</v>
      </c>
    </row>
    <row r="1426" spans="1:18" x14ac:dyDescent="0.25">
      <c r="A1426" s="166">
        <v>44104</v>
      </c>
      <c r="B1426" s="116">
        <v>12.775</v>
      </c>
      <c r="C1426" s="116">
        <v>12.7</v>
      </c>
      <c r="D1426" s="116">
        <v>12.65</v>
      </c>
      <c r="E1426" s="116">
        <v>12.675000000000001</v>
      </c>
      <c r="F1426" s="116">
        <v>25.4</v>
      </c>
      <c r="G1426">
        <v>4184</v>
      </c>
      <c r="H1426" s="116"/>
      <c r="I1426" s="116"/>
      <c r="L1426" s="166">
        <v>44104</v>
      </c>
      <c r="M1426" s="116">
        <v>12.75</v>
      </c>
      <c r="N1426" s="116">
        <v>12.95</v>
      </c>
      <c r="O1426" s="116">
        <v>12.65</v>
      </c>
      <c r="P1426" s="116">
        <v>12.725</v>
      </c>
      <c r="Q1426" s="116">
        <v>25.5</v>
      </c>
      <c r="R1426">
        <v>47157</v>
      </c>
    </row>
    <row r="1427" spans="1:18" x14ac:dyDescent="0.25">
      <c r="A1427" s="166">
        <v>44105</v>
      </c>
      <c r="B1427" s="116">
        <v>13.125</v>
      </c>
      <c r="C1427" s="116">
        <v>12.525</v>
      </c>
      <c r="D1427" s="116">
        <v>12.5</v>
      </c>
      <c r="E1427" s="116">
        <v>12.9</v>
      </c>
      <c r="F1427" s="116">
        <v>25.05</v>
      </c>
      <c r="G1427">
        <v>24138</v>
      </c>
      <c r="H1427" s="116"/>
      <c r="I1427" s="116"/>
      <c r="L1427" s="166">
        <v>44105</v>
      </c>
      <c r="M1427" s="116">
        <v>12.525</v>
      </c>
      <c r="N1427" s="116">
        <v>13.35</v>
      </c>
      <c r="O1427" s="116">
        <v>12.45</v>
      </c>
      <c r="P1427" s="116">
        <v>12.75</v>
      </c>
      <c r="Q1427" s="116">
        <v>25.05</v>
      </c>
      <c r="R1427">
        <v>136434</v>
      </c>
    </row>
    <row r="1428" spans="1:18" x14ac:dyDescent="0.25">
      <c r="A1428" s="166">
        <v>44109</v>
      </c>
      <c r="B1428" s="116">
        <v>12.75</v>
      </c>
      <c r="C1428" s="116">
        <v>12.6</v>
      </c>
      <c r="D1428" s="116">
        <v>12.525</v>
      </c>
      <c r="E1428" s="116">
        <v>12.675000000000001</v>
      </c>
      <c r="F1428" s="116">
        <v>25.2</v>
      </c>
      <c r="G1428">
        <v>13927</v>
      </c>
      <c r="H1428" s="116"/>
      <c r="I1428" s="116"/>
      <c r="L1428" s="166">
        <v>44109</v>
      </c>
      <c r="M1428" s="116">
        <v>12.625</v>
      </c>
      <c r="N1428" s="116">
        <v>12.925000000000001</v>
      </c>
      <c r="O1428" s="116">
        <v>12.55</v>
      </c>
      <c r="P1428" s="116">
        <v>12.6</v>
      </c>
      <c r="Q1428" s="116">
        <v>25.25</v>
      </c>
      <c r="R1428">
        <v>71221</v>
      </c>
    </row>
    <row r="1429" spans="1:18" x14ac:dyDescent="0.25">
      <c r="A1429" s="166">
        <v>44110</v>
      </c>
      <c r="B1429" s="116">
        <v>12.975</v>
      </c>
      <c r="C1429" s="116">
        <v>12.375</v>
      </c>
      <c r="D1429" s="116">
        <v>12.35</v>
      </c>
      <c r="E1429" s="116">
        <v>12.725</v>
      </c>
      <c r="F1429" s="116">
        <v>24.75</v>
      </c>
      <c r="G1429">
        <v>21265</v>
      </c>
      <c r="H1429" s="116"/>
      <c r="I1429" s="116"/>
      <c r="L1429" s="166">
        <v>44110</v>
      </c>
      <c r="M1429" s="116">
        <v>12.4</v>
      </c>
      <c r="N1429" s="116">
        <v>12.975</v>
      </c>
      <c r="O1429" s="116">
        <v>12.324999999999999</v>
      </c>
      <c r="P1429" s="116">
        <v>12.7</v>
      </c>
      <c r="Q1429" s="116">
        <v>24.8</v>
      </c>
      <c r="R1429">
        <v>174091</v>
      </c>
    </row>
    <row r="1430" spans="1:18" x14ac:dyDescent="0.25">
      <c r="A1430" s="166">
        <v>44111</v>
      </c>
      <c r="B1430" s="116">
        <v>12.65</v>
      </c>
      <c r="C1430" s="116">
        <v>12.375</v>
      </c>
      <c r="D1430" s="116">
        <v>12.324999999999999</v>
      </c>
      <c r="E1430" s="116">
        <v>12.45</v>
      </c>
      <c r="F1430" s="116">
        <v>24.75</v>
      </c>
      <c r="G1430">
        <v>12888</v>
      </c>
      <c r="H1430" s="116"/>
      <c r="I1430" s="116"/>
      <c r="L1430" s="166">
        <v>44111</v>
      </c>
      <c r="M1430" s="116">
        <v>12.375</v>
      </c>
      <c r="N1430" s="116">
        <v>12.75</v>
      </c>
      <c r="O1430" s="116">
        <v>12.324999999999999</v>
      </c>
      <c r="P1430" s="116">
        <v>12.574999999999999</v>
      </c>
      <c r="Q1430" s="116">
        <v>24.75</v>
      </c>
      <c r="R1430">
        <v>159775</v>
      </c>
    </row>
    <row r="1431" spans="1:18" x14ac:dyDescent="0.25">
      <c r="A1431" s="166">
        <v>44112</v>
      </c>
      <c r="B1431" s="116">
        <v>12.675000000000001</v>
      </c>
      <c r="C1431" s="116">
        <v>12.3</v>
      </c>
      <c r="D1431" s="116">
        <v>12.2</v>
      </c>
      <c r="E1431" s="116">
        <v>12.45</v>
      </c>
      <c r="F1431" s="116">
        <v>24.6</v>
      </c>
      <c r="G1431">
        <v>16253</v>
      </c>
      <c r="H1431" s="116"/>
      <c r="I1431" s="116"/>
      <c r="L1431" s="166">
        <v>44112</v>
      </c>
      <c r="M1431" s="116">
        <v>12.324999999999999</v>
      </c>
      <c r="N1431" s="116">
        <v>12.65</v>
      </c>
      <c r="O1431" s="116">
        <v>12.225</v>
      </c>
      <c r="P1431" s="116">
        <v>12.55</v>
      </c>
      <c r="Q1431" s="116">
        <v>24.65</v>
      </c>
      <c r="R1431">
        <v>93405</v>
      </c>
    </row>
    <row r="1432" spans="1:18" x14ac:dyDescent="0.25">
      <c r="A1432" s="166">
        <v>44113</v>
      </c>
      <c r="B1432" s="116">
        <v>12.5</v>
      </c>
      <c r="C1432" s="116">
        <v>12.15</v>
      </c>
      <c r="D1432" s="116">
        <v>12.1</v>
      </c>
      <c r="E1432" s="116">
        <v>12.5</v>
      </c>
      <c r="F1432" s="116">
        <v>24.3</v>
      </c>
      <c r="G1432">
        <v>19062</v>
      </c>
      <c r="H1432" s="116"/>
      <c r="I1432" s="116"/>
      <c r="L1432" s="166">
        <v>44113</v>
      </c>
      <c r="M1432" s="116">
        <v>12.175000000000001</v>
      </c>
      <c r="N1432" s="116">
        <v>12.5</v>
      </c>
      <c r="O1432" s="116">
        <v>12.074999999999999</v>
      </c>
      <c r="P1432" s="116">
        <v>12.45</v>
      </c>
      <c r="Q1432" s="116">
        <v>24.35</v>
      </c>
      <c r="R1432">
        <v>117535</v>
      </c>
    </row>
    <row r="1433" spans="1:18" x14ac:dyDescent="0.25">
      <c r="A1433" s="166">
        <v>44116</v>
      </c>
      <c r="B1433" s="116">
        <v>12.225</v>
      </c>
      <c r="C1433" s="116">
        <v>11.8</v>
      </c>
      <c r="D1433" s="116">
        <v>11.75</v>
      </c>
      <c r="E1433" s="116">
        <v>12.2</v>
      </c>
      <c r="F1433" s="116">
        <v>23.6</v>
      </c>
      <c r="G1433">
        <v>37225</v>
      </c>
      <c r="H1433" s="116"/>
      <c r="I1433" s="116"/>
      <c r="L1433" s="166">
        <v>44116</v>
      </c>
      <c r="M1433" s="116">
        <v>11.8</v>
      </c>
      <c r="N1433" s="116">
        <v>12.3</v>
      </c>
      <c r="O1433" s="116">
        <v>11.75</v>
      </c>
      <c r="P1433" s="116">
        <v>12.3</v>
      </c>
      <c r="Q1433" s="116">
        <v>23.6</v>
      </c>
      <c r="R1433">
        <v>185245</v>
      </c>
    </row>
    <row r="1434" spans="1:18" x14ac:dyDescent="0.25">
      <c r="A1434" s="166">
        <v>44117</v>
      </c>
      <c r="B1434" s="116">
        <v>12</v>
      </c>
      <c r="C1434" s="116">
        <v>11.6</v>
      </c>
      <c r="D1434" s="116">
        <v>11.55</v>
      </c>
      <c r="E1434" s="116">
        <v>12</v>
      </c>
      <c r="F1434" s="116">
        <v>23.2</v>
      </c>
      <c r="G1434">
        <v>37489</v>
      </c>
      <c r="H1434" s="116"/>
      <c r="I1434" s="116"/>
      <c r="L1434" s="166">
        <v>44117</v>
      </c>
      <c r="M1434" s="116">
        <v>11.625</v>
      </c>
      <c r="N1434" s="116">
        <v>11.975</v>
      </c>
      <c r="O1434" s="116">
        <v>11.574999999999999</v>
      </c>
      <c r="P1434" s="116">
        <v>11.75</v>
      </c>
      <c r="Q1434" s="116">
        <v>23.25</v>
      </c>
      <c r="R1434">
        <v>60225</v>
      </c>
    </row>
    <row r="1435" spans="1:18" x14ac:dyDescent="0.25">
      <c r="A1435" s="166">
        <v>44118</v>
      </c>
      <c r="B1435" s="116">
        <v>12.025</v>
      </c>
      <c r="C1435" s="116">
        <v>11.75</v>
      </c>
      <c r="D1435" s="116">
        <v>11.475</v>
      </c>
      <c r="E1435" s="116">
        <v>11.625</v>
      </c>
      <c r="F1435" s="116">
        <v>23.5</v>
      </c>
      <c r="G1435">
        <v>14906</v>
      </c>
      <c r="H1435" s="116"/>
      <c r="I1435" s="116"/>
      <c r="L1435" s="166">
        <v>44118</v>
      </c>
      <c r="M1435" s="116">
        <v>11.75</v>
      </c>
      <c r="N1435" s="116">
        <v>12.25</v>
      </c>
      <c r="O1435" s="116">
        <v>11.45</v>
      </c>
      <c r="P1435" s="116">
        <v>11.7</v>
      </c>
      <c r="Q1435" s="116">
        <v>23.5</v>
      </c>
      <c r="R1435">
        <v>99967</v>
      </c>
    </row>
    <row r="1436" spans="1:18" x14ac:dyDescent="0.25">
      <c r="A1436" s="166">
        <v>44119</v>
      </c>
      <c r="B1436" s="116">
        <v>11.9</v>
      </c>
      <c r="C1436" s="116">
        <v>11.35</v>
      </c>
      <c r="D1436" s="116">
        <v>11.225</v>
      </c>
      <c r="E1436" s="116">
        <v>11.775</v>
      </c>
      <c r="F1436" s="116">
        <v>22.7</v>
      </c>
      <c r="G1436">
        <v>23976</v>
      </c>
      <c r="H1436" s="116"/>
      <c r="I1436" s="116"/>
      <c r="L1436" s="166">
        <v>44119</v>
      </c>
      <c r="M1436" s="116">
        <v>11.3</v>
      </c>
      <c r="N1436" s="116">
        <v>11.925000000000001</v>
      </c>
      <c r="O1436" s="116">
        <v>11.25</v>
      </c>
      <c r="P1436" s="116">
        <v>11.8</v>
      </c>
      <c r="Q1436" s="116">
        <v>22.6</v>
      </c>
      <c r="R1436">
        <v>126649</v>
      </c>
    </row>
    <row r="1437" spans="1:18" x14ac:dyDescent="0.25">
      <c r="A1437" s="166">
        <v>44120</v>
      </c>
      <c r="B1437" s="116">
        <v>11.425000000000001</v>
      </c>
      <c r="C1437" s="116">
        <v>11.4</v>
      </c>
      <c r="D1437" s="116">
        <v>11.25</v>
      </c>
      <c r="E1437" s="116">
        <v>11.4</v>
      </c>
      <c r="F1437" s="116">
        <v>22.8</v>
      </c>
      <c r="G1437">
        <v>5202</v>
      </c>
      <c r="H1437" s="116"/>
      <c r="I1437" s="116"/>
      <c r="L1437" s="166">
        <v>44120</v>
      </c>
      <c r="M1437" s="116">
        <v>11.4</v>
      </c>
      <c r="N1437" s="116">
        <v>11.45</v>
      </c>
      <c r="O1437" s="116">
        <v>11.275</v>
      </c>
      <c r="P1437" s="116">
        <v>11.45</v>
      </c>
      <c r="Q1437" s="116">
        <v>22.8</v>
      </c>
      <c r="R1437">
        <v>55152</v>
      </c>
    </row>
    <row r="1438" spans="1:18" x14ac:dyDescent="0.25">
      <c r="A1438" s="166">
        <v>44123</v>
      </c>
      <c r="B1438" s="116">
        <v>11.824999999999999</v>
      </c>
      <c r="C1438" s="116">
        <v>11.675000000000001</v>
      </c>
      <c r="D1438" s="116">
        <v>11.5</v>
      </c>
      <c r="E1438" s="116">
        <v>11.625</v>
      </c>
      <c r="F1438" s="116">
        <v>23.35</v>
      </c>
      <c r="G1438">
        <v>13349</v>
      </c>
      <c r="H1438" s="116"/>
      <c r="I1438" s="116"/>
      <c r="L1438" s="166">
        <v>44123</v>
      </c>
      <c r="M1438" s="116">
        <v>11.675000000000001</v>
      </c>
      <c r="N1438" s="116">
        <v>11.725</v>
      </c>
      <c r="O1438" s="116">
        <v>11.5</v>
      </c>
      <c r="P1438" s="116">
        <v>11.5</v>
      </c>
      <c r="Q1438" s="116">
        <v>23.35</v>
      </c>
      <c r="R1438">
        <v>62544</v>
      </c>
    </row>
    <row r="1439" spans="1:18" x14ac:dyDescent="0.25">
      <c r="A1439" s="166">
        <v>44124</v>
      </c>
      <c r="B1439" s="116">
        <v>12.725</v>
      </c>
      <c r="C1439" s="116">
        <v>12.15</v>
      </c>
      <c r="D1439" s="116">
        <v>11.824999999999999</v>
      </c>
      <c r="E1439" s="116">
        <v>11.824999999999999</v>
      </c>
      <c r="F1439" s="116">
        <v>24.3</v>
      </c>
      <c r="G1439">
        <v>21715</v>
      </c>
      <c r="H1439" s="116"/>
      <c r="I1439" s="116"/>
      <c r="L1439" s="166">
        <v>44124</v>
      </c>
      <c r="M1439" s="116">
        <v>12.125</v>
      </c>
      <c r="N1439" s="116">
        <v>12.725</v>
      </c>
      <c r="O1439" s="116">
        <v>11.675000000000001</v>
      </c>
      <c r="P1439" s="116">
        <v>11.9</v>
      </c>
      <c r="Q1439" s="116">
        <v>24.25</v>
      </c>
      <c r="R1439">
        <v>214204</v>
      </c>
    </row>
    <row r="1440" spans="1:18" x14ac:dyDescent="0.25">
      <c r="A1440" s="166">
        <v>44125</v>
      </c>
      <c r="B1440" s="116">
        <v>12.225</v>
      </c>
      <c r="C1440" s="116">
        <v>11.95</v>
      </c>
      <c r="D1440" s="116">
        <v>11.8</v>
      </c>
      <c r="E1440" s="116">
        <v>12.225</v>
      </c>
      <c r="F1440" s="116">
        <v>23.9</v>
      </c>
      <c r="G1440">
        <v>20983</v>
      </c>
      <c r="H1440" s="116"/>
      <c r="I1440" s="116"/>
      <c r="L1440" s="166">
        <v>44125</v>
      </c>
      <c r="M1440" s="116">
        <v>11.975</v>
      </c>
      <c r="N1440" s="116">
        <v>12.225</v>
      </c>
      <c r="O1440" s="116">
        <v>11.8</v>
      </c>
      <c r="P1440" s="116">
        <v>12.225</v>
      </c>
      <c r="Q1440" s="116">
        <v>23.95</v>
      </c>
      <c r="R1440">
        <v>97485</v>
      </c>
    </row>
    <row r="1441" spans="1:18" x14ac:dyDescent="0.25">
      <c r="A1441" s="166">
        <v>44126</v>
      </c>
      <c r="B1441" s="116">
        <v>12</v>
      </c>
      <c r="C1441" s="116">
        <v>11.824999999999999</v>
      </c>
      <c r="D1441" s="116">
        <v>11.65</v>
      </c>
      <c r="E1441" s="116">
        <v>11.95</v>
      </c>
      <c r="F1441" s="116">
        <v>23.65</v>
      </c>
      <c r="G1441">
        <v>5834</v>
      </c>
      <c r="H1441" s="116"/>
      <c r="I1441" s="116"/>
      <c r="L1441" s="166">
        <v>44126</v>
      </c>
      <c r="M1441" s="116">
        <v>11.8</v>
      </c>
      <c r="N1441" s="116">
        <v>12.1</v>
      </c>
      <c r="O1441" s="116">
        <v>11.7</v>
      </c>
      <c r="P1441" s="116">
        <v>12</v>
      </c>
      <c r="Q1441" s="116">
        <v>23.6</v>
      </c>
      <c r="R1441">
        <v>72099</v>
      </c>
    </row>
    <row r="1442" spans="1:18" x14ac:dyDescent="0.25">
      <c r="A1442" s="166">
        <v>44127</v>
      </c>
      <c r="B1442" s="116">
        <v>12.1</v>
      </c>
      <c r="C1442" s="116">
        <v>11.975</v>
      </c>
      <c r="D1442" s="116">
        <v>11.9</v>
      </c>
      <c r="E1442" s="116">
        <v>12</v>
      </c>
      <c r="F1442" s="116">
        <v>23.95</v>
      </c>
      <c r="G1442">
        <v>4896</v>
      </c>
      <c r="H1442" s="116"/>
      <c r="I1442" s="116"/>
      <c r="L1442" s="166">
        <v>44127</v>
      </c>
      <c r="M1442" s="116">
        <v>11.9</v>
      </c>
      <c r="N1442" s="116">
        <v>12.05</v>
      </c>
      <c r="O1442" s="116">
        <v>11.85</v>
      </c>
      <c r="P1442" s="116">
        <v>11.975</v>
      </c>
      <c r="Q1442" s="116">
        <v>23.8</v>
      </c>
      <c r="R1442">
        <v>50370</v>
      </c>
    </row>
    <row r="1443" spans="1:18" x14ac:dyDescent="0.25">
      <c r="A1443" s="166">
        <v>44130</v>
      </c>
      <c r="B1443" s="116">
        <v>11.9</v>
      </c>
      <c r="C1443" s="116">
        <v>11.525</v>
      </c>
      <c r="D1443" s="116">
        <v>11.5</v>
      </c>
      <c r="E1443" s="116">
        <v>11.9</v>
      </c>
      <c r="F1443" s="116">
        <v>23.05</v>
      </c>
      <c r="G1443">
        <v>6639</v>
      </c>
      <c r="H1443" s="116"/>
      <c r="I1443" s="116"/>
      <c r="L1443" s="166">
        <v>44130</v>
      </c>
      <c r="M1443" s="116">
        <v>11.5</v>
      </c>
      <c r="N1443" s="116">
        <v>11.95</v>
      </c>
      <c r="O1443" s="116">
        <v>11.45</v>
      </c>
      <c r="P1443" s="116">
        <v>11.875</v>
      </c>
      <c r="Q1443" s="116">
        <v>23</v>
      </c>
      <c r="R1443">
        <v>114567</v>
      </c>
    </row>
    <row r="1444" spans="1:18" x14ac:dyDescent="0.25">
      <c r="A1444" s="166">
        <v>44131</v>
      </c>
      <c r="B1444" s="116">
        <v>11.675000000000001</v>
      </c>
      <c r="C1444" s="116">
        <v>11.3</v>
      </c>
      <c r="D1444" s="116">
        <v>11.25</v>
      </c>
      <c r="E1444" s="116">
        <v>11.55</v>
      </c>
      <c r="F1444" s="116">
        <v>22.6</v>
      </c>
      <c r="G1444">
        <v>29463</v>
      </c>
      <c r="H1444" s="116"/>
      <c r="I1444" s="116"/>
      <c r="L1444" s="166">
        <v>44131</v>
      </c>
      <c r="M1444" s="116">
        <v>11.275</v>
      </c>
      <c r="N1444" s="116">
        <v>11.75</v>
      </c>
      <c r="O1444" s="116">
        <v>11.2</v>
      </c>
      <c r="P1444" s="116">
        <v>11.5</v>
      </c>
      <c r="Q1444" s="116">
        <v>22.55</v>
      </c>
      <c r="R1444">
        <v>125953</v>
      </c>
    </row>
    <row r="1445" spans="1:18" x14ac:dyDescent="0.25">
      <c r="A1445" s="166">
        <v>44132</v>
      </c>
      <c r="B1445" s="116">
        <v>11.475</v>
      </c>
      <c r="C1445" s="116">
        <v>11.35</v>
      </c>
      <c r="D1445" s="116">
        <v>11.225</v>
      </c>
      <c r="E1445" s="116">
        <v>11.35</v>
      </c>
      <c r="F1445" s="116">
        <v>22.7</v>
      </c>
      <c r="G1445">
        <v>7350</v>
      </c>
      <c r="H1445" s="116"/>
      <c r="I1445" s="116"/>
      <c r="L1445" s="166">
        <v>44132</v>
      </c>
      <c r="M1445" s="116">
        <v>11.324999999999999</v>
      </c>
      <c r="N1445" s="116">
        <v>11.7</v>
      </c>
      <c r="O1445" s="116">
        <v>11.2</v>
      </c>
      <c r="P1445" s="116">
        <v>11.35</v>
      </c>
      <c r="Q1445" s="116">
        <v>22.65</v>
      </c>
      <c r="R1445">
        <v>44651</v>
      </c>
    </row>
    <row r="1446" spans="1:18" x14ac:dyDescent="0.25">
      <c r="A1446" s="166">
        <v>44133</v>
      </c>
      <c r="B1446" s="116">
        <v>11.35</v>
      </c>
      <c r="C1446" s="116">
        <v>11.275</v>
      </c>
      <c r="D1446" s="116">
        <v>10.975</v>
      </c>
      <c r="E1446" s="116">
        <v>11.225</v>
      </c>
      <c r="F1446" s="116">
        <v>22.55</v>
      </c>
      <c r="G1446">
        <v>4307</v>
      </c>
      <c r="H1446" s="116"/>
      <c r="I1446" s="116"/>
      <c r="L1446" s="166">
        <v>44133</v>
      </c>
      <c r="M1446" s="116">
        <v>11.225</v>
      </c>
      <c r="N1446" s="116">
        <v>11.324999999999999</v>
      </c>
      <c r="O1446" s="116">
        <v>11.175000000000001</v>
      </c>
      <c r="P1446" s="116">
        <v>11.175000000000001</v>
      </c>
      <c r="Q1446" s="116">
        <v>22.45</v>
      </c>
      <c r="R1446">
        <v>31451</v>
      </c>
    </row>
    <row r="1447" spans="1:18" x14ac:dyDescent="0.25">
      <c r="A1447" s="166">
        <v>44134</v>
      </c>
      <c r="B1447" s="116">
        <v>11.45</v>
      </c>
      <c r="C1447" s="116">
        <v>11.25</v>
      </c>
      <c r="D1447" s="116">
        <v>11.225</v>
      </c>
      <c r="E1447" s="116">
        <v>11.425000000000001</v>
      </c>
      <c r="F1447" s="116">
        <v>22.5</v>
      </c>
      <c r="G1447">
        <v>1530</v>
      </c>
      <c r="H1447" s="116"/>
      <c r="I1447" s="116"/>
      <c r="L1447" s="166">
        <v>44134</v>
      </c>
      <c r="M1447" s="116">
        <v>11.3</v>
      </c>
      <c r="N1447" s="116">
        <v>11.5</v>
      </c>
      <c r="O1447" s="116">
        <v>11.25</v>
      </c>
      <c r="P1447" s="116">
        <v>11.25</v>
      </c>
      <c r="Q1447" s="116">
        <v>22.6</v>
      </c>
      <c r="R1447">
        <v>36485</v>
      </c>
    </row>
    <row r="1448" spans="1:18" x14ac:dyDescent="0.25">
      <c r="A1448" s="166">
        <v>44137</v>
      </c>
      <c r="B1448" s="116">
        <v>11.25</v>
      </c>
      <c r="C1448" s="116">
        <v>11.15</v>
      </c>
      <c r="D1448" s="116">
        <v>11.15</v>
      </c>
      <c r="E1448" s="116">
        <v>11.2</v>
      </c>
      <c r="F1448" s="116">
        <v>22.3</v>
      </c>
      <c r="G1448">
        <v>2193</v>
      </c>
      <c r="H1448" s="116"/>
      <c r="I1448" s="116"/>
      <c r="L1448" s="166">
        <v>44137</v>
      </c>
      <c r="M1448" s="116">
        <v>11.2</v>
      </c>
      <c r="N1448" s="116">
        <v>11.375</v>
      </c>
      <c r="O1448" s="116">
        <v>11.125</v>
      </c>
      <c r="P1448" s="116">
        <v>11.25</v>
      </c>
      <c r="Q1448" s="116">
        <v>22.4</v>
      </c>
      <c r="R1448">
        <v>25756</v>
      </c>
    </row>
    <row r="1449" spans="1:18" x14ac:dyDescent="0.25">
      <c r="A1449" s="166">
        <v>44138</v>
      </c>
      <c r="B1449" s="116">
        <v>11.275</v>
      </c>
      <c r="C1449" s="116">
        <v>11.25</v>
      </c>
      <c r="D1449" s="116">
        <v>11.125</v>
      </c>
      <c r="E1449" s="116">
        <v>11.225</v>
      </c>
      <c r="F1449" s="116">
        <v>22.5</v>
      </c>
      <c r="G1449">
        <v>2905</v>
      </c>
      <c r="H1449" s="116"/>
      <c r="I1449" s="116"/>
      <c r="L1449" s="166">
        <v>44138</v>
      </c>
      <c r="M1449" s="116">
        <v>11.175000000000001</v>
      </c>
      <c r="N1449" s="116">
        <v>11.25</v>
      </c>
      <c r="O1449" s="116">
        <v>11.1</v>
      </c>
      <c r="P1449" s="116">
        <v>11.125</v>
      </c>
      <c r="Q1449" s="116">
        <v>22.35</v>
      </c>
      <c r="R1449">
        <v>27546</v>
      </c>
    </row>
    <row r="1450" spans="1:18" x14ac:dyDescent="0.25">
      <c r="A1450" s="166">
        <v>44139</v>
      </c>
      <c r="B1450" s="116">
        <v>11.2</v>
      </c>
      <c r="C1450" s="116">
        <v>11.05</v>
      </c>
      <c r="D1450" s="116">
        <v>10.75</v>
      </c>
      <c r="E1450" s="116">
        <v>11.175000000000001</v>
      </c>
      <c r="F1450" s="116">
        <v>22.1</v>
      </c>
      <c r="G1450">
        <v>20355</v>
      </c>
      <c r="H1450" s="116"/>
      <c r="I1450" s="116"/>
      <c r="L1450" s="166">
        <v>44139</v>
      </c>
      <c r="M1450" s="116">
        <v>11</v>
      </c>
      <c r="N1450" s="116">
        <v>11.175000000000001</v>
      </c>
      <c r="O1450" s="116">
        <v>10.725</v>
      </c>
      <c r="P1450" s="116">
        <v>11.175000000000001</v>
      </c>
      <c r="Q1450" s="116">
        <v>22</v>
      </c>
      <c r="R1450">
        <v>115804</v>
      </c>
    </row>
    <row r="1451" spans="1:18" x14ac:dyDescent="0.25">
      <c r="A1451" s="166">
        <v>44140</v>
      </c>
      <c r="B1451" s="116">
        <v>11.85</v>
      </c>
      <c r="C1451" s="116">
        <v>11.725</v>
      </c>
      <c r="D1451" s="116">
        <v>11.225</v>
      </c>
      <c r="E1451" s="116">
        <v>11.225</v>
      </c>
      <c r="F1451" s="116">
        <v>23.45</v>
      </c>
      <c r="G1451">
        <v>23611</v>
      </c>
      <c r="H1451" s="116"/>
      <c r="I1451" s="116"/>
      <c r="L1451" s="166">
        <v>44140</v>
      </c>
      <c r="M1451" s="116">
        <v>11.725</v>
      </c>
      <c r="N1451" s="116">
        <v>11.85</v>
      </c>
      <c r="O1451" s="116">
        <v>11.1</v>
      </c>
      <c r="P1451" s="116">
        <v>11.1</v>
      </c>
      <c r="Q1451" s="116">
        <v>23.45</v>
      </c>
      <c r="R1451">
        <v>121036</v>
      </c>
    </row>
    <row r="1452" spans="1:18" x14ac:dyDescent="0.25">
      <c r="A1452" s="166">
        <v>44141</v>
      </c>
      <c r="B1452" s="116">
        <v>13.95</v>
      </c>
      <c r="C1452" s="116">
        <v>13.45</v>
      </c>
      <c r="D1452" s="116">
        <v>11.8</v>
      </c>
      <c r="E1452" s="116">
        <v>11.8</v>
      </c>
      <c r="F1452" s="116">
        <v>26.9</v>
      </c>
      <c r="G1452">
        <v>152818</v>
      </c>
      <c r="H1452" s="116"/>
      <c r="I1452" s="116"/>
      <c r="L1452" s="166">
        <v>44141</v>
      </c>
      <c r="M1452" s="116">
        <v>13.425000000000001</v>
      </c>
      <c r="N1452" s="116">
        <v>14</v>
      </c>
      <c r="O1452" s="116">
        <v>11.675000000000001</v>
      </c>
      <c r="P1452" s="116">
        <v>11.85</v>
      </c>
      <c r="Q1452" s="116">
        <v>26.85</v>
      </c>
      <c r="R1452">
        <v>1656826</v>
      </c>
    </row>
    <row r="1453" spans="1:18" x14ac:dyDescent="0.25">
      <c r="A1453" s="166">
        <v>44144</v>
      </c>
      <c r="B1453" s="116">
        <v>13.75</v>
      </c>
      <c r="C1453" s="116">
        <v>12.8</v>
      </c>
      <c r="D1453" s="116">
        <v>12.574999999999999</v>
      </c>
      <c r="E1453" s="116">
        <v>12.675000000000001</v>
      </c>
      <c r="F1453" s="116">
        <v>25.6</v>
      </c>
      <c r="G1453">
        <v>91817</v>
      </c>
      <c r="H1453" s="116"/>
      <c r="I1453" s="116"/>
      <c r="L1453" s="166">
        <v>44144</v>
      </c>
      <c r="M1453" s="116">
        <v>12.8</v>
      </c>
      <c r="N1453" s="116">
        <v>13.8</v>
      </c>
      <c r="O1453" s="116">
        <v>12.574999999999999</v>
      </c>
      <c r="P1453" s="116">
        <v>13.425000000000001</v>
      </c>
      <c r="Q1453" s="116">
        <v>25.6</v>
      </c>
      <c r="R1453">
        <v>547056</v>
      </c>
    </row>
    <row r="1454" spans="1:18" x14ac:dyDescent="0.25">
      <c r="A1454" s="166">
        <v>44145</v>
      </c>
      <c r="B1454" s="116">
        <v>13.45</v>
      </c>
      <c r="C1454" s="116">
        <v>13.175000000000001</v>
      </c>
      <c r="D1454" s="116">
        <v>11.925000000000001</v>
      </c>
      <c r="E1454" s="116">
        <v>12.824999999999999</v>
      </c>
      <c r="F1454" s="116">
        <v>26.35</v>
      </c>
      <c r="G1454">
        <v>45161</v>
      </c>
      <c r="H1454" s="116"/>
      <c r="I1454" s="116"/>
      <c r="L1454" s="166">
        <v>44145</v>
      </c>
      <c r="M1454" s="116">
        <v>13.2</v>
      </c>
      <c r="N1454" s="116">
        <v>13.45</v>
      </c>
      <c r="O1454" s="116">
        <v>12.025</v>
      </c>
      <c r="P1454" s="116">
        <v>12.925000000000001</v>
      </c>
      <c r="Q1454" s="116">
        <v>26.4</v>
      </c>
      <c r="R1454">
        <v>283423</v>
      </c>
    </row>
    <row r="1455" spans="1:18" x14ac:dyDescent="0.25">
      <c r="A1455" s="166">
        <v>44146</v>
      </c>
      <c r="B1455" s="116">
        <v>13.375</v>
      </c>
      <c r="C1455" s="116">
        <v>13.074999999999999</v>
      </c>
      <c r="D1455" s="116">
        <v>12.925000000000001</v>
      </c>
      <c r="E1455" s="116">
        <v>13.375</v>
      </c>
      <c r="F1455" s="116">
        <v>26.15</v>
      </c>
      <c r="G1455">
        <v>17123</v>
      </c>
      <c r="H1455" s="116"/>
      <c r="I1455" s="116"/>
      <c r="L1455" s="166">
        <v>44146</v>
      </c>
      <c r="M1455" s="116">
        <v>13.05</v>
      </c>
      <c r="N1455" s="116">
        <v>13.475</v>
      </c>
      <c r="O1455" s="116">
        <v>12.925000000000001</v>
      </c>
      <c r="P1455" s="116">
        <v>13.2</v>
      </c>
      <c r="Q1455" s="116">
        <v>26.1</v>
      </c>
      <c r="R1455">
        <v>111428</v>
      </c>
    </row>
    <row r="1456" spans="1:18" x14ac:dyDescent="0.25">
      <c r="A1456" s="166">
        <v>44147</v>
      </c>
      <c r="B1456" s="116">
        <v>13.8</v>
      </c>
      <c r="C1456" s="116">
        <v>13.574999999999999</v>
      </c>
      <c r="D1456" s="116">
        <v>13.025</v>
      </c>
      <c r="E1456" s="116">
        <v>13.15</v>
      </c>
      <c r="F1456" s="116">
        <v>27.15</v>
      </c>
      <c r="G1456">
        <v>45802</v>
      </c>
      <c r="H1456" s="116"/>
      <c r="I1456" s="116"/>
      <c r="L1456" s="166">
        <v>44147</v>
      </c>
      <c r="M1456" s="116">
        <v>13.6</v>
      </c>
      <c r="N1456" s="116">
        <v>13.8</v>
      </c>
      <c r="O1456" s="116">
        <v>12.875</v>
      </c>
      <c r="P1456" s="116">
        <v>12.875</v>
      </c>
      <c r="Q1456" s="116">
        <v>27.2</v>
      </c>
      <c r="R1456">
        <v>287850</v>
      </c>
    </row>
    <row r="1457" spans="1:18" x14ac:dyDescent="0.25">
      <c r="A1457" s="166">
        <v>44148</v>
      </c>
      <c r="B1457" s="116">
        <v>13.625</v>
      </c>
      <c r="C1457" s="116">
        <v>13.4</v>
      </c>
      <c r="D1457" s="116">
        <v>13.175000000000001</v>
      </c>
      <c r="E1457" s="116">
        <v>13.5</v>
      </c>
      <c r="F1457" s="116">
        <v>26.8</v>
      </c>
      <c r="G1457">
        <v>6785</v>
      </c>
      <c r="H1457" s="116"/>
      <c r="I1457" s="116"/>
      <c r="L1457" s="166">
        <v>44148</v>
      </c>
      <c r="M1457" s="116">
        <v>13.4</v>
      </c>
      <c r="N1457" s="116">
        <v>13.6</v>
      </c>
      <c r="O1457" s="116">
        <v>13.3</v>
      </c>
      <c r="P1457" s="116">
        <v>13.6</v>
      </c>
      <c r="Q1457" s="116">
        <v>26.8</v>
      </c>
      <c r="R1457">
        <v>63202</v>
      </c>
    </row>
    <row r="1458" spans="1:18" x14ac:dyDescent="0.25">
      <c r="A1458" s="166">
        <v>44149</v>
      </c>
      <c r="B1458" s="116">
        <v>13.75</v>
      </c>
      <c r="C1458" s="116">
        <v>13.65</v>
      </c>
      <c r="D1458" s="116">
        <v>13.3</v>
      </c>
      <c r="E1458" s="116">
        <v>13.6</v>
      </c>
      <c r="F1458" s="116">
        <v>27.3</v>
      </c>
      <c r="G1458">
        <v>10198</v>
      </c>
      <c r="H1458" s="116"/>
      <c r="I1458" s="116"/>
      <c r="L1458" s="166">
        <v>44149</v>
      </c>
      <c r="M1458" s="116">
        <v>13.625</v>
      </c>
      <c r="N1458" s="116">
        <v>13.75</v>
      </c>
      <c r="O1458" s="116">
        <v>13.35</v>
      </c>
      <c r="P1458" s="116">
        <v>13.625</v>
      </c>
      <c r="Q1458" s="116">
        <v>27.25</v>
      </c>
      <c r="R1458">
        <v>48029</v>
      </c>
    </row>
    <row r="1459" spans="1:18" x14ac:dyDescent="0.25">
      <c r="A1459" s="166">
        <v>44152</v>
      </c>
      <c r="B1459" s="116">
        <v>14.775</v>
      </c>
      <c r="C1459" s="116">
        <v>14.5</v>
      </c>
      <c r="D1459" s="116">
        <v>13.35</v>
      </c>
      <c r="E1459" s="116">
        <v>13.6</v>
      </c>
      <c r="F1459" s="116">
        <v>29</v>
      </c>
      <c r="G1459">
        <v>88216</v>
      </c>
      <c r="H1459" s="116"/>
      <c r="I1459" s="116"/>
      <c r="L1459" s="166">
        <v>44152</v>
      </c>
      <c r="M1459" s="116">
        <v>14.525</v>
      </c>
      <c r="N1459" s="116">
        <v>14.9</v>
      </c>
      <c r="O1459" s="116">
        <v>13.55</v>
      </c>
      <c r="P1459" s="116">
        <v>13.625</v>
      </c>
      <c r="Q1459" s="116">
        <v>29.05</v>
      </c>
      <c r="R1459">
        <v>599859</v>
      </c>
    </row>
    <row r="1460" spans="1:18" x14ac:dyDescent="0.25">
      <c r="A1460" s="166">
        <v>44153</v>
      </c>
      <c r="B1460" s="116">
        <v>15.925000000000001</v>
      </c>
      <c r="C1460" s="116">
        <v>15.625</v>
      </c>
      <c r="D1460" s="116">
        <v>14.75</v>
      </c>
      <c r="E1460" s="116">
        <v>14.9</v>
      </c>
      <c r="F1460" s="116">
        <v>31.25</v>
      </c>
      <c r="G1460">
        <v>65542</v>
      </c>
      <c r="H1460" s="116"/>
      <c r="I1460" s="116"/>
      <c r="L1460" s="166">
        <v>44153</v>
      </c>
      <c r="M1460" s="116">
        <v>15.6</v>
      </c>
      <c r="N1460" s="116">
        <v>15.975</v>
      </c>
      <c r="O1460" s="116">
        <v>14.65</v>
      </c>
      <c r="P1460" s="116">
        <v>14.75</v>
      </c>
      <c r="Q1460" s="116">
        <v>31.2</v>
      </c>
      <c r="R1460">
        <v>799610</v>
      </c>
    </row>
    <row r="1461" spans="1:18" x14ac:dyDescent="0.25">
      <c r="A1461" s="166">
        <v>44154</v>
      </c>
      <c r="B1461" s="116">
        <v>16.274999999999999</v>
      </c>
      <c r="C1461" s="116">
        <v>15.824999999999999</v>
      </c>
      <c r="D1461" s="116">
        <v>15.55</v>
      </c>
      <c r="E1461" s="116">
        <v>15.85</v>
      </c>
      <c r="F1461" s="116">
        <v>31.65</v>
      </c>
      <c r="G1461">
        <v>78727</v>
      </c>
      <c r="H1461" s="116"/>
      <c r="I1461" s="116"/>
      <c r="L1461" s="166">
        <v>44154</v>
      </c>
      <c r="M1461" s="116">
        <v>15.875</v>
      </c>
      <c r="N1461" s="116">
        <v>16.25</v>
      </c>
      <c r="O1461" s="116">
        <v>15.475</v>
      </c>
      <c r="P1461" s="116">
        <v>15.475</v>
      </c>
      <c r="Q1461" s="116">
        <v>31.75</v>
      </c>
      <c r="R1461">
        <v>574765</v>
      </c>
    </row>
    <row r="1462" spans="1:18" x14ac:dyDescent="0.25">
      <c r="A1462" s="166">
        <v>44155</v>
      </c>
      <c r="B1462" s="116">
        <v>16.25</v>
      </c>
      <c r="C1462" s="116">
        <v>16.024999999999999</v>
      </c>
      <c r="D1462" s="116">
        <v>15.525</v>
      </c>
      <c r="E1462" s="116">
        <v>15.625</v>
      </c>
      <c r="F1462" s="116">
        <v>32.049999999999997</v>
      </c>
      <c r="G1462">
        <v>44676</v>
      </c>
      <c r="H1462" s="116"/>
      <c r="I1462" s="116"/>
      <c r="L1462" s="166">
        <v>44155</v>
      </c>
      <c r="M1462" s="116">
        <v>16.074999999999999</v>
      </c>
      <c r="N1462" s="116">
        <v>16.25</v>
      </c>
      <c r="O1462" s="116">
        <v>15.55</v>
      </c>
      <c r="P1462" s="116">
        <v>15.725</v>
      </c>
      <c r="Q1462" s="116">
        <v>32.15</v>
      </c>
      <c r="R1462">
        <v>374273</v>
      </c>
    </row>
    <row r="1463" spans="1:18" x14ac:dyDescent="0.25">
      <c r="A1463" s="166">
        <v>44158</v>
      </c>
      <c r="B1463" s="116">
        <v>16.725000000000001</v>
      </c>
      <c r="C1463" s="116">
        <v>16.399999999999999</v>
      </c>
      <c r="D1463" s="116">
        <v>16.225000000000001</v>
      </c>
      <c r="E1463" s="116">
        <v>16.350000000000001</v>
      </c>
      <c r="F1463" s="116">
        <v>32.799999999999997</v>
      </c>
      <c r="G1463">
        <v>82301</v>
      </c>
      <c r="H1463" s="116"/>
      <c r="I1463" s="116"/>
      <c r="L1463" s="166">
        <v>44158</v>
      </c>
      <c r="M1463" s="116">
        <v>16.475000000000001</v>
      </c>
      <c r="N1463" s="116">
        <v>16.774999999999999</v>
      </c>
      <c r="O1463" s="116">
        <v>16.2</v>
      </c>
      <c r="P1463" s="116">
        <v>16.524999999999999</v>
      </c>
      <c r="Q1463" s="116">
        <v>32.950000000000003</v>
      </c>
      <c r="R1463">
        <v>553092</v>
      </c>
    </row>
    <row r="1464" spans="1:18" x14ac:dyDescent="0.25">
      <c r="A1464" s="166">
        <v>44159</v>
      </c>
      <c r="B1464" s="116">
        <v>17.774999999999999</v>
      </c>
      <c r="C1464" s="116">
        <v>17.350000000000001</v>
      </c>
      <c r="D1464" s="116">
        <v>16.725000000000001</v>
      </c>
      <c r="E1464" s="116">
        <v>17.149999999999999</v>
      </c>
      <c r="F1464" s="116">
        <v>34.700000000000003</v>
      </c>
      <c r="G1464">
        <v>167923</v>
      </c>
      <c r="H1464" s="116"/>
      <c r="I1464" s="116"/>
      <c r="L1464" s="166">
        <v>44159</v>
      </c>
      <c r="M1464" s="116">
        <v>17.350000000000001</v>
      </c>
      <c r="N1464" s="116">
        <v>17.8</v>
      </c>
      <c r="O1464" s="116">
        <v>16.725000000000001</v>
      </c>
      <c r="P1464" s="116">
        <v>16.774999999999999</v>
      </c>
      <c r="Q1464" s="116">
        <v>34.700000000000003</v>
      </c>
      <c r="R1464">
        <v>784653</v>
      </c>
    </row>
    <row r="1465" spans="1:18" x14ac:dyDescent="0.25">
      <c r="A1465" s="166">
        <v>44160</v>
      </c>
      <c r="B1465" s="116">
        <v>17.8</v>
      </c>
      <c r="C1465" s="116">
        <v>16.824999999999999</v>
      </c>
      <c r="D1465" s="116">
        <v>16.649999999999999</v>
      </c>
      <c r="E1465" s="116">
        <v>17.774999999999999</v>
      </c>
      <c r="F1465" s="116">
        <v>33.65</v>
      </c>
      <c r="G1465">
        <v>74213</v>
      </c>
      <c r="H1465" s="116"/>
      <c r="I1465" s="116"/>
      <c r="L1465" s="166">
        <v>44160</v>
      </c>
      <c r="M1465" s="116">
        <v>16.8</v>
      </c>
      <c r="N1465" s="116">
        <v>17.7</v>
      </c>
      <c r="O1465" s="116">
        <v>16.625</v>
      </c>
      <c r="P1465" s="116">
        <v>17.524999999999999</v>
      </c>
      <c r="Q1465" s="116">
        <v>33.6</v>
      </c>
      <c r="R1465">
        <v>431005</v>
      </c>
    </row>
    <row r="1466" spans="1:18" x14ac:dyDescent="0.25">
      <c r="A1466" s="166">
        <v>44161</v>
      </c>
      <c r="B1466" s="116">
        <v>17.324999999999999</v>
      </c>
      <c r="C1466" s="116">
        <v>16.899999999999999</v>
      </c>
      <c r="D1466" s="116">
        <v>16.774999999999999</v>
      </c>
      <c r="E1466" s="116">
        <v>16.774999999999999</v>
      </c>
      <c r="F1466" s="116">
        <v>33.799999999999997</v>
      </c>
      <c r="G1466">
        <v>27851</v>
      </c>
      <c r="H1466" s="116"/>
      <c r="I1466" s="116"/>
      <c r="L1466" s="166">
        <v>44161</v>
      </c>
      <c r="M1466" s="116">
        <v>16.95</v>
      </c>
      <c r="N1466" s="116">
        <v>17.324999999999999</v>
      </c>
      <c r="O1466" s="116">
        <v>16.824999999999999</v>
      </c>
      <c r="P1466" s="116">
        <v>17.225000000000001</v>
      </c>
      <c r="Q1466" s="116">
        <v>33.9</v>
      </c>
      <c r="R1466">
        <v>136004</v>
      </c>
    </row>
    <row r="1467" spans="1:18" x14ac:dyDescent="0.25">
      <c r="A1467" s="166">
        <v>44162</v>
      </c>
      <c r="B1467" s="116">
        <v>18.274999999999999</v>
      </c>
      <c r="C1467" s="116">
        <v>17.95</v>
      </c>
      <c r="D1467" s="116">
        <v>17</v>
      </c>
      <c r="E1467" s="116">
        <v>17.074999999999999</v>
      </c>
      <c r="F1467" s="116">
        <v>35.9</v>
      </c>
      <c r="G1467">
        <v>104559</v>
      </c>
      <c r="H1467" s="116"/>
      <c r="I1467" s="116"/>
      <c r="L1467" s="166">
        <v>44162</v>
      </c>
      <c r="M1467" s="116">
        <v>17.925000000000001</v>
      </c>
      <c r="N1467" s="116">
        <v>18.3</v>
      </c>
      <c r="O1467" s="116">
        <v>16.975000000000001</v>
      </c>
      <c r="P1467" s="116">
        <v>17</v>
      </c>
      <c r="Q1467" s="116">
        <v>35.85</v>
      </c>
      <c r="R1467">
        <v>760832</v>
      </c>
    </row>
    <row r="1468" spans="1:18" x14ac:dyDescent="0.25">
      <c r="A1468" s="166">
        <v>44166</v>
      </c>
      <c r="B1468" s="116">
        <v>21.45</v>
      </c>
      <c r="C1468" s="116">
        <v>20.65</v>
      </c>
      <c r="D1468" s="116">
        <v>18.149999999999999</v>
      </c>
      <c r="E1468" s="116">
        <v>18.2</v>
      </c>
      <c r="F1468" s="116">
        <v>41.3</v>
      </c>
      <c r="G1468">
        <v>305664</v>
      </c>
      <c r="H1468" s="116"/>
      <c r="I1468" s="116"/>
      <c r="L1468" s="166">
        <v>44166</v>
      </c>
      <c r="M1468" s="116">
        <v>20.55</v>
      </c>
      <c r="N1468" s="116">
        <v>21.5</v>
      </c>
      <c r="O1468" s="116">
        <v>18</v>
      </c>
      <c r="P1468" s="116">
        <v>18</v>
      </c>
      <c r="Q1468" s="116">
        <v>41.1</v>
      </c>
      <c r="R1468">
        <v>3523039</v>
      </c>
    </row>
    <row r="1469" spans="1:18" x14ac:dyDescent="0.25">
      <c r="A1469" s="166">
        <v>44167</v>
      </c>
      <c r="B1469" s="116">
        <v>21.75</v>
      </c>
      <c r="C1469" s="116">
        <v>20.6</v>
      </c>
      <c r="D1469" s="116">
        <v>20.399999999999999</v>
      </c>
      <c r="E1469" s="116">
        <v>21.5</v>
      </c>
      <c r="F1469" s="116">
        <v>41.2</v>
      </c>
      <c r="G1469">
        <v>168381</v>
      </c>
      <c r="H1469" s="116"/>
      <c r="I1469" s="116"/>
      <c r="L1469" s="166">
        <v>44167</v>
      </c>
      <c r="M1469" s="116">
        <v>20.55</v>
      </c>
      <c r="N1469" s="116">
        <v>21.824999999999999</v>
      </c>
      <c r="O1469" s="116">
        <v>20.350000000000001</v>
      </c>
      <c r="P1469" s="116">
        <v>21.324999999999999</v>
      </c>
      <c r="Q1469" s="116">
        <v>41.1</v>
      </c>
      <c r="R1469">
        <v>799126</v>
      </c>
    </row>
    <row r="1470" spans="1:18" x14ac:dyDescent="0.25">
      <c r="A1470" s="166">
        <v>44168</v>
      </c>
      <c r="B1470" s="116">
        <v>20.524999999999999</v>
      </c>
      <c r="C1470" s="116">
        <v>19.524999999999999</v>
      </c>
      <c r="D1470" s="116">
        <v>19.225000000000001</v>
      </c>
      <c r="E1470" s="116">
        <v>20.5</v>
      </c>
      <c r="F1470" s="116">
        <v>39.049999999999997</v>
      </c>
      <c r="G1470">
        <v>105532</v>
      </c>
      <c r="H1470" s="116"/>
      <c r="I1470" s="116"/>
      <c r="L1470" s="166">
        <v>44168</v>
      </c>
      <c r="M1470" s="116">
        <v>19.55</v>
      </c>
      <c r="N1470" s="116">
        <v>20.55</v>
      </c>
      <c r="O1470" s="116">
        <v>19.25</v>
      </c>
      <c r="P1470" s="116">
        <v>20.55</v>
      </c>
      <c r="Q1470" s="116">
        <v>39.1</v>
      </c>
      <c r="R1470">
        <v>586138</v>
      </c>
    </row>
    <row r="1471" spans="1:18" x14ac:dyDescent="0.25">
      <c r="A1471" s="166">
        <v>44169</v>
      </c>
      <c r="B1471" s="116">
        <v>20.45</v>
      </c>
      <c r="C1471" s="116">
        <v>19.75</v>
      </c>
      <c r="D1471" s="116">
        <v>19.524999999999999</v>
      </c>
      <c r="E1471" s="116">
        <v>19.55</v>
      </c>
      <c r="F1471" s="116">
        <v>39.5</v>
      </c>
      <c r="G1471">
        <v>48191</v>
      </c>
      <c r="H1471" s="116"/>
      <c r="I1471" s="116"/>
      <c r="L1471" s="166">
        <v>44169</v>
      </c>
      <c r="M1471" s="116">
        <v>19.7</v>
      </c>
      <c r="N1471" s="116">
        <v>20.475000000000001</v>
      </c>
      <c r="O1471" s="116">
        <v>19.5</v>
      </c>
      <c r="P1471" s="116">
        <v>19.899999999999999</v>
      </c>
      <c r="Q1471" s="116">
        <v>39.4</v>
      </c>
      <c r="R1471">
        <v>415644</v>
      </c>
    </row>
    <row r="1472" spans="1:18" x14ac:dyDescent="0.25">
      <c r="A1472" s="166">
        <v>44172</v>
      </c>
      <c r="B1472" s="116">
        <v>20.399999999999999</v>
      </c>
      <c r="C1472" s="116">
        <v>19.675000000000001</v>
      </c>
      <c r="D1472" s="116">
        <v>19.55</v>
      </c>
      <c r="E1472" s="116">
        <v>19.625</v>
      </c>
      <c r="F1472" s="116">
        <v>39.35</v>
      </c>
      <c r="G1472">
        <v>38195</v>
      </c>
      <c r="H1472" s="116"/>
      <c r="I1472" s="116"/>
      <c r="L1472" s="166">
        <v>44172</v>
      </c>
      <c r="M1472" s="116">
        <v>19.675000000000001</v>
      </c>
      <c r="N1472" s="116">
        <v>20.425000000000001</v>
      </c>
      <c r="O1472" s="116">
        <v>19.5</v>
      </c>
      <c r="P1472" s="116">
        <v>19.675000000000001</v>
      </c>
      <c r="Q1472" s="116">
        <v>39.35</v>
      </c>
      <c r="R1472">
        <v>250711</v>
      </c>
    </row>
    <row r="1473" spans="1:18" x14ac:dyDescent="0.25">
      <c r="A1473" s="166">
        <v>44173</v>
      </c>
      <c r="B1473" s="116">
        <v>20.175000000000001</v>
      </c>
      <c r="C1473" s="116">
        <v>19.399999999999999</v>
      </c>
      <c r="D1473" s="116">
        <v>19.05</v>
      </c>
      <c r="E1473" s="116">
        <v>19.574999999999999</v>
      </c>
      <c r="F1473" s="116">
        <v>38.799999999999997</v>
      </c>
      <c r="G1473">
        <v>33165</v>
      </c>
      <c r="H1473" s="116"/>
      <c r="I1473" s="116"/>
      <c r="L1473" s="166">
        <v>44173</v>
      </c>
      <c r="M1473" s="116">
        <v>19.399999999999999</v>
      </c>
      <c r="N1473" s="116">
        <v>20.225000000000001</v>
      </c>
      <c r="O1473" s="116">
        <v>19</v>
      </c>
      <c r="P1473" s="116">
        <v>19.925000000000001</v>
      </c>
      <c r="Q1473" s="116">
        <v>38.799999999999997</v>
      </c>
      <c r="R1473">
        <v>318652</v>
      </c>
    </row>
    <row r="1474" spans="1:18" x14ac:dyDescent="0.25">
      <c r="A1474" s="166">
        <v>44174</v>
      </c>
      <c r="B1474" s="116">
        <v>19.649999999999999</v>
      </c>
      <c r="C1474" s="116">
        <v>19.100000000000001</v>
      </c>
      <c r="D1474" s="116">
        <v>19</v>
      </c>
      <c r="E1474" s="116">
        <v>19.475000000000001</v>
      </c>
      <c r="F1474" s="116">
        <v>38.200000000000003</v>
      </c>
      <c r="G1474">
        <v>37117</v>
      </c>
      <c r="H1474" s="116"/>
      <c r="I1474" s="116"/>
      <c r="L1474" s="166">
        <v>44174</v>
      </c>
      <c r="M1474" s="116">
        <v>19.074999999999999</v>
      </c>
      <c r="N1474" s="116">
        <v>19.75</v>
      </c>
      <c r="O1474" s="116">
        <v>18.975000000000001</v>
      </c>
      <c r="P1474" s="116">
        <v>19.75</v>
      </c>
      <c r="Q1474" s="116">
        <v>38.15</v>
      </c>
      <c r="R1474">
        <v>338400</v>
      </c>
    </row>
    <row r="1475" spans="1:18" x14ac:dyDescent="0.25">
      <c r="A1475" s="166">
        <v>44175</v>
      </c>
      <c r="B1475" s="116">
        <v>18.925000000000001</v>
      </c>
      <c r="C1475" s="116">
        <v>18.475000000000001</v>
      </c>
      <c r="D1475" s="116">
        <v>18.25</v>
      </c>
      <c r="E1475" s="116">
        <v>18.8</v>
      </c>
      <c r="F1475" s="116">
        <v>36.950000000000003</v>
      </c>
      <c r="G1475">
        <v>38612</v>
      </c>
      <c r="H1475" s="116"/>
      <c r="I1475" s="116"/>
      <c r="L1475" s="166">
        <v>44175</v>
      </c>
      <c r="M1475" s="116">
        <v>18.45</v>
      </c>
      <c r="N1475" s="116">
        <v>18.899999999999999</v>
      </c>
      <c r="O1475" s="116">
        <v>18.2</v>
      </c>
      <c r="P1475" s="116">
        <v>18.725000000000001</v>
      </c>
      <c r="Q1475" s="116">
        <v>36.9</v>
      </c>
      <c r="R1475">
        <v>225677</v>
      </c>
    </row>
    <row r="1476" spans="1:18" x14ac:dyDescent="0.25">
      <c r="A1476" s="166">
        <v>44176</v>
      </c>
      <c r="B1476" s="116">
        <v>19.8</v>
      </c>
      <c r="C1476" s="116">
        <v>19.475000000000001</v>
      </c>
      <c r="D1476" s="116">
        <v>18.625</v>
      </c>
      <c r="E1476" s="116">
        <v>18.899999999999999</v>
      </c>
      <c r="F1476" s="116">
        <v>38.950000000000003</v>
      </c>
      <c r="G1476">
        <v>97530</v>
      </c>
      <c r="H1476" s="116"/>
      <c r="I1476" s="116"/>
      <c r="L1476" s="166">
        <v>44176</v>
      </c>
      <c r="M1476" s="116">
        <v>19.524999999999999</v>
      </c>
      <c r="N1476" s="116">
        <v>19.850000000000001</v>
      </c>
      <c r="O1476" s="116">
        <v>18.5</v>
      </c>
      <c r="P1476" s="116">
        <v>19.175000000000001</v>
      </c>
      <c r="Q1476" s="116">
        <v>39.049999999999997</v>
      </c>
      <c r="R1476">
        <v>355752</v>
      </c>
    </row>
    <row r="1477" spans="1:18" x14ac:dyDescent="0.25">
      <c r="A1477" s="166">
        <v>44179</v>
      </c>
      <c r="B1477" s="116">
        <v>19.675000000000001</v>
      </c>
      <c r="C1477" s="116">
        <v>19</v>
      </c>
      <c r="D1477" s="116">
        <v>18.899999999999999</v>
      </c>
      <c r="E1477" s="116">
        <v>19.625</v>
      </c>
      <c r="F1477" s="116">
        <v>38</v>
      </c>
      <c r="G1477">
        <v>46534</v>
      </c>
      <c r="H1477" s="116"/>
      <c r="I1477" s="116"/>
      <c r="L1477" s="166">
        <v>44179</v>
      </c>
      <c r="M1477" s="116">
        <v>19.024999999999999</v>
      </c>
      <c r="N1477" s="116">
        <v>19.899999999999999</v>
      </c>
      <c r="O1477" s="116">
        <v>18.875</v>
      </c>
      <c r="P1477" s="116">
        <v>19.899999999999999</v>
      </c>
      <c r="Q1477" s="116">
        <v>38.049999999999997</v>
      </c>
      <c r="R1477">
        <v>181784</v>
      </c>
    </row>
    <row r="1478" spans="1:18" x14ac:dyDescent="0.25">
      <c r="A1478" s="166">
        <v>44180</v>
      </c>
      <c r="B1478" s="116">
        <v>19.5</v>
      </c>
      <c r="C1478" s="116">
        <v>19.274999999999999</v>
      </c>
      <c r="D1478" s="116">
        <v>19.024999999999999</v>
      </c>
      <c r="E1478" s="116">
        <v>19.100000000000001</v>
      </c>
      <c r="F1478" s="116">
        <v>38.549999999999997</v>
      </c>
      <c r="G1478">
        <v>14927</v>
      </c>
      <c r="H1478" s="116"/>
      <c r="I1478" s="116"/>
      <c r="L1478" s="166">
        <v>44180</v>
      </c>
      <c r="M1478" s="116">
        <v>19.175000000000001</v>
      </c>
      <c r="N1478" s="116">
        <v>19.5</v>
      </c>
      <c r="O1478" s="116">
        <v>18.95</v>
      </c>
      <c r="P1478" s="116">
        <v>18.95</v>
      </c>
      <c r="Q1478" s="116">
        <v>38.35</v>
      </c>
      <c r="R1478">
        <v>167837</v>
      </c>
    </row>
    <row r="1479" spans="1:18" x14ac:dyDescent="0.25">
      <c r="A1479" s="166">
        <v>44181</v>
      </c>
      <c r="B1479" s="116">
        <v>19.399999999999999</v>
      </c>
      <c r="C1479" s="116">
        <v>19.05</v>
      </c>
      <c r="D1479" s="116">
        <v>18.75</v>
      </c>
      <c r="E1479" s="116">
        <v>19.25</v>
      </c>
      <c r="F1479" s="116">
        <v>38.1</v>
      </c>
      <c r="G1479">
        <v>50354</v>
      </c>
      <c r="H1479" s="116"/>
      <c r="I1479" s="116"/>
      <c r="L1479" s="166">
        <v>44181</v>
      </c>
      <c r="M1479" s="116">
        <v>19</v>
      </c>
      <c r="N1479" s="116">
        <v>19.399999999999999</v>
      </c>
      <c r="O1479" s="116">
        <v>18.625</v>
      </c>
      <c r="P1479" s="116">
        <v>19.175000000000001</v>
      </c>
      <c r="Q1479" s="116">
        <v>38</v>
      </c>
      <c r="R1479">
        <v>251689</v>
      </c>
    </row>
    <row r="1480" spans="1:18" x14ac:dyDescent="0.25">
      <c r="A1480" s="166">
        <v>44182</v>
      </c>
      <c r="B1480" s="116">
        <v>19.925000000000001</v>
      </c>
      <c r="C1480" s="116">
        <v>18.95</v>
      </c>
      <c r="D1480" s="116">
        <v>18.574999999999999</v>
      </c>
      <c r="E1480" s="116">
        <v>19.100000000000001</v>
      </c>
      <c r="F1480" s="116">
        <v>37.9</v>
      </c>
      <c r="G1480">
        <v>107604</v>
      </c>
      <c r="H1480" s="116"/>
      <c r="I1480" s="116"/>
      <c r="L1480" s="166">
        <v>44182</v>
      </c>
      <c r="M1480" s="116">
        <v>18.875</v>
      </c>
      <c r="N1480" s="116">
        <v>19.925000000000001</v>
      </c>
      <c r="O1480" s="116">
        <v>18.5</v>
      </c>
      <c r="P1480" s="116">
        <v>19.600000000000001</v>
      </c>
      <c r="Q1480" s="116">
        <v>37.75</v>
      </c>
      <c r="R1480">
        <v>361768</v>
      </c>
    </row>
    <row r="1481" spans="1:18" x14ac:dyDescent="0.25">
      <c r="A1481" s="166">
        <v>44183</v>
      </c>
      <c r="B1481" s="116">
        <v>19</v>
      </c>
      <c r="C1481" s="116">
        <v>18.75</v>
      </c>
      <c r="D1481" s="116">
        <v>18.524999999999999</v>
      </c>
      <c r="E1481" s="116">
        <v>18.95</v>
      </c>
      <c r="F1481" s="116">
        <v>37.5</v>
      </c>
      <c r="G1481">
        <v>33929</v>
      </c>
      <c r="H1481" s="116"/>
      <c r="I1481" s="116"/>
      <c r="L1481" s="166">
        <v>44183</v>
      </c>
      <c r="M1481" s="116">
        <v>18.774999999999999</v>
      </c>
      <c r="N1481" s="116">
        <v>19.100000000000001</v>
      </c>
      <c r="O1481" s="116">
        <v>18.524999999999999</v>
      </c>
      <c r="P1481" s="116">
        <v>18.925000000000001</v>
      </c>
      <c r="Q1481" s="116">
        <v>37.549999999999997</v>
      </c>
      <c r="R1481">
        <v>168150</v>
      </c>
    </row>
    <row r="1482" spans="1:18" x14ac:dyDescent="0.25">
      <c r="A1482" s="166">
        <v>44186</v>
      </c>
      <c r="B1482" s="116">
        <v>19.074999999999999</v>
      </c>
      <c r="C1482" s="116">
        <v>17.350000000000001</v>
      </c>
      <c r="D1482" s="116">
        <v>16</v>
      </c>
      <c r="E1482" s="116">
        <v>18.55</v>
      </c>
      <c r="F1482" s="116">
        <v>34.700000000000003</v>
      </c>
      <c r="G1482">
        <v>26106</v>
      </c>
      <c r="H1482" s="116"/>
      <c r="I1482" s="116"/>
      <c r="L1482" s="166">
        <v>44186</v>
      </c>
      <c r="M1482" s="116">
        <v>17.100000000000001</v>
      </c>
      <c r="N1482" s="116">
        <v>19.125</v>
      </c>
      <c r="O1482" s="116">
        <v>15.025</v>
      </c>
      <c r="P1482" s="116">
        <v>18.7</v>
      </c>
      <c r="Q1482" s="116">
        <v>34.200000000000003</v>
      </c>
      <c r="R1482">
        <v>321063</v>
      </c>
    </row>
    <row r="1483" spans="1:18" x14ac:dyDescent="0.25">
      <c r="A1483" s="166">
        <v>44187</v>
      </c>
      <c r="B1483" s="116">
        <v>18</v>
      </c>
      <c r="C1483" s="116">
        <v>17.55</v>
      </c>
      <c r="D1483" s="116">
        <v>16.649999999999999</v>
      </c>
      <c r="E1483" s="116">
        <v>17.55</v>
      </c>
      <c r="F1483" s="116">
        <v>35.1</v>
      </c>
      <c r="G1483">
        <v>27936</v>
      </c>
      <c r="H1483" s="116"/>
      <c r="I1483" s="116"/>
      <c r="L1483" s="166">
        <v>44187</v>
      </c>
      <c r="M1483" s="116">
        <v>17.55</v>
      </c>
      <c r="N1483" s="116">
        <v>18.225000000000001</v>
      </c>
      <c r="O1483" s="116">
        <v>16.625</v>
      </c>
      <c r="P1483" s="116">
        <v>16.850000000000001</v>
      </c>
      <c r="Q1483" s="116">
        <v>35.1</v>
      </c>
      <c r="R1483">
        <v>285171</v>
      </c>
    </row>
    <row r="1484" spans="1:18" x14ac:dyDescent="0.25">
      <c r="A1484" s="166">
        <v>44188</v>
      </c>
      <c r="B1484" s="116">
        <v>18.274999999999999</v>
      </c>
      <c r="C1484" s="116">
        <v>18.149999999999999</v>
      </c>
      <c r="D1484" s="116">
        <v>17.600000000000001</v>
      </c>
      <c r="E1484" s="116">
        <v>17.675000000000001</v>
      </c>
      <c r="F1484" s="116">
        <v>36.299999999999997</v>
      </c>
      <c r="G1484">
        <v>13349</v>
      </c>
      <c r="H1484" s="116"/>
      <c r="I1484" s="116"/>
      <c r="L1484" s="166">
        <v>44188</v>
      </c>
      <c r="M1484" s="116">
        <v>18.2</v>
      </c>
      <c r="N1484" s="116">
        <v>18.375</v>
      </c>
      <c r="O1484" s="116">
        <v>17.574999999999999</v>
      </c>
      <c r="P1484" s="116">
        <v>17.850000000000001</v>
      </c>
      <c r="Q1484" s="116">
        <v>36.4</v>
      </c>
      <c r="R1484">
        <v>182851</v>
      </c>
    </row>
    <row r="1485" spans="1:18" x14ac:dyDescent="0.25">
      <c r="A1485" s="166">
        <v>44189</v>
      </c>
      <c r="B1485" s="116">
        <v>19.649999999999999</v>
      </c>
      <c r="C1485" s="116">
        <v>18.675000000000001</v>
      </c>
      <c r="D1485" s="116">
        <v>18.274999999999999</v>
      </c>
      <c r="E1485" s="116">
        <v>18.45</v>
      </c>
      <c r="F1485" s="116">
        <v>37.35</v>
      </c>
      <c r="G1485">
        <v>1599125</v>
      </c>
      <c r="H1485" s="116"/>
      <c r="I1485" s="116"/>
      <c r="L1485" s="166">
        <v>44189</v>
      </c>
      <c r="M1485" s="116">
        <v>18.7</v>
      </c>
      <c r="N1485" s="116">
        <v>19.75</v>
      </c>
      <c r="O1485" s="116">
        <v>18.149999999999999</v>
      </c>
      <c r="P1485" s="116">
        <v>18.475000000000001</v>
      </c>
      <c r="Q1485" s="116">
        <v>37.4</v>
      </c>
      <c r="R1485">
        <v>531914</v>
      </c>
    </row>
    <row r="1486" spans="1:18" x14ac:dyDescent="0.25">
      <c r="A1486" s="166">
        <v>44193</v>
      </c>
      <c r="B1486" s="116">
        <v>19.55</v>
      </c>
      <c r="C1486" s="116">
        <v>19.05</v>
      </c>
      <c r="D1486" s="116">
        <v>18.850000000000001</v>
      </c>
      <c r="E1486" s="116">
        <v>18.875</v>
      </c>
      <c r="F1486" s="116">
        <v>38.1</v>
      </c>
      <c r="G1486">
        <v>42079</v>
      </c>
      <c r="H1486" s="116"/>
      <c r="I1486" s="116"/>
      <c r="L1486" s="166">
        <v>44193</v>
      </c>
      <c r="M1486" s="116">
        <v>19.05</v>
      </c>
      <c r="N1486" s="116">
        <v>19.574999999999999</v>
      </c>
      <c r="O1486" s="116">
        <v>18.625</v>
      </c>
      <c r="P1486" s="116">
        <v>18.7</v>
      </c>
      <c r="Q1486" s="116">
        <v>38.1</v>
      </c>
      <c r="R1486">
        <v>241809</v>
      </c>
    </row>
    <row r="1487" spans="1:18" x14ac:dyDescent="0.25">
      <c r="A1487" s="166">
        <v>44194</v>
      </c>
      <c r="B1487" s="116">
        <v>22.25</v>
      </c>
      <c r="C1487" s="116">
        <v>21.375</v>
      </c>
      <c r="D1487" s="116">
        <v>18.324999999999999</v>
      </c>
      <c r="E1487" s="116">
        <v>19.274999999999999</v>
      </c>
      <c r="F1487" s="116">
        <v>42.75</v>
      </c>
      <c r="G1487">
        <v>516320</v>
      </c>
      <c r="H1487" s="116"/>
      <c r="I1487" s="116"/>
      <c r="L1487" s="166">
        <v>44194</v>
      </c>
      <c r="M1487" s="116">
        <v>21.324999999999999</v>
      </c>
      <c r="N1487" s="116">
        <v>22.3</v>
      </c>
      <c r="O1487" s="116">
        <v>18.3</v>
      </c>
      <c r="P1487" s="116">
        <v>19.225000000000001</v>
      </c>
      <c r="Q1487" s="116">
        <v>42.65</v>
      </c>
      <c r="R1487">
        <v>3743461</v>
      </c>
    </row>
    <row r="1488" spans="1:18" x14ac:dyDescent="0.25">
      <c r="A1488" s="166">
        <v>44195</v>
      </c>
      <c r="B1488" s="116">
        <v>21.25</v>
      </c>
      <c r="C1488" s="116">
        <v>20.85</v>
      </c>
      <c r="D1488" s="116">
        <v>20.074999999999999</v>
      </c>
      <c r="E1488" s="116">
        <v>20.65</v>
      </c>
      <c r="F1488" s="116">
        <v>41.7</v>
      </c>
      <c r="G1488">
        <v>164305</v>
      </c>
      <c r="H1488" s="116"/>
      <c r="I1488" s="116"/>
      <c r="L1488" s="166">
        <v>44195</v>
      </c>
      <c r="M1488" s="116">
        <v>20.8</v>
      </c>
      <c r="N1488" s="116">
        <v>21.274999999999999</v>
      </c>
      <c r="O1488" s="116">
        <v>20.05</v>
      </c>
      <c r="P1488" s="116">
        <v>20.725000000000001</v>
      </c>
      <c r="Q1488" s="116">
        <v>41.6</v>
      </c>
      <c r="R1488">
        <v>850905</v>
      </c>
    </row>
    <row r="1489" spans="1:18" x14ac:dyDescent="0.25">
      <c r="A1489" s="166">
        <v>44196</v>
      </c>
      <c r="B1489" s="116">
        <v>21.6</v>
      </c>
      <c r="C1489" s="116">
        <v>21.3</v>
      </c>
      <c r="D1489" s="116">
        <v>20.5</v>
      </c>
      <c r="E1489" s="116">
        <v>20.5</v>
      </c>
      <c r="F1489" s="116">
        <v>42.6</v>
      </c>
      <c r="G1489">
        <v>79575</v>
      </c>
      <c r="H1489" s="116"/>
      <c r="I1489" s="116"/>
      <c r="L1489" s="166">
        <v>44196</v>
      </c>
      <c r="M1489" s="116">
        <v>21.3</v>
      </c>
      <c r="N1489" s="116">
        <v>21.625</v>
      </c>
      <c r="O1489" s="116">
        <v>20.824999999999999</v>
      </c>
      <c r="P1489" s="116">
        <v>20.824999999999999</v>
      </c>
      <c r="Q1489" s="116">
        <v>42.6</v>
      </c>
      <c r="R1489">
        <v>494528</v>
      </c>
    </row>
    <row r="1490" spans="1:18" x14ac:dyDescent="0.25">
      <c r="A1490" s="166">
        <v>44197</v>
      </c>
      <c r="B1490" s="116">
        <v>21.675000000000001</v>
      </c>
      <c r="C1490" s="116">
        <v>20.925000000000001</v>
      </c>
      <c r="D1490" s="116">
        <v>20.524999999999999</v>
      </c>
      <c r="E1490" s="116">
        <v>21.3</v>
      </c>
      <c r="F1490" s="116">
        <v>41.85</v>
      </c>
      <c r="G1490">
        <v>85430</v>
      </c>
      <c r="H1490" s="116"/>
      <c r="I1490" s="116"/>
      <c r="L1490" s="166">
        <v>44197</v>
      </c>
      <c r="M1490" s="116">
        <v>21.15</v>
      </c>
      <c r="N1490" s="116">
        <v>21.7</v>
      </c>
      <c r="O1490" s="116">
        <v>20.55</v>
      </c>
      <c r="P1490" s="116">
        <v>21.3</v>
      </c>
      <c r="Q1490" s="116">
        <v>42.3</v>
      </c>
      <c r="R1490">
        <v>439359</v>
      </c>
    </row>
    <row r="1491" spans="1:18" x14ac:dyDescent="0.25">
      <c r="A1491" s="166">
        <v>44200</v>
      </c>
      <c r="B1491" s="116">
        <v>24.7</v>
      </c>
      <c r="C1491" s="116">
        <v>24.3</v>
      </c>
      <c r="D1491" s="116">
        <v>21.15</v>
      </c>
      <c r="E1491" s="116">
        <v>21.45</v>
      </c>
      <c r="F1491" s="116">
        <v>48.6</v>
      </c>
      <c r="G1491">
        <v>214329</v>
      </c>
      <c r="H1491" s="116"/>
      <c r="I1491" s="116"/>
      <c r="L1491" s="166">
        <v>44200</v>
      </c>
      <c r="M1491" s="116">
        <v>24.3</v>
      </c>
      <c r="N1491" s="116">
        <v>24.7</v>
      </c>
      <c r="O1491" s="116">
        <v>21.125</v>
      </c>
      <c r="P1491" s="116">
        <v>21.175000000000001</v>
      </c>
      <c r="Q1491" s="116">
        <v>48.6</v>
      </c>
      <c r="R1491">
        <v>2105422</v>
      </c>
    </row>
    <row r="1492" spans="1:18" x14ac:dyDescent="0.25">
      <c r="A1492" s="166">
        <v>44201</v>
      </c>
      <c r="B1492" s="116">
        <v>28.35</v>
      </c>
      <c r="C1492" s="116">
        <v>27.925000000000001</v>
      </c>
      <c r="D1492" s="116">
        <v>25.25</v>
      </c>
      <c r="E1492" s="116">
        <v>25.25</v>
      </c>
      <c r="F1492" s="116">
        <v>55.85</v>
      </c>
      <c r="G1492">
        <v>805479</v>
      </c>
      <c r="H1492" s="116"/>
      <c r="I1492" s="116"/>
      <c r="L1492" s="166">
        <v>44201</v>
      </c>
      <c r="M1492" s="116">
        <v>27.925000000000001</v>
      </c>
      <c r="N1492" s="116">
        <v>28.375</v>
      </c>
      <c r="O1492" s="116">
        <v>25.774999999999999</v>
      </c>
      <c r="P1492" s="116">
        <v>25.774999999999999</v>
      </c>
      <c r="Q1492" s="116">
        <v>55.85</v>
      </c>
      <c r="R1492">
        <v>7881012</v>
      </c>
    </row>
    <row r="1493" spans="1:18" x14ac:dyDescent="0.25">
      <c r="A1493" s="166">
        <v>44202</v>
      </c>
      <c r="B1493" s="116">
        <v>28</v>
      </c>
      <c r="C1493" s="116">
        <v>26.475000000000001</v>
      </c>
      <c r="D1493" s="116">
        <v>25.574999999999999</v>
      </c>
      <c r="E1493" s="116">
        <v>28</v>
      </c>
      <c r="F1493" s="116">
        <v>52.95</v>
      </c>
      <c r="G1493">
        <v>291762</v>
      </c>
      <c r="H1493" s="116"/>
      <c r="I1493" s="116"/>
      <c r="L1493" s="166">
        <v>44202</v>
      </c>
      <c r="M1493" s="116">
        <v>26.5</v>
      </c>
      <c r="N1493" s="116">
        <v>27.95</v>
      </c>
      <c r="O1493" s="116">
        <v>25.4</v>
      </c>
      <c r="P1493" s="116">
        <v>27.925000000000001</v>
      </c>
      <c r="Q1493" s="116">
        <v>53</v>
      </c>
      <c r="R1493">
        <v>1333405</v>
      </c>
    </row>
    <row r="1494" spans="1:18" x14ac:dyDescent="0.25">
      <c r="A1494" s="166">
        <v>44203</v>
      </c>
      <c r="B1494" s="116">
        <v>27.45</v>
      </c>
      <c r="C1494" s="116">
        <v>26.45</v>
      </c>
      <c r="D1494" s="116">
        <v>26.074999999999999</v>
      </c>
      <c r="E1494" s="116">
        <v>27.45</v>
      </c>
      <c r="F1494" s="116">
        <v>52.9</v>
      </c>
      <c r="G1494">
        <v>55077</v>
      </c>
      <c r="H1494" s="116"/>
      <c r="I1494" s="116"/>
      <c r="L1494" s="166">
        <v>44203</v>
      </c>
      <c r="M1494" s="116">
        <v>26.425000000000001</v>
      </c>
      <c r="N1494" s="116">
        <v>27.425000000000001</v>
      </c>
      <c r="O1494" s="116">
        <v>26.05</v>
      </c>
      <c r="P1494" s="116">
        <v>26.55</v>
      </c>
      <c r="Q1494" s="116">
        <v>52.85</v>
      </c>
      <c r="R1494">
        <v>431601</v>
      </c>
    </row>
    <row r="1495" spans="1:18" x14ac:dyDescent="0.25">
      <c r="A1495" s="166">
        <v>44204</v>
      </c>
      <c r="B1495" s="116">
        <v>26.824999999999999</v>
      </c>
      <c r="C1495" s="116">
        <v>25.05</v>
      </c>
      <c r="D1495" s="116">
        <v>24.925000000000001</v>
      </c>
      <c r="E1495" s="116">
        <v>26.5</v>
      </c>
      <c r="F1495" s="116">
        <v>50.1</v>
      </c>
      <c r="G1495">
        <v>147719</v>
      </c>
      <c r="H1495" s="116"/>
      <c r="I1495" s="116"/>
      <c r="L1495" s="166">
        <v>44204</v>
      </c>
      <c r="M1495" s="116">
        <v>25.05</v>
      </c>
      <c r="N1495" s="116">
        <v>26.925000000000001</v>
      </c>
      <c r="O1495" s="116">
        <v>24.875</v>
      </c>
      <c r="P1495" s="116">
        <v>26.925000000000001</v>
      </c>
      <c r="Q1495" s="116">
        <v>50.1</v>
      </c>
      <c r="R1495">
        <v>771074</v>
      </c>
    </row>
    <row r="1496" spans="1:18" x14ac:dyDescent="0.25">
      <c r="A1496" s="166">
        <v>44207</v>
      </c>
      <c r="B1496" s="116">
        <v>25.475000000000001</v>
      </c>
      <c r="C1496" s="116">
        <v>24.574999999999999</v>
      </c>
      <c r="D1496" s="116">
        <v>23.824999999999999</v>
      </c>
      <c r="E1496" s="116">
        <v>25.175000000000001</v>
      </c>
      <c r="F1496" s="116">
        <v>49.15</v>
      </c>
      <c r="G1496">
        <v>85070</v>
      </c>
      <c r="H1496" s="116"/>
      <c r="I1496" s="116"/>
      <c r="L1496" s="166">
        <v>44207</v>
      </c>
      <c r="M1496" s="116">
        <v>24.574999999999999</v>
      </c>
      <c r="N1496" s="116">
        <v>25.4</v>
      </c>
      <c r="O1496" s="116">
        <v>24</v>
      </c>
      <c r="P1496" s="116">
        <v>25.4</v>
      </c>
      <c r="Q1496" s="116">
        <v>49.15</v>
      </c>
      <c r="R1496">
        <v>334089</v>
      </c>
    </row>
    <row r="1497" spans="1:18" x14ac:dyDescent="0.25">
      <c r="A1497" s="166">
        <v>44208</v>
      </c>
      <c r="B1497" s="116">
        <v>25.25</v>
      </c>
      <c r="C1497" s="116">
        <v>24.35</v>
      </c>
      <c r="D1497" s="116">
        <v>24</v>
      </c>
      <c r="E1497" s="116">
        <v>24.7</v>
      </c>
      <c r="F1497" s="116">
        <v>48.7</v>
      </c>
      <c r="G1497">
        <v>56140</v>
      </c>
      <c r="H1497" s="116"/>
      <c r="I1497" s="116"/>
      <c r="L1497" s="166">
        <v>44208</v>
      </c>
      <c r="M1497" s="116">
        <v>24.35</v>
      </c>
      <c r="N1497" s="116">
        <v>25.25</v>
      </c>
      <c r="O1497" s="116">
        <v>24</v>
      </c>
      <c r="P1497" s="116">
        <v>24.85</v>
      </c>
      <c r="Q1497" s="116">
        <v>48.7</v>
      </c>
      <c r="R1497">
        <v>258137</v>
      </c>
    </row>
    <row r="1498" spans="1:18" x14ac:dyDescent="0.25">
      <c r="A1498" s="166">
        <v>44209</v>
      </c>
      <c r="B1498" s="116">
        <v>25.45</v>
      </c>
      <c r="C1498" s="116">
        <v>24.324999999999999</v>
      </c>
      <c r="D1498" s="116">
        <v>24.05</v>
      </c>
      <c r="E1498" s="116">
        <v>25.225000000000001</v>
      </c>
      <c r="F1498" s="116">
        <v>48.65</v>
      </c>
      <c r="G1498">
        <v>51390</v>
      </c>
      <c r="H1498" s="116"/>
      <c r="I1498" s="116"/>
      <c r="L1498" s="166">
        <v>44209</v>
      </c>
      <c r="M1498" s="116">
        <v>24.3</v>
      </c>
      <c r="N1498" s="116">
        <v>25.45</v>
      </c>
      <c r="O1498" s="116">
        <v>24.024999999999999</v>
      </c>
      <c r="P1498" s="116">
        <v>24.625</v>
      </c>
      <c r="Q1498" s="116">
        <v>48.6</v>
      </c>
      <c r="R1498">
        <v>304319</v>
      </c>
    </row>
    <row r="1499" spans="1:18" x14ac:dyDescent="0.25">
      <c r="A1499" s="166">
        <v>44210</v>
      </c>
      <c r="B1499" s="116">
        <v>24.774999999999999</v>
      </c>
      <c r="C1499" s="116">
        <v>24.25</v>
      </c>
      <c r="D1499" s="116">
        <v>24.2</v>
      </c>
      <c r="E1499" s="116">
        <v>24.5</v>
      </c>
      <c r="F1499" s="116">
        <v>48.5</v>
      </c>
      <c r="G1499">
        <v>31260</v>
      </c>
      <c r="H1499" s="116"/>
      <c r="I1499" s="116"/>
      <c r="L1499" s="166">
        <v>44210</v>
      </c>
      <c r="M1499" s="116">
        <v>24.25</v>
      </c>
      <c r="N1499" s="116">
        <v>24.8</v>
      </c>
      <c r="O1499" s="116">
        <v>24</v>
      </c>
      <c r="P1499" s="116">
        <v>24.725000000000001</v>
      </c>
      <c r="Q1499" s="116">
        <v>48.5</v>
      </c>
      <c r="R1499">
        <v>229050</v>
      </c>
    </row>
    <row r="1500" spans="1:18" x14ac:dyDescent="0.25">
      <c r="A1500" s="166">
        <v>44211</v>
      </c>
      <c r="B1500" s="116">
        <v>24.425000000000001</v>
      </c>
      <c r="C1500" s="116">
        <v>23.75</v>
      </c>
      <c r="D1500" s="116">
        <v>23.5</v>
      </c>
      <c r="E1500" s="116">
        <v>24.25</v>
      </c>
      <c r="F1500" s="116">
        <v>47.5</v>
      </c>
      <c r="G1500">
        <v>33695</v>
      </c>
      <c r="H1500" s="116"/>
      <c r="I1500" s="116"/>
      <c r="L1500" s="166">
        <v>44211</v>
      </c>
      <c r="M1500" s="116">
        <v>23.725000000000001</v>
      </c>
      <c r="N1500" s="116">
        <v>24.45</v>
      </c>
      <c r="O1500" s="116">
        <v>23.5</v>
      </c>
      <c r="P1500" s="116">
        <v>24.4</v>
      </c>
      <c r="Q1500" s="116">
        <v>47.45</v>
      </c>
      <c r="R1500">
        <v>158208</v>
      </c>
    </row>
    <row r="1501" spans="1:18" x14ac:dyDescent="0.25">
      <c r="A1501" s="166">
        <v>44214</v>
      </c>
      <c r="B1501" s="116">
        <v>23.875</v>
      </c>
      <c r="C1501" s="116">
        <v>22.574999999999999</v>
      </c>
      <c r="D1501" s="116">
        <v>22.15</v>
      </c>
      <c r="E1501" s="116">
        <v>23.725000000000001</v>
      </c>
      <c r="F1501" s="116">
        <v>45.15</v>
      </c>
      <c r="G1501">
        <v>121187</v>
      </c>
      <c r="H1501" s="116"/>
      <c r="I1501" s="116"/>
      <c r="L1501" s="166">
        <v>44214</v>
      </c>
      <c r="M1501" s="116">
        <v>22.574999999999999</v>
      </c>
      <c r="N1501" s="116">
        <v>23.8</v>
      </c>
      <c r="O1501" s="116">
        <v>22.1</v>
      </c>
      <c r="P1501" s="116">
        <v>23.75</v>
      </c>
      <c r="Q1501" s="116">
        <v>45.15</v>
      </c>
      <c r="R1501">
        <v>253832</v>
      </c>
    </row>
    <row r="1502" spans="1:18" x14ac:dyDescent="0.25">
      <c r="A1502" s="166">
        <v>44215</v>
      </c>
      <c r="B1502" s="116">
        <v>25.65</v>
      </c>
      <c r="C1502" s="116">
        <v>24.875</v>
      </c>
      <c r="D1502" s="116">
        <v>22.75</v>
      </c>
      <c r="E1502" s="116">
        <v>22.9</v>
      </c>
      <c r="F1502" s="116">
        <v>49.75</v>
      </c>
      <c r="G1502">
        <v>146271</v>
      </c>
      <c r="H1502" s="116"/>
      <c r="I1502" s="116"/>
      <c r="L1502" s="166">
        <v>44215</v>
      </c>
      <c r="M1502" s="116">
        <v>24.774999999999999</v>
      </c>
      <c r="N1502" s="116">
        <v>25.65</v>
      </c>
      <c r="O1502" s="116">
        <v>22.675000000000001</v>
      </c>
      <c r="P1502" s="116">
        <v>22.675000000000001</v>
      </c>
      <c r="Q1502" s="116">
        <v>49.55</v>
      </c>
      <c r="R1502">
        <v>683106</v>
      </c>
    </row>
    <row r="1503" spans="1:18" x14ac:dyDescent="0.25">
      <c r="A1503" s="166">
        <v>44216</v>
      </c>
      <c r="B1503" s="116">
        <v>24.7</v>
      </c>
      <c r="C1503" s="116">
        <v>23.774999999999999</v>
      </c>
      <c r="D1503" s="116">
        <v>23.6</v>
      </c>
      <c r="E1503" s="116">
        <v>24.5</v>
      </c>
      <c r="F1503" s="116">
        <v>47.55</v>
      </c>
      <c r="G1503">
        <v>73343</v>
      </c>
      <c r="H1503" s="116"/>
      <c r="I1503" s="116"/>
      <c r="L1503" s="166">
        <v>44216</v>
      </c>
      <c r="M1503" s="116">
        <v>23.8</v>
      </c>
      <c r="N1503" s="116">
        <v>24.75</v>
      </c>
      <c r="O1503" s="116">
        <v>23.6</v>
      </c>
      <c r="P1503" s="116">
        <v>24.75</v>
      </c>
      <c r="Q1503" s="116">
        <v>47.6</v>
      </c>
      <c r="R1503">
        <v>230811</v>
      </c>
    </row>
    <row r="1504" spans="1:18" x14ac:dyDescent="0.25">
      <c r="A1504" s="166">
        <v>44217</v>
      </c>
      <c r="B1504" s="116">
        <v>25.75</v>
      </c>
      <c r="C1504" s="116">
        <v>24.25</v>
      </c>
      <c r="D1504" s="116">
        <v>24.1</v>
      </c>
      <c r="E1504" s="116">
        <v>24.225000000000001</v>
      </c>
      <c r="F1504" s="116">
        <v>48.5</v>
      </c>
      <c r="G1504">
        <v>40806</v>
      </c>
      <c r="H1504" s="116"/>
      <c r="I1504" s="116"/>
      <c r="L1504" s="166">
        <v>44217</v>
      </c>
      <c r="M1504" s="116">
        <v>24.25</v>
      </c>
      <c r="N1504" s="116">
        <v>25.7</v>
      </c>
      <c r="O1504" s="116">
        <v>23.975000000000001</v>
      </c>
      <c r="P1504" s="116">
        <v>24.125</v>
      </c>
      <c r="Q1504" s="116">
        <v>48.5</v>
      </c>
      <c r="R1504">
        <v>413316</v>
      </c>
    </row>
    <row r="1505" spans="1:18" x14ac:dyDescent="0.25">
      <c r="A1505" s="166">
        <v>44218</v>
      </c>
      <c r="B1505" s="116">
        <v>24.425000000000001</v>
      </c>
      <c r="C1505" s="116">
        <v>23.975000000000001</v>
      </c>
      <c r="D1505" s="116">
        <v>23.024999999999999</v>
      </c>
      <c r="E1505" s="116">
        <v>24.25</v>
      </c>
      <c r="F1505" s="116">
        <v>47.95</v>
      </c>
      <c r="G1505">
        <v>51083</v>
      </c>
      <c r="H1505" s="116"/>
      <c r="I1505" s="116"/>
      <c r="L1505" s="166">
        <v>44218</v>
      </c>
      <c r="M1505" s="116">
        <v>24</v>
      </c>
      <c r="N1505" s="116">
        <v>24.475000000000001</v>
      </c>
      <c r="O1505" s="116">
        <v>23.024999999999999</v>
      </c>
      <c r="P1505" s="116">
        <v>24.4</v>
      </c>
      <c r="Q1505" s="116">
        <v>48</v>
      </c>
      <c r="R1505">
        <v>343167</v>
      </c>
    </row>
    <row r="1506" spans="1:18" x14ac:dyDescent="0.25">
      <c r="A1506" s="166">
        <v>44221</v>
      </c>
      <c r="B1506" s="116">
        <v>24.524999999999999</v>
      </c>
      <c r="C1506" s="116">
        <v>23.1</v>
      </c>
      <c r="D1506" s="116">
        <v>23.024999999999999</v>
      </c>
      <c r="E1506" s="116">
        <v>24.524999999999999</v>
      </c>
      <c r="F1506" s="116">
        <v>46.2</v>
      </c>
      <c r="G1506">
        <v>26127</v>
      </c>
      <c r="H1506" s="116"/>
      <c r="I1506" s="116"/>
      <c r="L1506" s="166">
        <v>44221</v>
      </c>
      <c r="M1506" s="116">
        <v>23.074999999999999</v>
      </c>
      <c r="N1506" s="116">
        <v>24.725000000000001</v>
      </c>
      <c r="O1506" s="116">
        <v>23</v>
      </c>
      <c r="P1506" s="116">
        <v>24.725000000000001</v>
      </c>
      <c r="Q1506" s="116">
        <v>46.15</v>
      </c>
      <c r="R1506">
        <v>336363</v>
      </c>
    </row>
    <row r="1507" spans="1:18" x14ac:dyDescent="0.25">
      <c r="A1507" s="166">
        <v>44223</v>
      </c>
      <c r="B1507" s="116">
        <v>24.65</v>
      </c>
      <c r="C1507" s="116">
        <v>23.324999999999999</v>
      </c>
      <c r="D1507" s="116">
        <v>22.65</v>
      </c>
      <c r="E1507" s="116">
        <v>23.125</v>
      </c>
      <c r="F1507" s="116">
        <v>46.65</v>
      </c>
      <c r="G1507">
        <v>71718</v>
      </c>
      <c r="H1507" s="116"/>
      <c r="I1507" s="116"/>
      <c r="L1507" s="166">
        <v>44223</v>
      </c>
      <c r="M1507" s="116">
        <v>23.274999999999999</v>
      </c>
      <c r="N1507" s="116">
        <v>24.7</v>
      </c>
      <c r="O1507" s="116">
        <v>22.6</v>
      </c>
      <c r="P1507" s="116">
        <v>23.074999999999999</v>
      </c>
      <c r="Q1507" s="116">
        <v>46.55</v>
      </c>
      <c r="R1507">
        <v>645814</v>
      </c>
    </row>
    <row r="1508" spans="1:18" x14ac:dyDescent="0.25">
      <c r="A1508" s="166">
        <v>44224</v>
      </c>
      <c r="B1508" s="116">
        <v>24.375</v>
      </c>
      <c r="C1508" s="116">
        <v>23.55</v>
      </c>
      <c r="D1508" s="116">
        <v>23.15</v>
      </c>
      <c r="E1508" s="116">
        <v>23.25</v>
      </c>
      <c r="F1508" s="116">
        <v>47.1</v>
      </c>
      <c r="G1508">
        <v>41432</v>
      </c>
      <c r="H1508" s="116"/>
      <c r="I1508" s="116"/>
      <c r="L1508" s="166">
        <v>44224</v>
      </c>
      <c r="M1508" s="116">
        <v>23.574999999999999</v>
      </c>
      <c r="N1508" s="116">
        <v>24.375</v>
      </c>
      <c r="O1508" s="116">
        <v>23.074999999999999</v>
      </c>
      <c r="P1508" s="116">
        <v>23.25</v>
      </c>
      <c r="Q1508" s="116">
        <v>47.15</v>
      </c>
      <c r="R1508">
        <v>509411</v>
      </c>
    </row>
    <row r="1509" spans="1:18" x14ac:dyDescent="0.25">
      <c r="A1509" s="166">
        <v>44225</v>
      </c>
      <c r="B1509" s="116">
        <v>24.324999999999999</v>
      </c>
      <c r="C1509" s="116">
        <v>23</v>
      </c>
      <c r="D1509" s="116">
        <v>22.75</v>
      </c>
      <c r="E1509" s="116">
        <v>23.824999999999999</v>
      </c>
      <c r="F1509" s="116">
        <v>46</v>
      </c>
      <c r="G1509">
        <v>41960</v>
      </c>
      <c r="H1509" s="116"/>
      <c r="I1509" s="116"/>
      <c r="L1509" s="166">
        <v>44225</v>
      </c>
      <c r="M1509" s="116">
        <v>22.9</v>
      </c>
      <c r="N1509" s="116">
        <v>24.375</v>
      </c>
      <c r="O1509" s="116">
        <v>22.675000000000001</v>
      </c>
      <c r="P1509" s="116">
        <v>23.55</v>
      </c>
      <c r="Q1509" s="116">
        <v>45.8</v>
      </c>
      <c r="R1509">
        <v>603447</v>
      </c>
    </row>
    <row r="1510" spans="1:18" x14ac:dyDescent="0.25">
      <c r="A1510" s="166">
        <v>44228</v>
      </c>
      <c r="B1510" s="116">
        <v>23.475000000000001</v>
      </c>
      <c r="C1510" s="116">
        <v>23.25</v>
      </c>
      <c r="D1510" s="116">
        <v>22.7</v>
      </c>
      <c r="E1510" s="116">
        <v>22.85</v>
      </c>
      <c r="F1510" s="116">
        <v>46.5</v>
      </c>
      <c r="G1510">
        <v>58875</v>
      </c>
      <c r="H1510" s="116"/>
      <c r="I1510" s="116"/>
      <c r="L1510" s="166">
        <v>44228</v>
      </c>
      <c r="M1510" s="116">
        <v>23.2</v>
      </c>
      <c r="N1510" s="116">
        <v>23.5</v>
      </c>
      <c r="O1510" s="116">
        <v>22.574999999999999</v>
      </c>
      <c r="P1510" s="116">
        <v>22.574999999999999</v>
      </c>
      <c r="Q1510" s="116">
        <v>46.4</v>
      </c>
      <c r="R1510">
        <v>279625</v>
      </c>
    </row>
    <row r="1511" spans="1:18" x14ac:dyDescent="0.25">
      <c r="A1511" s="166">
        <v>44229</v>
      </c>
      <c r="B1511" s="116">
        <v>24.05</v>
      </c>
      <c r="C1511" s="116">
        <v>23.45</v>
      </c>
      <c r="D1511" s="116">
        <v>23</v>
      </c>
      <c r="E1511" s="116">
        <v>23</v>
      </c>
      <c r="F1511" s="116">
        <v>46.9</v>
      </c>
      <c r="G1511">
        <v>36345</v>
      </c>
      <c r="H1511" s="116"/>
      <c r="I1511" s="116"/>
      <c r="L1511" s="166">
        <v>44229</v>
      </c>
      <c r="M1511" s="116">
        <v>23.5</v>
      </c>
      <c r="N1511" s="116">
        <v>24.1</v>
      </c>
      <c r="O1511" s="116">
        <v>23.25</v>
      </c>
      <c r="P1511" s="116">
        <v>23.25</v>
      </c>
      <c r="Q1511" s="116">
        <v>47</v>
      </c>
      <c r="R1511">
        <v>265916</v>
      </c>
    </row>
    <row r="1512" spans="1:18" x14ac:dyDescent="0.25">
      <c r="A1512" s="166">
        <v>44230</v>
      </c>
      <c r="B1512" s="116">
        <v>24.574999999999999</v>
      </c>
      <c r="C1512" s="116">
        <v>24.324999999999999</v>
      </c>
      <c r="D1512" s="116">
        <v>23.625</v>
      </c>
      <c r="E1512" s="116">
        <v>23.625</v>
      </c>
      <c r="F1512" s="116">
        <v>48.65</v>
      </c>
      <c r="G1512">
        <v>29463</v>
      </c>
      <c r="H1512" s="116"/>
      <c r="I1512" s="116"/>
      <c r="L1512" s="166">
        <v>44230</v>
      </c>
      <c r="M1512" s="116">
        <v>24.35</v>
      </c>
      <c r="N1512" s="116">
        <v>24.625</v>
      </c>
      <c r="O1512" s="116">
        <v>23.4</v>
      </c>
      <c r="P1512" s="116">
        <v>23.8</v>
      </c>
      <c r="Q1512" s="116">
        <v>48.7</v>
      </c>
      <c r="R1512">
        <v>403904</v>
      </c>
    </row>
    <row r="1513" spans="1:18" x14ac:dyDescent="0.25">
      <c r="A1513" s="166">
        <v>44231</v>
      </c>
      <c r="B1513" s="116">
        <v>24.975000000000001</v>
      </c>
      <c r="C1513" s="116">
        <v>24.625</v>
      </c>
      <c r="D1513" s="116">
        <v>24.475000000000001</v>
      </c>
      <c r="E1513" s="116">
        <v>24.675000000000001</v>
      </c>
      <c r="F1513" s="116">
        <v>49.25</v>
      </c>
      <c r="G1513">
        <v>27048</v>
      </c>
      <c r="H1513" s="116"/>
      <c r="I1513" s="116"/>
      <c r="L1513" s="166">
        <v>44231</v>
      </c>
      <c r="M1513" s="116">
        <v>24.7</v>
      </c>
      <c r="N1513" s="116">
        <v>24.975000000000001</v>
      </c>
      <c r="O1513" s="116">
        <v>24.4</v>
      </c>
      <c r="P1513" s="116">
        <v>24.725000000000001</v>
      </c>
      <c r="Q1513" s="116">
        <v>49.4</v>
      </c>
      <c r="R1513">
        <v>225936</v>
      </c>
    </row>
    <row r="1514" spans="1:18" x14ac:dyDescent="0.25">
      <c r="A1514" s="166">
        <v>44232</v>
      </c>
      <c r="B1514" s="116">
        <v>25</v>
      </c>
      <c r="C1514" s="116">
        <v>24.074999999999999</v>
      </c>
      <c r="D1514" s="116">
        <v>23.85</v>
      </c>
      <c r="E1514" s="116">
        <v>24.9</v>
      </c>
      <c r="F1514" s="116">
        <v>48.15</v>
      </c>
      <c r="G1514">
        <v>15247</v>
      </c>
      <c r="H1514" s="116"/>
      <c r="I1514" s="116"/>
      <c r="L1514" s="166">
        <v>44232</v>
      </c>
      <c r="M1514" s="116">
        <v>24.074999999999999</v>
      </c>
      <c r="N1514" s="116">
        <v>25.024999999999999</v>
      </c>
      <c r="O1514" s="116">
        <v>23.625</v>
      </c>
      <c r="P1514" s="116">
        <v>24.925000000000001</v>
      </c>
      <c r="Q1514" s="116">
        <v>48.15</v>
      </c>
      <c r="R1514">
        <v>154343</v>
      </c>
    </row>
    <row r="1515" spans="1:18" x14ac:dyDescent="0.25">
      <c r="A1515" s="166">
        <v>44235</v>
      </c>
      <c r="B1515" s="116">
        <v>24.9</v>
      </c>
      <c r="C1515" s="116">
        <v>24.274999999999999</v>
      </c>
      <c r="D1515" s="116">
        <v>23.975000000000001</v>
      </c>
      <c r="E1515" s="116">
        <v>24.274999999999999</v>
      </c>
      <c r="F1515" s="116">
        <v>48.55</v>
      </c>
      <c r="G1515">
        <v>80008</v>
      </c>
      <c r="H1515" s="116"/>
      <c r="I1515" s="116"/>
      <c r="L1515" s="166">
        <v>44235</v>
      </c>
      <c r="M1515" s="116">
        <v>24.625</v>
      </c>
      <c r="N1515" s="116">
        <v>24.95</v>
      </c>
      <c r="O1515" s="116">
        <v>23.875</v>
      </c>
      <c r="P1515" s="116">
        <v>24.05</v>
      </c>
      <c r="Q1515" s="116">
        <v>49.25</v>
      </c>
      <c r="R1515">
        <v>317590</v>
      </c>
    </row>
    <row r="1516" spans="1:18" x14ac:dyDescent="0.25">
      <c r="A1516" s="166">
        <v>44236</v>
      </c>
      <c r="B1516" s="116">
        <v>26.65</v>
      </c>
      <c r="C1516" s="116">
        <v>26.175000000000001</v>
      </c>
      <c r="D1516" s="116">
        <v>24.5</v>
      </c>
      <c r="E1516" s="116">
        <v>24.5</v>
      </c>
      <c r="F1516" s="116">
        <v>52.35</v>
      </c>
      <c r="G1516">
        <v>216518</v>
      </c>
      <c r="H1516" s="116"/>
      <c r="I1516" s="116"/>
      <c r="L1516" s="166">
        <v>44236</v>
      </c>
      <c r="M1516" s="116">
        <v>26.175000000000001</v>
      </c>
      <c r="N1516" s="116">
        <v>26.7</v>
      </c>
      <c r="O1516" s="116">
        <v>24.4</v>
      </c>
      <c r="P1516" s="116">
        <v>25</v>
      </c>
      <c r="Q1516" s="116">
        <v>52.35</v>
      </c>
      <c r="R1516">
        <v>1963750</v>
      </c>
    </row>
    <row r="1517" spans="1:18" x14ac:dyDescent="0.25">
      <c r="A1517" s="166">
        <v>44237</v>
      </c>
      <c r="B1517" s="116">
        <v>27</v>
      </c>
      <c r="C1517" s="116">
        <v>25.524999999999999</v>
      </c>
      <c r="D1517" s="116">
        <v>25.35</v>
      </c>
      <c r="E1517" s="116">
        <v>26.5</v>
      </c>
      <c r="F1517" s="116">
        <v>51.05</v>
      </c>
      <c r="G1517">
        <v>98319</v>
      </c>
      <c r="H1517" s="116"/>
      <c r="I1517" s="116"/>
      <c r="L1517" s="166">
        <v>44237</v>
      </c>
      <c r="M1517" s="116">
        <v>25.524999999999999</v>
      </c>
      <c r="N1517" s="116">
        <v>27.074999999999999</v>
      </c>
      <c r="O1517" s="116">
        <v>25.3</v>
      </c>
      <c r="P1517" s="116">
        <v>26.425000000000001</v>
      </c>
      <c r="Q1517" s="116">
        <v>51.05</v>
      </c>
      <c r="R1517">
        <v>1016945</v>
      </c>
    </row>
    <row r="1518" spans="1:18" x14ac:dyDescent="0.25">
      <c r="A1518" s="166">
        <v>44238</v>
      </c>
      <c r="B1518" s="116">
        <v>29.7</v>
      </c>
      <c r="C1518" s="116">
        <v>28.85</v>
      </c>
      <c r="D1518" s="116">
        <v>25.574999999999999</v>
      </c>
      <c r="E1518" s="116">
        <v>25.6</v>
      </c>
      <c r="F1518" s="116">
        <v>57.7</v>
      </c>
      <c r="G1518">
        <v>348325</v>
      </c>
      <c r="H1518" s="116"/>
      <c r="I1518" s="116"/>
      <c r="L1518" s="166">
        <v>44238</v>
      </c>
      <c r="M1518" s="116">
        <v>28.824999999999999</v>
      </c>
      <c r="N1518" s="116">
        <v>29.75</v>
      </c>
      <c r="O1518" s="116">
        <v>25.6</v>
      </c>
      <c r="P1518" s="116">
        <v>25.725000000000001</v>
      </c>
      <c r="Q1518" s="116">
        <v>57.65</v>
      </c>
      <c r="R1518">
        <v>3287407</v>
      </c>
    </row>
    <row r="1519" spans="1:18" x14ac:dyDescent="0.25">
      <c r="A1519" s="166">
        <v>44239</v>
      </c>
      <c r="B1519" s="116">
        <v>29.55</v>
      </c>
      <c r="C1519" s="116">
        <v>28.024999999999999</v>
      </c>
      <c r="D1519" s="116">
        <v>27.5</v>
      </c>
      <c r="E1519" s="116">
        <v>27.925000000000001</v>
      </c>
      <c r="F1519" s="116">
        <v>56.05</v>
      </c>
      <c r="G1519">
        <v>277829</v>
      </c>
      <c r="H1519" s="116"/>
      <c r="I1519" s="116"/>
      <c r="L1519" s="166">
        <v>44239</v>
      </c>
      <c r="M1519" s="116">
        <v>27.975000000000001</v>
      </c>
      <c r="N1519" s="116">
        <v>29.6</v>
      </c>
      <c r="O1519" s="116">
        <v>27.55</v>
      </c>
      <c r="P1519" s="116">
        <v>29.1</v>
      </c>
      <c r="Q1519" s="116">
        <v>55.95</v>
      </c>
      <c r="R1519">
        <v>1441388</v>
      </c>
    </row>
    <row r="1520" spans="1:18" x14ac:dyDescent="0.25">
      <c r="A1520" s="166">
        <v>44242</v>
      </c>
      <c r="B1520" s="116">
        <v>29.125</v>
      </c>
      <c r="C1520" s="116">
        <v>27.774999999999999</v>
      </c>
      <c r="D1520" s="116">
        <v>27.324999999999999</v>
      </c>
      <c r="E1520" s="116">
        <v>27.324999999999999</v>
      </c>
      <c r="F1520" s="116">
        <v>55.55</v>
      </c>
      <c r="G1520">
        <v>85829</v>
      </c>
      <c r="H1520" s="116"/>
      <c r="I1520" s="116"/>
      <c r="L1520" s="166">
        <v>44242</v>
      </c>
      <c r="M1520" s="116">
        <v>27.774999999999999</v>
      </c>
      <c r="N1520" s="116">
        <v>29.125</v>
      </c>
      <c r="O1520" s="116">
        <v>27.324999999999999</v>
      </c>
      <c r="P1520" s="116">
        <v>28.3</v>
      </c>
      <c r="Q1520" s="116">
        <v>55.55</v>
      </c>
      <c r="R1520">
        <v>589242</v>
      </c>
    </row>
    <row r="1521" spans="1:18" x14ac:dyDescent="0.25">
      <c r="A1521" s="166">
        <v>44243</v>
      </c>
      <c r="B1521" s="116">
        <v>28.225000000000001</v>
      </c>
      <c r="C1521" s="116">
        <v>27.024999999999999</v>
      </c>
      <c r="D1521" s="116">
        <v>26.725000000000001</v>
      </c>
      <c r="E1521" s="116">
        <v>28.225000000000001</v>
      </c>
      <c r="F1521" s="116">
        <v>54.05</v>
      </c>
      <c r="G1521">
        <v>87155</v>
      </c>
      <c r="H1521" s="116"/>
      <c r="I1521" s="116"/>
      <c r="L1521" s="166">
        <v>44243</v>
      </c>
      <c r="M1521" s="116">
        <v>27.05</v>
      </c>
      <c r="N1521" s="116">
        <v>28.324999999999999</v>
      </c>
      <c r="O1521" s="116">
        <v>26.625</v>
      </c>
      <c r="P1521" s="116">
        <v>27.6</v>
      </c>
      <c r="Q1521" s="116">
        <v>54.1</v>
      </c>
      <c r="R1521">
        <v>739843</v>
      </c>
    </row>
    <row r="1522" spans="1:18" x14ac:dyDescent="0.25">
      <c r="A1522" s="166">
        <v>44244</v>
      </c>
      <c r="B1522" s="116">
        <v>27.024999999999999</v>
      </c>
      <c r="C1522" s="116">
        <v>26.574999999999999</v>
      </c>
      <c r="D1522" s="116">
        <v>26.425000000000001</v>
      </c>
      <c r="E1522" s="116">
        <v>27.024999999999999</v>
      </c>
      <c r="F1522" s="116">
        <v>53.15</v>
      </c>
      <c r="G1522">
        <v>27791</v>
      </c>
      <c r="H1522" s="116"/>
      <c r="I1522" s="116"/>
      <c r="L1522" s="166">
        <v>44244</v>
      </c>
      <c r="M1522" s="116">
        <v>26.675000000000001</v>
      </c>
      <c r="N1522" s="116">
        <v>27.125</v>
      </c>
      <c r="O1522" s="116">
        <v>26.4</v>
      </c>
      <c r="P1522" s="116">
        <v>26.774999999999999</v>
      </c>
      <c r="Q1522" s="116">
        <v>53.35</v>
      </c>
      <c r="R1522">
        <v>361063</v>
      </c>
    </row>
    <row r="1523" spans="1:18" x14ac:dyDescent="0.25">
      <c r="A1523" s="166">
        <v>44245</v>
      </c>
      <c r="B1523" s="116">
        <v>28.15</v>
      </c>
      <c r="C1523" s="116">
        <v>27.35</v>
      </c>
      <c r="D1523" s="116">
        <v>26.725000000000001</v>
      </c>
      <c r="E1523" s="116">
        <v>27</v>
      </c>
      <c r="F1523" s="116">
        <v>54.7</v>
      </c>
      <c r="G1523">
        <v>91468</v>
      </c>
      <c r="H1523" s="116"/>
      <c r="I1523" s="116"/>
      <c r="L1523" s="166">
        <v>44245</v>
      </c>
      <c r="M1523" s="116">
        <v>27.3</v>
      </c>
      <c r="N1523" s="116">
        <v>28.2</v>
      </c>
      <c r="O1523" s="116">
        <v>26.7</v>
      </c>
      <c r="P1523" s="116">
        <v>26.774999999999999</v>
      </c>
      <c r="Q1523" s="116">
        <v>54.6</v>
      </c>
      <c r="R1523">
        <v>1127524</v>
      </c>
    </row>
    <row r="1524" spans="1:18" x14ac:dyDescent="0.25">
      <c r="A1524" s="166">
        <v>44246</v>
      </c>
      <c r="B1524" s="116">
        <v>28.225000000000001</v>
      </c>
      <c r="C1524" s="116">
        <v>26.574999999999999</v>
      </c>
      <c r="D1524" s="116">
        <v>26.25</v>
      </c>
      <c r="E1524" s="116">
        <v>27.1</v>
      </c>
      <c r="F1524" s="116">
        <v>53.15</v>
      </c>
      <c r="G1524">
        <v>104310</v>
      </c>
      <c r="H1524" s="116"/>
      <c r="I1524" s="116"/>
      <c r="L1524" s="166">
        <v>44246</v>
      </c>
      <c r="M1524" s="116">
        <v>26.5</v>
      </c>
      <c r="N1524" s="116">
        <v>28.2</v>
      </c>
      <c r="O1524" s="116">
        <v>26.024999999999999</v>
      </c>
      <c r="P1524" s="116">
        <v>27.3</v>
      </c>
      <c r="Q1524" s="116">
        <v>53</v>
      </c>
      <c r="R1524">
        <v>882620</v>
      </c>
    </row>
    <row r="1525" spans="1:18" x14ac:dyDescent="0.25">
      <c r="A1525" s="166">
        <v>44249</v>
      </c>
      <c r="B1525" s="116">
        <v>26.875</v>
      </c>
      <c r="C1525" s="116">
        <v>25.75</v>
      </c>
      <c r="D1525" s="116">
        <v>25.45</v>
      </c>
      <c r="E1525" s="116">
        <v>26.75</v>
      </c>
      <c r="F1525" s="116">
        <v>51.5</v>
      </c>
      <c r="G1525">
        <v>53456</v>
      </c>
      <c r="H1525" s="116"/>
      <c r="I1525" s="116"/>
      <c r="L1525" s="166">
        <v>44249</v>
      </c>
      <c r="M1525" s="116">
        <v>25.824999999999999</v>
      </c>
      <c r="N1525" s="116">
        <v>26.95</v>
      </c>
      <c r="O1525" s="116">
        <v>25.5</v>
      </c>
      <c r="P1525" s="116">
        <v>26.9</v>
      </c>
      <c r="Q1525" s="116">
        <v>51.65</v>
      </c>
      <c r="R1525">
        <v>416364</v>
      </c>
    </row>
    <row r="1526" spans="1:18" x14ac:dyDescent="0.25">
      <c r="A1526" s="166">
        <v>44250</v>
      </c>
      <c r="B1526" s="116">
        <v>26.4</v>
      </c>
      <c r="C1526" s="116">
        <v>25.7</v>
      </c>
      <c r="D1526" s="116">
        <v>25.524999999999999</v>
      </c>
      <c r="E1526" s="116">
        <v>26.1</v>
      </c>
      <c r="F1526" s="116">
        <v>51.4</v>
      </c>
      <c r="G1526">
        <v>24461</v>
      </c>
      <c r="H1526" s="116"/>
      <c r="I1526" s="116"/>
      <c r="L1526" s="166">
        <v>44250</v>
      </c>
      <c r="M1526" s="116">
        <v>25.65</v>
      </c>
      <c r="N1526" s="116">
        <v>26.475000000000001</v>
      </c>
      <c r="O1526" s="116">
        <v>25.5</v>
      </c>
      <c r="P1526" s="116">
        <v>25.824999999999999</v>
      </c>
      <c r="Q1526" s="116">
        <v>51.3</v>
      </c>
      <c r="R1526">
        <v>206155</v>
      </c>
    </row>
    <row r="1527" spans="1:18" x14ac:dyDescent="0.25">
      <c r="A1527" s="166">
        <v>44251</v>
      </c>
      <c r="B1527" s="116">
        <v>28.15</v>
      </c>
      <c r="C1527" s="116">
        <v>27.625</v>
      </c>
      <c r="D1527" s="116">
        <v>25.95</v>
      </c>
      <c r="E1527" s="116">
        <v>25.95</v>
      </c>
      <c r="F1527" s="116">
        <v>55.25</v>
      </c>
      <c r="G1527">
        <v>141668</v>
      </c>
      <c r="H1527" s="116"/>
      <c r="I1527" s="116"/>
      <c r="L1527" s="166">
        <v>44251</v>
      </c>
      <c r="M1527" s="116">
        <v>27.6</v>
      </c>
      <c r="N1527" s="116">
        <v>28.2</v>
      </c>
      <c r="O1527" s="116">
        <v>25.95</v>
      </c>
      <c r="P1527" s="116">
        <v>25.95</v>
      </c>
      <c r="Q1527" s="116">
        <v>55.2</v>
      </c>
      <c r="R1527">
        <v>582188</v>
      </c>
    </row>
    <row r="1528" spans="1:18" x14ac:dyDescent="0.25">
      <c r="A1528" s="166">
        <v>44252</v>
      </c>
      <c r="B1528" s="116">
        <v>30.1</v>
      </c>
      <c r="C1528" s="116">
        <v>29.574999999999999</v>
      </c>
      <c r="D1528" s="116">
        <v>28</v>
      </c>
      <c r="E1528" s="116">
        <v>28</v>
      </c>
      <c r="F1528" s="116">
        <v>59.15</v>
      </c>
      <c r="G1528">
        <v>236802</v>
      </c>
      <c r="H1528" s="116"/>
      <c r="I1528" s="116"/>
      <c r="L1528" s="166">
        <v>44252</v>
      </c>
      <c r="M1528" s="116">
        <v>29.65</v>
      </c>
      <c r="N1528" s="116">
        <v>30.125</v>
      </c>
      <c r="O1528" s="116">
        <v>27.875</v>
      </c>
      <c r="P1528" s="116">
        <v>27.875</v>
      </c>
      <c r="Q1528" s="116">
        <v>59.3</v>
      </c>
      <c r="R1528">
        <v>1225113</v>
      </c>
    </row>
    <row r="1529" spans="1:18" x14ac:dyDescent="0.25">
      <c r="A1529" s="166">
        <v>44253</v>
      </c>
      <c r="B1529" s="116">
        <v>29.274999999999999</v>
      </c>
      <c r="C1529" s="116">
        <v>28.45</v>
      </c>
      <c r="D1529" s="116">
        <v>28.3</v>
      </c>
      <c r="E1529" s="116">
        <v>29</v>
      </c>
      <c r="F1529" s="116">
        <v>56.9</v>
      </c>
      <c r="G1529">
        <v>55330</v>
      </c>
      <c r="H1529" s="116"/>
      <c r="I1529" s="116"/>
      <c r="L1529" s="166">
        <v>44253</v>
      </c>
      <c r="M1529" s="116">
        <v>28.5</v>
      </c>
      <c r="N1529" s="116">
        <v>29.375</v>
      </c>
      <c r="O1529" s="116">
        <v>28.324999999999999</v>
      </c>
      <c r="P1529" s="116">
        <v>28.9</v>
      </c>
      <c r="Q1529" s="116">
        <v>57</v>
      </c>
      <c r="R1529">
        <v>411262</v>
      </c>
    </row>
    <row r="1530" spans="1:18" x14ac:dyDescent="0.25">
      <c r="A1530" s="166">
        <v>44256</v>
      </c>
      <c r="B1530" s="116">
        <v>29.074999999999999</v>
      </c>
      <c r="C1530" s="116">
        <v>27.7</v>
      </c>
      <c r="D1530" s="116">
        <v>27.6</v>
      </c>
      <c r="E1530" s="116">
        <v>29.074999999999999</v>
      </c>
      <c r="F1530" s="116">
        <v>55.4</v>
      </c>
      <c r="G1530">
        <v>33078</v>
      </c>
      <c r="H1530" s="116"/>
      <c r="I1530" s="116"/>
      <c r="L1530" s="166">
        <v>44256</v>
      </c>
      <c r="M1530" s="116">
        <v>27.65</v>
      </c>
      <c r="N1530" s="116">
        <v>29.024999999999999</v>
      </c>
      <c r="O1530" s="116">
        <v>27.524999999999999</v>
      </c>
      <c r="P1530" s="116">
        <v>28.7</v>
      </c>
      <c r="Q1530" s="116">
        <v>55.3</v>
      </c>
      <c r="R1530">
        <v>378744</v>
      </c>
    </row>
    <row r="1531" spans="1:18" x14ac:dyDescent="0.25">
      <c r="A1531" s="166">
        <v>44257</v>
      </c>
      <c r="B1531" s="116">
        <v>29.35</v>
      </c>
      <c r="C1531" s="116">
        <v>27.375</v>
      </c>
      <c r="D1531" s="116">
        <v>27</v>
      </c>
      <c r="E1531" s="116">
        <v>28.35</v>
      </c>
      <c r="F1531" s="116">
        <v>54.75</v>
      </c>
      <c r="G1531">
        <v>66709</v>
      </c>
      <c r="H1531" s="116"/>
      <c r="I1531" s="116"/>
      <c r="L1531" s="166">
        <v>44257</v>
      </c>
      <c r="M1531" s="116">
        <v>27.425000000000001</v>
      </c>
      <c r="N1531" s="116">
        <v>29.425000000000001</v>
      </c>
      <c r="O1531" s="116">
        <v>26.774999999999999</v>
      </c>
      <c r="P1531" s="116">
        <v>27.875</v>
      </c>
      <c r="Q1531" s="116">
        <v>54.85</v>
      </c>
      <c r="R1531">
        <v>532142</v>
      </c>
    </row>
    <row r="1532" spans="1:18" x14ac:dyDescent="0.25">
      <c r="A1532" s="166">
        <v>44258</v>
      </c>
      <c r="B1532" s="116">
        <v>28</v>
      </c>
      <c r="C1532" s="116">
        <v>27.375</v>
      </c>
      <c r="D1532" s="116">
        <v>27.2</v>
      </c>
      <c r="E1532" s="116">
        <v>27.274999999999999</v>
      </c>
      <c r="F1532" s="116">
        <v>54.75</v>
      </c>
      <c r="G1532">
        <v>47203</v>
      </c>
      <c r="H1532" s="116"/>
      <c r="I1532" s="116"/>
      <c r="L1532" s="166">
        <v>44258</v>
      </c>
      <c r="M1532" s="116">
        <v>27.4</v>
      </c>
      <c r="N1532" s="116">
        <v>28.1</v>
      </c>
      <c r="O1532" s="116">
        <v>27.05</v>
      </c>
      <c r="P1532" s="116">
        <v>27.65</v>
      </c>
      <c r="Q1532" s="116">
        <v>54.8</v>
      </c>
      <c r="R1532">
        <v>443239</v>
      </c>
    </row>
    <row r="1533" spans="1:18" x14ac:dyDescent="0.25">
      <c r="A1533" s="166">
        <v>44259</v>
      </c>
      <c r="B1533" s="116">
        <v>28.425000000000001</v>
      </c>
      <c r="C1533" s="116">
        <v>27.7</v>
      </c>
      <c r="D1533" s="116">
        <v>27.4</v>
      </c>
      <c r="E1533" s="116">
        <v>27.4</v>
      </c>
      <c r="F1533" s="116">
        <v>55.4</v>
      </c>
      <c r="G1533">
        <v>48486</v>
      </c>
      <c r="H1533" s="116"/>
      <c r="I1533" s="116"/>
      <c r="L1533" s="166">
        <v>44259</v>
      </c>
      <c r="M1533" s="116">
        <v>27.7</v>
      </c>
      <c r="N1533" s="116">
        <v>28.5</v>
      </c>
      <c r="O1533" s="116">
        <v>26.824999999999999</v>
      </c>
      <c r="P1533" s="116">
        <v>27.225000000000001</v>
      </c>
      <c r="Q1533" s="116">
        <v>55.4</v>
      </c>
      <c r="R1533">
        <v>552482</v>
      </c>
    </row>
    <row r="1534" spans="1:18" x14ac:dyDescent="0.25">
      <c r="A1534" s="166">
        <v>44260</v>
      </c>
      <c r="B1534" s="116">
        <v>31.574999999999999</v>
      </c>
      <c r="C1534" s="116">
        <v>28.85</v>
      </c>
      <c r="D1534" s="116">
        <v>27.7</v>
      </c>
      <c r="E1534" s="116">
        <v>27.75</v>
      </c>
      <c r="F1534" s="116">
        <v>57.7</v>
      </c>
      <c r="G1534">
        <v>315967</v>
      </c>
      <c r="H1534" s="116"/>
      <c r="I1534" s="116"/>
      <c r="L1534" s="166">
        <v>44260</v>
      </c>
      <c r="M1534" s="116">
        <v>28.875</v>
      </c>
      <c r="N1534" s="116">
        <v>31.625</v>
      </c>
      <c r="O1534" s="116">
        <v>27.7</v>
      </c>
      <c r="P1534" s="116">
        <v>27.725000000000001</v>
      </c>
      <c r="Q1534" s="116">
        <v>57.75</v>
      </c>
      <c r="R1534">
        <v>3268232</v>
      </c>
    </row>
    <row r="1535" spans="1:18" x14ac:dyDescent="0.25">
      <c r="A1535" s="166">
        <v>44263</v>
      </c>
      <c r="B1535" s="116">
        <v>30.625</v>
      </c>
      <c r="C1535" s="116">
        <v>29.65</v>
      </c>
      <c r="D1535" s="116">
        <v>28.8</v>
      </c>
      <c r="E1535" s="116">
        <v>29.725000000000001</v>
      </c>
      <c r="F1535" s="116">
        <v>59.3</v>
      </c>
      <c r="G1535">
        <v>100673</v>
      </c>
      <c r="H1535" s="116"/>
      <c r="I1535" s="116"/>
      <c r="L1535" s="166">
        <v>44263</v>
      </c>
      <c r="M1535" s="116">
        <v>29.675000000000001</v>
      </c>
      <c r="N1535" s="116">
        <v>30.55</v>
      </c>
      <c r="O1535" s="116">
        <v>28.875</v>
      </c>
      <c r="P1535" s="116">
        <v>29.45</v>
      </c>
      <c r="Q1535" s="116">
        <v>59.35</v>
      </c>
      <c r="R1535">
        <v>993776</v>
      </c>
    </row>
    <row r="1536" spans="1:18" x14ac:dyDescent="0.25">
      <c r="A1536" s="166">
        <v>44264</v>
      </c>
      <c r="B1536" s="116">
        <v>31.725000000000001</v>
      </c>
      <c r="C1536" s="116">
        <v>31.024999999999999</v>
      </c>
      <c r="D1536" s="116">
        <v>29.65</v>
      </c>
      <c r="E1536" s="116">
        <v>29.65</v>
      </c>
      <c r="F1536" s="116">
        <v>62.05</v>
      </c>
      <c r="G1536">
        <v>110569</v>
      </c>
      <c r="H1536" s="116"/>
      <c r="I1536" s="116"/>
      <c r="L1536" s="166">
        <v>44264</v>
      </c>
      <c r="M1536" s="116">
        <v>31.024999999999999</v>
      </c>
      <c r="N1536" s="116">
        <v>31.75</v>
      </c>
      <c r="O1536" s="116">
        <v>29.75</v>
      </c>
      <c r="P1536" s="116">
        <v>30</v>
      </c>
      <c r="Q1536" s="116">
        <v>62.05</v>
      </c>
      <c r="R1536">
        <v>1229616</v>
      </c>
    </row>
    <row r="1537" spans="1:18" x14ac:dyDescent="0.25">
      <c r="A1537" s="166">
        <v>44265</v>
      </c>
      <c r="B1537" s="116">
        <v>32.6</v>
      </c>
      <c r="C1537" s="116">
        <v>31.824999999999999</v>
      </c>
      <c r="D1537" s="116">
        <v>31.225000000000001</v>
      </c>
      <c r="E1537" s="116">
        <v>31.475000000000001</v>
      </c>
      <c r="F1537" s="116">
        <v>63.65</v>
      </c>
      <c r="G1537">
        <v>83501</v>
      </c>
      <c r="H1537" s="116"/>
      <c r="I1537" s="116"/>
      <c r="L1537" s="166">
        <v>44265</v>
      </c>
      <c r="M1537" s="116">
        <v>31.75</v>
      </c>
      <c r="N1537" s="116">
        <v>32.625</v>
      </c>
      <c r="O1537" s="116">
        <v>31.25</v>
      </c>
      <c r="P1537" s="116">
        <v>31.25</v>
      </c>
      <c r="Q1537" s="116">
        <v>63.5</v>
      </c>
      <c r="R1537">
        <v>923167</v>
      </c>
    </row>
    <row r="1538" spans="1:18" x14ac:dyDescent="0.25">
      <c r="A1538" s="166">
        <v>44267</v>
      </c>
      <c r="B1538" s="116">
        <v>34.200000000000003</v>
      </c>
      <c r="C1538" s="116">
        <v>33.799999999999997</v>
      </c>
      <c r="D1538" s="116">
        <v>32</v>
      </c>
      <c r="E1538" s="116">
        <v>32.4</v>
      </c>
      <c r="F1538" s="116">
        <v>67.599999999999994</v>
      </c>
      <c r="G1538">
        <v>218434</v>
      </c>
      <c r="H1538" s="116"/>
      <c r="I1538" s="116"/>
      <c r="L1538" s="166">
        <v>44267</v>
      </c>
      <c r="M1538" s="116">
        <v>33.825000000000003</v>
      </c>
      <c r="N1538" s="116">
        <v>34.25</v>
      </c>
      <c r="O1538" s="116">
        <v>31.75</v>
      </c>
      <c r="P1538" s="116">
        <v>32</v>
      </c>
      <c r="Q1538" s="116">
        <v>67.650000000000006</v>
      </c>
      <c r="R1538">
        <v>1631793</v>
      </c>
    </row>
    <row r="1539" spans="1:18" x14ac:dyDescent="0.25">
      <c r="A1539" s="166">
        <v>44270</v>
      </c>
      <c r="B1539" s="116">
        <v>34.35</v>
      </c>
      <c r="C1539" s="116">
        <v>32.85</v>
      </c>
      <c r="D1539" s="116">
        <v>32.25</v>
      </c>
      <c r="E1539" s="116">
        <v>34.325000000000003</v>
      </c>
      <c r="F1539" s="116">
        <v>65.7</v>
      </c>
      <c r="G1539">
        <v>91059</v>
      </c>
      <c r="H1539" s="116"/>
      <c r="I1539" s="116"/>
      <c r="L1539" s="166">
        <v>44270</v>
      </c>
      <c r="M1539" s="116">
        <v>32.799999999999997</v>
      </c>
      <c r="N1539" s="116">
        <v>34.200000000000003</v>
      </c>
      <c r="O1539" s="116">
        <v>32.174999999999997</v>
      </c>
      <c r="P1539" s="116">
        <v>33.875</v>
      </c>
      <c r="Q1539" s="116">
        <v>65.599999999999994</v>
      </c>
      <c r="R1539">
        <v>807095</v>
      </c>
    </row>
    <row r="1540" spans="1:18" x14ac:dyDescent="0.25">
      <c r="A1540" s="166">
        <v>44271</v>
      </c>
      <c r="B1540" s="116">
        <v>34.75</v>
      </c>
      <c r="C1540" s="116">
        <v>34.4</v>
      </c>
      <c r="D1540" s="116">
        <v>32.950000000000003</v>
      </c>
      <c r="E1540" s="116">
        <v>33</v>
      </c>
      <c r="F1540" s="116">
        <v>68.8</v>
      </c>
      <c r="G1540">
        <v>140171</v>
      </c>
      <c r="H1540" s="116"/>
      <c r="I1540" s="116"/>
      <c r="L1540" s="166">
        <v>44271</v>
      </c>
      <c r="M1540" s="116">
        <v>34.424999999999997</v>
      </c>
      <c r="N1540" s="116">
        <v>34.75</v>
      </c>
      <c r="O1540" s="116">
        <v>32.575000000000003</v>
      </c>
      <c r="P1540" s="116">
        <v>32.725000000000001</v>
      </c>
      <c r="Q1540" s="116">
        <v>68.849999999999994</v>
      </c>
      <c r="R1540">
        <v>1074657</v>
      </c>
    </row>
    <row r="1541" spans="1:18" x14ac:dyDescent="0.25">
      <c r="A1541" s="166">
        <v>44272</v>
      </c>
      <c r="B1541" s="116">
        <v>34.725000000000001</v>
      </c>
      <c r="C1541" s="116">
        <v>32.200000000000003</v>
      </c>
      <c r="D1541" s="116">
        <v>31.8</v>
      </c>
      <c r="E1541" s="116">
        <v>34.575000000000003</v>
      </c>
      <c r="F1541" s="116">
        <v>64.400000000000006</v>
      </c>
      <c r="G1541">
        <v>111814</v>
      </c>
      <c r="H1541" s="116"/>
      <c r="I1541" s="116"/>
      <c r="L1541" s="166">
        <v>44272</v>
      </c>
      <c r="M1541" s="116">
        <v>32.049999999999997</v>
      </c>
      <c r="N1541" s="116">
        <v>34.774999999999999</v>
      </c>
      <c r="O1541" s="116">
        <v>31.8</v>
      </c>
      <c r="P1541" s="116">
        <v>34.5</v>
      </c>
      <c r="Q1541" s="116">
        <v>64.099999999999994</v>
      </c>
      <c r="R1541">
        <v>661831</v>
      </c>
    </row>
    <row r="1542" spans="1:18" x14ac:dyDescent="0.25">
      <c r="A1542" s="166">
        <v>44273</v>
      </c>
      <c r="B1542" s="116">
        <v>32.475000000000001</v>
      </c>
      <c r="C1542" s="116">
        <v>29.125</v>
      </c>
      <c r="D1542" s="116">
        <v>28.65</v>
      </c>
      <c r="E1542" s="116">
        <v>31.324999999999999</v>
      </c>
      <c r="F1542" s="116">
        <v>58.25</v>
      </c>
      <c r="G1542">
        <v>99462</v>
      </c>
      <c r="H1542" s="116"/>
      <c r="I1542" s="116"/>
      <c r="L1542" s="166">
        <v>44273</v>
      </c>
      <c r="M1542" s="116">
        <v>29.05</v>
      </c>
      <c r="N1542" s="116">
        <v>32.35</v>
      </c>
      <c r="O1542" s="116">
        <v>27.9</v>
      </c>
      <c r="P1542" s="116">
        <v>32.075000000000003</v>
      </c>
      <c r="Q1542" s="116">
        <v>58.1</v>
      </c>
      <c r="R1542">
        <v>906632</v>
      </c>
    </row>
    <row r="1543" spans="1:18" x14ac:dyDescent="0.25">
      <c r="A1543" s="166">
        <v>44274</v>
      </c>
      <c r="B1543" s="116">
        <v>30.7</v>
      </c>
      <c r="C1543" s="116">
        <v>30.574999999999999</v>
      </c>
      <c r="D1543" s="116">
        <v>26.824999999999999</v>
      </c>
      <c r="E1543" s="116">
        <v>29.1</v>
      </c>
      <c r="F1543" s="116">
        <v>61.15</v>
      </c>
      <c r="G1543">
        <v>92936</v>
      </c>
      <c r="H1543" s="116"/>
      <c r="I1543" s="116"/>
      <c r="L1543" s="166">
        <v>44274</v>
      </c>
      <c r="M1543" s="116">
        <v>30.55</v>
      </c>
      <c r="N1543" s="116">
        <v>30.7</v>
      </c>
      <c r="O1543" s="116">
        <v>26.9</v>
      </c>
      <c r="P1543" s="116">
        <v>28.75</v>
      </c>
      <c r="Q1543" s="116">
        <v>61.1</v>
      </c>
      <c r="R1543">
        <v>763798</v>
      </c>
    </row>
    <row r="1544" spans="1:18" x14ac:dyDescent="0.25">
      <c r="A1544" s="166">
        <v>44277</v>
      </c>
      <c r="B1544" s="116">
        <v>31.45</v>
      </c>
      <c r="C1544" s="116">
        <v>29.7</v>
      </c>
      <c r="D1544" s="116">
        <v>29.25</v>
      </c>
      <c r="E1544" s="116">
        <v>30.574999999999999</v>
      </c>
      <c r="F1544" s="116">
        <v>59.4</v>
      </c>
      <c r="G1544">
        <v>61442</v>
      </c>
      <c r="H1544" s="116"/>
      <c r="I1544" s="116"/>
      <c r="L1544" s="166">
        <v>44277</v>
      </c>
      <c r="M1544" s="116">
        <v>29.774999999999999</v>
      </c>
      <c r="N1544" s="116">
        <v>31.5</v>
      </c>
      <c r="O1544" s="116">
        <v>29.2</v>
      </c>
      <c r="P1544" s="116">
        <v>30.65</v>
      </c>
      <c r="Q1544" s="116">
        <v>59.55</v>
      </c>
      <c r="R1544">
        <v>415821</v>
      </c>
    </row>
    <row r="1545" spans="1:18" x14ac:dyDescent="0.25">
      <c r="A1545" s="166">
        <v>44278</v>
      </c>
      <c r="B1545" s="116">
        <v>30.9</v>
      </c>
      <c r="C1545" s="116">
        <v>29.675000000000001</v>
      </c>
      <c r="D1545" s="116">
        <v>29.2</v>
      </c>
      <c r="E1545" s="116">
        <v>30.9</v>
      </c>
      <c r="F1545" s="116">
        <v>59.35</v>
      </c>
      <c r="G1545">
        <v>19717</v>
      </c>
      <c r="H1545" s="116"/>
      <c r="I1545" s="116"/>
      <c r="L1545" s="166">
        <v>44278</v>
      </c>
      <c r="M1545" s="116">
        <v>29.6</v>
      </c>
      <c r="N1545" s="116">
        <v>30.1</v>
      </c>
      <c r="O1545" s="116">
        <v>29.4</v>
      </c>
      <c r="P1545" s="116">
        <v>29.975000000000001</v>
      </c>
      <c r="Q1545" s="116">
        <v>59.2</v>
      </c>
      <c r="R1545">
        <v>201605</v>
      </c>
    </row>
    <row r="1546" spans="1:18" x14ac:dyDescent="0.25">
      <c r="A1546" s="166">
        <v>44279</v>
      </c>
      <c r="B1546" s="116">
        <v>31.274999999999999</v>
      </c>
      <c r="C1546" s="116">
        <v>29.95</v>
      </c>
      <c r="D1546" s="116">
        <v>28.824999999999999</v>
      </c>
      <c r="E1546" s="116">
        <v>28.824999999999999</v>
      </c>
      <c r="F1546" s="116">
        <v>59.9</v>
      </c>
      <c r="G1546">
        <v>58875</v>
      </c>
      <c r="H1546" s="116"/>
      <c r="I1546" s="116"/>
      <c r="L1546" s="166">
        <v>44279</v>
      </c>
      <c r="M1546" s="116">
        <v>29.95</v>
      </c>
      <c r="N1546" s="116">
        <v>31.35</v>
      </c>
      <c r="O1546" s="116">
        <v>29.25</v>
      </c>
      <c r="P1546" s="116">
        <v>29.725000000000001</v>
      </c>
      <c r="Q1546" s="116">
        <v>59.9</v>
      </c>
      <c r="R1546">
        <v>382854</v>
      </c>
    </row>
    <row r="1547" spans="1:18" x14ac:dyDescent="0.25">
      <c r="A1547" s="166">
        <v>44280</v>
      </c>
      <c r="B1547" s="116">
        <v>30.925000000000001</v>
      </c>
      <c r="C1547" s="116">
        <v>30.225000000000001</v>
      </c>
      <c r="D1547" s="116">
        <v>29.1</v>
      </c>
      <c r="E1547" s="116">
        <v>29.2</v>
      </c>
      <c r="F1547" s="116">
        <v>60.45</v>
      </c>
      <c r="G1547">
        <v>32006</v>
      </c>
      <c r="H1547" s="116"/>
      <c r="I1547" s="116"/>
      <c r="L1547" s="166">
        <v>44280</v>
      </c>
      <c r="M1547" s="116">
        <v>30.15</v>
      </c>
      <c r="N1547" s="116">
        <v>31</v>
      </c>
      <c r="O1547" s="116">
        <v>29.024999999999999</v>
      </c>
      <c r="P1547" s="116">
        <v>29.65</v>
      </c>
      <c r="Q1547" s="116">
        <v>60.3</v>
      </c>
      <c r="R1547">
        <v>342280</v>
      </c>
    </row>
    <row r="1548" spans="1:18" x14ac:dyDescent="0.25">
      <c r="A1548" s="166">
        <v>44281</v>
      </c>
      <c r="B1548" s="116">
        <v>32.674999999999997</v>
      </c>
      <c r="C1548" s="116">
        <v>31.95</v>
      </c>
      <c r="D1548" s="116">
        <v>30.25</v>
      </c>
      <c r="E1548" s="116">
        <v>30.574999999999999</v>
      </c>
      <c r="F1548" s="116">
        <v>63.9</v>
      </c>
      <c r="G1548">
        <v>89244</v>
      </c>
      <c r="H1548" s="116"/>
      <c r="I1548" s="116"/>
      <c r="L1548" s="166">
        <v>44281</v>
      </c>
      <c r="M1548" s="116">
        <v>31.95</v>
      </c>
      <c r="N1548" s="116">
        <v>32.700000000000003</v>
      </c>
      <c r="O1548" s="116">
        <v>30.125</v>
      </c>
      <c r="P1548" s="116">
        <v>30.125</v>
      </c>
      <c r="Q1548" s="116">
        <v>63.9</v>
      </c>
      <c r="R1548">
        <v>580939</v>
      </c>
    </row>
    <row r="1549" spans="1:18" x14ac:dyDescent="0.25">
      <c r="A1549" s="166">
        <v>44285</v>
      </c>
      <c r="B1549" s="116">
        <v>33.25</v>
      </c>
      <c r="C1549" s="116">
        <v>32.049999999999997</v>
      </c>
      <c r="D1549" s="116">
        <v>31</v>
      </c>
      <c r="E1549" s="116">
        <v>32.35</v>
      </c>
      <c r="F1549" s="116">
        <v>64.099999999999994</v>
      </c>
      <c r="G1549">
        <v>27876</v>
      </c>
      <c r="H1549" s="116"/>
      <c r="I1549" s="116"/>
      <c r="L1549" s="166">
        <v>44285</v>
      </c>
      <c r="M1549" s="116">
        <v>32.075000000000003</v>
      </c>
      <c r="N1549" s="116">
        <v>33.25</v>
      </c>
      <c r="O1549" s="116">
        <v>31.024999999999999</v>
      </c>
      <c r="P1549" s="116">
        <v>31.675000000000001</v>
      </c>
      <c r="Q1549" s="116">
        <v>64.150000000000006</v>
      </c>
      <c r="R1549">
        <v>312970</v>
      </c>
    </row>
    <row r="1550" spans="1:18" x14ac:dyDescent="0.25">
      <c r="A1550" s="166">
        <v>44286</v>
      </c>
      <c r="B1550" s="116">
        <v>32.6</v>
      </c>
      <c r="C1550" s="116">
        <v>31.675000000000001</v>
      </c>
      <c r="D1550" s="116">
        <v>31.475000000000001</v>
      </c>
      <c r="E1550" s="116">
        <v>32.1</v>
      </c>
      <c r="F1550" s="116">
        <v>63.35</v>
      </c>
      <c r="G1550">
        <v>23800</v>
      </c>
      <c r="H1550" s="116"/>
      <c r="I1550" s="116"/>
      <c r="L1550" s="166">
        <v>44286</v>
      </c>
      <c r="M1550" s="116">
        <v>31.75</v>
      </c>
      <c r="N1550" s="116">
        <v>32.625</v>
      </c>
      <c r="O1550" s="116">
        <v>31.6</v>
      </c>
      <c r="P1550" s="116">
        <v>32.375</v>
      </c>
      <c r="Q1550" s="116">
        <v>63.5</v>
      </c>
      <c r="R1550">
        <v>147915</v>
      </c>
    </row>
    <row r="1551" spans="1:18" x14ac:dyDescent="0.25">
      <c r="A1551" s="166">
        <v>44287</v>
      </c>
      <c r="B1551" s="116">
        <v>33.950000000000003</v>
      </c>
      <c r="C1551" s="116">
        <v>33.875</v>
      </c>
      <c r="D1551" s="116">
        <v>32</v>
      </c>
      <c r="E1551" s="116">
        <v>32.950000000000003</v>
      </c>
      <c r="F1551" s="116">
        <v>67.75</v>
      </c>
      <c r="G1551">
        <v>30573</v>
      </c>
      <c r="H1551" s="116"/>
      <c r="I1551" s="116"/>
      <c r="L1551" s="166">
        <v>44287</v>
      </c>
      <c r="M1551" s="116">
        <v>33.774999999999999</v>
      </c>
      <c r="N1551" s="116">
        <v>33.975000000000001</v>
      </c>
      <c r="O1551" s="116">
        <v>31.824999999999999</v>
      </c>
      <c r="P1551" s="116">
        <v>32.450000000000003</v>
      </c>
      <c r="Q1551" s="116">
        <v>67.55</v>
      </c>
      <c r="R1551">
        <v>482957</v>
      </c>
    </row>
    <row r="1552" spans="1:18" x14ac:dyDescent="0.25">
      <c r="A1552" s="166">
        <v>44291</v>
      </c>
      <c r="B1552" s="116">
        <v>34.625</v>
      </c>
      <c r="C1552" s="116">
        <v>32.725000000000001</v>
      </c>
      <c r="D1552" s="116">
        <v>32.274999999999999</v>
      </c>
      <c r="E1552" s="116">
        <v>34</v>
      </c>
      <c r="F1552" s="116">
        <v>65.45</v>
      </c>
      <c r="G1552">
        <v>51402</v>
      </c>
      <c r="H1552" s="116"/>
      <c r="I1552" s="116"/>
      <c r="L1552" s="166">
        <v>44291</v>
      </c>
      <c r="M1552" s="116">
        <v>32.75</v>
      </c>
      <c r="N1552" s="116">
        <v>34.625</v>
      </c>
      <c r="O1552" s="116">
        <v>32.15</v>
      </c>
      <c r="P1552" s="116">
        <v>33.950000000000003</v>
      </c>
      <c r="Q1552" s="116">
        <v>65.5</v>
      </c>
      <c r="R1552">
        <v>424975</v>
      </c>
    </row>
    <row r="1553" spans="1:18" x14ac:dyDescent="0.25">
      <c r="A1553" s="166">
        <v>44292</v>
      </c>
      <c r="B1553" s="116">
        <v>33.65</v>
      </c>
      <c r="C1553" s="116">
        <v>32.875</v>
      </c>
      <c r="D1553" s="116">
        <v>32.549999999999997</v>
      </c>
      <c r="E1553" s="116">
        <v>33</v>
      </c>
      <c r="F1553" s="116">
        <v>65.75</v>
      </c>
      <c r="G1553">
        <v>24192</v>
      </c>
      <c r="H1553" s="116"/>
      <c r="I1553" s="116"/>
      <c r="L1553" s="166">
        <v>44292</v>
      </c>
      <c r="M1553" s="116">
        <v>32.75</v>
      </c>
      <c r="N1553" s="116">
        <v>33.75</v>
      </c>
      <c r="O1553" s="116">
        <v>32.6</v>
      </c>
      <c r="P1553" s="116">
        <v>33</v>
      </c>
      <c r="Q1553" s="116">
        <v>65.5</v>
      </c>
      <c r="R1553">
        <v>170282</v>
      </c>
    </row>
    <row r="1554" spans="1:18" x14ac:dyDescent="0.25">
      <c r="A1554" s="166">
        <v>44293</v>
      </c>
      <c r="B1554" s="116">
        <v>34.575000000000003</v>
      </c>
      <c r="C1554" s="116">
        <v>33.774999999999999</v>
      </c>
      <c r="D1554" s="116">
        <v>33</v>
      </c>
      <c r="E1554" s="116">
        <v>33</v>
      </c>
      <c r="F1554" s="116">
        <v>67.55</v>
      </c>
      <c r="G1554">
        <v>84454</v>
      </c>
      <c r="H1554" s="116"/>
      <c r="I1554" s="116"/>
      <c r="L1554" s="166">
        <v>44293</v>
      </c>
      <c r="M1554" s="116">
        <v>33.9</v>
      </c>
      <c r="N1554" s="116">
        <v>34.6</v>
      </c>
      <c r="O1554" s="116">
        <v>33</v>
      </c>
      <c r="P1554" s="116">
        <v>33</v>
      </c>
      <c r="Q1554" s="116">
        <v>67.8</v>
      </c>
      <c r="R1554">
        <v>320390</v>
      </c>
    </row>
    <row r="1555" spans="1:18" x14ac:dyDescent="0.25">
      <c r="A1555" s="166">
        <v>44294</v>
      </c>
      <c r="B1555" s="116">
        <v>35.5</v>
      </c>
      <c r="C1555" s="116">
        <v>34.475000000000001</v>
      </c>
      <c r="D1555" s="116">
        <v>34.4</v>
      </c>
      <c r="E1555" s="116">
        <v>34.450000000000003</v>
      </c>
      <c r="F1555" s="116">
        <v>68.95</v>
      </c>
      <c r="G1555">
        <v>59663</v>
      </c>
      <c r="H1555" s="116"/>
      <c r="I1555" s="116"/>
      <c r="L1555" s="166">
        <v>44294</v>
      </c>
      <c r="M1555" s="116">
        <v>34.475000000000001</v>
      </c>
      <c r="N1555" s="116">
        <v>35.549999999999997</v>
      </c>
      <c r="O1555" s="116">
        <v>34.299999999999997</v>
      </c>
      <c r="P1555" s="116">
        <v>34.299999999999997</v>
      </c>
      <c r="Q1555" s="116">
        <v>68.95</v>
      </c>
      <c r="R1555">
        <v>553681</v>
      </c>
    </row>
    <row r="1556" spans="1:18" x14ac:dyDescent="0.25">
      <c r="A1556" s="166">
        <v>44295</v>
      </c>
      <c r="B1556" s="116">
        <v>36</v>
      </c>
      <c r="C1556" s="116">
        <v>35.549999999999997</v>
      </c>
      <c r="D1556" s="116">
        <v>34.25</v>
      </c>
      <c r="E1556" s="116">
        <v>35</v>
      </c>
      <c r="F1556" s="116">
        <v>71.099999999999994</v>
      </c>
      <c r="G1556">
        <v>92252</v>
      </c>
      <c r="H1556" s="116"/>
      <c r="I1556" s="116"/>
      <c r="L1556" s="166">
        <v>44295</v>
      </c>
      <c r="M1556" s="116">
        <v>35.625</v>
      </c>
      <c r="N1556" s="116">
        <v>35.875</v>
      </c>
      <c r="O1556" s="116">
        <v>34.049999999999997</v>
      </c>
      <c r="P1556" s="116">
        <v>34.424999999999997</v>
      </c>
      <c r="Q1556" s="116">
        <v>71.25</v>
      </c>
      <c r="R1556">
        <v>462464</v>
      </c>
    </row>
    <row r="1557" spans="1:18" x14ac:dyDescent="0.25">
      <c r="A1557" s="166">
        <v>44298</v>
      </c>
      <c r="B1557" s="116">
        <v>35.450000000000003</v>
      </c>
      <c r="C1557" s="116">
        <v>31.475000000000001</v>
      </c>
      <c r="D1557" s="116">
        <v>31</v>
      </c>
      <c r="E1557" s="116">
        <v>35.450000000000003</v>
      </c>
      <c r="F1557" s="116">
        <v>62.95</v>
      </c>
      <c r="G1557">
        <v>67542</v>
      </c>
      <c r="H1557" s="116"/>
      <c r="I1557" s="116"/>
      <c r="L1557" s="166">
        <v>44298</v>
      </c>
      <c r="M1557" s="116">
        <v>31.5</v>
      </c>
      <c r="N1557" s="116">
        <v>35</v>
      </c>
      <c r="O1557" s="116">
        <v>31</v>
      </c>
      <c r="P1557" s="116">
        <v>35</v>
      </c>
      <c r="Q1557" s="116">
        <v>63</v>
      </c>
      <c r="R1557">
        <v>495395</v>
      </c>
    </row>
    <row r="1558" spans="1:18" x14ac:dyDescent="0.25">
      <c r="A1558" s="166">
        <v>44299</v>
      </c>
      <c r="B1558" s="116">
        <v>33.5</v>
      </c>
      <c r="C1558" s="116">
        <v>32.274999999999999</v>
      </c>
      <c r="D1558" s="116">
        <v>31.524999999999999</v>
      </c>
      <c r="E1558" s="116">
        <v>32</v>
      </c>
      <c r="F1558" s="116">
        <v>64.55</v>
      </c>
      <c r="G1558">
        <v>33573</v>
      </c>
      <c r="H1558" s="116"/>
      <c r="I1558" s="116"/>
      <c r="L1558" s="166">
        <v>44299</v>
      </c>
      <c r="M1558" s="116">
        <v>32.35</v>
      </c>
      <c r="N1558" s="116">
        <v>33.049999999999997</v>
      </c>
      <c r="O1558" s="116">
        <v>31.55</v>
      </c>
      <c r="P1558" s="116">
        <v>31.55</v>
      </c>
      <c r="Q1558" s="116">
        <v>64.7</v>
      </c>
      <c r="R1558">
        <v>210845</v>
      </c>
    </row>
    <row r="1559" spans="1:18" x14ac:dyDescent="0.25">
      <c r="A1559" s="166">
        <v>44301</v>
      </c>
      <c r="B1559" s="116">
        <v>32.950000000000003</v>
      </c>
      <c r="C1559" s="116">
        <v>32.024999999999999</v>
      </c>
      <c r="D1559" s="116">
        <v>31.375</v>
      </c>
      <c r="E1559" s="116">
        <v>32.950000000000003</v>
      </c>
      <c r="F1559" s="116">
        <v>64.05</v>
      </c>
      <c r="G1559">
        <v>21162</v>
      </c>
      <c r="H1559" s="116"/>
      <c r="I1559" s="116"/>
      <c r="L1559" s="166">
        <v>44301</v>
      </c>
      <c r="M1559" s="116">
        <v>31.95</v>
      </c>
      <c r="N1559" s="116">
        <v>33.424999999999997</v>
      </c>
      <c r="O1559" s="116">
        <v>31.425000000000001</v>
      </c>
      <c r="P1559" s="116">
        <v>33.424999999999997</v>
      </c>
      <c r="Q1559" s="116">
        <v>63.9</v>
      </c>
      <c r="R1559">
        <v>297953</v>
      </c>
    </row>
    <row r="1560" spans="1:18" x14ac:dyDescent="0.25">
      <c r="A1560" s="166">
        <v>44302</v>
      </c>
      <c r="B1560" s="116">
        <v>34.5</v>
      </c>
      <c r="C1560" s="116">
        <v>31.85</v>
      </c>
      <c r="D1560" s="116">
        <v>31.625</v>
      </c>
      <c r="E1560" s="116">
        <v>34.5</v>
      </c>
      <c r="F1560" s="116">
        <v>63.7</v>
      </c>
      <c r="G1560">
        <v>18036</v>
      </c>
      <c r="H1560" s="116"/>
      <c r="I1560" s="116"/>
      <c r="L1560" s="166">
        <v>44302</v>
      </c>
      <c r="M1560" s="116">
        <v>31.85</v>
      </c>
      <c r="N1560" s="116">
        <v>32.625</v>
      </c>
      <c r="O1560" s="116">
        <v>31.55</v>
      </c>
      <c r="P1560" s="116">
        <v>32.575000000000003</v>
      </c>
      <c r="Q1560" s="116">
        <v>63.7</v>
      </c>
      <c r="R1560">
        <v>196980</v>
      </c>
    </row>
    <row r="1561" spans="1:18" x14ac:dyDescent="0.25">
      <c r="A1561" s="166">
        <v>44305</v>
      </c>
      <c r="B1561" s="116">
        <v>35.174999999999997</v>
      </c>
      <c r="C1561" s="116">
        <v>34.799999999999997</v>
      </c>
      <c r="D1561" s="116">
        <v>30.725000000000001</v>
      </c>
      <c r="E1561" s="116">
        <v>32</v>
      </c>
      <c r="F1561" s="116">
        <v>69.599999999999994</v>
      </c>
      <c r="G1561">
        <v>117969</v>
      </c>
      <c r="H1561" s="116"/>
      <c r="I1561" s="116"/>
      <c r="L1561" s="166">
        <v>44305</v>
      </c>
      <c r="M1561" s="116">
        <v>34.825000000000003</v>
      </c>
      <c r="N1561" s="116">
        <v>35.200000000000003</v>
      </c>
      <c r="O1561" s="116">
        <v>30.75</v>
      </c>
      <c r="P1561" s="116">
        <v>30.774999999999999</v>
      </c>
      <c r="Q1561" s="116">
        <v>69.650000000000006</v>
      </c>
      <c r="R1561">
        <v>959358</v>
      </c>
    </row>
    <row r="1562" spans="1:18" x14ac:dyDescent="0.25">
      <c r="A1562" s="166">
        <v>44306</v>
      </c>
      <c r="B1562" s="116">
        <v>38.9</v>
      </c>
      <c r="C1562" s="116">
        <v>37.700000000000003</v>
      </c>
      <c r="D1562" s="116">
        <v>35.1</v>
      </c>
      <c r="E1562" s="116">
        <v>35.1</v>
      </c>
      <c r="F1562" s="116">
        <v>75.400000000000006</v>
      </c>
      <c r="G1562">
        <v>214255</v>
      </c>
      <c r="H1562" s="116"/>
      <c r="I1562" s="116"/>
      <c r="L1562" s="166">
        <v>44306</v>
      </c>
      <c r="M1562" s="116">
        <v>37.625</v>
      </c>
      <c r="N1562" s="116">
        <v>38.950000000000003</v>
      </c>
      <c r="O1562" s="116">
        <v>35.15</v>
      </c>
      <c r="P1562" s="116">
        <v>35.15</v>
      </c>
      <c r="Q1562" s="116">
        <v>75.25</v>
      </c>
      <c r="R1562">
        <v>2108482</v>
      </c>
    </row>
    <row r="1563" spans="1:18" x14ac:dyDescent="0.25">
      <c r="A1563" s="166">
        <v>44308</v>
      </c>
      <c r="B1563" s="116">
        <v>41.375</v>
      </c>
      <c r="C1563" s="116">
        <v>40.700000000000003</v>
      </c>
      <c r="D1563" s="116">
        <v>37.700000000000003</v>
      </c>
      <c r="E1563" s="116">
        <v>37.700000000000003</v>
      </c>
      <c r="F1563" s="116">
        <v>81.400000000000006</v>
      </c>
      <c r="G1563">
        <v>206416</v>
      </c>
      <c r="H1563" s="116"/>
      <c r="I1563" s="116"/>
      <c r="L1563" s="166">
        <v>44308</v>
      </c>
      <c r="M1563" s="116">
        <v>40.75</v>
      </c>
      <c r="N1563" s="116">
        <v>41.375</v>
      </c>
      <c r="O1563" s="116">
        <v>37.725000000000001</v>
      </c>
      <c r="P1563" s="116">
        <v>38.1</v>
      </c>
      <c r="Q1563" s="116">
        <v>81.5</v>
      </c>
      <c r="R1563">
        <v>1361508</v>
      </c>
    </row>
    <row r="1564" spans="1:18" x14ac:dyDescent="0.25">
      <c r="A1564" s="166">
        <v>44309</v>
      </c>
      <c r="B1564" s="116">
        <v>42.45</v>
      </c>
      <c r="C1564" s="116">
        <v>41.9</v>
      </c>
      <c r="D1564" s="116">
        <v>39.924999999999997</v>
      </c>
      <c r="E1564" s="116">
        <v>41.7</v>
      </c>
      <c r="F1564" s="116">
        <v>83.8</v>
      </c>
      <c r="G1564">
        <v>123487</v>
      </c>
      <c r="H1564" s="116"/>
      <c r="I1564" s="116"/>
      <c r="L1564" s="166">
        <v>44309</v>
      </c>
      <c r="M1564" s="116">
        <v>41.975000000000001</v>
      </c>
      <c r="N1564" s="116">
        <v>42.5</v>
      </c>
      <c r="O1564" s="116">
        <v>39.774999999999999</v>
      </c>
      <c r="P1564" s="116">
        <v>41.5</v>
      </c>
      <c r="Q1564" s="116">
        <v>83.95</v>
      </c>
      <c r="R1564">
        <v>1078932</v>
      </c>
    </row>
    <row r="1565" spans="1:18" x14ac:dyDescent="0.25">
      <c r="A1565" s="166">
        <v>44312</v>
      </c>
      <c r="B1565" s="116">
        <v>43.674999999999997</v>
      </c>
      <c r="C1565" s="116">
        <v>40.950000000000003</v>
      </c>
      <c r="D1565" s="116">
        <v>40.125</v>
      </c>
      <c r="E1565" s="116">
        <v>42.5</v>
      </c>
      <c r="F1565" s="116">
        <v>81.900000000000006</v>
      </c>
      <c r="G1565">
        <v>85303</v>
      </c>
      <c r="H1565" s="116"/>
      <c r="I1565" s="116"/>
      <c r="L1565" s="166">
        <v>44312</v>
      </c>
      <c r="M1565" s="116">
        <v>41.024999999999999</v>
      </c>
      <c r="N1565" s="116">
        <v>43.725000000000001</v>
      </c>
      <c r="O1565" s="116">
        <v>40.125</v>
      </c>
      <c r="P1565" s="116">
        <v>42.975000000000001</v>
      </c>
      <c r="Q1565" s="116">
        <v>82.05</v>
      </c>
      <c r="R1565">
        <v>695799</v>
      </c>
    </row>
    <row r="1566" spans="1:18" x14ac:dyDescent="0.25">
      <c r="A1566" s="166">
        <v>44313</v>
      </c>
      <c r="B1566" s="116">
        <v>42.45</v>
      </c>
      <c r="C1566" s="116">
        <v>41.15</v>
      </c>
      <c r="D1566" s="116">
        <v>38.950000000000003</v>
      </c>
      <c r="E1566" s="116">
        <v>41</v>
      </c>
      <c r="F1566" s="116">
        <v>82.3</v>
      </c>
      <c r="G1566">
        <v>103439</v>
      </c>
      <c r="H1566" s="116"/>
      <c r="I1566" s="116"/>
      <c r="L1566" s="166">
        <v>44313</v>
      </c>
      <c r="M1566" s="116">
        <v>41.25</v>
      </c>
      <c r="N1566" s="116">
        <v>42.45</v>
      </c>
      <c r="O1566" s="116">
        <v>38.924999999999997</v>
      </c>
      <c r="P1566" s="116">
        <v>40.950000000000003</v>
      </c>
      <c r="Q1566" s="116">
        <v>82.5</v>
      </c>
      <c r="R1566">
        <v>858888</v>
      </c>
    </row>
    <row r="1567" spans="1:18" x14ac:dyDescent="0.25">
      <c r="A1567" s="166">
        <v>44314</v>
      </c>
      <c r="B1567" s="116">
        <v>49.375</v>
      </c>
      <c r="C1567" s="116">
        <v>48.524999999999999</v>
      </c>
      <c r="D1567" s="116">
        <v>40.6</v>
      </c>
      <c r="E1567" s="116">
        <v>40.950000000000003</v>
      </c>
      <c r="F1567" s="116">
        <v>97.05</v>
      </c>
      <c r="G1567">
        <v>385635</v>
      </c>
      <c r="H1567" s="116"/>
      <c r="I1567" s="116"/>
      <c r="L1567" s="166">
        <v>44314</v>
      </c>
      <c r="M1567" s="116">
        <v>48.3</v>
      </c>
      <c r="N1567" s="116">
        <v>49</v>
      </c>
      <c r="O1567" s="116">
        <v>40.549999999999997</v>
      </c>
      <c r="P1567" s="116">
        <v>41.45</v>
      </c>
      <c r="Q1567" s="116">
        <v>96.6</v>
      </c>
      <c r="R1567">
        <v>3558744</v>
      </c>
    </row>
    <row r="1568" spans="1:18" x14ac:dyDescent="0.25">
      <c r="A1568" s="166">
        <v>44315</v>
      </c>
      <c r="B1568" s="116">
        <v>48.524999999999999</v>
      </c>
      <c r="C1568" s="116">
        <v>45.674999999999997</v>
      </c>
      <c r="D1568" s="116">
        <v>45</v>
      </c>
      <c r="E1568" s="116">
        <v>48.3</v>
      </c>
      <c r="F1568" s="116">
        <v>91.35</v>
      </c>
      <c r="G1568">
        <v>192199</v>
      </c>
      <c r="H1568" s="116"/>
      <c r="I1568" s="116"/>
      <c r="L1568" s="166">
        <v>44315</v>
      </c>
      <c r="M1568" s="116">
        <v>45.75</v>
      </c>
      <c r="N1568" s="116">
        <v>48.75</v>
      </c>
      <c r="O1568" s="116">
        <v>45.325000000000003</v>
      </c>
      <c r="P1568" s="116">
        <v>48.725000000000001</v>
      </c>
      <c r="Q1568" s="116">
        <v>91.5</v>
      </c>
      <c r="R1568">
        <v>1265719</v>
      </c>
    </row>
    <row r="1569" spans="1:18" x14ac:dyDescent="0.25">
      <c r="A1569" s="166">
        <v>44316</v>
      </c>
      <c r="B1569" s="116">
        <v>48.45</v>
      </c>
      <c r="C1569" s="116">
        <v>45.95</v>
      </c>
      <c r="D1569" s="116">
        <v>44.2</v>
      </c>
      <c r="E1569" s="116">
        <v>46</v>
      </c>
      <c r="F1569" s="116">
        <v>91.9</v>
      </c>
      <c r="G1569">
        <v>86393</v>
      </c>
      <c r="H1569" s="116"/>
      <c r="I1569" s="116"/>
      <c r="L1569" s="166">
        <v>44316</v>
      </c>
      <c r="M1569" s="116">
        <v>45.924999999999997</v>
      </c>
      <c r="N1569" s="116">
        <v>48.475000000000001</v>
      </c>
      <c r="O1569" s="116">
        <v>44.325000000000003</v>
      </c>
      <c r="P1569" s="116">
        <v>45.5</v>
      </c>
      <c r="Q1569" s="116">
        <v>91.85</v>
      </c>
      <c r="R1569">
        <v>690710</v>
      </c>
    </row>
    <row r="1570" spans="1:18" x14ac:dyDescent="0.25">
      <c r="A1570" s="166">
        <v>44319</v>
      </c>
      <c r="B1570" s="116">
        <v>49.5</v>
      </c>
      <c r="C1570" s="116">
        <v>48.35</v>
      </c>
      <c r="D1570" s="116">
        <v>46</v>
      </c>
      <c r="E1570" s="116">
        <v>46</v>
      </c>
      <c r="F1570" s="116">
        <v>96.7</v>
      </c>
      <c r="G1570">
        <v>109351</v>
      </c>
      <c r="H1570" s="116"/>
      <c r="I1570" s="116"/>
      <c r="L1570" s="166">
        <v>44319</v>
      </c>
      <c r="M1570" s="116">
        <v>48.424999999999997</v>
      </c>
      <c r="N1570" s="116">
        <v>49.55</v>
      </c>
      <c r="O1570" s="116">
        <v>45.924999999999997</v>
      </c>
      <c r="P1570" s="116">
        <v>46.25</v>
      </c>
      <c r="Q1570" s="116">
        <v>96.85</v>
      </c>
      <c r="R1570">
        <v>920944</v>
      </c>
    </row>
    <row r="1571" spans="1:18" x14ac:dyDescent="0.25">
      <c r="A1571" s="166">
        <v>44320</v>
      </c>
      <c r="B1571" s="116">
        <v>49.05</v>
      </c>
      <c r="C1571" s="116">
        <v>44.975000000000001</v>
      </c>
      <c r="D1571" s="116">
        <v>44.375</v>
      </c>
      <c r="E1571" s="116">
        <v>49.05</v>
      </c>
      <c r="F1571" s="116">
        <v>89.95</v>
      </c>
      <c r="G1571">
        <v>81989</v>
      </c>
      <c r="H1571" s="116"/>
      <c r="I1571" s="116"/>
      <c r="L1571" s="166">
        <v>44320</v>
      </c>
      <c r="M1571" s="116">
        <v>45.075000000000003</v>
      </c>
      <c r="N1571" s="116">
        <v>49.174999999999997</v>
      </c>
      <c r="O1571" s="116">
        <v>44.25</v>
      </c>
      <c r="P1571" s="116">
        <v>48.7</v>
      </c>
      <c r="Q1571" s="116">
        <v>90.15</v>
      </c>
      <c r="R1571">
        <v>716056</v>
      </c>
    </row>
    <row r="1572" spans="1:18" x14ac:dyDescent="0.25">
      <c r="A1572" s="166">
        <v>44321</v>
      </c>
      <c r="B1572" s="116">
        <v>47.625</v>
      </c>
      <c r="C1572" s="116">
        <v>46.975000000000001</v>
      </c>
      <c r="D1572" s="116">
        <v>44.45</v>
      </c>
      <c r="E1572" s="116">
        <v>45.5</v>
      </c>
      <c r="F1572" s="116">
        <v>93.95</v>
      </c>
      <c r="G1572">
        <v>95553</v>
      </c>
      <c r="H1572" s="116"/>
      <c r="I1572" s="116"/>
      <c r="L1572" s="166">
        <v>44321</v>
      </c>
      <c r="M1572" s="116">
        <v>46.975000000000001</v>
      </c>
      <c r="N1572" s="116">
        <v>47.7</v>
      </c>
      <c r="O1572" s="116">
        <v>44.375</v>
      </c>
      <c r="P1572" s="116">
        <v>45.125</v>
      </c>
      <c r="Q1572" s="116">
        <v>93.95</v>
      </c>
      <c r="R1572">
        <v>844797</v>
      </c>
    </row>
    <row r="1573" spans="1:18" x14ac:dyDescent="0.25">
      <c r="A1573" s="166">
        <v>44322</v>
      </c>
      <c r="B1573" s="116">
        <v>47.5</v>
      </c>
      <c r="C1573" s="116">
        <v>45.95</v>
      </c>
      <c r="D1573" s="116">
        <v>45.424999999999997</v>
      </c>
      <c r="E1573" s="116">
        <v>46.7</v>
      </c>
      <c r="F1573" s="116">
        <v>91.9</v>
      </c>
      <c r="G1573">
        <v>44653</v>
      </c>
      <c r="H1573" s="116"/>
      <c r="I1573" s="116"/>
      <c r="L1573" s="166">
        <v>44322</v>
      </c>
      <c r="M1573" s="116">
        <v>46</v>
      </c>
      <c r="N1573" s="116">
        <v>47.4</v>
      </c>
      <c r="O1573" s="116">
        <v>45.524999999999999</v>
      </c>
      <c r="P1573" s="116">
        <v>47.4</v>
      </c>
      <c r="Q1573" s="116">
        <v>92</v>
      </c>
      <c r="R1573">
        <v>327310</v>
      </c>
    </row>
    <row r="1574" spans="1:18" x14ac:dyDescent="0.25">
      <c r="A1574" s="166">
        <v>44323</v>
      </c>
      <c r="B1574" s="116">
        <v>46.774999999999999</v>
      </c>
      <c r="C1574" s="116">
        <v>45.625</v>
      </c>
      <c r="D1574" s="116">
        <v>45.05</v>
      </c>
      <c r="E1574" s="116">
        <v>46.3</v>
      </c>
      <c r="F1574" s="116">
        <v>91.25</v>
      </c>
      <c r="G1574">
        <v>39835</v>
      </c>
      <c r="H1574" s="116"/>
      <c r="I1574" s="116"/>
      <c r="L1574" s="166">
        <v>44323</v>
      </c>
      <c r="M1574" s="116">
        <v>45.65</v>
      </c>
      <c r="N1574" s="116">
        <v>46.774999999999999</v>
      </c>
      <c r="O1574" s="116">
        <v>45.25</v>
      </c>
      <c r="P1574" s="116">
        <v>46.25</v>
      </c>
      <c r="Q1574" s="116">
        <v>91.3</v>
      </c>
      <c r="R1574">
        <v>386130</v>
      </c>
    </row>
    <row r="1575" spans="1:18" x14ac:dyDescent="0.25">
      <c r="A1575" s="166">
        <v>44326</v>
      </c>
      <c r="B1575" s="116">
        <v>46.25</v>
      </c>
      <c r="C1575" s="116">
        <v>45.65</v>
      </c>
      <c r="D1575" s="116">
        <v>45.5</v>
      </c>
      <c r="E1575" s="116">
        <v>46</v>
      </c>
      <c r="F1575" s="116">
        <v>91.3</v>
      </c>
      <c r="G1575">
        <v>29580</v>
      </c>
      <c r="H1575" s="116"/>
      <c r="I1575" s="116"/>
      <c r="L1575" s="166">
        <v>44326</v>
      </c>
      <c r="M1575" s="116">
        <v>45.725000000000001</v>
      </c>
      <c r="N1575" s="116">
        <v>46.5</v>
      </c>
      <c r="O1575" s="116">
        <v>45.524999999999999</v>
      </c>
      <c r="P1575" s="116">
        <v>46.5</v>
      </c>
      <c r="Q1575" s="116">
        <v>91.45</v>
      </c>
      <c r="R1575">
        <v>205527</v>
      </c>
    </row>
    <row r="1576" spans="1:18" x14ac:dyDescent="0.25">
      <c r="A1576" s="166">
        <v>44327</v>
      </c>
      <c r="B1576" s="116">
        <v>45.825000000000003</v>
      </c>
      <c r="C1576" s="116">
        <v>45.4</v>
      </c>
      <c r="D1576" s="116">
        <v>44.6</v>
      </c>
      <c r="E1576" s="116">
        <v>45.55</v>
      </c>
      <c r="F1576" s="116">
        <v>90.8</v>
      </c>
      <c r="G1576">
        <v>24603</v>
      </c>
      <c r="H1576" s="116"/>
      <c r="I1576" s="116"/>
      <c r="L1576" s="166">
        <v>44327</v>
      </c>
      <c r="M1576" s="116">
        <v>45.2</v>
      </c>
      <c r="N1576" s="116">
        <v>45.825000000000003</v>
      </c>
      <c r="O1576" s="116">
        <v>44.55</v>
      </c>
      <c r="P1576" s="116">
        <v>45.5</v>
      </c>
      <c r="Q1576" s="116">
        <v>90.4</v>
      </c>
      <c r="R1576">
        <v>279099</v>
      </c>
    </row>
    <row r="1577" spans="1:18" x14ac:dyDescent="0.25">
      <c r="A1577" s="166">
        <v>44328</v>
      </c>
      <c r="B1577" s="116">
        <v>45.8</v>
      </c>
      <c r="C1577" s="116">
        <v>43.95</v>
      </c>
      <c r="D1577" s="116">
        <v>43.625</v>
      </c>
      <c r="E1577" s="116">
        <v>45.5</v>
      </c>
      <c r="F1577" s="116">
        <v>87.9</v>
      </c>
      <c r="G1577">
        <v>60684</v>
      </c>
      <c r="H1577" s="116"/>
      <c r="I1577" s="116"/>
      <c r="L1577" s="166">
        <v>44328</v>
      </c>
      <c r="M1577" s="116">
        <v>43.924999999999997</v>
      </c>
      <c r="N1577" s="116">
        <v>45.825000000000003</v>
      </c>
      <c r="O1577" s="116">
        <v>43.55</v>
      </c>
      <c r="P1577" s="116">
        <v>45.4</v>
      </c>
      <c r="Q1577" s="116">
        <v>87.85</v>
      </c>
      <c r="R1577">
        <v>293959</v>
      </c>
    </row>
    <row r="1578" spans="1:18" x14ac:dyDescent="0.25">
      <c r="A1578" s="166">
        <v>44330</v>
      </c>
      <c r="B1578" s="116">
        <v>44.625</v>
      </c>
      <c r="C1578" s="116">
        <v>42.625</v>
      </c>
      <c r="D1578" s="116">
        <v>41.9</v>
      </c>
      <c r="E1578" s="116">
        <v>43.95</v>
      </c>
      <c r="F1578" s="116">
        <v>85.25</v>
      </c>
      <c r="G1578">
        <v>41090</v>
      </c>
      <c r="H1578" s="116"/>
      <c r="I1578" s="116"/>
      <c r="L1578" s="166">
        <v>44330</v>
      </c>
      <c r="M1578" s="116">
        <v>42.625</v>
      </c>
      <c r="N1578" s="116">
        <v>44.85</v>
      </c>
      <c r="O1578" s="116">
        <v>42.174999999999997</v>
      </c>
      <c r="P1578" s="116">
        <v>44.125</v>
      </c>
      <c r="Q1578" s="116">
        <v>85.25</v>
      </c>
      <c r="R1578">
        <v>207393</v>
      </c>
    </row>
    <row r="1579" spans="1:18" x14ac:dyDescent="0.25">
      <c r="A1579" s="166">
        <v>44333</v>
      </c>
      <c r="B1579" s="116">
        <v>46.2</v>
      </c>
      <c r="C1579" s="116">
        <v>45.924999999999997</v>
      </c>
      <c r="D1579" s="116">
        <v>42.625</v>
      </c>
      <c r="E1579" s="116">
        <v>42.75</v>
      </c>
      <c r="F1579" s="116">
        <v>91.85</v>
      </c>
      <c r="G1579">
        <v>53205</v>
      </c>
      <c r="H1579" s="116"/>
      <c r="I1579" s="116"/>
      <c r="L1579" s="166">
        <v>44333</v>
      </c>
      <c r="M1579" s="116">
        <v>45.924999999999997</v>
      </c>
      <c r="N1579" s="116">
        <v>46.274999999999999</v>
      </c>
      <c r="O1579" s="116">
        <v>42.274999999999999</v>
      </c>
      <c r="P1579" s="116">
        <v>42.274999999999999</v>
      </c>
      <c r="Q1579" s="116">
        <v>91.85</v>
      </c>
      <c r="R1579">
        <v>521217</v>
      </c>
    </row>
    <row r="1580" spans="1:18" x14ac:dyDescent="0.25">
      <c r="A1580" s="166">
        <v>44334</v>
      </c>
      <c r="B1580" s="116">
        <v>46.825000000000003</v>
      </c>
      <c r="C1580" s="116">
        <v>45.375</v>
      </c>
      <c r="D1580" s="116">
        <v>45</v>
      </c>
      <c r="E1580" s="116">
        <v>46.024999999999999</v>
      </c>
      <c r="F1580" s="116">
        <v>90.75</v>
      </c>
      <c r="G1580">
        <v>56141</v>
      </c>
      <c r="H1580" s="116"/>
      <c r="I1580" s="116"/>
      <c r="L1580" s="166">
        <v>44334</v>
      </c>
      <c r="M1580" s="116">
        <v>45.325000000000003</v>
      </c>
      <c r="N1580" s="116">
        <v>46.85</v>
      </c>
      <c r="O1580" s="116">
        <v>45.05</v>
      </c>
      <c r="P1580" s="116">
        <v>46.8</v>
      </c>
      <c r="Q1580" s="116">
        <v>90.65</v>
      </c>
      <c r="R1580">
        <v>281695</v>
      </c>
    </row>
    <row r="1581" spans="1:18" x14ac:dyDescent="0.25">
      <c r="A1581" s="166">
        <v>44335</v>
      </c>
      <c r="B1581" s="116">
        <v>45.625</v>
      </c>
      <c r="C1581" s="116">
        <v>44.024999999999999</v>
      </c>
      <c r="D1581" s="116">
        <v>43</v>
      </c>
      <c r="E1581" s="116">
        <v>45</v>
      </c>
      <c r="F1581" s="116">
        <v>88.05</v>
      </c>
      <c r="G1581">
        <v>49378</v>
      </c>
      <c r="H1581" s="116"/>
      <c r="I1581" s="116"/>
      <c r="L1581" s="166">
        <v>44335</v>
      </c>
      <c r="M1581" s="116">
        <v>44.075000000000003</v>
      </c>
      <c r="N1581" s="116">
        <v>45.674999999999997</v>
      </c>
      <c r="O1581" s="116">
        <v>43.4</v>
      </c>
      <c r="P1581" s="116">
        <v>45.5</v>
      </c>
      <c r="Q1581" s="116">
        <v>88.15</v>
      </c>
      <c r="R1581">
        <v>415620</v>
      </c>
    </row>
    <row r="1582" spans="1:18" x14ac:dyDescent="0.25">
      <c r="A1582" s="166">
        <v>44336</v>
      </c>
      <c r="B1582" s="116">
        <v>47.25</v>
      </c>
      <c r="C1582" s="116">
        <v>45.65</v>
      </c>
      <c r="D1582" s="116">
        <v>44</v>
      </c>
      <c r="E1582" s="116">
        <v>44</v>
      </c>
      <c r="F1582" s="116">
        <v>91.3</v>
      </c>
      <c r="G1582">
        <v>82357</v>
      </c>
      <c r="H1582" s="116"/>
      <c r="I1582" s="116"/>
      <c r="L1582" s="166">
        <v>44336</v>
      </c>
      <c r="M1582" s="116">
        <v>45.65</v>
      </c>
      <c r="N1582" s="116">
        <v>47.35</v>
      </c>
      <c r="O1582" s="116">
        <v>44.075000000000003</v>
      </c>
      <c r="P1582" s="116">
        <v>44.075000000000003</v>
      </c>
      <c r="Q1582" s="116">
        <v>91.3</v>
      </c>
      <c r="R1582">
        <v>781837</v>
      </c>
    </row>
    <row r="1583" spans="1:18" x14ac:dyDescent="0.25">
      <c r="A1583" s="166">
        <v>44337</v>
      </c>
      <c r="B1583" s="116">
        <v>46</v>
      </c>
      <c r="C1583" s="116">
        <v>44.7</v>
      </c>
      <c r="D1583" s="116">
        <v>44.5</v>
      </c>
      <c r="E1583" s="116">
        <v>45.975000000000001</v>
      </c>
      <c r="F1583" s="116">
        <v>89.4</v>
      </c>
      <c r="G1583">
        <v>30678</v>
      </c>
      <c r="H1583" s="116"/>
      <c r="I1583" s="116"/>
      <c r="L1583" s="166">
        <v>44337</v>
      </c>
      <c r="M1583" s="116">
        <v>44.7</v>
      </c>
      <c r="N1583" s="116">
        <v>46.2</v>
      </c>
      <c r="O1583" s="116">
        <v>44.5</v>
      </c>
      <c r="P1583" s="116">
        <v>45.975000000000001</v>
      </c>
      <c r="Q1583" s="116">
        <v>89.4</v>
      </c>
      <c r="R1583">
        <v>249194</v>
      </c>
    </row>
    <row r="1584" spans="1:18" x14ac:dyDescent="0.25">
      <c r="A1584" s="166">
        <v>44340</v>
      </c>
      <c r="B1584" s="116">
        <v>51.5</v>
      </c>
      <c r="C1584" s="116">
        <v>50.375</v>
      </c>
      <c r="D1584" s="116">
        <v>45.05</v>
      </c>
      <c r="E1584" s="116">
        <v>46.5</v>
      </c>
      <c r="F1584" s="116">
        <v>100.75</v>
      </c>
      <c r="G1584">
        <v>178714</v>
      </c>
      <c r="H1584" s="116"/>
      <c r="I1584" s="116"/>
      <c r="L1584" s="166">
        <v>44340</v>
      </c>
      <c r="M1584" s="116">
        <v>50.3</v>
      </c>
      <c r="N1584" s="116">
        <v>51.5</v>
      </c>
      <c r="O1584" s="116">
        <v>45</v>
      </c>
      <c r="P1584" s="116">
        <v>45.1</v>
      </c>
      <c r="Q1584" s="116">
        <v>100.6</v>
      </c>
      <c r="R1584">
        <v>3398176</v>
      </c>
    </row>
    <row r="1585" spans="1:18" x14ac:dyDescent="0.25">
      <c r="A1585" s="166">
        <v>44341</v>
      </c>
      <c r="B1585" s="116">
        <v>54.125</v>
      </c>
      <c r="C1585" s="116">
        <v>53.1</v>
      </c>
      <c r="D1585" s="116">
        <v>49.75</v>
      </c>
      <c r="E1585" s="116">
        <v>50.8</v>
      </c>
      <c r="F1585" s="116">
        <v>106.2</v>
      </c>
      <c r="G1585">
        <v>419753</v>
      </c>
      <c r="H1585" s="116"/>
      <c r="I1585" s="116"/>
      <c r="L1585" s="166">
        <v>44341</v>
      </c>
      <c r="M1585" s="116">
        <v>53</v>
      </c>
      <c r="N1585" s="116">
        <v>54.125</v>
      </c>
      <c r="O1585" s="116">
        <v>49.75</v>
      </c>
      <c r="P1585" s="116">
        <v>50.875</v>
      </c>
      <c r="Q1585" s="116">
        <v>106</v>
      </c>
      <c r="R1585">
        <v>4681944</v>
      </c>
    </row>
    <row r="1586" spans="1:18" x14ac:dyDescent="0.25">
      <c r="A1586" s="166">
        <v>44342</v>
      </c>
      <c r="B1586" s="116">
        <v>54.5</v>
      </c>
      <c r="C1586" s="116">
        <v>52.375</v>
      </c>
      <c r="D1586" s="116">
        <v>51.575000000000003</v>
      </c>
      <c r="E1586" s="116">
        <v>53.55</v>
      </c>
      <c r="F1586" s="116">
        <v>104.75</v>
      </c>
      <c r="G1586">
        <v>200413</v>
      </c>
      <c r="H1586" s="116"/>
      <c r="I1586" s="116"/>
      <c r="L1586" s="166">
        <v>44342</v>
      </c>
      <c r="M1586" s="116">
        <v>52.424999999999997</v>
      </c>
      <c r="N1586" s="116">
        <v>54.5</v>
      </c>
      <c r="O1586" s="116">
        <v>51.625</v>
      </c>
      <c r="P1586" s="116">
        <v>53.4</v>
      </c>
      <c r="Q1586" s="116">
        <v>104.85</v>
      </c>
      <c r="R1586">
        <v>1575553</v>
      </c>
    </row>
    <row r="1587" spans="1:18" x14ac:dyDescent="0.25">
      <c r="A1587" s="166">
        <v>44343</v>
      </c>
      <c r="B1587" s="116">
        <v>54.35</v>
      </c>
      <c r="C1587" s="116">
        <v>51.725000000000001</v>
      </c>
      <c r="D1587" s="116">
        <v>51.05</v>
      </c>
      <c r="E1587" s="116">
        <v>54.35</v>
      </c>
      <c r="F1587" s="116">
        <v>103.45</v>
      </c>
      <c r="G1587">
        <v>112965</v>
      </c>
      <c r="H1587" s="116"/>
      <c r="I1587" s="116"/>
      <c r="L1587" s="166">
        <v>44343</v>
      </c>
      <c r="M1587" s="116">
        <v>51.774999999999999</v>
      </c>
      <c r="N1587" s="116">
        <v>53.95</v>
      </c>
      <c r="O1587" s="116">
        <v>51</v>
      </c>
      <c r="P1587" s="116">
        <v>52.5</v>
      </c>
      <c r="Q1587" s="116">
        <v>103.55</v>
      </c>
      <c r="R1587">
        <v>1061687</v>
      </c>
    </row>
    <row r="1588" spans="1:18" x14ac:dyDescent="0.25">
      <c r="A1588" s="166">
        <v>44344</v>
      </c>
      <c r="B1588" s="116">
        <v>60.35</v>
      </c>
      <c r="C1588" s="116">
        <v>55.825000000000003</v>
      </c>
      <c r="D1588" s="116">
        <v>52.174999999999997</v>
      </c>
      <c r="E1588" s="116">
        <v>52.25</v>
      </c>
      <c r="F1588" s="116">
        <v>111.65</v>
      </c>
      <c r="G1588">
        <v>563895</v>
      </c>
      <c r="H1588" s="116"/>
      <c r="I1588" s="116"/>
      <c r="L1588" s="166">
        <v>44344</v>
      </c>
      <c r="M1588" s="116">
        <v>55.85</v>
      </c>
      <c r="N1588" s="116">
        <v>60.35</v>
      </c>
      <c r="O1588" s="116">
        <v>51.774999999999999</v>
      </c>
      <c r="P1588" s="116">
        <v>52.5</v>
      </c>
      <c r="Q1588" s="116">
        <v>111.7</v>
      </c>
      <c r="R1588">
        <v>10467668</v>
      </c>
    </row>
    <row r="1589" spans="1:18" x14ac:dyDescent="0.25">
      <c r="A1589" s="166">
        <v>44347</v>
      </c>
      <c r="B1589" s="116">
        <v>60</v>
      </c>
      <c r="C1589" s="116">
        <v>59.05</v>
      </c>
      <c r="D1589" s="116">
        <v>56.4</v>
      </c>
      <c r="E1589" s="116">
        <v>56.4</v>
      </c>
      <c r="F1589" s="116">
        <v>118.1</v>
      </c>
      <c r="G1589">
        <v>236425</v>
      </c>
      <c r="H1589" s="116"/>
      <c r="I1589" s="116"/>
      <c r="L1589" s="166">
        <v>44347</v>
      </c>
      <c r="M1589" s="116">
        <v>58.75</v>
      </c>
      <c r="N1589" s="116">
        <v>59.7</v>
      </c>
      <c r="O1589" s="116">
        <v>56.3</v>
      </c>
      <c r="P1589" s="116">
        <v>56.9</v>
      </c>
      <c r="Q1589" s="116">
        <v>117.5</v>
      </c>
      <c r="R1589">
        <v>3051005</v>
      </c>
    </row>
    <row r="1590" spans="1:18" x14ac:dyDescent="0.25">
      <c r="A1590" s="166">
        <v>44348</v>
      </c>
      <c r="B1590" s="116">
        <v>59.45</v>
      </c>
      <c r="C1590" s="116">
        <v>56.75</v>
      </c>
      <c r="D1590" s="116">
        <v>54.65</v>
      </c>
      <c r="E1590" s="116">
        <v>59.375</v>
      </c>
      <c r="F1590" s="116">
        <v>113.5</v>
      </c>
      <c r="G1590">
        <v>294177</v>
      </c>
      <c r="H1590" s="116"/>
      <c r="I1590" s="116"/>
      <c r="L1590" s="166">
        <v>44348</v>
      </c>
      <c r="M1590" s="116">
        <v>56.8</v>
      </c>
      <c r="N1590" s="116">
        <v>59.475000000000001</v>
      </c>
      <c r="O1590" s="116">
        <v>54.674999999999997</v>
      </c>
      <c r="P1590" s="116">
        <v>59.35</v>
      </c>
      <c r="Q1590" s="116">
        <v>113.6</v>
      </c>
      <c r="R1590">
        <v>1780910</v>
      </c>
    </row>
    <row r="1591" spans="1:18" x14ac:dyDescent="0.25">
      <c r="A1591" s="166">
        <v>44349</v>
      </c>
      <c r="B1591" s="116">
        <v>61.25</v>
      </c>
      <c r="C1591" s="116">
        <v>60.05</v>
      </c>
      <c r="D1591" s="116">
        <v>56.35</v>
      </c>
      <c r="E1591" s="116">
        <v>56.5</v>
      </c>
      <c r="F1591" s="116">
        <v>120.1</v>
      </c>
      <c r="G1591">
        <v>185968</v>
      </c>
      <c r="H1591" s="116"/>
      <c r="I1591" s="116"/>
      <c r="L1591" s="166">
        <v>44349</v>
      </c>
      <c r="M1591" s="116">
        <v>60.05</v>
      </c>
      <c r="N1591" s="116">
        <v>61.25</v>
      </c>
      <c r="O1591" s="116">
        <v>56.625</v>
      </c>
      <c r="P1591" s="116">
        <v>56.8</v>
      </c>
      <c r="Q1591" s="116">
        <v>120.1</v>
      </c>
      <c r="R1591">
        <v>3083671</v>
      </c>
    </row>
    <row r="1592" spans="1:18" x14ac:dyDescent="0.25">
      <c r="A1592" s="166">
        <v>44350</v>
      </c>
      <c r="B1592" s="116">
        <v>62.725000000000001</v>
      </c>
      <c r="C1592" s="116">
        <v>61.924999999999997</v>
      </c>
      <c r="D1592" s="116">
        <v>60.024999999999999</v>
      </c>
      <c r="E1592" s="116">
        <v>61.75</v>
      </c>
      <c r="F1592" s="116">
        <v>123.85</v>
      </c>
      <c r="G1592">
        <v>500545</v>
      </c>
      <c r="H1592" s="116"/>
      <c r="I1592" s="116"/>
      <c r="L1592" s="166">
        <v>44350</v>
      </c>
      <c r="M1592" s="116">
        <v>61.975000000000001</v>
      </c>
      <c r="N1592" s="116">
        <v>62.75</v>
      </c>
      <c r="O1592" s="116">
        <v>60.05</v>
      </c>
      <c r="P1592" s="116">
        <v>61.35</v>
      </c>
      <c r="Q1592" s="116">
        <v>123.95</v>
      </c>
      <c r="R1592">
        <v>2956736</v>
      </c>
    </row>
    <row r="1593" spans="1:18" x14ac:dyDescent="0.25">
      <c r="A1593" s="166">
        <v>44351</v>
      </c>
      <c r="B1593" s="116">
        <v>64.974999999999994</v>
      </c>
      <c r="C1593" s="116">
        <v>62.2</v>
      </c>
      <c r="D1593" s="116">
        <v>61.575000000000003</v>
      </c>
      <c r="E1593" s="116">
        <v>61.575000000000003</v>
      </c>
      <c r="F1593" s="116">
        <v>124.4</v>
      </c>
      <c r="G1593">
        <v>451482</v>
      </c>
      <c r="H1593" s="116"/>
      <c r="I1593" s="116"/>
      <c r="L1593" s="166">
        <v>44351</v>
      </c>
      <c r="M1593" s="116">
        <v>62.2</v>
      </c>
      <c r="N1593" s="116">
        <v>65</v>
      </c>
      <c r="O1593" s="116">
        <v>61.75</v>
      </c>
      <c r="P1593" s="116">
        <v>61.875</v>
      </c>
      <c r="Q1593" s="116">
        <v>124.4</v>
      </c>
      <c r="R1593">
        <v>2630241</v>
      </c>
    </row>
    <row r="1594" spans="1:18" x14ac:dyDescent="0.25">
      <c r="A1594" s="166">
        <v>44354</v>
      </c>
      <c r="B1594" s="116">
        <v>63.4</v>
      </c>
      <c r="C1594" s="116">
        <v>60.35</v>
      </c>
      <c r="D1594" s="116">
        <v>60</v>
      </c>
      <c r="E1594" s="116">
        <v>63.4</v>
      </c>
      <c r="F1594" s="116">
        <v>120.7</v>
      </c>
      <c r="G1594">
        <v>153094</v>
      </c>
      <c r="H1594" s="116"/>
      <c r="I1594" s="116"/>
      <c r="L1594" s="166">
        <v>44354</v>
      </c>
      <c r="M1594" s="116">
        <v>60.325000000000003</v>
      </c>
      <c r="N1594" s="116">
        <v>62.95</v>
      </c>
      <c r="O1594" s="116">
        <v>59.975000000000001</v>
      </c>
      <c r="P1594" s="116">
        <v>62.65</v>
      </c>
      <c r="Q1594" s="116">
        <v>120.65</v>
      </c>
      <c r="R1594">
        <v>1032349</v>
      </c>
    </row>
    <row r="1595" spans="1:18" x14ac:dyDescent="0.25">
      <c r="A1595" s="166">
        <v>44355</v>
      </c>
      <c r="B1595" s="116">
        <v>61.875</v>
      </c>
      <c r="C1595" s="116">
        <v>61.075000000000003</v>
      </c>
      <c r="D1595" s="116">
        <v>57.5</v>
      </c>
      <c r="E1595" s="116">
        <v>60.1</v>
      </c>
      <c r="F1595" s="116">
        <v>122.15</v>
      </c>
      <c r="G1595">
        <v>267436</v>
      </c>
      <c r="H1595" s="116"/>
      <c r="I1595" s="116"/>
      <c r="L1595" s="166">
        <v>44355</v>
      </c>
      <c r="M1595" s="116">
        <v>61.024999999999999</v>
      </c>
      <c r="N1595" s="116">
        <v>61.95</v>
      </c>
      <c r="O1595" s="116">
        <v>57.5</v>
      </c>
      <c r="P1595" s="116">
        <v>60.725000000000001</v>
      </c>
      <c r="Q1595" s="116">
        <v>122.05</v>
      </c>
      <c r="R1595">
        <v>2504841</v>
      </c>
    </row>
    <row r="1596" spans="1:18" x14ac:dyDescent="0.25">
      <c r="A1596" s="166">
        <v>44356</v>
      </c>
      <c r="B1596" s="116">
        <v>66.8</v>
      </c>
      <c r="C1596" s="116">
        <v>61.924999999999997</v>
      </c>
      <c r="D1596" s="116">
        <v>60.2</v>
      </c>
      <c r="E1596" s="116">
        <v>61.15</v>
      </c>
      <c r="F1596" s="116">
        <v>123.85</v>
      </c>
      <c r="G1596">
        <v>555905</v>
      </c>
      <c r="H1596" s="116"/>
      <c r="I1596" s="116"/>
      <c r="L1596" s="166">
        <v>44356</v>
      </c>
      <c r="M1596" s="116">
        <v>61.924999999999997</v>
      </c>
      <c r="N1596" s="116">
        <v>66.75</v>
      </c>
      <c r="O1596" s="116">
        <v>60.174999999999997</v>
      </c>
      <c r="P1596" s="116">
        <v>62</v>
      </c>
      <c r="Q1596" s="116">
        <v>123.85</v>
      </c>
      <c r="R1596">
        <v>3596963</v>
      </c>
    </row>
    <row r="1597" spans="1:18" x14ac:dyDescent="0.25">
      <c r="A1597" s="166">
        <v>44357</v>
      </c>
      <c r="B1597" s="116">
        <v>64.724999999999994</v>
      </c>
      <c r="C1597" s="116">
        <v>62.825000000000003</v>
      </c>
      <c r="D1597" s="116">
        <v>62.475000000000001</v>
      </c>
      <c r="E1597" s="116">
        <v>62.5</v>
      </c>
      <c r="F1597" s="116">
        <v>125.65</v>
      </c>
      <c r="G1597">
        <v>367974</v>
      </c>
      <c r="H1597" s="116"/>
      <c r="I1597" s="116"/>
      <c r="L1597" s="166">
        <v>44357</v>
      </c>
      <c r="M1597" s="116">
        <v>62.825000000000003</v>
      </c>
      <c r="N1597" s="116">
        <v>64.75</v>
      </c>
      <c r="O1597" s="116">
        <v>62.524999999999999</v>
      </c>
      <c r="P1597" s="116">
        <v>62.7</v>
      </c>
      <c r="Q1597" s="116">
        <v>125.65</v>
      </c>
      <c r="R1597">
        <v>1421406</v>
      </c>
    </row>
    <row r="1598" spans="1:18" x14ac:dyDescent="0.25">
      <c r="A1598" s="166">
        <v>44358</v>
      </c>
      <c r="B1598" s="116">
        <v>63.875</v>
      </c>
      <c r="C1598" s="116">
        <v>61.674999999999997</v>
      </c>
      <c r="D1598" s="116">
        <v>61.125</v>
      </c>
      <c r="E1598" s="116">
        <v>63.225000000000001</v>
      </c>
      <c r="F1598" s="116">
        <v>123.35</v>
      </c>
      <c r="G1598">
        <v>187442</v>
      </c>
      <c r="H1598" s="116"/>
      <c r="I1598" s="116"/>
      <c r="L1598" s="166">
        <v>44358</v>
      </c>
      <c r="M1598" s="116">
        <v>61.825000000000003</v>
      </c>
      <c r="N1598" s="116">
        <v>63.9</v>
      </c>
      <c r="O1598" s="116">
        <v>61.15</v>
      </c>
      <c r="P1598" s="116">
        <v>63.2</v>
      </c>
      <c r="Q1598" s="116">
        <v>123.65</v>
      </c>
      <c r="R1598">
        <v>889957</v>
      </c>
    </row>
    <row r="1599" spans="1:18" x14ac:dyDescent="0.25">
      <c r="A1599" s="166">
        <v>44361</v>
      </c>
      <c r="B1599" s="116">
        <v>62.45</v>
      </c>
      <c r="C1599" s="116">
        <v>60.674999999999997</v>
      </c>
      <c r="D1599" s="116">
        <v>58.424999999999997</v>
      </c>
      <c r="E1599" s="116">
        <v>62.1</v>
      </c>
      <c r="F1599" s="116">
        <v>121.35</v>
      </c>
      <c r="G1599">
        <v>144539</v>
      </c>
      <c r="H1599" s="116"/>
      <c r="I1599" s="116"/>
      <c r="L1599" s="166">
        <v>44361</v>
      </c>
      <c r="M1599" s="116">
        <v>60.55</v>
      </c>
      <c r="N1599" s="116">
        <v>62.575000000000003</v>
      </c>
      <c r="O1599" s="116">
        <v>58.35</v>
      </c>
      <c r="P1599" s="116">
        <v>62.5</v>
      </c>
      <c r="Q1599" s="116">
        <v>121.1</v>
      </c>
      <c r="R1599">
        <v>1109428</v>
      </c>
    </row>
    <row r="1600" spans="1:18" x14ac:dyDescent="0.25">
      <c r="A1600" s="166">
        <v>44362</v>
      </c>
      <c r="B1600" s="116">
        <v>64.625</v>
      </c>
      <c r="C1600" s="116">
        <v>63.825000000000003</v>
      </c>
      <c r="D1600" s="116">
        <v>60.924999999999997</v>
      </c>
      <c r="E1600" s="116">
        <v>62.5</v>
      </c>
      <c r="F1600" s="116">
        <v>127.65</v>
      </c>
      <c r="G1600">
        <v>352928</v>
      </c>
      <c r="H1600" s="116"/>
      <c r="I1600" s="116"/>
      <c r="L1600" s="166">
        <v>44362</v>
      </c>
      <c r="M1600" s="116">
        <v>63.875</v>
      </c>
      <c r="N1600" s="116">
        <v>64.674999999999997</v>
      </c>
      <c r="O1600" s="116">
        <v>60.9</v>
      </c>
      <c r="P1600" s="116">
        <v>61</v>
      </c>
      <c r="Q1600" s="116">
        <v>127.75</v>
      </c>
      <c r="R1600">
        <v>1909983</v>
      </c>
    </row>
    <row r="1601" spans="1:18" x14ac:dyDescent="0.25">
      <c r="A1601" s="166">
        <v>44363</v>
      </c>
      <c r="B1601" s="116">
        <v>69.25</v>
      </c>
      <c r="C1601" s="116">
        <v>67.625</v>
      </c>
      <c r="D1601" s="116">
        <v>62.95</v>
      </c>
      <c r="E1601" s="116">
        <v>64.474999999999994</v>
      </c>
      <c r="F1601" s="116">
        <v>135.25</v>
      </c>
      <c r="G1601">
        <v>342737</v>
      </c>
      <c r="H1601" s="116"/>
      <c r="I1601" s="116"/>
      <c r="L1601" s="166">
        <v>44363</v>
      </c>
      <c r="M1601" s="116">
        <v>67.575000000000003</v>
      </c>
      <c r="N1601" s="116">
        <v>69.349999999999994</v>
      </c>
      <c r="O1601" s="116">
        <v>62.5</v>
      </c>
      <c r="P1601" s="116">
        <v>64.5</v>
      </c>
      <c r="Q1601" s="116">
        <v>135.15</v>
      </c>
      <c r="R1601">
        <v>3863799</v>
      </c>
    </row>
    <row r="1602" spans="1:18" x14ac:dyDescent="0.25">
      <c r="A1602" s="166">
        <v>44364</v>
      </c>
      <c r="B1602" s="116">
        <v>71.174999999999997</v>
      </c>
      <c r="C1602" s="116">
        <v>65.075000000000003</v>
      </c>
      <c r="D1602" s="116">
        <v>64</v>
      </c>
      <c r="E1602" s="116">
        <v>66.825000000000003</v>
      </c>
      <c r="F1602" s="116">
        <v>130.15</v>
      </c>
      <c r="G1602">
        <v>445710</v>
      </c>
      <c r="H1602" s="116"/>
      <c r="I1602" s="116"/>
      <c r="L1602" s="166">
        <v>44364</v>
      </c>
      <c r="M1602" s="116">
        <v>65.174999999999997</v>
      </c>
      <c r="N1602" s="116">
        <v>71.25</v>
      </c>
      <c r="O1602" s="116">
        <v>64.025000000000006</v>
      </c>
      <c r="P1602" s="116">
        <v>67.474999999999994</v>
      </c>
      <c r="Q1602" s="116">
        <v>130.35</v>
      </c>
      <c r="R1602">
        <v>3442199</v>
      </c>
    </row>
    <row r="1603" spans="1:18" x14ac:dyDescent="0.25">
      <c r="A1603" s="166">
        <v>44365</v>
      </c>
      <c r="B1603" s="116">
        <v>70.25</v>
      </c>
      <c r="C1603" s="116">
        <v>69.875</v>
      </c>
      <c r="D1603" s="116">
        <v>58.85</v>
      </c>
      <c r="E1603" s="116">
        <v>67.7</v>
      </c>
      <c r="F1603" s="116">
        <v>139.75</v>
      </c>
      <c r="G1603">
        <v>388669</v>
      </c>
      <c r="H1603" s="116"/>
      <c r="I1603" s="116"/>
      <c r="L1603" s="166">
        <v>44365</v>
      </c>
      <c r="M1603" s="116">
        <v>69.724999999999994</v>
      </c>
      <c r="N1603" s="116">
        <v>70.400000000000006</v>
      </c>
      <c r="O1603" s="116">
        <v>58.774999999999999</v>
      </c>
      <c r="P1603" s="116">
        <v>65.974999999999994</v>
      </c>
      <c r="Q1603" s="116">
        <v>139.44999999999999</v>
      </c>
      <c r="R1603">
        <v>4588061</v>
      </c>
    </row>
    <row r="1604" spans="1:18" x14ac:dyDescent="0.25">
      <c r="A1604" s="166">
        <v>44368</v>
      </c>
      <c r="B1604" s="116">
        <v>71.400000000000006</v>
      </c>
      <c r="C1604" s="116">
        <v>68.95</v>
      </c>
      <c r="D1604" s="116">
        <v>67.025000000000006</v>
      </c>
      <c r="E1604" s="116">
        <v>67.650000000000006</v>
      </c>
      <c r="F1604" s="116">
        <v>137.9</v>
      </c>
      <c r="G1604">
        <v>327281</v>
      </c>
      <c r="H1604" s="116"/>
      <c r="I1604" s="116"/>
      <c r="L1604" s="166">
        <v>44368</v>
      </c>
      <c r="M1604" s="116">
        <v>68.900000000000006</v>
      </c>
      <c r="N1604" s="116">
        <v>71.400000000000006</v>
      </c>
      <c r="O1604" s="116">
        <v>67</v>
      </c>
      <c r="P1604" s="116">
        <v>68.25</v>
      </c>
      <c r="Q1604" s="116">
        <v>137.80000000000001</v>
      </c>
      <c r="R1604">
        <v>2550736</v>
      </c>
    </row>
    <row r="1605" spans="1:18" x14ac:dyDescent="0.25">
      <c r="A1605" s="166">
        <v>44369</v>
      </c>
      <c r="B1605" s="116">
        <v>70.674999999999997</v>
      </c>
      <c r="C1605" s="116">
        <v>66.95</v>
      </c>
      <c r="D1605" s="116">
        <v>66.599999999999994</v>
      </c>
      <c r="E1605" s="116">
        <v>69</v>
      </c>
      <c r="F1605" s="116">
        <v>133.9</v>
      </c>
      <c r="G1605">
        <v>313245</v>
      </c>
      <c r="H1605" s="116"/>
      <c r="I1605" s="116"/>
      <c r="L1605" s="166">
        <v>44369</v>
      </c>
      <c r="M1605" s="116">
        <v>66.974999999999994</v>
      </c>
      <c r="N1605" s="116">
        <v>70.724999999999994</v>
      </c>
      <c r="O1605" s="116">
        <v>66.625</v>
      </c>
      <c r="P1605" s="116">
        <v>69.25</v>
      </c>
      <c r="Q1605" s="116">
        <v>133.94999999999999</v>
      </c>
      <c r="R1605">
        <v>1843583</v>
      </c>
    </row>
    <row r="1606" spans="1:18" x14ac:dyDescent="0.25">
      <c r="A1606" s="166">
        <v>44370</v>
      </c>
      <c r="B1606" s="116">
        <v>68.25</v>
      </c>
      <c r="C1606" s="116">
        <v>66.224999999999994</v>
      </c>
      <c r="D1606" s="116">
        <v>65.5</v>
      </c>
      <c r="E1606" s="116">
        <v>67.7</v>
      </c>
      <c r="F1606" s="116">
        <v>132.44999999999999</v>
      </c>
      <c r="G1606">
        <v>169597</v>
      </c>
      <c r="H1606" s="116"/>
      <c r="I1606" s="116"/>
      <c r="L1606" s="166">
        <v>44370</v>
      </c>
      <c r="M1606" s="116">
        <v>66.3</v>
      </c>
      <c r="N1606" s="116">
        <v>68.224999999999994</v>
      </c>
      <c r="O1606" s="116">
        <v>65.5</v>
      </c>
      <c r="P1606" s="116">
        <v>67.474999999999994</v>
      </c>
      <c r="Q1606" s="116">
        <v>132.6</v>
      </c>
      <c r="R1606">
        <v>979325</v>
      </c>
    </row>
    <row r="1607" spans="1:18" x14ac:dyDescent="0.25">
      <c r="A1607" s="166">
        <v>44371</v>
      </c>
      <c r="B1607" s="116">
        <v>67.3</v>
      </c>
      <c r="C1607" s="116">
        <v>65.924999999999997</v>
      </c>
      <c r="D1607" s="116">
        <v>65.3</v>
      </c>
      <c r="E1607" s="116">
        <v>66.8</v>
      </c>
      <c r="F1607" s="116">
        <v>131.85</v>
      </c>
      <c r="G1607">
        <v>109409</v>
      </c>
      <c r="H1607" s="116"/>
      <c r="I1607" s="116"/>
      <c r="L1607" s="166">
        <v>44371</v>
      </c>
      <c r="M1607" s="116">
        <v>65.8</v>
      </c>
      <c r="N1607" s="116">
        <v>67.45</v>
      </c>
      <c r="O1607" s="116">
        <v>65.25</v>
      </c>
      <c r="P1607" s="116">
        <v>66.625</v>
      </c>
      <c r="Q1607" s="116">
        <v>131.6</v>
      </c>
      <c r="R1607">
        <v>521956</v>
      </c>
    </row>
    <row r="1608" spans="1:18" x14ac:dyDescent="0.25">
      <c r="A1608" s="166">
        <v>44372</v>
      </c>
      <c r="B1608" s="116">
        <v>69.45</v>
      </c>
      <c r="C1608" s="116">
        <v>68.349999999999994</v>
      </c>
      <c r="D1608" s="116">
        <v>65.3</v>
      </c>
      <c r="E1608" s="116">
        <v>65.3</v>
      </c>
      <c r="F1608" s="116">
        <v>136.69999999999999</v>
      </c>
      <c r="G1608">
        <v>257586</v>
      </c>
      <c r="H1608" s="116"/>
      <c r="I1608" s="116"/>
      <c r="L1608" s="166">
        <v>44372</v>
      </c>
      <c r="M1608" s="116">
        <v>68.5</v>
      </c>
      <c r="N1608" s="116">
        <v>69.5</v>
      </c>
      <c r="O1608" s="116">
        <v>65.8</v>
      </c>
      <c r="P1608" s="116">
        <v>66</v>
      </c>
      <c r="Q1608" s="116">
        <v>137</v>
      </c>
      <c r="R1608">
        <v>1253678</v>
      </c>
    </row>
    <row r="1609" spans="1:18" x14ac:dyDescent="0.25">
      <c r="A1609" s="166">
        <v>44375</v>
      </c>
      <c r="B1609" s="116">
        <v>70.974999999999994</v>
      </c>
      <c r="C1609" s="116">
        <v>70.400000000000006</v>
      </c>
      <c r="D1609" s="116">
        <v>67.674999999999997</v>
      </c>
      <c r="E1609" s="116">
        <v>69.349999999999994</v>
      </c>
      <c r="F1609" s="116">
        <v>140.80000000000001</v>
      </c>
      <c r="G1609">
        <v>100343</v>
      </c>
      <c r="H1609" s="116"/>
      <c r="I1609" s="116"/>
      <c r="L1609" s="166">
        <v>44375</v>
      </c>
      <c r="M1609" s="116">
        <v>70.400000000000006</v>
      </c>
      <c r="N1609" s="116">
        <v>71</v>
      </c>
      <c r="O1609" s="116">
        <v>67.650000000000006</v>
      </c>
      <c r="P1609" s="116">
        <v>69</v>
      </c>
      <c r="Q1609" s="116">
        <v>140.80000000000001</v>
      </c>
      <c r="R1609">
        <v>1264774</v>
      </c>
    </row>
    <row r="1610" spans="1:18" x14ac:dyDescent="0.25">
      <c r="A1610" s="166">
        <v>44376</v>
      </c>
      <c r="B1610" s="116">
        <v>70.575000000000003</v>
      </c>
      <c r="C1610" s="116">
        <v>69.025000000000006</v>
      </c>
      <c r="D1610" s="116">
        <v>68.625</v>
      </c>
      <c r="E1610" s="116">
        <v>70.400000000000006</v>
      </c>
      <c r="F1610" s="116">
        <v>138.05000000000001</v>
      </c>
      <c r="G1610">
        <v>138045</v>
      </c>
      <c r="H1610" s="116"/>
      <c r="I1610" s="116"/>
      <c r="L1610" s="166">
        <v>44376</v>
      </c>
      <c r="M1610" s="116">
        <v>69.05</v>
      </c>
      <c r="N1610" s="116">
        <v>70.575000000000003</v>
      </c>
      <c r="O1610" s="116">
        <v>68.525000000000006</v>
      </c>
      <c r="P1610" s="116">
        <v>70.349999999999994</v>
      </c>
      <c r="Q1610" s="116">
        <v>138.1</v>
      </c>
      <c r="R1610">
        <v>748127</v>
      </c>
    </row>
    <row r="1611" spans="1:18" x14ac:dyDescent="0.25">
      <c r="A1611" s="166">
        <v>44377</v>
      </c>
      <c r="B1611" s="116">
        <v>70.474999999999994</v>
      </c>
      <c r="C1611" s="116">
        <v>68.424999999999997</v>
      </c>
      <c r="D1611" s="116">
        <v>67.900000000000006</v>
      </c>
      <c r="E1611" s="116">
        <v>69</v>
      </c>
      <c r="F1611" s="116">
        <v>136.85</v>
      </c>
      <c r="G1611">
        <v>140089</v>
      </c>
      <c r="H1611" s="116"/>
      <c r="I1611" s="116"/>
      <c r="L1611" s="166">
        <v>44377</v>
      </c>
      <c r="M1611" s="116">
        <v>68.400000000000006</v>
      </c>
      <c r="N1611" s="116">
        <v>70.5</v>
      </c>
      <c r="O1611" s="116">
        <v>67.8</v>
      </c>
      <c r="P1611" s="116">
        <v>69.45</v>
      </c>
      <c r="Q1611" s="116">
        <v>136.80000000000001</v>
      </c>
      <c r="R1611">
        <v>610754</v>
      </c>
    </row>
    <row r="1612" spans="1:18" x14ac:dyDescent="0.25">
      <c r="A1612" s="166">
        <v>44378</v>
      </c>
      <c r="B1612" s="116">
        <v>69.625</v>
      </c>
      <c r="C1612" s="116">
        <v>68.875</v>
      </c>
      <c r="D1612" s="116">
        <v>67.125</v>
      </c>
      <c r="E1612" s="116">
        <v>69</v>
      </c>
      <c r="F1612" s="116">
        <v>137.75</v>
      </c>
      <c r="G1612">
        <v>1558124</v>
      </c>
      <c r="H1612" s="116"/>
      <c r="I1612" s="116"/>
      <c r="L1612" s="166">
        <v>44378</v>
      </c>
      <c r="M1612" s="116">
        <v>68.974999999999994</v>
      </c>
      <c r="N1612" s="116">
        <v>69.7</v>
      </c>
      <c r="O1612" s="116">
        <v>67</v>
      </c>
      <c r="P1612" s="116">
        <v>69.2</v>
      </c>
      <c r="Q1612" s="116">
        <v>137.94999999999999</v>
      </c>
      <c r="R1612">
        <v>756309</v>
      </c>
    </row>
    <row r="1613" spans="1:18" x14ac:dyDescent="0.25">
      <c r="A1613" s="166">
        <v>44379</v>
      </c>
      <c r="B1613" s="116">
        <v>72.625</v>
      </c>
      <c r="C1613" s="116">
        <v>71.05</v>
      </c>
      <c r="D1613" s="116">
        <v>68.974999999999994</v>
      </c>
      <c r="E1613" s="116">
        <v>69.900000000000006</v>
      </c>
      <c r="F1613" s="116">
        <v>142.1</v>
      </c>
      <c r="G1613">
        <v>569547</v>
      </c>
      <c r="H1613" s="116"/>
      <c r="I1613" s="116"/>
      <c r="L1613" s="166">
        <v>44379</v>
      </c>
      <c r="M1613" s="116">
        <v>70.900000000000006</v>
      </c>
      <c r="N1613" s="116">
        <v>72.625</v>
      </c>
      <c r="O1613" s="116">
        <v>69</v>
      </c>
      <c r="P1613" s="116">
        <v>69.825000000000003</v>
      </c>
      <c r="Q1613" s="116">
        <v>141.80000000000001</v>
      </c>
      <c r="R1613">
        <v>1744108</v>
      </c>
    </row>
    <row r="1614" spans="1:18" x14ac:dyDescent="0.25">
      <c r="A1614" s="166">
        <v>44382</v>
      </c>
      <c r="B1614" s="116">
        <v>71.650000000000006</v>
      </c>
      <c r="C1614" s="116">
        <v>69.674999999999997</v>
      </c>
      <c r="D1614" s="116">
        <v>69.275000000000006</v>
      </c>
      <c r="E1614" s="116">
        <v>71.05</v>
      </c>
      <c r="F1614" s="116">
        <v>139.35</v>
      </c>
      <c r="G1614">
        <v>743698</v>
      </c>
      <c r="H1614" s="116"/>
      <c r="I1614" s="116"/>
      <c r="L1614" s="166">
        <v>44382</v>
      </c>
      <c r="M1614" s="116">
        <v>69.625</v>
      </c>
      <c r="N1614" s="116">
        <v>71.7</v>
      </c>
      <c r="O1614" s="116">
        <v>69.25</v>
      </c>
      <c r="P1614" s="116">
        <v>71.45</v>
      </c>
      <c r="Q1614" s="116">
        <v>139.25</v>
      </c>
      <c r="R1614">
        <v>743160</v>
      </c>
    </row>
    <row r="1615" spans="1:18" x14ac:dyDescent="0.25">
      <c r="A1615" s="166">
        <v>44383</v>
      </c>
      <c r="B1615" s="116">
        <v>70.3</v>
      </c>
      <c r="C1615" s="116">
        <v>66.599999999999994</v>
      </c>
      <c r="D1615" s="116">
        <v>64.325000000000003</v>
      </c>
      <c r="E1615" s="116">
        <v>69.5</v>
      </c>
      <c r="F1615" s="116">
        <v>133.19999999999999</v>
      </c>
      <c r="G1615">
        <v>1055327</v>
      </c>
      <c r="H1615" s="116"/>
      <c r="I1615" s="116"/>
      <c r="L1615" s="166">
        <v>44383</v>
      </c>
      <c r="M1615" s="116">
        <v>66.474999999999994</v>
      </c>
      <c r="N1615" s="116">
        <v>70.349999999999994</v>
      </c>
      <c r="O1615" s="116">
        <v>63.85</v>
      </c>
      <c r="P1615" s="116">
        <v>69.099999999999994</v>
      </c>
      <c r="Q1615" s="116">
        <v>132.94999999999999</v>
      </c>
      <c r="R1615">
        <v>1170811</v>
      </c>
    </row>
    <row r="1616" spans="1:18" x14ac:dyDescent="0.25">
      <c r="A1616" s="166">
        <v>44384</v>
      </c>
      <c r="B1616" s="116">
        <v>67.8</v>
      </c>
      <c r="C1616" s="116">
        <v>66.174999999999997</v>
      </c>
      <c r="D1616" s="116">
        <v>66</v>
      </c>
      <c r="E1616" s="116">
        <v>66.599999999999994</v>
      </c>
      <c r="F1616" s="116">
        <v>132.35</v>
      </c>
      <c r="G1616">
        <v>902507</v>
      </c>
      <c r="H1616" s="116"/>
      <c r="I1616" s="116"/>
      <c r="L1616" s="166">
        <v>44384</v>
      </c>
      <c r="M1616" s="116">
        <v>66.349999999999994</v>
      </c>
      <c r="N1616" s="116">
        <v>67.875</v>
      </c>
      <c r="O1616" s="116">
        <v>66.05</v>
      </c>
      <c r="P1616" s="116">
        <v>66.55</v>
      </c>
      <c r="Q1616" s="116">
        <v>132.69999999999999</v>
      </c>
      <c r="R1616">
        <v>914554</v>
      </c>
    </row>
    <row r="1617" spans="1:18" x14ac:dyDescent="0.25">
      <c r="A1617" s="166">
        <v>44385</v>
      </c>
      <c r="B1617" s="116">
        <v>67.375</v>
      </c>
      <c r="C1617" s="116">
        <v>65.150000000000006</v>
      </c>
      <c r="D1617" s="116">
        <v>64.325000000000003</v>
      </c>
      <c r="E1617" s="116">
        <v>66.674999999999997</v>
      </c>
      <c r="F1617" s="116">
        <v>130.30000000000001</v>
      </c>
      <c r="G1617">
        <v>725203</v>
      </c>
      <c r="H1617" s="116"/>
      <c r="I1617" s="116"/>
      <c r="L1617" s="166">
        <v>44385</v>
      </c>
      <c r="M1617" s="116">
        <v>65.125</v>
      </c>
      <c r="N1617" s="116">
        <v>67.474999999999994</v>
      </c>
      <c r="O1617" s="116">
        <v>64.3</v>
      </c>
      <c r="P1617" s="116">
        <v>66.25</v>
      </c>
      <c r="Q1617" s="116">
        <v>130.25</v>
      </c>
      <c r="R1617">
        <v>739697</v>
      </c>
    </row>
    <row r="1618" spans="1:18" x14ac:dyDescent="0.25">
      <c r="A1618" s="166">
        <v>44386</v>
      </c>
      <c r="B1618" s="116">
        <v>66.75</v>
      </c>
      <c r="C1618" s="116">
        <v>66.275000000000006</v>
      </c>
      <c r="D1618" s="116">
        <v>64.575000000000003</v>
      </c>
      <c r="E1618" s="116">
        <v>65</v>
      </c>
      <c r="F1618" s="116">
        <v>132.55000000000001</v>
      </c>
      <c r="G1618">
        <v>1079590</v>
      </c>
      <c r="H1618" s="116"/>
      <c r="I1618" s="116"/>
      <c r="L1618" s="166">
        <v>44386</v>
      </c>
      <c r="M1618" s="116">
        <v>66.224999999999994</v>
      </c>
      <c r="N1618" s="116">
        <v>66.75</v>
      </c>
      <c r="O1618" s="116">
        <v>64.599999999999994</v>
      </c>
      <c r="P1618" s="116">
        <v>65.05</v>
      </c>
      <c r="Q1618" s="116">
        <v>132.44999999999999</v>
      </c>
      <c r="R1618">
        <v>774958</v>
      </c>
    </row>
    <row r="1619" spans="1:18" x14ac:dyDescent="0.25">
      <c r="A1619" s="166">
        <v>44389</v>
      </c>
      <c r="B1619" s="116">
        <v>68.025000000000006</v>
      </c>
      <c r="C1619" s="116">
        <v>66.025000000000006</v>
      </c>
      <c r="D1619" s="116">
        <v>65.2</v>
      </c>
      <c r="E1619" s="116">
        <v>65.25</v>
      </c>
      <c r="F1619" s="116">
        <v>132.05000000000001</v>
      </c>
      <c r="G1619">
        <v>982979</v>
      </c>
      <c r="H1619" s="116"/>
      <c r="I1619" s="116"/>
      <c r="L1619" s="166">
        <v>44389</v>
      </c>
      <c r="M1619" s="116">
        <v>65.924999999999997</v>
      </c>
      <c r="N1619" s="116">
        <v>68.025000000000006</v>
      </c>
      <c r="O1619" s="116">
        <v>65.224999999999994</v>
      </c>
      <c r="P1619" s="116">
        <v>66.5</v>
      </c>
      <c r="Q1619" s="116">
        <v>131.85</v>
      </c>
      <c r="R1619">
        <v>869158</v>
      </c>
    </row>
    <row r="1620" spans="1:18" x14ac:dyDescent="0.25">
      <c r="A1620" s="166">
        <v>44390</v>
      </c>
      <c r="B1620" s="116">
        <v>66.724999999999994</v>
      </c>
      <c r="C1620" s="116">
        <v>62.375</v>
      </c>
      <c r="D1620" s="116">
        <v>62.125</v>
      </c>
      <c r="E1620" s="116">
        <v>66.55</v>
      </c>
      <c r="F1620" s="116">
        <v>124.75</v>
      </c>
      <c r="G1620">
        <v>647629</v>
      </c>
      <c r="H1620" s="116"/>
      <c r="I1620" s="116"/>
      <c r="L1620" s="166">
        <v>44390</v>
      </c>
      <c r="M1620" s="116">
        <v>62.5</v>
      </c>
      <c r="N1620" s="116">
        <v>66.825000000000003</v>
      </c>
      <c r="O1620" s="116">
        <v>62.05</v>
      </c>
      <c r="P1620" s="116">
        <v>66.75</v>
      </c>
      <c r="Q1620" s="116">
        <v>125</v>
      </c>
      <c r="R1620">
        <v>1259205</v>
      </c>
    </row>
    <row r="1621" spans="1:18" x14ac:dyDescent="0.25">
      <c r="A1621" s="166">
        <v>44391</v>
      </c>
      <c r="B1621" s="116">
        <v>65.45</v>
      </c>
      <c r="C1621" s="116">
        <v>64.900000000000006</v>
      </c>
      <c r="D1621" s="116">
        <v>62.15</v>
      </c>
      <c r="E1621" s="116">
        <v>63</v>
      </c>
      <c r="F1621" s="116">
        <v>129.80000000000001</v>
      </c>
      <c r="G1621">
        <v>530816</v>
      </c>
      <c r="H1621" s="116"/>
      <c r="I1621" s="116"/>
      <c r="L1621" s="166">
        <v>44391</v>
      </c>
      <c r="M1621" s="116">
        <v>65.025000000000006</v>
      </c>
      <c r="N1621" s="116">
        <v>65.5</v>
      </c>
      <c r="O1621" s="116">
        <v>62.125</v>
      </c>
      <c r="P1621" s="116">
        <v>63</v>
      </c>
      <c r="Q1621" s="116">
        <v>130.05000000000001</v>
      </c>
      <c r="R1621">
        <v>1320447</v>
      </c>
    </row>
    <row r="1622" spans="1:18" x14ac:dyDescent="0.25">
      <c r="A1622" s="166">
        <v>44392</v>
      </c>
      <c r="B1622" s="116">
        <v>68.275000000000006</v>
      </c>
      <c r="C1622" s="116">
        <v>66.55</v>
      </c>
      <c r="D1622" s="116">
        <v>64.224999999999994</v>
      </c>
      <c r="E1622" s="116">
        <v>65.45</v>
      </c>
      <c r="F1622" s="116">
        <v>133.1</v>
      </c>
      <c r="G1622">
        <v>616919</v>
      </c>
      <c r="H1622" s="116"/>
      <c r="I1622" s="116"/>
      <c r="L1622" s="166">
        <v>44392</v>
      </c>
      <c r="M1622" s="116">
        <v>67.275000000000006</v>
      </c>
      <c r="N1622" s="116">
        <v>68.5</v>
      </c>
      <c r="O1622" s="116">
        <v>64.125</v>
      </c>
      <c r="P1622" s="116">
        <v>65.45</v>
      </c>
      <c r="Q1622" s="116">
        <v>134.55000000000001</v>
      </c>
      <c r="R1622">
        <v>1274479</v>
      </c>
    </row>
    <row r="1623" spans="1:18" x14ac:dyDescent="0.25">
      <c r="A1623" s="166">
        <v>44393</v>
      </c>
      <c r="B1623" s="116">
        <v>71.974999999999994</v>
      </c>
      <c r="C1623" s="116">
        <v>70.8</v>
      </c>
      <c r="D1623" s="116">
        <v>66.75</v>
      </c>
      <c r="E1623" s="116">
        <v>68.5</v>
      </c>
      <c r="F1623" s="116">
        <v>141.6</v>
      </c>
      <c r="G1623">
        <v>564698</v>
      </c>
      <c r="H1623" s="116"/>
      <c r="I1623" s="116"/>
      <c r="L1623" s="166">
        <v>44393</v>
      </c>
      <c r="M1623" s="116">
        <v>70.900000000000006</v>
      </c>
      <c r="N1623" s="116">
        <v>72</v>
      </c>
      <c r="O1623" s="116">
        <v>66.650000000000006</v>
      </c>
      <c r="P1623" s="116">
        <v>67.5</v>
      </c>
      <c r="Q1623" s="116">
        <v>141.80000000000001</v>
      </c>
      <c r="R1623">
        <v>3457467</v>
      </c>
    </row>
    <row r="1624" spans="1:18" x14ac:dyDescent="0.25">
      <c r="A1624" s="166">
        <v>44396</v>
      </c>
      <c r="B1624" s="116">
        <v>73.400000000000006</v>
      </c>
      <c r="C1624" s="116">
        <v>69.125</v>
      </c>
      <c r="D1624" s="116">
        <v>68.5</v>
      </c>
      <c r="E1624" s="116">
        <v>71</v>
      </c>
      <c r="F1624" s="116">
        <v>138.25</v>
      </c>
      <c r="G1624">
        <v>541801</v>
      </c>
      <c r="H1624" s="116"/>
      <c r="I1624" s="116"/>
      <c r="L1624" s="166">
        <v>44396</v>
      </c>
      <c r="M1624" s="116">
        <v>69.2</v>
      </c>
      <c r="N1624" s="116">
        <v>73.375</v>
      </c>
      <c r="O1624" s="116">
        <v>68.5</v>
      </c>
      <c r="P1624" s="116">
        <v>71</v>
      </c>
      <c r="Q1624" s="116">
        <v>138.4</v>
      </c>
      <c r="R1624">
        <v>2414936</v>
      </c>
    </row>
    <row r="1625" spans="1:18" x14ac:dyDescent="0.25">
      <c r="A1625" s="166">
        <v>44397</v>
      </c>
      <c r="B1625" s="116">
        <v>74.875</v>
      </c>
      <c r="C1625" s="116">
        <v>73.099999999999994</v>
      </c>
      <c r="D1625" s="116">
        <v>65.474999999999994</v>
      </c>
      <c r="E1625" s="116">
        <v>69.95</v>
      </c>
      <c r="F1625" s="116">
        <v>146.19999999999999</v>
      </c>
      <c r="G1625">
        <v>912392</v>
      </c>
      <c r="H1625" s="116"/>
      <c r="I1625" s="116"/>
      <c r="L1625" s="166">
        <v>44397</v>
      </c>
      <c r="M1625" s="116">
        <v>73.075000000000003</v>
      </c>
      <c r="N1625" s="116">
        <v>74.95</v>
      </c>
      <c r="O1625" s="116">
        <v>65.400000000000006</v>
      </c>
      <c r="P1625" s="116">
        <v>69.95</v>
      </c>
      <c r="Q1625" s="116">
        <v>146.15</v>
      </c>
      <c r="R1625">
        <v>5808353</v>
      </c>
    </row>
    <row r="1626" spans="1:18" x14ac:dyDescent="0.25">
      <c r="A1626" s="166">
        <v>44399</v>
      </c>
      <c r="B1626" s="116">
        <v>74.875</v>
      </c>
      <c r="C1626" s="116">
        <v>72.7</v>
      </c>
      <c r="D1626" s="116">
        <v>71.099999999999994</v>
      </c>
      <c r="E1626" s="116">
        <v>73.825000000000003</v>
      </c>
      <c r="F1626" s="116">
        <v>145.4</v>
      </c>
      <c r="G1626">
        <v>676511</v>
      </c>
      <c r="H1626" s="116"/>
      <c r="I1626" s="116"/>
      <c r="L1626" s="166">
        <v>44399</v>
      </c>
      <c r="M1626" s="116">
        <v>72.724999999999994</v>
      </c>
      <c r="N1626" s="116">
        <v>74.95</v>
      </c>
      <c r="O1626" s="116">
        <v>71.125</v>
      </c>
      <c r="P1626" s="116">
        <v>73.8</v>
      </c>
      <c r="Q1626" s="116">
        <v>145.44999999999999</v>
      </c>
      <c r="R1626">
        <v>2258470</v>
      </c>
    </row>
    <row r="1627" spans="1:18" x14ac:dyDescent="0.25">
      <c r="A1627" s="166">
        <v>44400</v>
      </c>
      <c r="B1627" s="116">
        <v>72.849999999999994</v>
      </c>
      <c r="C1627" s="116">
        <v>70.275000000000006</v>
      </c>
      <c r="D1627" s="116">
        <v>69.775000000000006</v>
      </c>
      <c r="E1627" s="116">
        <v>72.8</v>
      </c>
      <c r="F1627" s="116">
        <v>140.55000000000001</v>
      </c>
      <c r="G1627">
        <v>395176</v>
      </c>
      <c r="H1627" s="116"/>
      <c r="I1627" s="116"/>
      <c r="L1627" s="166">
        <v>44400</v>
      </c>
      <c r="M1627" s="116">
        <v>70.174999999999997</v>
      </c>
      <c r="N1627" s="116">
        <v>73.099999999999994</v>
      </c>
      <c r="O1627" s="116">
        <v>69.5</v>
      </c>
      <c r="P1627" s="116">
        <v>73</v>
      </c>
      <c r="Q1627" s="116">
        <v>140.35</v>
      </c>
      <c r="R1627">
        <v>922721</v>
      </c>
    </row>
    <row r="1628" spans="1:18" x14ac:dyDescent="0.25">
      <c r="A1628" s="166">
        <v>44403</v>
      </c>
      <c r="B1628" s="116">
        <v>73.099999999999994</v>
      </c>
      <c r="C1628" s="116">
        <v>70.8</v>
      </c>
      <c r="D1628" s="116">
        <v>69.75</v>
      </c>
      <c r="E1628" s="116">
        <v>70.45</v>
      </c>
      <c r="F1628" s="116">
        <v>141.6</v>
      </c>
      <c r="G1628">
        <v>225951</v>
      </c>
      <c r="H1628" s="116"/>
      <c r="I1628" s="116"/>
      <c r="L1628" s="166">
        <v>44403</v>
      </c>
      <c r="M1628" s="116">
        <v>70.825000000000003</v>
      </c>
      <c r="N1628" s="116">
        <v>73.2</v>
      </c>
      <c r="O1628" s="116">
        <v>69.775000000000006</v>
      </c>
      <c r="P1628" s="116">
        <v>70</v>
      </c>
      <c r="Q1628" s="116">
        <v>141.65</v>
      </c>
      <c r="R1628">
        <v>1010092</v>
      </c>
    </row>
    <row r="1629" spans="1:18" x14ac:dyDescent="0.25">
      <c r="A1629" s="166">
        <v>44404</v>
      </c>
      <c r="B1629" s="116">
        <v>72.424999999999997</v>
      </c>
      <c r="C1629" s="116">
        <v>68.974999999999994</v>
      </c>
      <c r="D1629" s="116">
        <v>67.650000000000006</v>
      </c>
      <c r="E1629" s="116">
        <v>71.8</v>
      </c>
      <c r="F1629" s="116">
        <v>137.94999999999999</v>
      </c>
      <c r="G1629">
        <v>195415</v>
      </c>
      <c r="H1629" s="116"/>
      <c r="I1629" s="116"/>
      <c r="L1629" s="166">
        <v>44404</v>
      </c>
      <c r="M1629" s="116">
        <v>68.875</v>
      </c>
      <c r="N1629" s="116">
        <v>72.400000000000006</v>
      </c>
      <c r="O1629" s="116">
        <v>67.5</v>
      </c>
      <c r="P1629" s="116">
        <v>71.2</v>
      </c>
      <c r="Q1629" s="116">
        <v>137.75</v>
      </c>
      <c r="R1629">
        <v>1359743</v>
      </c>
    </row>
    <row r="1630" spans="1:18" x14ac:dyDescent="0.25">
      <c r="A1630" s="166">
        <v>44405</v>
      </c>
      <c r="B1630" s="116">
        <v>70.275000000000006</v>
      </c>
      <c r="C1630" s="116">
        <v>69.400000000000006</v>
      </c>
      <c r="D1630" s="116">
        <v>66.424999999999997</v>
      </c>
      <c r="E1630" s="116">
        <v>69.075000000000003</v>
      </c>
      <c r="F1630" s="116">
        <v>138.80000000000001</v>
      </c>
      <c r="G1630">
        <v>131721</v>
      </c>
      <c r="H1630" s="116"/>
      <c r="I1630" s="116"/>
      <c r="L1630" s="166">
        <v>44405</v>
      </c>
      <c r="M1630" s="116">
        <v>69.349999999999994</v>
      </c>
      <c r="N1630" s="116">
        <v>70.349999999999994</v>
      </c>
      <c r="O1630" s="116">
        <v>66.349999999999994</v>
      </c>
      <c r="P1630" s="116">
        <v>69.325000000000003</v>
      </c>
      <c r="Q1630" s="116">
        <v>138.69999999999999</v>
      </c>
      <c r="R1630">
        <v>901763</v>
      </c>
    </row>
    <row r="1631" spans="1:18" x14ac:dyDescent="0.25">
      <c r="A1631" s="166">
        <v>44406</v>
      </c>
      <c r="B1631" s="116">
        <v>71.674999999999997</v>
      </c>
      <c r="C1631" s="116">
        <v>69.875</v>
      </c>
      <c r="D1631" s="116">
        <v>68.974999999999994</v>
      </c>
      <c r="E1631" s="116">
        <v>71</v>
      </c>
      <c r="F1631" s="116">
        <v>139.75</v>
      </c>
      <c r="G1631">
        <v>100136</v>
      </c>
      <c r="H1631" s="116"/>
      <c r="I1631" s="116"/>
      <c r="L1631" s="166">
        <v>44406</v>
      </c>
      <c r="M1631" s="116">
        <v>69.974999999999994</v>
      </c>
      <c r="N1631" s="116">
        <v>71.7</v>
      </c>
      <c r="O1631" s="116">
        <v>69.099999999999994</v>
      </c>
      <c r="P1631" s="116">
        <v>69.900000000000006</v>
      </c>
      <c r="Q1631" s="116">
        <v>139.94999999999999</v>
      </c>
      <c r="R1631">
        <v>769338</v>
      </c>
    </row>
    <row r="1632" spans="1:18" x14ac:dyDescent="0.25">
      <c r="A1632" s="166">
        <v>44407</v>
      </c>
      <c r="B1632" s="116">
        <v>70.5</v>
      </c>
      <c r="C1632" s="116">
        <v>69</v>
      </c>
      <c r="D1632" s="116">
        <v>68.575000000000003</v>
      </c>
      <c r="E1632" s="116">
        <v>69.875</v>
      </c>
      <c r="F1632" s="116">
        <v>138</v>
      </c>
      <c r="G1632">
        <v>130836</v>
      </c>
      <c r="H1632" s="116"/>
      <c r="I1632" s="116"/>
      <c r="L1632" s="166">
        <v>44407</v>
      </c>
      <c r="M1632" s="116">
        <v>68.95</v>
      </c>
      <c r="N1632" s="116">
        <v>70.525000000000006</v>
      </c>
      <c r="O1632" s="116">
        <v>68.525000000000006</v>
      </c>
      <c r="P1632" s="116">
        <v>69.900000000000006</v>
      </c>
      <c r="Q1632" s="116">
        <v>137.9</v>
      </c>
      <c r="R1632">
        <v>586908</v>
      </c>
    </row>
    <row r="1633" spans="1:18" x14ac:dyDescent="0.25">
      <c r="A1633" s="166">
        <v>44410</v>
      </c>
      <c r="B1633" s="116">
        <v>73.349999999999994</v>
      </c>
      <c r="C1633" s="116">
        <v>72.75</v>
      </c>
      <c r="D1633" s="116">
        <v>69.125</v>
      </c>
      <c r="E1633" s="116">
        <v>69.45</v>
      </c>
      <c r="F1633" s="116">
        <v>145.5</v>
      </c>
      <c r="G1633">
        <v>209656</v>
      </c>
      <c r="H1633" s="116"/>
      <c r="I1633" s="116"/>
      <c r="L1633" s="166">
        <v>44410</v>
      </c>
      <c r="M1633" s="116">
        <v>72.75</v>
      </c>
      <c r="N1633" s="116">
        <v>73.400000000000006</v>
      </c>
      <c r="O1633" s="116">
        <v>69.075000000000003</v>
      </c>
      <c r="P1633" s="116">
        <v>69.375</v>
      </c>
      <c r="Q1633" s="116">
        <v>145.5</v>
      </c>
      <c r="R1633">
        <v>1398207</v>
      </c>
    </row>
    <row r="1634" spans="1:18" x14ac:dyDescent="0.25">
      <c r="A1634" s="166">
        <v>44411</v>
      </c>
      <c r="B1634" s="116">
        <v>77.325000000000003</v>
      </c>
      <c r="C1634" s="116">
        <v>75.5</v>
      </c>
      <c r="D1634" s="116">
        <v>72.025000000000006</v>
      </c>
      <c r="E1634" s="116">
        <v>72.775000000000006</v>
      </c>
      <c r="F1634" s="116">
        <v>151</v>
      </c>
      <c r="G1634">
        <v>294276</v>
      </c>
      <c r="H1634" s="116"/>
      <c r="I1634" s="116"/>
      <c r="L1634" s="166">
        <v>44411</v>
      </c>
      <c r="M1634" s="116">
        <v>75.474999999999994</v>
      </c>
      <c r="N1634" s="116">
        <v>77.349999999999994</v>
      </c>
      <c r="O1634" s="116">
        <v>71.974999999999994</v>
      </c>
      <c r="P1634" s="116">
        <v>73</v>
      </c>
      <c r="Q1634" s="116">
        <v>150.94999999999999</v>
      </c>
      <c r="R1634">
        <v>3555622</v>
      </c>
    </row>
    <row r="1635" spans="1:18" x14ac:dyDescent="0.25">
      <c r="A1635" s="166">
        <v>44412</v>
      </c>
      <c r="B1635" s="116">
        <v>76.95</v>
      </c>
      <c r="C1635" s="116">
        <v>72.224999999999994</v>
      </c>
      <c r="D1635" s="116">
        <v>71.75</v>
      </c>
      <c r="E1635" s="116">
        <v>75.924999999999997</v>
      </c>
      <c r="F1635" s="116">
        <v>144.44999999999999</v>
      </c>
      <c r="G1635">
        <v>252619</v>
      </c>
      <c r="H1635" s="116"/>
      <c r="I1635" s="116"/>
      <c r="L1635" s="166">
        <v>44412</v>
      </c>
      <c r="M1635" s="116">
        <v>72.174999999999997</v>
      </c>
      <c r="N1635" s="116">
        <v>76.95</v>
      </c>
      <c r="O1635" s="116">
        <v>71.849999999999994</v>
      </c>
      <c r="P1635" s="116">
        <v>76</v>
      </c>
      <c r="Q1635" s="116">
        <v>144.35</v>
      </c>
      <c r="R1635">
        <v>1498261</v>
      </c>
    </row>
    <row r="1636" spans="1:18" x14ac:dyDescent="0.25">
      <c r="A1636" s="166">
        <v>44413</v>
      </c>
      <c r="B1636" s="116">
        <v>77</v>
      </c>
      <c r="C1636" s="116">
        <v>76.650000000000006</v>
      </c>
      <c r="D1636" s="116">
        <v>71.075000000000003</v>
      </c>
      <c r="E1636" s="116">
        <v>72</v>
      </c>
      <c r="F1636" s="116">
        <v>153.30000000000001</v>
      </c>
      <c r="G1636">
        <v>346203</v>
      </c>
      <c r="H1636" s="116"/>
      <c r="I1636" s="116"/>
      <c r="L1636" s="166">
        <v>44413</v>
      </c>
      <c r="M1636" s="116">
        <v>76.424999999999997</v>
      </c>
      <c r="N1636" s="116">
        <v>77</v>
      </c>
      <c r="O1636" s="116">
        <v>71.099999999999994</v>
      </c>
      <c r="P1636" s="116">
        <v>72.95</v>
      </c>
      <c r="Q1636" s="116">
        <v>152.85</v>
      </c>
      <c r="R1636">
        <v>2054968</v>
      </c>
    </row>
    <row r="1637" spans="1:18" x14ac:dyDescent="0.25">
      <c r="A1637" s="166">
        <v>44414</v>
      </c>
      <c r="B1637" s="116">
        <v>77.775000000000006</v>
      </c>
      <c r="C1637" s="116">
        <v>72.55</v>
      </c>
      <c r="D1637" s="116">
        <v>71.599999999999994</v>
      </c>
      <c r="E1637" s="116">
        <v>76.900000000000006</v>
      </c>
      <c r="F1637" s="116">
        <v>145.1</v>
      </c>
      <c r="G1637">
        <v>266514</v>
      </c>
      <c r="H1637" s="116"/>
      <c r="I1637" s="116"/>
      <c r="L1637" s="166">
        <v>44414</v>
      </c>
      <c r="M1637" s="116">
        <v>72.575000000000003</v>
      </c>
      <c r="N1637" s="116">
        <v>77.400000000000006</v>
      </c>
      <c r="O1637" s="116">
        <v>71.650000000000006</v>
      </c>
      <c r="P1637" s="116">
        <v>76.775000000000006</v>
      </c>
      <c r="Q1637" s="116">
        <v>145.15</v>
      </c>
      <c r="R1637">
        <v>1814360</v>
      </c>
    </row>
    <row r="1638" spans="1:18" x14ac:dyDescent="0.25">
      <c r="A1638" s="166">
        <v>44417</v>
      </c>
      <c r="B1638" s="116">
        <v>76.25</v>
      </c>
      <c r="C1638" s="116">
        <v>74.974999999999994</v>
      </c>
      <c r="D1638" s="116">
        <v>72.075000000000003</v>
      </c>
      <c r="E1638" s="116">
        <v>73.45</v>
      </c>
      <c r="F1638" s="116">
        <v>149.94999999999999</v>
      </c>
      <c r="G1638">
        <v>123749</v>
      </c>
      <c r="H1638" s="116"/>
      <c r="I1638" s="116"/>
      <c r="L1638" s="166">
        <v>44417</v>
      </c>
      <c r="M1638" s="116">
        <v>74.974999999999994</v>
      </c>
      <c r="N1638" s="116">
        <v>76.3</v>
      </c>
      <c r="O1638" s="116">
        <v>72</v>
      </c>
      <c r="P1638" s="116">
        <v>72.674999999999997</v>
      </c>
      <c r="Q1638" s="116">
        <v>149.94999999999999</v>
      </c>
      <c r="R1638">
        <v>1501807</v>
      </c>
    </row>
    <row r="1639" spans="1:18" x14ac:dyDescent="0.25">
      <c r="A1639" s="166">
        <v>44418</v>
      </c>
      <c r="B1639" s="116">
        <v>76.625</v>
      </c>
      <c r="C1639" s="116">
        <v>73.775000000000006</v>
      </c>
      <c r="D1639" s="116">
        <v>71.674999999999997</v>
      </c>
      <c r="E1639" s="116">
        <v>74.974999999999994</v>
      </c>
      <c r="F1639" s="116">
        <v>147.55000000000001</v>
      </c>
      <c r="G1639">
        <v>200067</v>
      </c>
      <c r="H1639" s="116"/>
      <c r="I1639" s="116"/>
      <c r="L1639" s="166">
        <v>44418</v>
      </c>
      <c r="M1639" s="116">
        <v>73.674999999999997</v>
      </c>
      <c r="N1639" s="116">
        <v>76.7</v>
      </c>
      <c r="O1639" s="116">
        <v>71.75</v>
      </c>
      <c r="P1639" s="116">
        <v>74.95</v>
      </c>
      <c r="Q1639" s="116">
        <v>147.35</v>
      </c>
      <c r="R1639">
        <v>1311114</v>
      </c>
    </row>
    <row r="1640" spans="1:18" x14ac:dyDescent="0.25">
      <c r="A1640" s="166">
        <v>44419</v>
      </c>
      <c r="B1640" s="116">
        <v>74.25</v>
      </c>
      <c r="C1640" s="116">
        <v>72.325000000000003</v>
      </c>
      <c r="D1640" s="116">
        <v>68.3</v>
      </c>
      <c r="E1640" s="116">
        <v>72.55</v>
      </c>
      <c r="F1640" s="116">
        <v>144.65</v>
      </c>
      <c r="G1640">
        <v>242102</v>
      </c>
      <c r="H1640" s="116"/>
      <c r="I1640" s="116"/>
      <c r="L1640" s="166">
        <v>44419</v>
      </c>
      <c r="M1640" s="116">
        <v>72.25</v>
      </c>
      <c r="N1640" s="116">
        <v>74.224999999999994</v>
      </c>
      <c r="O1640" s="116">
        <v>68.3</v>
      </c>
      <c r="P1640" s="116">
        <v>73.625</v>
      </c>
      <c r="Q1640" s="116">
        <v>144.5</v>
      </c>
      <c r="R1640">
        <v>1284054</v>
      </c>
    </row>
    <row r="1641" spans="1:18" x14ac:dyDescent="0.25">
      <c r="A1641" s="166">
        <v>44420</v>
      </c>
      <c r="B1641" s="116">
        <v>76.5</v>
      </c>
      <c r="C1641" s="116">
        <v>75.849999999999994</v>
      </c>
      <c r="D1641" s="116">
        <v>73.325000000000003</v>
      </c>
      <c r="E1641" s="116">
        <v>73.325000000000003</v>
      </c>
      <c r="F1641" s="116">
        <v>151.69999999999999</v>
      </c>
      <c r="G1641">
        <v>153484</v>
      </c>
      <c r="H1641" s="116"/>
      <c r="I1641" s="116"/>
      <c r="L1641" s="166">
        <v>44420</v>
      </c>
      <c r="M1641" s="116">
        <v>75.650000000000006</v>
      </c>
      <c r="N1641" s="116">
        <v>76.474999999999994</v>
      </c>
      <c r="O1641" s="116">
        <v>73</v>
      </c>
      <c r="P1641" s="116">
        <v>73.25</v>
      </c>
      <c r="Q1641" s="116">
        <v>151.30000000000001</v>
      </c>
      <c r="R1641">
        <v>844305</v>
      </c>
    </row>
    <row r="1642" spans="1:18" x14ac:dyDescent="0.25">
      <c r="A1642" s="166">
        <v>44421</v>
      </c>
      <c r="B1642" s="116">
        <v>81.95</v>
      </c>
      <c r="C1642" s="116">
        <v>81.075000000000003</v>
      </c>
      <c r="D1642" s="116">
        <v>75.45</v>
      </c>
      <c r="E1642" s="116">
        <v>75.5</v>
      </c>
      <c r="F1642" s="116">
        <v>162.15</v>
      </c>
      <c r="G1642">
        <v>574198</v>
      </c>
      <c r="H1642" s="116"/>
      <c r="I1642" s="116"/>
      <c r="L1642" s="166">
        <v>44421</v>
      </c>
      <c r="M1642" s="116">
        <v>80.95</v>
      </c>
      <c r="N1642" s="116">
        <v>82</v>
      </c>
      <c r="O1642" s="116">
        <v>75.75</v>
      </c>
      <c r="P1642" s="116">
        <v>75.875</v>
      </c>
      <c r="Q1642" s="116">
        <v>161.9</v>
      </c>
      <c r="R1642">
        <v>4600649</v>
      </c>
    </row>
    <row r="1643" spans="1:18" x14ac:dyDescent="0.25">
      <c r="A1643" s="166">
        <v>44424</v>
      </c>
      <c r="B1643" s="116">
        <v>91.1</v>
      </c>
      <c r="C1643" s="116">
        <v>89.2</v>
      </c>
      <c r="D1643" s="116">
        <v>79.775000000000006</v>
      </c>
      <c r="E1643" s="116">
        <v>81.674999999999997</v>
      </c>
      <c r="F1643" s="116">
        <v>178.4</v>
      </c>
      <c r="G1643">
        <v>561565</v>
      </c>
      <c r="H1643" s="116"/>
      <c r="I1643" s="116"/>
      <c r="L1643" s="166">
        <v>44424</v>
      </c>
      <c r="M1643" s="116">
        <v>89.375</v>
      </c>
      <c r="N1643" s="116">
        <v>91.1</v>
      </c>
      <c r="O1643" s="116">
        <v>79.724999999999994</v>
      </c>
      <c r="P1643" s="116">
        <v>81.7</v>
      </c>
      <c r="Q1643" s="116">
        <v>178.75</v>
      </c>
      <c r="R1643">
        <v>6765532</v>
      </c>
    </row>
    <row r="1644" spans="1:18" x14ac:dyDescent="0.25">
      <c r="A1644" s="166">
        <v>44425</v>
      </c>
      <c r="B1644" s="116">
        <v>91.8</v>
      </c>
      <c r="C1644" s="116">
        <v>88.35</v>
      </c>
      <c r="D1644" s="116">
        <v>84.125</v>
      </c>
      <c r="E1644" s="116">
        <v>90</v>
      </c>
      <c r="F1644" s="116">
        <v>176.7</v>
      </c>
      <c r="G1644">
        <v>273835</v>
      </c>
      <c r="H1644" s="116"/>
      <c r="I1644" s="116"/>
      <c r="L1644" s="166">
        <v>44425</v>
      </c>
      <c r="M1644" s="116">
        <v>88.3</v>
      </c>
      <c r="N1644" s="116">
        <v>91.8</v>
      </c>
      <c r="O1644" s="116">
        <v>84</v>
      </c>
      <c r="P1644" s="116">
        <v>90.224999999999994</v>
      </c>
      <c r="Q1644" s="116">
        <v>176.6</v>
      </c>
      <c r="R1644">
        <v>3099578</v>
      </c>
    </row>
    <row r="1645" spans="1:18" x14ac:dyDescent="0.25">
      <c r="A1645" s="166">
        <v>44426</v>
      </c>
      <c r="B1645" s="116">
        <v>88.424999999999997</v>
      </c>
      <c r="C1645" s="116">
        <v>85.674999999999997</v>
      </c>
      <c r="D1645" s="116">
        <v>85</v>
      </c>
      <c r="E1645" s="116">
        <v>88.35</v>
      </c>
      <c r="F1645" s="116">
        <v>171.35</v>
      </c>
      <c r="G1645">
        <v>171161</v>
      </c>
      <c r="H1645" s="116"/>
      <c r="I1645" s="116"/>
      <c r="L1645" s="166">
        <v>44426</v>
      </c>
      <c r="M1645" s="116">
        <v>85.674999999999997</v>
      </c>
      <c r="N1645" s="116">
        <v>88.45</v>
      </c>
      <c r="O1645" s="116">
        <v>85.05</v>
      </c>
      <c r="P1645" s="116">
        <v>87.924999999999997</v>
      </c>
      <c r="Q1645" s="116">
        <v>171.35</v>
      </c>
      <c r="R1645">
        <v>904236</v>
      </c>
    </row>
    <row r="1646" spans="1:18" x14ac:dyDescent="0.25">
      <c r="A1646" s="166">
        <v>44428</v>
      </c>
      <c r="B1646" s="116">
        <v>85.75</v>
      </c>
      <c r="C1646" s="116">
        <v>81.849999999999994</v>
      </c>
      <c r="D1646" s="116">
        <v>79.8</v>
      </c>
      <c r="E1646" s="116">
        <v>85.75</v>
      </c>
      <c r="F1646" s="116">
        <v>163.69999999999999</v>
      </c>
      <c r="G1646">
        <v>165802</v>
      </c>
      <c r="H1646" s="116"/>
      <c r="I1646" s="116"/>
      <c r="L1646" s="166">
        <v>44428</v>
      </c>
      <c r="M1646" s="116">
        <v>81.5</v>
      </c>
      <c r="N1646" s="116">
        <v>85.35</v>
      </c>
      <c r="O1646" s="116">
        <v>79.525000000000006</v>
      </c>
      <c r="P1646" s="116">
        <v>85.35</v>
      </c>
      <c r="Q1646" s="116">
        <v>163</v>
      </c>
      <c r="R1646">
        <v>1272340</v>
      </c>
    </row>
    <row r="1647" spans="1:18" x14ac:dyDescent="0.25">
      <c r="A1647" s="166">
        <v>44431</v>
      </c>
      <c r="B1647" s="116">
        <v>83.275000000000006</v>
      </c>
      <c r="C1647" s="116">
        <v>75.5</v>
      </c>
      <c r="D1647" s="116">
        <v>72.75</v>
      </c>
      <c r="E1647" s="116">
        <v>82.174999999999997</v>
      </c>
      <c r="F1647" s="116">
        <v>151</v>
      </c>
      <c r="G1647">
        <v>304079</v>
      </c>
      <c r="H1647" s="116"/>
      <c r="I1647" s="116"/>
      <c r="L1647" s="166">
        <v>44431</v>
      </c>
      <c r="M1647" s="116">
        <v>75.349999999999994</v>
      </c>
      <c r="N1647" s="116">
        <v>83.4</v>
      </c>
      <c r="O1647" s="116">
        <v>72.599999999999994</v>
      </c>
      <c r="P1647" s="116">
        <v>83.4</v>
      </c>
      <c r="Q1647" s="116">
        <v>150.69999999999999</v>
      </c>
      <c r="R1647">
        <v>1952226</v>
      </c>
    </row>
    <row r="1648" spans="1:18" x14ac:dyDescent="0.25">
      <c r="A1648" s="166">
        <v>44432</v>
      </c>
      <c r="B1648" s="116">
        <v>81.75</v>
      </c>
      <c r="C1648" s="116">
        <v>80.400000000000006</v>
      </c>
      <c r="D1648" s="116">
        <v>74.150000000000006</v>
      </c>
      <c r="E1648" s="116">
        <v>76</v>
      </c>
      <c r="F1648" s="116">
        <v>160.80000000000001</v>
      </c>
      <c r="G1648">
        <v>206125</v>
      </c>
      <c r="H1648" s="116"/>
      <c r="I1648" s="116"/>
      <c r="L1648" s="166">
        <v>44432</v>
      </c>
      <c r="M1648" s="116">
        <v>80.3</v>
      </c>
      <c r="N1648" s="116">
        <v>81.775000000000006</v>
      </c>
      <c r="O1648" s="116">
        <v>74</v>
      </c>
      <c r="P1648" s="116">
        <v>75.900000000000006</v>
      </c>
      <c r="Q1648" s="116">
        <v>160.6</v>
      </c>
      <c r="R1648">
        <v>1310148</v>
      </c>
    </row>
    <row r="1649" spans="1:18" x14ac:dyDescent="0.25">
      <c r="A1649" s="166">
        <v>44433</v>
      </c>
      <c r="B1649" s="116">
        <v>81.724999999999994</v>
      </c>
      <c r="C1649" s="116">
        <v>80.125</v>
      </c>
      <c r="D1649" s="116">
        <v>79</v>
      </c>
      <c r="E1649" s="116">
        <v>80.400000000000006</v>
      </c>
      <c r="F1649" s="116">
        <v>160.25</v>
      </c>
      <c r="G1649">
        <v>130094</v>
      </c>
      <c r="H1649" s="116"/>
      <c r="I1649" s="116"/>
      <c r="L1649" s="166">
        <v>44433</v>
      </c>
      <c r="M1649" s="116">
        <v>80.2</v>
      </c>
      <c r="N1649" s="116">
        <v>81.650000000000006</v>
      </c>
      <c r="O1649" s="116">
        <v>79</v>
      </c>
      <c r="P1649" s="116">
        <v>80.3</v>
      </c>
      <c r="Q1649" s="116">
        <v>160.4</v>
      </c>
      <c r="R1649">
        <v>788775</v>
      </c>
    </row>
    <row r="1650" spans="1:18" x14ac:dyDescent="0.25">
      <c r="A1650" s="166">
        <v>44434</v>
      </c>
      <c r="B1650" s="116">
        <v>84.125</v>
      </c>
      <c r="C1650" s="116">
        <v>82.125</v>
      </c>
      <c r="D1650" s="116">
        <v>79.775000000000006</v>
      </c>
      <c r="E1650" s="116">
        <v>81.95</v>
      </c>
      <c r="F1650" s="116">
        <v>164.25</v>
      </c>
      <c r="G1650">
        <v>141223</v>
      </c>
      <c r="H1650" s="116"/>
      <c r="I1650" s="116"/>
      <c r="L1650" s="166">
        <v>44434</v>
      </c>
      <c r="M1650" s="116">
        <v>82.3</v>
      </c>
      <c r="N1650" s="116">
        <v>84.1</v>
      </c>
      <c r="O1650" s="116">
        <v>79.55</v>
      </c>
      <c r="P1650" s="116">
        <v>80</v>
      </c>
      <c r="Q1650" s="116">
        <v>164.6</v>
      </c>
      <c r="R1650">
        <v>1220602</v>
      </c>
    </row>
    <row r="1651" spans="1:18" x14ac:dyDescent="0.25">
      <c r="A1651" s="166">
        <v>44435</v>
      </c>
      <c r="B1651" s="116">
        <v>83.375</v>
      </c>
      <c r="C1651" s="116">
        <v>81.575000000000003</v>
      </c>
      <c r="D1651" s="116">
        <v>80.95</v>
      </c>
      <c r="E1651" s="116">
        <v>82.25</v>
      </c>
      <c r="F1651" s="116">
        <v>163.15</v>
      </c>
      <c r="G1651">
        <v>84640</v>
      </c>
      <c r="H1651" s="116"/>
      <c r="I1651" s="116"/>
      <c r="L1651" s="166">
        <v>44435</v>
      </c>
      <c r="M1651" s="116">
        <v>81.599999999999994</v>
      </c>
      <c r="N1651" s="116">
        <v>83.5</v>
      </c>
      <c r="O1651" s="116">
        <v>80.875</v>
      </c>
      <c r="P1651" s="116">
        <v>82.2</v>
      </c>
      <c r="Q1651" s="116">
        <v>163.19999999999999</v>
      </c>
      <c r="R1651">
        <v>567535</v>
      </c>
    </row>
    <row r="1652" spans="1:18" x14ac:dyDescent="0.25">
      <c r="A1652" s="166">
        <v>44438</v>
      </c>
      <c r="B1652" s="116">
        <v>83.3</v>
      </c>
      <c r="C1652" s="116">
        <v>81.525000000000006</v>
      </c>
      <c r="D1652" s="116">
        <v>81</v>
      </c>
      <c r="E1652" s="116">
        <v>82.85</v>
      </c>
      <c r="F1652" s="116">
        <v>163.05000000000001</v>
      </c>
      <c r="G1652">
        <v>110837</v>
      </c>
      <c r="H1652" s="116"/>
      <c r="I1652" s="116"/>
      <c r="L1652" s="166">
        <v>44438</v>
      </c>
      <c r="M1652" s="116">
        <v>81.5</v>
      </c>
      <c r="N1652" s="116">
        <v>83.25</v>
      </c>
      <c r="O1652" s="116">
        <v>81</v>
      </c>
      <c r="P1652" s="116">
        <v>81.45</v>
      </c>
      <c r="Q1652" s="116">
        <v>163</v>
      </c>
      <c r="R1652">
        <v>547248</v>
      </c>
    </row>
    <row r="1653" spans="1:18" x14ac:dyDescent="0.25">
      <c r="A1653" s="166">
        <v>44439</v>
      </c>
      <c r="B1653" s="116">
        <v>84.25</v>
      </c>
      <c r="C1653" s="116">
        <v>82.224999999999994</v>
      </c>
      <c r="D1653" s="116">
        <v>80.125</v>
      </c>
      <c r="E1653" s="116">
        <v>82.45</v>
      </c>
      <c r="F1653" s="116">
        <v>164.45</v>
      </c>
      <c r="G1653">
        <v>221203</v>
      </c>
      <c r="H1653" s="116"/>
      <c r="I1653" s="116"/>
      <c r="L1653" s="166">
        <v>44439</v>
      </c>
      <c r="M1653" s="116">
        <v>82.25</v>
      </c>
      <c r="N1653" s="116">
        <v>84.35</v>
      </c>
      <c r="O1653" s="116">
        <v>80.2</v>
      </c>
      <c r="P1653" s="116">
        <v>82</v>
      </c>
      <c r="Q1653" s="116">
        <v>164.5</v>
      </c>
      <c r="R1653">
        <v>1086510</v>
      </c>
    </row>
    <row r="1654" spans="1:18" x14ac:dyDescent="0.25">
      <c r="A1654" s="166">
        <v>44440</v>
      </c>
      <c r="B1654" s="116">
        <v>87.575000000000003</v>
      </c>
      <c r="C1654" s="116">
        <v>85.35</v>
      </c>
      <c r="D1654" s="116">
        <v>81.400000000000006</v>
      </c>
      <c r="E1654" s="116">
        <v>84.25</v>
      </c>
      <c r="F1654" s="116">
        <v>170.7</v>
      </c>
      <c r="G1654">
        <v>247590</v>
      </c>
      <c r="H1654" s="116"/>
      <c r="I1654" s="116"/>
      <c r="L1654" s="166">
        <v>44440</v>
      </c>
      <c r="M1654" s="116">
        <v>85.375</v>
      </c>
      <c r="N1654" s="116">
        <v>87.7</v>
      </c>
      <c r="O1654" s="116">
        <v>81.3</v>
      </c>
      <c r="P1654" s="116">
        <v>82.9</v>
      </c>
      <c r="Q1654" s="116">
        <v>170.75</v>
      </c>
      <c r="R1654">
        <v>1555424</v>
      </c>
    </row>
    <row r="1655" spans="1:18" x14ac:dyDescent="0.25">
      <c r="A1655" s="166">
        <v>44441</v>
      </c>
      <c r="B1655" s="116">
        <v>86.9</v>
      </c>
      <c r="C1655" s="116">
        <v>85.3</v>
      </c>
      <c r="D1655" s="116">
        <v>84.224999999999994</v>
      </c>
      <c r="E1655" s="116">
        <v>85.575000000000003</v>
      </c>
      <c r="F1655" s="116">
        <v>170.6</v>
      </c>
      <c r="G1655">
        <v>146511</v>
      </c>
      <c r="H1655" s="116"/>
      <c r="I1655" s="116"/>
      <c r="L1655" s="166">
        <v>44441</v>
      </c>
      <c r="M1655" s="116">
        <v>85.35</v>
      </c>
      <c r="N1655" s="116">
        <v>86.924999999999997</v>
      </c>
      <c r="O1655" s="116">
        <v>84.2</v>
      </c>
      <c r="P1655" s="116">
        <v>85.5</v>
      </c>
      <c r="Q1655" s="116">
        <v>170.7</v>
      </c>
      <c r="R1655">
        <v>886232</v>
      </c>
    </row>
    <row r="1656" spans="1:18" x14ac:dyDescent="0.25">
      <c r="A1656" s="166">
        <v>44442</v>
      </c>
      <c r="B1656" s="116">
        <v>87.2</v>
      </c>
      <c r="C1656" s="116">
        <v>84.8</v>
      </c>
      <c r="D1656" s="116">
        <v>84.25</v>
      </c>
      <c r="E1656" s="116">
        <v>85.55</v>
      </c>
      <c r="F1656" s="116">
        <v>169.6</v>
      </c>
      <c r="G1656">
        <v>120884</v>
      </c>
      <c r="H1656" s="116"/>
      <c r="I1656" s="116"/>
      <c r="L1656" s="166">
        <v>44442</v>
      </c>
      <c r="M1656" s="116">
        <v>84.825000000000003</v>
      </c>
      <c r="N1656" s="116">
        <v>87.375</v>
      </c>
      <c r="O1656" s="116">
        <v>84.2</v>
      </c>
      <c r="P1656" s="116">
        <v>85.7</v>
      </c>
      <c r="Q1656" s="116">
        <v>169.65</v>
      </c>
      <c r="R1656">
        <v>698418</v>
      </c>
    </row>
    <row r="1657" spans="1:18" x14ac:dyDescent="0.25">
      <c r="A1657" s="166">
        <v>44445</v>
      </c>
      <c r="B1657" s="116">
        <v>85.924999999999997</v>
      </c>
      <c r="C1657" s="116">
        <v>84.1</v>
      </c>
      <c r="D1657" s="116">
        <v>83.65</v>
      </c>
      <c r="E1657" s="116">
        <v>84.1</v>
      </c>
      <c r="F1657" s="116">
        <v>168.2</v>
      </c>
      <c r="G1657">
        <v>73652</v>
      </c>
      <c r="H1657" s="116"/>
      <c r="I1657" s="116"/>
      <c r="L1657" s="166">
        <v>44445</v>
      </c>
      <c r="M1657" s="116">
        <v>84.125</v>
      </c>
      <c r="N1657" s="116">
        <v>86</v>
      </c>
      <c r="O1657" s="116">
        <v>83.55</v>
      </c>
      <c r="P1657" s="116">
        <v>85.2</v>
      </c>
      <c r="Q1657" s="116">
        <v>168.25</v>
      </c>
      <c r="R1657">
        <v>461097</v>
      </c>
    </row>
    <row r="1658" spans="1:18" x14ac:dyDescent="0.25">
      <c r="A1658" s="166">
        <v>44446</v>
      </c>
      <c r="B1658" s="116">
        <v>87.275000000000006</v>
      </c>
      <c r="C1658" s="116">
        <v>84.825000000000003</v>
      </c>
      <c r="D1658" s="116">
        <v>82.474999999999994</v>
      </c>
      <c r="E1658" s="116">
        <v>84.474999999999994</v>
      </c>
      <c r="F1658" s="116">
        <v>169.65</v>
      </c>
      <c r="G1658">
        <v>127291</v>
      </c>
      <c r="H1658" s="116"/>
      <c r="I1658" s="116"/>
      <c r="L1658" s="166">
        <v>44446</v>
      </c>
      <c r="M1658" s="116">
        <v>84.875</v>
      </c>
      <c r="N1658" s="116">
        <v>87.35</v>
      </c>
      <c r="O1658" s="116">
        <v>82.4</v>
      </c>
      <c r="P1658" s="116">
        <v>84.5</v>
      </c>
      <c r="Q1658" s="116">
        <v>169.75</v>
      </c>
      <c r="R1658">
        <v>965384</v>
      </c>
    </row>
    <row r="1659" spans="1:18" x14ac:dyDescent="0.25">
      <c r="A1659" s="166">
        <v>44447</v>
      </c>
      <c r="B1659" s="116">
        <v>92.974999999999994</v>
      </c>
      <c r="C1659" s="116">
        <v>90.25</v>
      </c>
      <c r="D1659" s="116">
        <v>84.25</v>
      </c>
      <c r="E1659" s="116">
        <v>85</v>
      </c>
      <c r="F1659" s="116">
        <v>180.5</v>
      </c>
      <c r="G1659">
        <v>266212</v>
      </c>
      <c r="H1659" s="116"/>
      <c r="I1659" s="116"/>
      <c r="L1659" s="166">
        <v>44447</v>
      </c>
      <c r="M1659" s="116">
        <v>90.2</v>
      </c>
      <c r="N1659" s="116">
        <v>93</v>
      </c>
      <c r="O1659" s="116">
        <v>84.15</v>
      </c>
      <c r="P1659" s="116">
        <v>85.35</v>
      </c>
      <c r="Q1659" s="116">
        <v>180.4</v>
      </c>
      <c r="R1659">
        <v>2922754</v>
      </c>
    </row>
    <row r="1660" spans="1:18" x14ac:dyDescent="0.25">
      <c r="A1660" s="166">
        <v>44448</v>
      </c>
      <c r="B1660" s="116">
        <v>91.45</v>
      </c>
      <c r="C1660" s="116">
        <v>88.625</v>
      </c>
      <c r="D1660" s="116">
        <v>87.8</v>
      </c>
      <c r="E1660" s="116">
        <v>89.5</v>
      </c>
      <c r="F1660" s="116">
        <v>177.25</v>
      </c>
      <c r="G1660">
        <v>190415</v>
      </c>
      <c r="H1660" s="116"/>
      <c r="I1660" s="116"/>
      <c r="L1660" s="166">
        <v>44448</v>
      </c>
      <c r="M1660" s="116">
        <v>88.85</v>
      </c>
      <c r="N1660" s="116">
        <v>91.474999999999994</v>
      </c>
      <c r="O1660" s="116">
        <v>87.775000000000006</v>
      </c>
      <c r="P1660" s="116">
        <v>90.15</v>
      </c>
      <c r="Q1660" s="116">
        <v>177.7</v>
      </c>
      <c r="R1660">
        <v>968323</v>
      </c>
    </row>
    <row r="1661" spans="1:18" x14ac:dyDescent="0.25">
      <c r="A1661" s="166">
        <v>44452</v>
      </c>
      <c r="B1661" s="116">
        <v>90.724999999999994</v>
      </c>
      <c r="C1661" s="116">
        <v>88.3</v>
      </c>
      <c r="D1661" s="116">
        <v>87.55</v>
      </c>
      <c r="E1661" s="116">
        <v>88.924999999999997</v>
      </c>
      <c r="F1661" s="116">
        <v>176.6</v>
      </c>
      <c r="G1661">
        <v>219147</v>
      </c>
      <c r="H1661" s="116"/>
      <c r="I1661" s="116"/>
      <c r="L1661" s="166">
        <v>44452</v>
      </c>
      <c r="M1661" s="116">
        <v>88.275000000000006</v>
      </c>
      <c r="N1661" s="116">
        <v>90.75</v>
      </c>
      <c r="O1661" s="116">
        <v>87.5</v>
      </c>
      <c r="P1661" s="116">
        <v>88.85</v>
      </c>
      <c r="Q1661" s="116">
        <v>176.55</v>
      </c>
      <c r="R1661">
        <v>954426</v>
      </c>
    </row>
    <row r="1662" spans="1:18" x14ac:dyDescent="0.25">
      <c r="A1662" s="166">
        <v>44453</v>
      </c>
      <c r="B1662" s="116">
        <v>89.474999999999994</v>
      </c>
      <c r="C1662" s="116">
        <v>87.974999999999994</v>
      </c>
      <c r="D1662" s="116">
        <v>86.974999999999994</v>
      </c>
      <c r="E1662" s="116">
        <v>89.424999999999997</v>
      </c>
      <c r="F1662" s="116">
        <v>175.95</v>
      </c>
      <c r="G1662">
        <v>150889</v>
      </c>
      <c r="H1662" s="116"/>
      <c r="I1662" s="116"/>
      <c r="L1662" s="166">
        <v>44453</v>
      </c>
      <c r="M1662" s="116">
        <v>88.025000000000006</v>
      </c>
      <c r="N1662" s="116">
        <v>89.525000000000006</v>
      </c>
      <c r="O1662" s="116">
        <v>87</v>
      </c>
      <c r="P1662" s="116">
        <v>88.775000000000006</v>
      </c>
      <c r="Q1662" s="116">
        <v>176.05</v>
      </c>
      <c r="R1662">
        <v>562099</v>
      </c>
    </row>
    <row r="1663" spans="1:18" x14ac:dyDescent="0.25">
      <c r="A1663" s="166">
        <v>44454</v>
      </c>
      <c r="B1663" s="116">
        <v>89.45</v>
      </c>
      <c r="C1663" s="116">
        <v>86.55</v>
      </c>
      <c r="D1663" s="116">
        <v>85.924999999999997</v>
      </c>
      <c r="E1663" s="116">
        <v>89.45</v>
      </c>
      <c r="F1663" s="116">
        <v>173.1</v>
      </c>
      <c r="G1663">
        <v>72807</v>
      </c>
      <c r="H1663" s="116"/>
      <c r="I1663" s="116"/>
      <c r="L1663" s="166">
        <v>44454</v>
      </c>
      <c r="M1663" s="116">
        <v>86.6</v>
      </c>
      <c r="N1663" s="116">
        <v>89.474999999999994</v>
      </c>
      <c r="O1663" s="116">
        <v>85.85</v>
      </c>
      <c r="P1663" s="116">
        <v>88.724999999999994</v>
      </c>
      <c r="Q1663" s="116">
        <v>173.2</v>
      </c>
      <c r="R1663">
        <v>455876</v>
      </c>
    </row>
    <row r="1664" spans="1:18" x14ac:dyDescent="0.25">
      <c r="A1664" s="166">
        <v>44455</v>
      </c>
      <c r="B1664" s="116">
        <v>91</v>
      </c>
      <c r="C1664" s="116">
        <v>89</v>
      </c>
      <c r="D1664" s="116">
        <v>85.625</v>
      </c>
      <c r="E1664" s="116">
        <v>87.875</v>
      </c>
      <c r="F1664" s="116">
        <v>178</v>
      </c>
      <c r="G1664">
        <v>281683</v>
      </c>
      <c r="H1664" s="116"/>
      <c r="I1664" s="116"/>
      <c r="L1664" s="166">
        <v>44455</v>
      </c>
      <c r="M1664" s="116">
        <v>88.95</v>
      </c>
      <c r="N1664" s="116">
        <v>90.974999999999994</v>
      </c>
      <c r="O1664" s="116">
        <v>85.5</v>
      </c>
      <c r="P1664" s="116">
        <v>87.275000000000006</v>
      </c>
      <c r="Q1664" s="116">
        <v>177.9</v>
      </c>
      <c r="R1664">
        <v>1269197</v>
      </c>
    </row>
    <row r="1665" spans="1:18" x14ac:dyDescent="0.25">
      <c r="A1665" s="166">
        <v>44456</v>
      </c>
      <c r="B1665" s="116">
        <v>90.5</v>
      </c>
      <c r="C1665" s="116">
        <v>86.724999999999994</v>
      </c>
      <c r="D1665" s="116">
        <v>85</v>
      </c>
      <c r="E1665" s="116">
        <v>89.025000000000006</v>
      </c>
      <c r="F1665" s="116">
        <v>173.45</v>
      </c>
      <c r="G1665">
        <v>212628</v>
      </c>
      <c r="H1665" s="116"/>
      <c r="I1665" s="116"/>
      <c r="L1665" s="166">
        <v>44456</v>
      </c>
      <c r="M1665" s="116">
        <v>86.775000000000006</v>
      </c>
      <c r="N1665" s="116">
        <v>90.224999999999994</v>
      </c>
      <c r="O1665" s="116">
        <v>85</v>
      </c>
      <c r="P1665" s="116">
        <v>89.7</v>
      </c>
      <c r="Q1665" s="116">
        <v>173.55</v>
      </c>
      <c r="R1665">
        <v>783529</v>
      </c>
    </row>
    <row r="1666" spans="1:18" x14ac:dyDescent="0.25">
      <c r="A1666" s="166">
        <v>44459</v>
      </c>
      <c r="B1666" s="116">
        <v>87.474999999999994</v>
      </c>
      <c r="C1666" s="116">
        <v>83.924999999999997</v>
      </c>
      <c r="D1666" s="116">
        <v>83.025000000000006</v>
      </c>
      <c r="E1666" s="116">
        <v>87.474999999999994</v>
      </c>
      <c r="F1666" s="116">
        <v>167.85</v>
      </c>
      <c r="G1666">
        <v>97073</v>
      </c>
      <c r="H1666" s="116"/>
      <c r="I1666" s="116"/>
      <c r="L1666" s="166">
        <v>44459</v>
      </c>
      <c r="M1666" s="116">
        <v>83.724999999999994</v>
      </c>
      <c r="N1666" s="116">
        <v>86.45</v>
      </c>
      <c r="O1666" s="116">
        <v>83.05</v>
      </c>
      <c r="P1666" s="116">
        <v>85.85</v>
      </c>
      <c r="Q1666" s="116">
        <v>167.45</v>
      </c>
      <c r="R1666">
        <v>592317</v>
      </c>
    </row>
    <row r="1667" spans="1:18" x14ac:dyDescent="0.25">
      <c r="A1667" s="166">
        <v>44460</v>
      </c>
      <c r="B1667" s="116">
        <v>84.6</v>
      </c>
      <c r="C1667" s="116">
        <v>82.8</v>
      </c>
      <c r="D1667" s="116">
        <v>79</v>
      </c>
      <c r="E1667" s="116">
        <v>84</v>
      </c>
      <c r="F1667" s="116">
        <v>165.6</v>
      </c>
      <c r="G1667">
        <v>163166</v>
      </c>
      <c r="H1667" s="116"/>
      <c r="I1667" s="116"/>
      <c r="L1667" s="166">
        <v>44460</v>
      </c>
      <c r="M1667" s="116">
        <v>82.924999999999997</v>
      </c>
      <c r="N1667" s="116">
        <v>84.7</v>
      </c>
      <c r="O1667" s="116">
        <v>79.05</v>
      </c>
      <c r="P1667" s="116">
        <v>84.075000000000003</v>
      </c>
      <c r="Q1667" s="116">
        <v>165.85</v>
      </c>
      <c r="R1667">
        <v>674097</v>
      </c>
    </row>
    <row r="1668" spans="1:18" x14ac:dyDescent="0.25">
      <c r="A1668" s="166">
        <v>44461</v>
      </c>
      <c r="B1668" s="116">
        <v>85.875</v>
      </c>
      <c r="C1668" s="116">
        <v>83.8</v>
      </c>
      <c r="D1668" s="116">
        <v>81.5</v>
      </c>
      <c r="E1668" s="116">
        <v>81.5</v>
      </c>
      <c r="F1668" s="116">
        <v>167.6</v>
      </c>
      <c r="G1668">
        <v>99233</v>
      </c>
      <c r="H1668" s="116"/>
      <c r="I1668" s="116"/>
      <c r="L1668" s="166">
        <v>44461</v>
      </c>
      <c r="M1668" s="116">
        <v>83.75</v>
      </c>
      <c r="N1668" s="116">
        <v>85.8</v>
      </c>
      <c r="O1668" s="116">
        <v>81.599999999999994</v>
      </c>
      <c r="P1668" s="116">
        <v>82.924999999999997</v>
      </c>
      <c r="Q1668" s="116">
        <v>167.5</v>
      </c>
      <c r="R1668">
        <v>787201</v>
      </c>
    </row>
    <row r="1669" spans="1:18" x14ac:dyDescent="0.25">
      <c r="A1669" s="166">
        <v>44462</v>
      </c>
      <c r="B1669" s="116">
        <v>87.224999999999994</v>
      </c>
      <c r="C1669" s="116">
        <v>85.9</v>
      </c>
      <c r="D1669" s="116">
        <v>85.1</v>
      </c>
      <c r="E1669" s="116">
        <v>85.5</v>
      </c>
      <c r="F1669" s="116">
        <v>171.8</v>
      </c>
      <c r="G1669">
        <v>121089</v>
      </c>
      <c r="H1669" s="116"/>
      <c r="I1669" s="116"/>
      <c r="L1669" s="166">
        <v>44462</v>
      </c>
      <c r="M1669" s="116">
        <v>86.1</v>
      </c>
      <c r="N1669" s="116">
        <v>87.25</v>
      </c>
      <c r="O1669" s="116">
        <v>85</v>
      </c>
      <c r="P1669" s="116">
        <v>86.3</v>
      </c>
      <c r="Q1669" s="116">
        <v>172.2</v>
      </c>
      <c r="R1669">
        <v>686891</v>
      </c>
    </row>
    <row r="1670" spans="1:18" x14ac:dyDescent="0.25">
      <c r="A1670" s="166">
        <v>44463</v>
      </c>
      <c r="B1670" s="116">
        <v>86.875</v>
      </c>
      <c r="C1670" s="116">
        <v>84.85</v>
      </c>
      <c r="D1670" s="116">
        <v>84.525000000000006</v>
      </c>
      <c r="E1670" s="116">
        <v>86.5</v>
      </c>
      <c r="F1670" s="116">
        <v>169.7</v>
      </c>
      <c r="G1670">
        <v>79420</v>
      </c>
      <c r="H1670" s="116"/>
      <c r="I1670" s="116"/>
      <c r="L1670" s="166">
        <v>44463</v>
      </c>
      <c r="M1670" s="116">
        <v>84.875</v>
      </c>
      <c r="N1670" s="116">
        <v>86.924999999999997</v>
      </c>
      <c r="O1670" s="116">
        <v>84.5</v>
      </c>
      <c r="P1670" s="116">
        <v>86.625</v>
      </c>
      <c r="Q1670" s="116">
        <v>169.75</v>
      </c>
      <c r="R1670">
        <v>514499</v>
      </c>
    </row>
    <row r="1671" spans="1:18" x14ac:dyDescent="0.25">
      <c r="A1671" s="166">
        <v>44466</v>
      </c>
      <c r="B1671" s="116">
        <v>85.674999999999997</v>
      </c>
      <c r="C1671" s="116">
        <v>83.7</v>
      </c>
      <c r="D1671" s="116">
        <v>83.174999999999997</v>
      </c>
      <c r="E1671" s="116">
        <v>85.25</v>
      </c>
      <c r="F1671" s="116">
        <v>167.4</v>
      </c>
      <c r="G1671">
        <v>41065</v>
      </c>
      <c r="H1671" s="116"/>
      <c r="I1671" s="116"/>
      <c r="L1671" s="166">
        <v>44466</v>
      </c>
      <c r="M1671" s="116">
        <v>83.474999999999994</v>
      </c>
      <c r="N1671" s="116">
        <v>85.7</v>
      </c>
      <c r="O1671" s="116">
        <v>83.1</v>
      </c>
      <c r="P1671" s="116">
        <v>85</v>
      </c>
      <c r="Q1671" s="116">
        <v>166.95</v>
      </c>
      <c r="R1671">
        <v>368684</v>
      </c>
    </row>
    <row r="1672" spans="1:18" x14ac:dyDescent="0.25">
      <c r="A1672" s="166">
        <v>44467</v>
      </c>
      <c r="B1672" s="116">
        <v>85</v>
      </c>
      <c r="C1672" s="116">
        <v>83.125</v>
      </c>
      <c r="D1672" s="116">
        <v>81.900000000000006</v>
      </c>
      <c r="E1672" s="116">
        <v>83.65</v>
      </c>
      <c r="F1672" s="116">
        <v>166.25</v>
      </c>
      <c r="G1672">
        <v>97026</v>
      </c>
      <c r="H1672" s="116"/>
      <c r="I1672" s="116"/>
      <c r="L1672" s="166">
        <v>44467</v>
      </c>
      <c r="M1672" s="116">
        <v>83.025000000000006</v>
      </c>
      <c r="N1672" s="116">
        <v>85.15</v>
      </c>
      <c r="O1672" s="116">
        <v>82</v>
      </c>
      <c r="P1672" s="116">
        <v>83.6</v>
      </c>
      <c r="Q1672" s="116">
        <v>166.05</v>
      </c>
      <c r="R1672">
        <v>333691</v>
      </c>
    </row>
    <row r="1673" spans="1:18" x14ac:dyDescent="0.25">
      <c r="A1673" s="166">
        <v>44468</v>
      </c>
      <c r="B1673" s="116">
        <v>84</v>
      </c>
      <c r="C1673" s="116">
        <v>82.174999999999997</v>
      </c>
      <c r="D1673" s="116">
        <v>81.150000000000006</v>
      </c>
      <c r="E1673" s="116">
        <v>82.55</v>
      </c>
      <c r="F1673" s="116">
        <v>164.35</v>
      </c>
      <c r="G1673">
        <v>77199</v>
      </c>
      <c r="H1673" s="116"/>
      <c r="I1673" s="116"/>
      <c r="L1673" s="166">
        <v>44468</v>
      </c>
      <c r="M1673" s="116">
        <v>82.2</v>
      </c>
      <c r="N1673" s="116">
        <v>83.974999999999994</v>
      </c>
      <c r="O1673" s="116">
        <v>80.55</v>
      </c>
      <c r="P1673" s="116">
        <v>83.7</v>
      </c>
      <c r="Q1673" s="116">
        <v>164.4</v>
      </c>
      <c r="R1673">
        <v>450532</v>
      </c>
    </row>
    <row r="1674" spans="1:18" x14ac:dyDescent="0.25">
      <c r="A1674" s="166">
        <v>44469</v>
      </c>
      <c r="B1674" s="116">
        <v>84.825000000000003</v>
      </c>
      <c r="C1674" s="116">
        <v>83.9</v>
      </c>
      <c r="D1674" s="116">
        <v>81.900000000000006</v>
      </c>
      <c r="E1674" s="116">
        <v>82.174999999999997</v>
      </c>
      <c r="F1674" s="116">
        <v>167.8</v>
      </c>
      <c r="G1674">
        <v>44205</v>
      </c>
      <c r="H1674" s="116"/>
      <c r="I1674" s="116"/>
      <c r="L1674" s="166">
        <v>44469</v>
      </c>
      <c r="M1674" s="116">
        <v>83.8</v>
      </c>
      <c r="N1674" s="116">
        <v>84.8</v>
      </c>
      <c r="O1674" s="116">
        <v>81.599999999999994</v>
      </c>
      <c r="P1674" s="116">
        <v>81.599999999999994</v>
      </c>
      <c r="Q1674" s="116">
        <v>167.6</v>
      </c>
      <c r="R1674">
        <v>350693</v>
      </c>
    </row>
    <row r="1675" spans="1:18" x14ac:dyDescent="0.25">
      <c r="A1675" s="166">
        <v>44470</v>
      </c>
      <c r="B1675" s="116">
        <v>85.75</v>
      </c>
      <c r="C1675" s="116">
        <v>84.05</v>
      </c>
      <c r="D1675" s="116">
        <v>82.75</v>
      </c>
      <c r="E1675" s="116">
        <v>84.224999999999994</v>
      </c>
      <c r="F1675" s="116">
        <v>168.1</v>
      </c>
      <c r="G1675">
        <v>84659</v>
      </c>
      <c r="H1675" s="116"/>
      <c r="I1675" s="116"/>
      <c r="L1675" s="166">
        <v>44470</v>
      </c>
      <c r="M1675" s="116">
        <v>84.174999999999997</v>
      </c>
      <c r="N1675" s="116">
        <v>85.924999999999997</v>
      </c>
      <c r="O1675" s="116">
        <v>82.55</v>
      </c>
      <c r="P1675" s="116">
        <v>83.45</v>
      </c>
      <c r="Q1675" s="116">
        <v>168.35</v>
      </c>
      <c r="R1675">
        <v>509830</v>
      </c>
    </row>
    <row r="1676" spans="1:18" x14ac:dyDescent="0.25">
      <c r="A1676" s="166">
        <v>44473</v>
      </c>
      <c r="B1676" s="116">
        <v>85.4</v>
      </c>
      <c r="C1676" s="116">
        <v>83.6</v>
      </c>
      <c r="D1676" s="116">
        <v>82.95</v>
      </c>
      <c r="E1676" s="116">
        <v>85.025000000000006</v>
      </c>
      <c r="F1676" s="116">
        <v>167.2</v>
      </c>
      <c r="G1676">
        <v>49139</v>
      </c>
      <c r="H1676" s="116"/>
      <c r="I1676" s="116"/>
      <c r="L1676" s="166">
        <v>44473</v>
      </c>
      <c r="M1676" s="116">
        <v>83.5</v>
      </c>
      <c r="N1676" s="116">
        <v>85.474999999999994</v>
      </c>
      <c r="O1676" s="116">
        <v>82.95</v>
      </c>
      <c r="P1676" s="116">
        <v>84.85</v>
      </c>
      <c r="Q1676" s="116">
        <v>167</v>
      </c>
      <c r="R1676">
        <v>450218</v>
      </c>
    </row>
    <row r="1677" spans="1:18" x14ac:dyDescent="0.25">
      <c r="A1677" s="166">
        <v>44474</v>
      </c>
      <c r="B1677" s="116">
        <v>84.125</v>
      </c>
      <c r="C1677" s="116">
        <v>83.224999999999994</v>
      </c>
      <c r="D1677" s="116">
        <v>82.15</v>
      </c>
      <c r="E1677" s="116">
        <v>82.15</v>
      </c>
      <c r="F1677" s="116">
        <v>166.45</v>
      </c>
      <c r="G1677">
        <v>55576</v>
      </c>
      <c r="H1677" s="116"/>
      <c r="I1677" s="116"/>
      <c r="L1677" s="166">
        <v>44474</v>
      </c>
      <c r="M1677" s="116">
        <v>83.275000000000006</v>
      </c>
      <c r="N1677" s="116">
        <v>84.15</v>
      </c>
      <c r="O1677" s="116">
        <v>82.625</v>
      </c>
      <c r="P1677" s="116">
        <v>83.55</v>
      </c>
      <c r="Q1677" s="116">
        <v>166.55</v>
      </c>
      <c r="R1677">
        <v>244884</v>
      </c>
    </row>
    <row r="1678" spans="1:18" x14ac:dyDescent="0.25">
      <c r="A1678" s="166">
        <v>44475</v>
      </c>
      <c r="B1678" s="116">
        <v>88.3</v>
      </c>
      <c r="C1678" s="116">
        <v>85.474999999999994</v>
      </c>
      <c r="D1678" s="116">
        <v>83.25</v>
      </c>
      <c r="E1678" s="116">
        <v>83.25</v>
      </c>
      <c r="F1678" s="116">
        <v>170.95</v>
      </c>
      <c r="G1678">
        <v>106420</v>
      </c>
      <c r="H1678" s="116"/>
      <c r="I1678" s="116"/>
      <c r="L1678" s="166">
        <v>44475</v>
      </c>
      <c r="M1678" s="116">
        <v>85.424999999999997</v>
      </c>
      <c r="N1678" s="116">
        <v>88.3</v>
      </c>
      <c r="O1678" s="116">
        <v>83.3</v>
      </c>
      <c r="P1678" s="116">
        <v>83.3</v>
      </c>
      <c r="Q1678" s="116">
        <v>170.85</v>
      </c>
      <c r="R1678">
        <v>1027554</v>
      </c>
    </row>
    <row r="1679" spans="1:18" x14ac:dyDescent="0.25">
      <c r="A1679" s="166">
        <v>44476</v>
      </c>
      <c r="B1679" s="116">
        <v>87.275000000000006</v>
      </c>
      <c r="C1679" s="116">
        <v>85.974999999999994</v>
      </c>
      <c r="D1679" s="116">
        <v>84.5</v>
      </c>
      <c r="E1679" s="116">
        <v>84.5</v>
      </c>
      <c r="F1679" s="116">
        <v>171.95</v>
      </c>
      <c r="G1679">
        <v>49897</v>
      </c>
      <c r="H1679" s="116"/>
      <c r="I1679" s="116"/>
      <c r="L1679" s="166">
        <v>44476</v>
      </c>
      <c r="M1679" s="116">
        <v>86.075000000000003</v>
      </c>
      <c r="N1679" s="116">
        <v>87.474999999999994</v>
      </c>
      <c r="O1679" s="116">
        <v>85.55</v>
      </c>
      <c r="P1679" s="116">
        <v>86.224999999999994</v>
      </c>
      <c r="Q1679" s="116">
        <v>172.15</v>
      </c>
      <c r="R1679">
        <v>301361</v>
      </c>
    </row>
    <row r="1680" spans="1:18" x14ac:dyDescent="0.25">
      <c r="A1680" s="166">
        <v>44477</v>
      </c>
      <c r="B1680" s="116">
        <v>87.5</v>
      </c>
      <c r="C1680" s="116">
        <v>86.125</v>
      </c>
      <c r="D1680" s="116">
        <v>85.7</v>
      </c>
      <c r="E1680" s="116">
        <v>87.5</v>
      </c>
      <c r="F1680" s="116">
        <v>172.25</v>
      </c>
      <c r="G1680">
        <v>28811</v>
      </c>
      <c r="H1680" s="116"/>
      <c r="I1680" s="116"/>
      <c r="L1680" s="166">
        <v>44477</v>
      </c>
      <c r="M1680" s="116">
        <v>86.174999999999997</v>
      </c>
      <c r="N1680" s="116">
        <v>86.775000000000006</v>
      </c>
      <c r="O1680" s="116">
        <v>85.625</v>
      </c>
      <c r="P1680" s="116">
        <v>86.525000000000006</v>
      </c>
      <c r="Q1680" s="116">
        <v>172.35</v>
      </c>
      <c r="R1680">
        <v>257318</v>
      </c>
    </row>
    <row r="1681" spans="1:18" x14ac:dyDescent="0.25">
      <c r="A1681" s="166">
        <v>44480</v>
      </c>
      <c r="B1681" s="116">
        <v>89.9</v>
      </c>
      <c r="C1681" s="116">
        <v>85.4</v>
      </c>
      <c r="D1681" s="116">
        <v>85.05</v>
      </c>
      <c r="E1681" s="116">
        <v>86.9</v>
      </c>
      <c r="F1681" s="116">
        <v>170.8</v>
      </c>
      <c r="G1681">
        <v>88569</v>
      </c>
      <c r="H1681" s="116"/>
      <c r="I1681" s="116"/>
      <c r="L1681" s="166">
        <v>44480</v>
      </c>
      <c r="M1681" s="116">
        <v>85.375</v>
      </c>
      <c r="N1681" s="116">
        <v>90</v>
      </c>
      <c r="O1681" s="116">
        <v>85</v>
      </c>
      <c r="P1681" s="116">
        <v>85.724999999999994</v>
      </c>
      <c r="Q1681" s="116">
        <v>170.75</v>
      </c>
      <c r="R1681">
        <v>635504</v>
      </c>
    </row>
    <row r="1682" spans="1:18" x14ac:dyDescent="0.25">
      <c r="A1682" s="166">
        <v>44481</v>
      </c>
      <c r="B1682" s="116">
        <v>86.674999999999997</v>
      </c>
      <c r="C1682" s="116">
        <v>83.724999999999994</v>
      </c>
      <c r="D1682" s="116">
        <v>83.3</v>
      </c>
      <c r="E1682" s="116">
        <v>85.95</v>
      </c>
      <c r="F1682" s="116">
        <v>167.45</v>
      </c>
      <c r="G1682">
        <v>61341</v>
      </c>
      <c r="H1682" s="116"/>
      <c r="I1682" s="116"/>
      <c r="L1682" s="166">
        <v>44481</v>
      </c>
      <c r="M1682" s="116">
        <v>83.65</v>
      </c>
      <c r="N1682" s="116">
        <v>86.8</v>
      </c>
      <c r="O1682" s="116">
        <v>83.275000000000006</v>
      </c>
      <c r="P1682" s="116">
        <v>86</v>
      </c>
      <c r="Q1682" s="116">
        <v>167.3</v>
      </c>
      <c r="R1682">
        <v>373402</v>
      </c>
    </row>
    <row r="1683" spans="1:18" x14ac:dyDescent="0.25">
      <c r="A1683" s="166">
        <v>44482</v>
      </c>
      <c r="B1683" s="116">
        <v>85</v>
      </c>
      <c r="C1683" s="116">
        <v>82.9</v>
      </c>
      <c r="D1683" s="116">
        <v>82.075000000000003</v>
      </c>
      <c r="E1683" s="116">
        <v>84.125</v>
      </c>
      <c r="F1683" s="116">
        <v>165.8</v>
      </c>
      <c r="G1683">
        <v>102534</v>
      </c>
      <c r="H1683" s="116"/>
      <c r="I1683" s="116"/>
      <c r="L1683" s="166">
        <v>44482</v>
      </c>
      <c r="M1683" s="116">
        <v>82.825000000000003</v>
      </c>
      <c r="N1683" s="116">
        <v>85.125</v>
      </c>
      <c r="O1683" s="116">
        <v>82</v>
      </c>
      <c r="P1683" s="116">
        <v>84.025000000000006</v>
      </c>
      <c r="Q1683" s="116">
        <v>165.65</v>
      </c>
      <c r="R1683">
        <v>363631</v>
      </c>
    </row>
    <row r="1684" spans="1:18" x14ac:dyDescent="0.25">
      <c r="A1684" s="166">
        <v>44483</v>
      </c>
      <c r="B1684" s="116">
        <v>84.474999999999994</v>
      </c>
      <c r="C1684" s="116">
        <v>83.025000000000006</v>
      </c>
      <c r="D1684" s="116">
        <v>82.45</v>
      </c>
      <c r="E1684" s="116">
        <v>82.9</v>
      </c>
      <c r="F1684" s="116">
        <v>166.05</v>
      </c>
      <c r="G1684">
        <v>70876</v>
      </c>
      <c r="H1684" s="116"/>
      <c r="I1684" s="116"/>
      <c r="L1684" s="166">
        <v>44483</v>
      </c>
      <c r="M1684" s="116">
        <v>83.075000000000003</v>
      </c>
      <c r="N1684" s="116">
        <v>84.6</v>
      </c>
      <c r="O1684" s="116">
        <v>82.5</v>
      </c>
      <c r="P1684" s="116">
        <v>83.474999999999994</v>
      </c>
      <c r="Q1684" s="116">
        <v>166.15</v>
      </c>
      <c r="R1684">
        <v>278307</v>
      </c>
    </row>
    <row r="1685" spans="1:18" x14ac:dyDescent="0.25">
      <c r="A1685" s="166">
        <v>44487</v>
      </c>
      <c r="B1685" s="116">
        <v>84.45</v>
      </c>
      <c r="C1685" s="116">
        <v>82.674999999999997</v>
      </c>
      <c r="D1685" s="116">
        <v>81.575000000000003</v>
      </c>
      <c r="E1685" s="116">
        <v>84.35</v>
      </c>
      <c r="F1685" s="116">
        <v>165.35</v>
      </c>
      <c r="G1685">
        <v>39867</v>
      </c>
      <c r="H1685" s="116"/>
      <c r="I1685" s="116"/>
      <c r="L1685" s="166">
        <v>44487</v>
      </c>
      <c r="M1685" s="116">
        <v>82.85</v>
      </c>
      <c r="N1685" s="116">
        <v>84.424999999999997</v>
      </c>
      <c r="O1685" s="116">
        <v>81.5</v>
      </c>
      <c r="P1685" s="116">
        <v>83.674999999999997</v>
      </c>
      <c r="Q1685" s="116">
        <v>165.7</v>
      </c>
      <c r="R1685">
        <v>622234</v>
      </c>
    </row>
    <row r="1686" spans="1:18" x14ac:dyDescent="0.25">
      <c r="A1686" s="166">
        <v>44488</v>
      </c>
      <c r="B1686" s="116">
        <v>83.875</v>
      </c>
      <c r="C1686" s="116">
        <v>78.924999999999997</v>
      </c>
      <c r="D1686" s="116">
        <v>75.474999999999994</v>
      </c>
      <c r="E1686" s="116">
        <v>81.75</v>
      </c>
      <c r="F1686" s="116">
        <v>157.85</v>
      </c>
      <c r="G1686">
        <v>73296</v>
      </c>
      <c r="H1686" s="116"/>
      <c r="I1686" s="116"/>
      <c r="L1686" s="166">
        <v>44488</v>
      </c>
      <c r="M1686" s="116">
        <v>78.8</v>
      </c>
      <c r="N1686" s="116">
        <v>83.7</v>
      </c>
      <c r="O1686" s="116">
        <v>75.25</v>
      </c>
      <c r="P1686" s="116">
        <v>83</v>
      </c>
      <c r="Q1686" s="116">
        <v>157.6</v>
      </c>
      <c r="R1686">
        <v>533940</v>
      </c>
    </row>
    <row r="1687" spans="1:18" x14ac:dyDescent="0.25">
      <c r="A1687" s="166">
        <v>44489</v>
      </c>
      <c r="B1687" s="116">
        <v>80.2</v>
      </c>
      <c r="C1687" s="116">
        <v>76.525000000000006</v>
      </c>
      <c r="D1687" s="116">
        <v>74.7</v>
      </c>
      <c r="E1687" s="116">
        <v>79.05</v>
      </c>
      <c r="F1687" s="116">
        <v>153.05000000000001</v>
      </c>
      <c r="G1687">
        <v>137689</v>
      </c>
      <c r="H1687" s="116"/>
      <c r="I1687" s="116"/>
      <c r="L1687" s="166">
        <v>44489</v>
      </c>
      <c r="M1687" s="116">
        <v>76.5</v>
      </c>
      <c r="N1687" s="116">
        <v>80.275000000000006</v>
      </c>
      <c r="O1687" s="116">
        <v>74.7</v>
      </c>
      <c r="P1687" s="116">
        <v>79.5</v>
      </c>
      <c r="Q1687" s="116">
        <v>153</v>
      </c>
      <c r="R1687">
        <v>608636</v>
      </c>
    </row>
    <row r="1688" spans="1:18" x14ac:dyDescent="0.25">
      <c r="A1688" s="166">
        <v>44490</v>
      </c>
      <c r="B1688" s="116">
        <v>78.650000000000006</v>
      </c>
      <c r="C1688" s="116">
        <v>77.25</v>
      </c>
      <c r="D1688" s="116">
        <v>75.275000000000006</v>
      </c>
      <c r="E1688" s="116">
        <v>78.525000000000006</v>
      </c>
      <c r="F1688" s="116">
        <v>154.5</v>
      </c>
      <c r="G1688">
        <v>50189</v>
      </c>
      <c r="H1688" s="116"/>
      <c r="I1688" s="116"/>
      <c r="L1688" s="166">
        <v>44490</v>
      </c>
      <c r="M1688" s="116">
        <v>77.025000000000006</v>
      </c>
      <c r="N1688" s="116">
        <v>78.650000000000006</v>
      </c>
      <c r="O1688" s="116">
        <v>75.3</v>
      </c>
      <c r="P1688" s="116">
        <v>77.8</v>
      </c>
      <c r="Q1688" s="116">
        <v>154.05000000000001</v>
      </c>
      <c r="R1688">
        <v>328999</v>
      </c>
    </row>
    <row r="1689" spans="1:18" x14ac:dyDescent="0.25">
      <c r="A1689" s="166">
        <v>44491</v>
      </c>
      <c r="B1689" s="116">
        <v>79.75</v>
      </c>
      <c r="C1689" s="116">
        <v>76.599999999999994</v>
      </c>
      <c r="D1689" s="116">
        <v>74.849999999999994</v>
      </c>
      <c r="E1689" s="116">
        <v>76.5</v>
      </c>
      <c r="F1689" s="116">
        <v>153.19999999999999</v>
      </c>
      <c r="G1689">
        <v>62997</v>
      </c>
      <c r="H1689" s="116"/>
      <c r="I1689" s="116"/>
      <c r="L1689" s="166">
        <v>44491</v>
      </c>
      <c r="M1689" s="116">
        <v>76.45</v>
      </c>
      <c r="N1689" s="116">
        <v>79.8</v>
      </c>
      <c r="O1689" s="116">
        <v>74.75</v>
      </c>
      <c r="P1689" s="116">
        <v>77.8</v>
      </c>
      <c r="Q1689" s="116">
        <v>152.9</v>
      </c>
      <c r="R1689">
        <v>337458</v>
      </c>
    </row>
    <row r="1690" spans="1:18" x14ac:dyDescent="0.25">
      <c r="A1690" s="166">
        <v>44494</v>
      </c>
      <c r="B1690" s="116">
        <v>76.05</v>
      </c>
      <c r="C1690" s="116">
        <v>71.974999999999994</v>
      </c>
      <c r="D1690" s="116">
        <v>71.2</v>
      </c>
      <c r="E1690" s="116">
        <v>74.075000000000003</v>
      </c>
      <c r="F1690" s="116">
        <v>143.94999999999999</v>
      </c>
      <c r="G1690">
        <v>107001</v>
      </c>
      <c r="H1690" s="116"/>
      <c r="I1690" s="116"/>
      <c r="L1690" s="166">
        <v>44494</v>
      </c>
      <c r="M1690" s="116">
        <v>72</v>
      </c>
      <c r="N1690" s="116">
        <v>76.400000000000006</v>
      </c>
      <c r="O1690" s="116">
        <v>71.125</v>
      </c>
      <c r="P1690" s="116">
        <v>76.025000000000006</v>
      </c>
      <c r="Q1690" s="116">
        <v>144</v>
      </c>
      <c r="R1690">
        <v>405458</v>
      </c>
    </row>
    <row r="1691" spans="1:18" x14ac:dyDescent="0.25">
      <c r="A1691" s="166">
        <v>44495</v>
      </c>
      <c r="B1691" s="116">
        <v>79.349999999999994</v>
      </c>
      <c r="C1691" s="116">
        <v>78.849999999999994</v>
      </c>
      <c r="D1691" s="116">
        <v>72</v>
      </c>
      <c r="E1691" s="116">
        <v>72.075000000000003</v>
      </c>
      <c r="F1691" s="116">
        <v>157.69999999999999</v>
      </c>
      <c r="G1691">
        <v>46277</v>
      </c>
      <c r="H1691" s="116"/>
      <c r="I1691" s="116"/>
      <c r="L1691" s="166">
        <v>44495</v>
      </c>
      <c r="M1691" s="116">
        <v>78.674999999999997</v>
      </c>
      <c r="N1691" s="116">
        <v>79.5</v>
      </c>
      <c r="O1691" s="116">
        <v>72.174999999999997</v>
      </c>
      <c r="P1691" s="116">
        <v>72.3</v>
      </c>
      <c r="Q1691" s="116">
        <v>157.35</v>
      </c>
      <c r="R1691">
        <v>507952</v>
      </c>
    </row>
    <row r="1692" spans="1:18" x14ac:dyDescent="0.25">
      <c r="A1692" s="166">
        <v>44496</v>
      </c>
      <c r="B1692" s="116">
        <v>80.924999999999997</v>
      </c>
      <c r="C1692" s="116">
        <v>78.8</v>
      </c>
      <c r="D1692" s="116">
        <v>77.575000000000003</v>
      </c>
      <c r="E1692" s="116">
        <v>77.575000000000003</v>
      </c>
      <c r="F1692" s="116">
        <v>157.6</v>
      </c>
      <c r="G1692">
        <v>48808</v>
      </c>
      <c r="H1692" s="116"/>
      <c r="I1692" s="116"/>
      <c r="L1692" s="166">
        <v>44496</v>
      </c>
      <c r="M1692" s="116">
        <v>79.2</v>
      </c>
      <c r="N1692" s="116">
        <v>80.974999999999994</v>
      </c>
      <c r="O1692" s="116">
        <v>77.5</v>
      </c>
      <c r="P1692" s="116">
        <v>78.5</v>
      </c>
      <c r="Q1692" s="116">
        <v>158.4</v>
      </c>
      <c r="R1692">
        <v>295830</v>
      </c>
    </row>
    <row r="1693" spans="1:18" x14ac:dyDescent="0.25">
      <c r="A1693" s="166">
        <v>44497</v>
      </c>
      <c r="B1693" s="116">
        <v>79.325000000000003</v>
      </c>
      <c r="C1693" s="116">
        <v>77</v>
      </c>
      <c r="D1693" s="116">
        <v>76.3</v>
      </c>
      <c r="E1693" s="116">
        <v>79.325000000000003</v>
      </c>
      <c r="F1693" s="116">
        <v>154</v>
      </c>
      <c r="G1693">
        <v>17429</v>
      </c>
      <c r="H1693" s="116"/>
      <c r="I1693" s="116"/>
      <c r="L1693" s="166">
        <v>44497</v>
      </c>
      <c r="M1693" s="116">
        <v>76.95</v>
      </c>
      <c r="N1693" s="116">
        <v>79</v>
      </c>
      <c r="O1693" s="116">
        <v>76.224999999999994</v>
      </c>
      <c r="P1693" s="116">
        <v>79</v>
      </c>
      <c r="Q1693" s="116">
        <v>153.9</v>
      </c>
      <c r="R1693">
        <v>163818</v>
      </c>
    </row>
    <row r="1694" spans="1:18" x14ac:dyDescent="0.25">
      <c r="A1694" s="166">
        <v>44498</v>
      </c>
      <c r="B1694" s="116">
        <v>88.5</v>
      </c>
      <c r="C1694" s="116">
        <v>85.875</v>
      </c>
      <c r="D1694" s="116">
        <v>74.474999999999994</v>
      </c>
      <c r="E1694" s="116">
        <v>77.224999999999994</v>
      </c>
      <c r="F1694" s="116">
        <v>171.75</v>
      </c>
      <c r="G1694">
        <v>171148</v>
      </c>
      <c r="H1694" s="116"/>
      <c r="I1694" s="116"/>
      <c r="L1694" s="166">
        <v>44498</v>
      </c>
      <c r="M1694" s="116">
        <v>85.8</v>
      </c>
      <c r="N1694" s="116">
        <v>88.45</v>
      </c>
      <c r="O1694" s="116">
        <v>74.174999999999997</v>
      </c>
      <c r="P1694" s="116">
        <v>76.95</v>
      </c>
      <c r="Q1694" s="116">
        <v>171.6</v>
      </c>
      <c r="R1694">
        <v>1404123</v>
      </c>
    </row>
    <row r="1695" spans="1:18" x14ac:dyDescent="0.25">
      <c r="A1695" s="166">
        <v>44501</v>
      </c>
      <c r="B1695" s="116">
        <v>87.25</v>
      </c>
      <c r="C1695" s="116">
        <v>82.075000000000003</v>
      </c>
      <c r="D1695" s="116">
        <v>81.650000000000006</v>
      </c>
      <c r="E1695" s="116">
        <v>87</v>
      </c>
      <c r="F1695" s="116">
        <v>164.15</v>
      </c>
      <c r="G1695">
        <v>118164</v>
      </c>
      <c r="H1695" s="116"/>
      <c r="I1695" s="116"/>
      <c r="L1695" s="166">
        <v>44501</v>
      </c>
      <c r="M1695" s="116">
        <v>82.174999999999997</v>
      </c>
      <c r="N1695" s="116">
        <v>87.45</v>
      </c>
      <c r="O1695" s="116">
        <v>81.650000000000006</v>
      </c>
      <c r="P1695" s="116">
        <v>87.45</v>
      </c>
      <c r="Q1695" s="116">
        <v>164.35</v>
      </c>
      <c r="R1695">
        <v>615077</v>
      </c>
    </row>
    <row r="1696" spans="1:18" x14ac:dyDescent="0.25">
      <c r="A1696" s="166">
        <v>44502</v>
      </c>
      <c r="B1696" s="116">
        <v>84.75</v>
      </c>
      <c r="C1696" s="116">
        <v>81.55</v>
      </c>
      <c r="D1696" s="116">
        <v>81.224999999999994</v>
      </c>
      <c r="E1696" s="116">
        <v>84.75</v>
      </c>
      <c r="F1696" s="116">
        <v>163.1</v>
      </c>
      <c r="G1696">
        <v>31467</v>
      </c>
      <c r="H1696" s="116"/>
      <c r="I1696" s="116"/>
      <c r="L1696" s="166">
        <v>44502</v>
      </c>
      <c r="M1696" s="116">
        <v>81.625</v>
      </c>
      <c r="N1696" s="116">
        <v>84.4</v>
      </c>
      <c r="O1696" s="116">
        <v>81.25</v>
      </c>
      <c r="P1696" s="116">
        <v>82.75</v>
      </c>
      <c r="Q1696" s="116">
        <v>163.25</v>
      </c>
      <c r="R1696">
        <v>349681</v>
      </c>
    </row>
    <row r="1697" spans="1:18" x14ac:dyDescent="0.25">
      <c r="A1697" s="166">
        <v>44503</v>
      </c>
      <c r="B1697" s="116">
        <v>87.25</v>
      </c>
      <c r="C1697" s="116">
        <v>83.45</v>
      </c>
      <c r="D1697" s="116">
        <v>81.900000000000006</v>
      </c>
      <c r="E1697" s="116">
        <v>82.025000000000006</v>
      </c>
      <c r="F1697" s="116">
        <v>166.9</v>
      </c>
      <c r="G1697">
        <v>53333</v>
      </c>
      <c r="H1697" s="116"/>
      <c r="I1697" s="116"/>
      <c r="L1697" s="166">
        <v>44503</v>
      </c>
      <c r="M1697" s="116">
        <v>83.575000000000003</v>
      </c>
      <c r="N1697" s="116">
        <v>87.35</v>
      </c>
      <c r="O1697" s="116">
        <v>81.875</v>
      </c>
      <c r="P1697" s="116">
        <v>82</v>
      </c>
      <c r="Q1697" s="116">
        <v>167.15</v>
      </c>
      <c r="R1697">
        <v>718071</v>
      </c>
    </row>
    <row r="1698" spans="1:18" x14ac:dyDescent="0.25">
      <c r="A1698" s="166">
        <v>44504</v>
      </c>
      <c r="B1698" s="116">
        <v>85.05</v>
      </c>
      <c r="C1698" s="116">
        <v>84.3</v>
      </c>
      <c r="D1698" s="116">
        <v>83.724999999999994</v>
      </c>
      <c r="E1698" s="116">
        <v>84.95</v>
      </c>
      <c r="F1698" s="116">
        <v>168.6</v>
      </c>
      <c r="G1698">
        <v>9776</v>
      </c>
      <c r="H1698" s="116"/>
      <c r="I1698" s="116"/>
      <c r="L1698" s="166">
        <v>44504</v>
      </c>
      <c r="M1698" s="116">
        <v>84.25</v>
      </c>
      <c r="N1698" s="116">
        <v>85</v>
      </c>
      <c r="O1698" s="116">
        <v>83.75</v>
      </c>
      <c r="P1698" s="116">
        <v>83.924999999999997</v>
      </c>
      <c r="Q1698" s="116">
        <v>168.5</v>
      </c>
      <c r="R1698">
        <v>118958</v>
      </c>
    </row>
    <row r="1699" spans="1:18" x14ac:dyDescent="0.25">
      <c r="A1699" s="166">
        <v>44508</v>
      </c>
      <c r="B1699" s="116">
        <v>86.5</v>
      </c>
      <c r="C1699" s="116">
        <v>84.45</v>
      </c>
      <c r="D1699" s="116">
        <v>82.424999999999997</v>
      </c>
      <c r="E1699" s="116">
        <v>84.025000000000006</v>
      </c>
      <c r="F1699" s="116">
        <v>168.9</v>
      </c>
      <c r="G1699">
        <v>60108</v>
      </c>
      <c r="H1699" s="116"/>
      <c r="I1699" s="116"/>
      <c r="L1699" s="166">
        <v>44508</v>
      </c>
      <c r="M1699" s="116">
        <v>84.474999999999994</v>
      </c>
      <c r="N1699" s="116">
        <v>86.55</v>
      </c>
      <c r="O1699" s="116">
        <v>83</v>
      </c>
      <c r="P1699" s="116">
        <v>84.9</v>
      </c>
      <c r="Q1699" s="116">
        <v>168.95</v>
      </c>
      <c r="R1699">
        <v>318936</v>
      </c>
    </row>
    <row r="1700" spans="1:18" x14ac:dyDescent="0.25">
      <c r="A1700" s="166">
        <v>44509</v>
      </c>
      <c r="B1700" s="116">
        <v>86.8</v>
      </c>
      <c r="C1700" s="116">
        <v>84.724999999999994</v>
      </c>
      <c r="D1700" s="116">
        <v>83.974999999999994</v>
      </c>
      <c r="E1700" s="116">
        <v>84</v>
      </c>
      <c r="F1700" s="116">
        <v>169.45</v>
      </c>
      <c r="G1700">
        <v>25629</v>
      </c>
      <c r="H1700" s="116"/>
      <c r="I1700" s="116"/>
      <c r="L1700" s="166">
        <v>44509</v>
      </c>
      <c r="M1700" s="116">
        <v>84.9</v>
      </c>
      <c r="N1700" s="116">
        <v>87</v>
      </c>
      <c r="O1700" s="116">
        <v>84.025000000000006</v>
      </c>
      <c r="P1700" s="116">
        <v>84.724999999999994</v>
      </c>
      <c r="Q1700" s="116">
        <v>169.8</v>
      </c>
      <c r="R1700">
        <v>232893</v>
      </c>
    </row>
    <row r="1701" spans="1:18" x14ac:dyDescent="0.25">
      <c r="A1701" s="166">
        <v>44510</v>
      </c>
      <c r="B1701" s="116">
        <v>86.95</v>
      </c>
      <c r="C1701" s="116">
        <v>84.724999999999994</v>
      </c>
      <c r="D1701" s="116">
        <v>83.75</v>
      </c>
      <c r="E1701" s="116">
        <v>86.95</v>
      </c>
      <c r="F1701" s="116">
        <v>169.45</v>
      </c>
      <c r="G1701">
        <v>19472</v>
      </c>
      <c r="H1701" s="116"/>
      <c r="I1701" s="116"/>
      <c r="L1701" s="166">
        <v>44510</v>
      </c>
      <c r="M1701" s="116">
        <v>84.775000000000006</v>
      </c>
      <c r="N1701" s="116">
        <v>86.15</v>
      </c>
      <c r="O1701" s="116">
        <v>83.775000000000006</v>
      </c>
      <c r="P1701" s="116">
        <v>84.5</v>
      </c>
      <c r="Q1701" s="116">
        <v>169.55</v>
      </c>
      <c r="R1701">
        <v>267506</v>
      </c>
    </row>
    <row r="1702" spans="1:18" x14ac:dyDescent="0.25">
      <c r="A1702" s="166">
        <v>44511</v>
      </c>
      <c r="B1702" s="116">
        <v>89.95</v>
      </c>
      <c r="C1702" s="116">
        <v>86.95</v>
      </c>
      <c r="D1702" s="116">
        <v>84.95</v>
      </c>
      <c r="E1702" s="116">
        <v>85.05</v>
      </c>
      <c r="F1702" s="116">
        <v>173.9</v>
      </c>
      <c r="G1702">
        <v>117363</v>
      </c>
      <c r="H1702" s="116"/>
      <c r="I1702" s="116"/>
      <c r="L1702" s="166">
        <v>44511</v>
      </c>
      <c r="M1702" s="116">
        <v>86.724999999999994</v>
      </c>
      <c r="N1702" s="116">
        <v>89.75</v>
      </c>
      <c r="O1702" s="116">
        <v>84.924999999999997</v>
      </c>
      <c r="P1702" s="116">
        <v>84.95</v>
      </c>
      <c r="Q1702" s="116">
        <v>173.45</v>
      </c>
      <c r="R1702">
        <v>1187592</v>
      </c>
    </row>
    <row r="1703" spans="1:18" x14ac:dyDescent="0.25">
      <c r="A1703" s="166">
        <v>44512</v>
      </c>
      <c r="B1703" s="116">
        <v>89</v>
      </c>
      <c r="C1703" s="116">
        <v>86.6</v>
      </c>
      <c r="D1703" s="116">
        <v>85.825000000000003</v>
      </c>
      <c r="E1703" s="116">
        <v>87</v>
      </c>
      <c r="F1703" s="116">
        <v>173.2</v>
      </c>
      <c r="G1703">
        <v>59928</v>
      </c>
      <c r="H1703" s="116"/>
      <c r="I1703" s="116"/>
      <c r="L1703" s="166">
        <v>44512</v>
      </c>
      <c r="M1703" s="116">
        <v>86.674999999999997</v>
      </c>
      <c r="N1703" s="116">
        <v>89</v>
      </c>
      <c r="O1703" s="116">
        <v>86.05</v>
      </c>
      <c r="P1703" s="116">
        <v>86.05</v>
      </c>
      <c r="Q1703" s="116">
        <v>173.35</v>
      </c>
      <c r="R1703">
        <v>343182</v>
      </c>
    </row>
    <row r="1704" spans="1:18" x14ac:dyDescent="0.25">
      <c r="A1704" s="166">
        <v>44515</v>
      </c>
      <c r="B1704" s="116">
        <v>88</v>
      </c>
      <c r="C1704" s="116">
        <v>85.325000000000003</v>
      </c>
      <c r="D1704" s="116">
        <v>84.224999999999994</v>
      </c>
      <c r="E1704" s="116">
        <v>88</v>
      </c>
      <c r="F1704" s="116">
        <v>170.65</v>
      </c>
      <c r="G1704">
        <v>45845</v>
      </c>
      <c r="H1704" s="116"/>
      <c r="I1704" s="116"/>
      <c r="L1704" s="166">
        <v>44515</v>
      </c>
      <c r="M1704" s="116">
        <v>85.325000000000003</v>
      </c>
      <c r="N1704" s="116">
        <v>87.35</v>
      </c>
      <c r="O1704" s="116">
        <v>84.05</v>
      </c>
      <c r="P1704" s="116">
        <v>87.1</v>
      </c>
      <c r="Q1704" s="116">
        <v>170.65</v>
      </c>
      <c r="R1704">
        <v>377885</v>
      </c>
    </row>
    <row r="1705" spans="1:18" x14ac:dyDescent="0.25">
      <c r="A1705" s="166">
        <v>44516</v>
      </c>
      <c r="B1705" s="116">
        <v>86.625</v>
      </c>
      <c r="C1705" s="116">
        <v>85.174999999999997</v>
      </c>
      <c r="D1705" s="116">
        <v>84.474999999999994</v>
      </c>
      <c r="E1705" s="116">
        <v>86.5</v>
      </c>
      <c r="F1705" s="116">
        <v>170.35</v>
      </c>
      <c r="G1705">
        <v>56559</v>
      </c>
      <c r="H1705" s="116"/>
      <c r="I1705" s="116"/>
      <c r="L1705" s="166">
        <v>44516</v>
      </c>
      <c r="M1705" s="116">
        <v>85.224999999999994</v>
      </c>
      <c r="N1705" s="116">
        <v>86.625</v>
      </c>
      <c r="O1705" s="116">
        <v>84.55</v>
      </c>
      <c r="P1705" s="116">
        <v>85.325000000000003</v>
      </c>
      <c r="Q1705" s="116">
        <v>170.45</v>
      </c>
      <c r="R1705">
        <v>239433</v>
      </c>
    </row>
    <row r="1706" spans="1:18" x14ac:dyDescent="0.25">
      <c r="A1706" s="166">
        <v>44517</v>
      </c>
      <c r="B1706" s="116">
        <v>88.424999999999997</v>
      </c>
      <c r="C1706" s="116">
        <v>85.575000000000003</v>
      </c>
      <c r="D1706" s="116">
        <v>84.325000000000003</v>
      </c>
      <c r="E1706" s="116">
        <v>85.5</v>
      </c>
      <c r="F1706" s="116">
        <v>171.15</v>
      </c>
      <c r="G1706">
        <v>49158</v>
      </c>
      <c r="H1706" s="116"/>
      <c r="I1706" s="116"/>
      <c r="L1706" s="166">
        <v>44517</v>
      </c>
      <c r="M1706" s="116">
        <v>85.525000000000006</v>
      </c>
      <c r="N1706" s="116">
        <v>88.4</v>
      </c>
      <c r="O1706" s="116">
        <v>84.1</v>
      </c>
      <c r="P1706" s="116">
        <v>85.45</v>
      </c>
      <c r="Q1706" s="116">
        <v>171.05</v>
      </c>
      <c r="R1706">
        <v>497817</v>
      </c>
    </row>
    <row r="1707" spans="1:18" x14ac:dyDescent="0.25">
      <c r="A1707" s="166">
        <v>44518</v>
      </c>
      <c r="B1707" s="116">
        <v>94.85</v>
      </c>
      <c r="C1707" s="116">
        <v>91</v>
      </c>
      <c r="D1707" s="116">
        <v>82.45</v>
      </c>
      <c r="E1707" s="116">
        <v>85.875</v>
      </c>
      <c r="F1707" s="116">
        <v>182</v>
      </c>
      <c r="G1707">
        <v>400860</v>
      </c>
      <c r="H1707" s="116"/>
      <c r="I1707" s="116"/>
      <c r="L1707" s="166">
        <v>44518</v>
      </c>
      <c r="M1707" s="116">
        <v>91.075000000000003</v>
      </c>
      <c r="N1707" s="116">
        <v>94.75</v>
      </c>
      <c r="O1707" s="116">
        <v>82.325000000000003</v>
      </c>
      <c r="P1707" s="116">
        <v>85.85</v>
      </c>
      <c r="Q1707" s="116">
        <v>182.15</v>
      </c>
      <c r="R1707">
        <v>2977673</v>
      </c>
    </row>
    <row r="1708" spans="1:18" x14ac:dyDescent="0.25">
      <c r="A1708" s="166">
        <v>44522</v>
      </c>
      <c r="B1708" s="116">
        <v>97.95</v>
      </c>
      <c r="C1708" s="116">
        <v>96.575000000000003</v>
      </c>
      <c r="D1708" s="116">
        <v>88.825000000000003</v>
      </c>
      <c r="E1708" s="116">
        <v>92</v>
      </c>
      <c r="F1708" s="116">
        <v>193.15</v>
      </c>
      <c r="G1708">
        <v>196438</v>
      </c>
      <c r="H1708" s="116"/>
      <c r="I1708" s="116"/>
      <c r="L1708" s="166">
        <v>44522</v>
      </c>
      <c r="M1708" s="116">
        <v>96.625</v>
      </c>
      <c r="N1708" s="116">
        <v>98</v>
      </c>
      <c r="O1708" s="116">
        <v>88.6</v>
      </c>
      <c r="P1708" s="116">
        <v>92</v>
      </c>
      <c r="Q1708" s="116">
        <v>193.25</v>
      </c>
      <c r="R1708">
        <v>3980438</v>
      </c>
    </row>
    <row r="1709" spans="1:18" x14ac:dyDescent="0.25">
      <c r="A1709" s="166">
        <v>44523</v>
      </c>
      <c r="B1709" s="116">
        <v>99.375</v>
      </c>
      <c r="C1709" s="116">
        <v>96.2</v>
      </c>
      <c r="D1709" s="116">
        <v>95.174999999999997</v>
      </c>
      <c r="E1709" s="116">
        <v>98.7</v>
      </c>
      <c r="F1709" s="116">
        <v>192.4</v>
      </c>
      <c r="G1709">
        <v>91533</v>
      </c>
      <c r="H1709" s="116"/>
      <c r="I1709" s="116"/>
      <c r="L1709" s="166">
        <v>44523</v>
      </c>
      <c r="M1709" s="116">
        <v>95.95</v>
      </c>
      <c r="N1709" s="116">
        <v>99.35</v>
      </c>
      <c r="O1709" s="116">
        <v>95</v>
      </c>
      <c r="P1709" s="116">
        <v>97.375</v>
      </c>
      <c r="Q1709" s="116">
        <v>191.9</v>
      </c>
      <c r="R1709">
        <v>1691888</v>
      </c>
    </row>
    <row r="1710" spans="1:18" x14ac:dyDescent="0.25">
      <c r="A1710" s="166">
        <v>44524</v>
      </c>
      <c r="B1710" s="116">
        <v>96.474999999999994</v>
      </c>
      <c r="C1710" s="116">
        <v>92.625</v>
      </c>
      <c r="D1710" s="116">
        <v>92.35</v>
      </c>
      <c r="E1710" s="116">
        <v>96.474999999999994</v>
      </c>
      <c r="F1710" s="116">
        <v>185.25</v>
      </c>
      <c r="G1710">
        <v>119713</v>
      </c>
      <c r="H1710" s="116"/>
      <c r="I1710" s="116"/>
      <c r="L1710" s="166">
        <v>44524</v>
      </c>
      <c r="M1710" s="116">
        <v>92.674999999999997</v>
      </c>
      <c r="N1710" s="116">
        <v>96.625</v>
      </c>
      <c r="O1710" s="116">
        <v>92.474999999999994</v>
      </c>
      <c r="P1710" s="116">
        <v>96.1</v>
      </c>
      <c r="Q1710" s="116">
        <v>185.35</v>
      </c>
      <c r="R1710">
        <v>601184</v>
      </c>
    </row>
    <row r="1711" spans="1:18" x14ac:dyDescent="0.25">
      <c r="A1711" s="166">
        <v>44525</v>
      </c>
      <c r="B1711" s="116">
        <v>107.3</v>
      </c>
      <c r="C1711" s="116">
        <v>106.02500000000001</v>
      </c>
      <c r="D1711" s="116">
        <v>92.9</v>
      </c>
      <c r="E1711" s="116">
        <v>93.474999999999994</v>
      </c>
      <c r="F1711" s="116">
        <v>212.05</v>
      </c>
      <c r="G1711">
        <v>333230</v>
      </c>
      <c r="H1711" s="116"/>
      <c r="I1711" s="116"/>
      <c r="L1711" s="166">
        <v>44525</v>
      </c>
      <c r="M1711" s="116">
        <v>106</v>
      </c>
      <c r="N1711" s="116">
        <v>107.4</v>
      </c>
      <c r="O1711" s="116">
        <v>92.775000000000006</v>
      </c>
      <c r="P1711" s="116">
        <v>93.05</v>
      </c>
      <c r="Q1711" s="116">
        <v>212</v>
      </c>
      <c r="R1711">
        <v>4937455</v>
      </c>
    </row>
    <row r="1712" spans="1:18" x14ac:dyDescent="0.25">
      <c r="A1712" s="166">
        <v>44526</v>
      </c>
      <c r="B1712" s="116">
        <v>109.5</v>
      </c>
      <c r="C1712" s="116">
        <v>103.4</v>
      </c>
      <c r="D1712" s="116">
        <v>100.75</v>
      </c>
      <c r="E1712" s="116">
        <v>103.75</v>
      </c>
      <c r="F1712" s="116">
        <v>206.8</v>
      </c>
      <c r="G1712">
        <v>476943</v>
      </c>
      <c r="H1712" s="116"/>
      <c r="I1712" s="116"/>
      <c r="L1712" s="166">
        <v>44526</v>
      </c>
      <c r="M1712" s="116">
        <v>103.47499999999999</v>
      </c>
      <c r="N1712" s="116">
        <v>109.5</v>
      </c>
      <c r="O1712" s="116">
        <v>100.8</v>
      </c>
      <c r="P1712" s="116">
        <v>103.8</v>
      </c>
      <c r="Q1712" s="116">
        <v>206.95</v>
      </c>
      <c r="R1712">
        <v>3230300</v>
      </c>
    </row>
    <row r="1713" spans="1:18" x14ac:dyDescent="0.25">
      <c r="A1713" s="166">
        <v>44529</v>
      </c>
      <c r="B1713" s="116">
        <v>108</v>
      </c>
      <c r="C1713" s="116">
        <v>103.575</v>
      </c>
      <c r="D1713" s="116">
        <v>102</v>
      </c>
      <c r="E1713" s="116">
        <v>104.95</v>
      </c>
      <c r="F1713" s="116">
        <v>207.15</v>
      </c>
      <c r="G1713">
        <v>102463</v>
      </c>
      <c r="H1713" s="116"/>
      <c r="I1713" s="116"/>
      <c r="L1713" s="166">
        <v>44529</v>
      </c>
      <c r="M1713" s="116">
        <v>103.85</v>
      </c>
      <c r="N1713" s="116">
        <v>108</v>
      </c>
      <c r="O1713" s="116">
        <v>101.8</v>
      </c>
      <c r="P1713" s="116">
        <v>105.15</v>
      </c>
      <c r="Q1713" s="116">
        <v>207.7</v>
      </c>
      <c r="R1713">
        <v>1527466</v>
      </c>
    </row>
    <row r="1714" spans="1:18" x14ac:dyDescent="0.25">
      <c r="A1714" s="166">
        <v>44530</v>
      </c>
      <c r="B1714" s="116">
        <v>109.325</v>
      </c>
      <c r="C1714" s="116">
        <v>103.5</v>
      </c>
      <c r="D1714" s="116">
        <v>102.875</v>
      </c>
      <c r="E1714" s="116">
        <v>103.95</v>
      </c>
      <c r="F1714" s="116">
        <v>207</v>
      </c>
      <c r="G1714">
        <v>123657</v>
      </c>
      <c r="H1714" s="116"/>
      <c r="I1714" s="116"/>
      <c r="L1714" s="166">
        <v>44530</v>
      </c>
      <c r="M1714" s="116">
        <v>103.47499999999999</v>
      </c>
      <c r="N1714" s="116">
        <v>109.4</v>
      </c>
      <c r="O1714" s="116">
        <v>102.75</v>
      </c>
      <c r="P1714" s="116">
        <v>103.5</v>
      </c>
      <c r="Q1714" s="116">
        <v>206.95</v>
      </c>
      <c r="R1714">
        <v>1510150</v>
      </c>
    </row>
    <row r="1715" spans="1:18" x14ac:dyDescent="0.25">
      <c r="A1715" s="166">
        <v>44531</v>
      </c>
      <c r="B1715" s="116">
        <v>106.4</v>
      </c>
      <c r="C1715" s="116">
        <v>103</v>
      </c>
      <c r="D1715" s="116">
        <v>102</v>
      </c>
      <c r="E1715" s="116">
        <v>106.4</v>
      </c>
      <c r="F1715" s="116">
        <v>206</v>
      </c>
      <c r="G1715">
        <v>86137</v>
      </c>
      <c r="H1715" s="116"/>
      <c r="I1715" s="116"/>
      <c r="L1715" s="166">
        <v>44531</v>
      </c>
      <c r="M1715" s="116">
        <v>103.1</v>
      </c>
      <c r="N1715" s="116">
        <v>106</v>
      </c>
      <c r="O1715" s="116">
        <v>102.1</v>
      </c>
      <c r="P1715" s="116">
        <v>105</v>
      </c>
      <c r="Q1715" s="116">
        <v>206.2</v>
      </c>
      <c r="R1715">
        <v>629134</v>
      </c>
    </row>
    <row r="1716" spans="1:18" x14ac:dyDescent="0.25">
      <c r="A1716" s="166">
        <v>44532</v>
      </c>
      <c r="B1716" s="116">
        <v>103.97499999999999</v>
      </c>
      <c r="C1716" s="116">
        <v>101.15</v>
      </c>
      <c r="D1716" s="116">
        <v>100.675</v>
      </c>
      <c r="E1716" s="116">
        <v>103.22499999999999</v>
      </c>
      <c r="F1716" s="116">
        <v>202.3</v>
      </c>
      <c r="G1716">
        <v>30743</v>
      </c>
      <c r="H1716" s="116"/>
      <c r="I1716" s="116"/>
      <c r="L1716" s="166">
        <v>44532</v>
      </c>
      <c r="M1716" s="116">
        <v>101.05</v>
      </c>
      <c r="N1716" s="116">
        <v>104.15</v>
      </c>
      <c r="O1716" s="116">
        <v>100.65</v>
      </c>
      <c r="P1716" s="116">
        <v>103.25</v>
      </c>
      <c r="Q1716" s="116">
        <v>202.1</v>
      </c>
      <c r="R1716">
        <v>460841</v>
      </c>
    </row>
    <row r="1717" spans="1:18" x14ac:dyDescent="0.25">
      <c r="A1717" s="166">
        <v>44533</v>
      </c>
      <c r="B1717" s="116">
        <v>104.27500000000001</v>
      </c>
      <c r="C1717" s="116">
        <v>101.2</v>
      </c>
      <c r="D1717" s="116">
        <v>100.675</v>
      </c>
      <c r="E1717" s="116">
        <v>100.675</v>
      </c>
      <c r="F1717" s="116">
        <v>202.4</v>
      </c>
      <c r="G1717">
        <v>90357</v>
      </c>
      <c r="H1717" s="116"/>
      <c r="I1717" s="116"/>
      <c r="L1717" s="166">
        <v>44533</v>
      </c>
      <c r="M1717" s="116">
        <v>101.27500000000001</v>
      </c>
      <c r="N1717" s="116">
        <v>104.4</v>
      </c>
      <c r="O1717" s="116">
        <v>100.72499999999999</v>
      </c>
      <c r="P1717" s="116">
        <v>101.47499999999999</v>
      </c>
      <c r="Q1717" s="116">
        <v>202.55</v>
      </c>
      <c r="R1717">
        <v>581849</v>
      </c>
    </row>
    <row r="1718" spans="1:18" x14ac:dyDescent="0.25">
      <c r="A1718" s="166">
        <v>44536</v>
      </c>
      <c r="B1718" s="116">
        <v>102.425</v>
      </c>
      <c r="C1718" s="116">
        <v>96.724999999999994</v>
      </c>
      <c r="D1718" s="116">
        <v>96.15</v>
      </c>
      <c r="E1718" s="116">
        <v>101.5</v>
      </c>
      <c r="F1718" s="116">
        <v>193.45</v>
      </c>
      <c r="G1718">
        <v>49830</v>
      </c>
      <c r="H1718" s="116"/>
      <c r="I1718" s="116"/>
      <c r="L1718" s="166">
        <v>44536</v>
      </c>
      <c r="M1718" s="116">
        <v>96.75</v>
      </c>
      <c r="N1718" s="116">
        <v>102.25</v>
      </c>
      <c r="O1718" s="116">
        <v>96.174999999999997</v>
      </c>
      <c r="P1718" s="116">
        <v>101.72499999999999</v>
      </c>
      <c r="Q1718" s="116">
        <v>193.5</v>
      </c>
      <c r="R1718">
        <v>495865</v>
      </c>
    </row>
    <row r="1719" spans="1:18" x14ac:dyDescent="0.25">
      <c r="A1719" s="166">
        <v>44537</v>
      </c>
      <c r="B1719" s="116">
        <v>100.125</v>
      </c>
      <c r="C1719" s="116">
        <v>97.525000000000006</v>
      </c>
      <c r="D1719" s="116">
        <v>96.625</v>
      </c>
      <c r="E1719" s="116">
        <v>97.525000000000006</v>
      </c>
      <c r="F1719" s="116">
        <v>195.05</v>
      </c>
      <c r="G1719">
        <v>27167</v>
      </c>
      <c r="H1719" s="116"/>
      <c r="I1719" s="116"/>
      <c r="L1719" s="166">
        <v>44537</v>
      </c>
      <c r="M1719" s="116">
        <v>97.474999999999994</v>
      </c>
      <c r="N1719" s="116">
        <v>100.125</v>
      </c>
      <c r="O1719" s="116">
        <v>96.65</v>
      </c>
      <c r="P1719" s="116">
        <v>97</v>
      </c>
      <c r="Q1719" s="116">
        <v>194.95</v>
      </c>
      <c r="R1719">
        <v>409769</v>
      </c>
    </row>
    <row r="1720" spans="1:18" x14ac:dyDescent="0.25">
      <c r="A1720" s="166">
        <v>44538</v>
      </c>
      <c r="B1720" s="116">
        <v>100.1</v>
      </c>
      <c r="C1720" s="116">
        <v>99.25</v>
      </c>
      <c r="D1720" s="116">
        <v>97.1</v>
      </c>
      <c r="E1720" s="116">
        <v>97.1</v>
      </c>
      <c r="F1720" s="116">
        <v>198.5</v>
      </c>
      <c r="G1720">
        <v>64468</v>
      </c>
      <c r="H1720" s="116"/>
      <c r="I1720" s="116"/>
      <c r="L1720" s="166">
        <v>44538</v>
      </c>
      <c r="M1720" s="116">
        <v>99.35</v>
      </c>
      <c r="N1720" s="116">
        <v>100.35</v>
      </c>
      <c r="O1720" s="116">
        <v>98.05</v>
      </c>
      <c r="P1720" s="116">
        <v>98.05</v>
      </c>
      <c r="Q1720" s="116">
        <v>198.7</v>
      </c>
      <c r="R1720">
        <v>345043</v>
      </c>
    </row>
    <row r="1721" spans="1:18" x14ac:dyDescent="0.25">
      <c r="A1721" s="166">
        <v>44539</v>
      </c>
      <c r="B1721" s="116">
        <v>104.15</v>
      </c>
      <c r="C1721" s="116">
        <v>102.8</v>
      </c>
      <c r="D1721" s="116">
        <v>100</v>
      </c>
      <c r="E1721" s="116">
        <v>102.27500000000001</v>
      </c>
      <c r="F1721" s="116">
        <v>205.6</v>
      </c>
      <c r="G1721">
        <v>49340</v>
      </c>
      <c r="H1721" s="116"/>
      <c r="I1721" s="116"/>
      <c r="L1721" s="166">
        <v>44539</v>
      </c>
      <c r="M1721" s="116">
        <v>102.8</v>
      </c>
      <c r="N1721" s="116">
        <v>104.4</v>
      </c>
      <c r="O1721" s="116">
        <v>99.75</v>
      </c>
      <c r="P1721" s="116">
        <v>99.875</v>
      </c>
      <c r="Q1721" s="116">
        <v>205.6</v>
      </c>
      <c r="R1721">
        <v>578665</v>
      </c>
    </row>
    <row r="1722" spans="1:18" x14ac:dyDescent="0.25">
      <c r="A1722" s="166">
        <v>44540</v>
      </c>
      <c r="B1722" s="116">
        <v>104.325</v>
      </c>
      <c r="C1722" s="116">
        <v>102.55</v>
      </c>
      <c r="D1722" s="116">
        <v>101.15</v>
      </c>
      <c r="E1722" s="116">
        <v>102.95</v>
      </c>
      <c r="F1722" s="116">
        <v>205.1</v>
      </c>
      <c r="G1722">
        <v>48862</v>
      </c>
      <c r="H1722" s="116"/>
      <c r="I1722" s="116"/>
      <c r="L1722" s="166">
        <v>44540</v>
      </c>
      <c r="M1722" s="116">
        <v>102.65</v>
      </c>
      <c r="N1722" s="116">
        <v>104.4</v>
      </c>
      <c r="O1722" s="116">
        <v>101.05</v>
      </c>
      <c r="P1722" s="116">
        <v>102.75</v>
      </c>
      <c r="Q1722" s="116">
        <v>205.3</v>
      </c>
      <c r="R1722">
        <v>285494</v>
      </c>
    </row>
    <row r="1723" spans="1:18" x14ac:dyDescent="0.25">
      <c r="A1723" s="166">
        <v>44543</v>
      </c>
      <c r="B1723" s="116">
        <v>103.95</v>
      </c>
      <c r="C1723" s="116">
        <v>100.575</v>
      </c>
      <c r="D1723" s="116">
        <v>99.75</v>
      </c>
      <c r="E1723" s="116">
        <v>103.175</v>
      </c>
      <c r="F1723" s="116">
        <v>201.15</v>
      </c>
      <c r="G1723">
        <v>56996</v>
      </c>
      <c r="H1723" s="116"/>
      <c r="I1723" s="116"/>
      <c r="L1723" s="166">
        <v>44543</v>
      </c>
      <c r="M1723" s="116">
        <v>100.375</v>
      </c>
      <c r="N1723" s="116">
        <v>103.925</v>
      </c>
      <c r="O1723" s="116">
        <v>99.75</v>
      </c>
      <c r="P1723" s="116">
        <v>103.45</v>
      </c>
      <c r="Q1723" s="116">
        <v>200.75</v>
      </c>
      <c r="R1723">
        <v>338507</v>
      </c>
    </row>
    <row r="1724" spans="1:18" x14ac:dyDescent="0.25">
      <c r="A1724" s="166">
        <v>44544</v>
      </c>
      <c r="B1724" s="116">
        <v>101.675</v>
      </c>
      <c r="C1724" s="116">
        <v>98.875</v>
      </c>
      <c r="D1724" s="116">
        <v>98.3</v>
      </c>
      <c r="E1724" s="116">
        <v>100.75</v>
      </c>
      <c r="F1724" s="116">
        <v>197.75</v>
      </c>
      <c r="G1724">
        <v>95463</v>
      </c>
      <c r="H1724" s="116"/>
      <c r="I1724" s="116"/>
      <c r="L1724" s="166">
        <v>44544</v>
      </c>
      <c r="M1724" s="116">
        <v>98.9</v>
      </c>
      <c r="N1724" s="116">
        <v>101.72499999999999</v>
      </c>
      <c r="O1724" s="116">
        <v>98.5</v>
      </c>
      <c r="P1724" s="116">
        <v>100.25</v>
      </c>
      <c r="Q1724" s="116">
        <v>197.8</v>
      </c>
      <c r="R1724">
        <v>290538</v>
      </c>
    </row>
    <row r="1725" spans="1:18" x14ac:dyDescent="0.25">
      <c r="A1725" s="166">
        <v>44545</v>
      </c>
      <c r="B1725" s="116">
        <v>101.2</v>
      </c>
      <c r="C1725" s="116">
        <v>97.2</v>
      </c>
      <c r="D1725" s="116">
        <v>96.8</v>
      </c>
      <c r="E1725" s="116">
        <v>101.2</v>
      </c>
      <c r="F1725" s="116">
        <v>194.4</v>
      </c>
      <c r="G1725">
        <v>92869</v>
      </c>
      <c r="H1725" s="116"/>
      <c r="I1725" s="116"/>
      <c r="L1725" s="166">
        <v>44545</v>
      </c>
      <c r="M1725" s="116">
        <v>97.125</v>
      </c>
      <c r="N1725" s="116">
        <v>99.674999999999997</v>
      </c>
      <c r="O1725" s="116">
        <v>96.75</v>
      </c>
      <c r="P1725" s="116">
        <v>99.4</v>
      </c>
      <c r="Q1725" s="116">
        <v>194.25</v>
      </c>
      <c r="R1725">
        <v>345942</v>
      </c>
    </row>
    <row r="1726" spans="1:18" x14ac:dyDescent="0.25">
      <c r="A1726" s="166">
        <v>44546</v>
      </c>
      <c r="B1726" s="116">
        <v>98.375</v>
      </c>
      <c r="C1726" s="116">
        <v>93.924999999999997</v>
      </c>
      <c r="D1726" s="116">
        <v>92.75</v>
      </c>
      <c r="E1726" s="116">
        <v>97.5</v>
      </c>
      <c r="F1726" s="116">
        <v>187.85</v>
      </c>
      <c r="G1726">
        <v>88940</v>
      </c>
      <c r="H1726" s="116"/>
      <c r="I1726" s="116"/>
      <c r="L1726" s="166">
        <v>44546</v>
      </c>
      <c r="M1726" s="116">
        <v>94.025000000000006</v>
      </c>
      <c r="N1726" s="116">
        <v>98.4</v>
      </c>
      <c r="O1726" s="116">
        <v>92.575000000000003</v>
      </c>
      <c r="P1726" s="116">
        <v>97.65</v>
      </c>
      <c r="Q1726" s="116">
        <v>188.05</v>
      </c>
      <c r="R1726">
        <v>423090</v>
      </c>
    </row>
    <row r="1727" spans="1:18" x14ac:dyDescent="0.25">
      <c r="A1727" s="166">
        <v>44547</v>
      </c>
      <c r="B1727" s="116">
        <v>94.474999999999994</v>
      </c>
      <c r="C1727" s="116">
        <v>89.974999999999994</v>
      </c>
      <c r="D1727" s="116">
        <v>88.75</v>
      </c>
      <c r="E1727" s="116">
        <v>93.55</v>
      </c>
      <c r="F1727" s="116">
        <v>179.95</v>
      </c>
      <c r="G1727">
        <v>80778</v>
      </c>
      <c r="H1727" s="116"/>
      <c r="I1727" s="116"/>
      <c r="L1727" s="166">
        <v>44547</v>
      </c>
      <c r="M1727" s="116">
        <v>89.775000000000006</v>
      </c>
      <c r="N1727" s="116">
        <v>94.4</v>
      </c>
      <c r="O1727" s="116">
        <v>88.55</v>
      </c>
      <c r="P1727" s="116">
        <v>94.35</v>
      </c>
      <c r="Q1727" s="116">
        <v>179.55</v>
      </c>
      <c r="R1727">
        <v>604360</v>
      </c>
    </row>
    <row r="1728" spans="1:18" x14ac:dyDescent="0.25">
      <c r="A1728" s="166">
        <v>44550</v>
      </c>
      <c r="B1728" s="116">
        <v>86.95</v>
      </c>
      <c r="C1728" s="116">
        <v>86.1</v>
      </c>
      <c r="D1728" s="116">
        <v>81.775000000000006</v>
      </c>
      <c r="E1728" s="116">
        <v>85.2</v>
      </c>
      <c r="F1728" s="116">
        <v>172.2</v>
      </c>
      <c r="G1728">
        <v>180344</v>
      </c>
      <c r="H1728" s="116"/>
      <c r="I1728" s="116"/>
      <c r="L1728" s="166">
        <v>44550</v>
      </c>
      <c r="M1728" s="116">
        <v>86.174999999999997</v>
      </c>
      <c r="N1728" s="116">
        <v>87.5</v>
      </c>
      <c r="O1728" s="116">
        <v>81.8</v>
      </c>
      <c r="P1728" s="116">
        <v>85.9</v>
      </c>
      <c r="Q1728" s="116">
        <v>172.35</v>
      </c>
      <c r="R1728">
        <v>1001875</v>
      </c>
    </row>
    <row r="1729" spans="1:18" x14ac:dyDescent="0.25">
      <c r="A1729" s="166">
        <v>44551</v>
      </c>
      <c r="B1729" s="116">
        <v>89.1</v>
      </c>
      <c r="C1729" s="116">
        <v>85.2</v>
      </c>
      <c r="D1729" s="116">
        <v>84.075000000000003</v>
      </c>
      <c r="E1729" s="116">
        <v>84.875</v>
      </c>
      <c r="F1729" s="116">
        <v>170.4</v>
      </c>
      <c r="G1729">
        <v>69399</v>
      </c>
      <c r="H1729" s="116"/>
      <c r="I1729" s="116"/>
      <c r="L1729" s="166">
        <v>44551</v>
      </c>
      <c r="M1729" s="116">
        <v>85.224999999999994</v>
      </c>
      <c r="N1729" s="116">
        <v>89.375</v>
      </c>
      <c r="O1729" s="116">
        <v>84.075000000000003</v>
      </c>
      <c r="P1729" s="116">
        <v>86.15</v>
      </c>
      <c r="Q1729" s="116">
        <v>170.45</v>
      </c>
      <c r="R1729">
        <v>609940</v>
      </c>
    </row>
    <row r="1730" spans="1:18" x14ac:dyDescent="0.25">
      <c r="A1730" s="166">
        <v>44552</v>
      </c>
      <c r="B1730" s="116">
        <v>87.775000000000006</v>
      </c>
      <c r="C1730" s="116">
        <v>86.65</v>
      </c>
      <c r="D1730" s="116">
        <v>86</v>
      </c>
      <c r="E1730" s="116">
        <v>86.7</v>
      </c>
      <c r="F1730" s="116">
        <v>173.3</v>
      </c>
      <c r="G1730">
        <v>49606</v>
      </c>
      <c r="H1730" s="116"/>
      <c r="I1730" s="116"/>
      <c r="L1730" s="166">
        <v>44552</v>
      </c>
      <c r="M1730" s="116">
        <v>86.724999999999994</v>
      </c>
      <c r="N1730" s="116">
        <v>87.875</v>
      </c>
      <c r="O1730" s="116">
        <v>86.1</v>
      </c>
      <c r="P1730" s="116">
        <v>86.7</v>
      </c>
      <c r="Q1730" s="116">
        <v>173.45</v>
      </c>
      <c r="R1730">
        <v>337569</v>
      </c>
    </row>
    <row r="1731" spans="1:18" x14ac:dyDescent="0.25">
      <c r="A1731" s="166">
        <v>44553</v>
      </c>
      <c r="B1731" s="116">
        <v>90.125</v>
      </c>
      <c r="C1731" s="116">
        <v>87.375</v>
      </c>
      <c r="D1731" s="116">
        <v>86.875</v>
      </c>
      <c r="E1731" s="116">
        <v>86.875</v>
      </c>
      <c r="F1731" s="116">
        <v>174.75</v>
      </c>
      <c r="G1731">
        <v>48204</v>
      </c>
      <c r="H1731" s="116"/>
      <c r="I1731" s="116"/>
      <c r="L1731" s="166">
        <v>44553</v>
      </c>
      <c r="M1731" s="116">
        <v>87.4</v>
      </c>
      <c r="N1731" s="116">
        <v>90.224999999999994</v>
      </c>
      <c r="O1731" s="116">
        <v>86.85</v>
      </c>
      <c r="P1731" s="116">
        <v>87.174999999999997</v>
      </c>
      <c r="Q1731" s="116">
        <v>174.8</v>
      </c>
      <c r="R1731">
        <v>415228</v>
      </c>
    </row>
    <row r="1732" spans="1:18" x14ac:dyDescent="0.25">
      <c r="A1732" s="166">
        <v>44554</v>
      </c>
      <c r="B1732" s="116">
        <v>87.924999999999997</v>
      </c>
      <c r="C1732" s="116">
        <v>85.1</v>
      </c>
      <c r="D1732" s="116">
        <v>84.8</v>
      </c>
      <c r="E1732" s="116">
        <v>87.3</v>
      </c>
      <c r="F1732" s="116">
        <v>170.2</v>
      </c>
      <c r="G1732">
        <v>47395</v>
      </c>
      <c r="H1732" s="116"/>
      <c r="I1732" s="116"/>
      <c r="L1732" s="166">
        <v>44554</v>
      </c>
      <c r="M1732" s="116">
        <v>85.025000000000006</v>
      </c>
      <c r="N1732" s="116">
        <v>87.95</v>
      </c>
      <c r="O1732" s="116">
        <v>84.775000000000006</v>
      </c>
      <c r="P1732" s="116">
        <v>86.875</v>
      </c>
      <c r="Q1732" s="116">
        <v>170.05</v>
      </c>
      <c r="R1732">
        <v>421912</v>
      </c>
    </row>
    <row r="1733" spans="1:18" x14ac:dyDescent="0.25">
      <c r="A1733" s="166">
        <v>44557</v>
      </c>
      <c r="B1733" s="116">
        <v>84.45</v>
      </c>
      <c r="C1733" s="116">
        <v>83.775000000000006</v>
      </c>
      <c r="D1733" s="116">
        <v>82.55</v>
      </c>
      <c r="E1733" s="116">
        <v>84</v>
      </c>
      <c r="F1733" s="116">
        <v>167.55</v>
      </c>
      <c r="G1733">
        <v>66429</v>
      </c>
      <c r="H1733" s="116"/>
      <c r="I1733" s="116"/>
      <c r="L1733" s="166">
        <v>44557</v>
      </c>
      <c r="M1733" s="116">
        <v>83.7</v>
      </c>
      <c r="N1733" s="116">
        <v>84.5</v>
      </c>
      <c r="O1733" s="116">
        <v>82.5</v>
      </c>
      <c r="P1733" s="116">
        <v>82.825000000000003</v>
      </c>
      <c r="Q1733" s="116">
        <v>167.4</v>
      </c>
      <c r="R1733">
        <v>285469</v>
      </c>
    </row>
    <row r="1734" spans="1:18" x14ac:dyDescent="0.25">
      <c r="A1734" s="166">
        <v>44558</v>
      </c>
      <c r="B1734" s="116">
        <v>97.5</v>
      </c>
      <c r="C1734" s="116">
        <v>96.325000000000003</v>
      </c>
      <c r="D1734" s="116">
        <v>83.8</v>
      </c>
      <c r="E1734" s="116">
        <v>83.8</v>
      </c>
      <c r="F1734" s="116">
        <v>192.65</v>
      </c>
      <c r="G1734">
        <v>302482</v>
      </c>
      <c r="H1734" s="116"/>
      <c r="I1734" s="116"/>
      <c r="L1734" s="166">
        <v>44558</v>
      </c>
      <c r="M1734" s="116">
        <v>96.224999999999994</v>
      </c>
      <c r="N1734" s="116">
        <v>97.65</v>
      </c>
      <c r="O1734" s="116">
        <v>84.025000000000006</v>
      </c>
      <c r="P1734" s="116">
        <v>84.025000000000006</v>
      </c>
      <c r="Q1734" s="116">
        <v>192.45</v>
      </c>
      <c r="R1734">
        <v>4614221</v>
      </c>
    </row>
    <row r="1735" spans="1:18" x14ac:dyDescent="0.25">
      <c r="A1735" s="166">
        <v>44559</v>
      </c>
      <c r="B1735" s="116">
        <v>96.275000000000006</v>
      </c>
      <c r="C1735" s="116">
        <v>93.625</v>
      </c>
      <c r="D1735" s="116">
        <v>92.724999999999994</v>
      </c>
      <c r="E1735" s="116">
        <v>96.05</v>
      </c>
      <c r="F1735" s="116">
        <v>187.25</v>
      </c>
      <c r="G1735">
        <v>106868</v>
      </c>
      <c r="H1735" s="116"/>
      <c r="I1735" s="116"/>
      <c r="L1735" s="166">
        <v>44559</v>
      </c>
      <c r="M1735" s="116">
        <v>93.55</v>
      </c>
      <c r="N1735" s="116">
        <v>96.3</v>
      </c>
      <c r="O1735" s="116">
        <v>92.8</v>
      </c>
      <c r="P1735" s="116">
        <v>96.3</v>
      </c>
      <c r="Q1735" s="116">
        <v>187.1</v>
      </c>
      <c r="R1735">
        <v>690061</v>
      </c>
    </row>
    <row r="1736" spans="1:18" x14ac:dyDescent="0.25">
      <c r="A1736" s="166">
        <v>44560</v>
      </c>
      <c r="B1736" s="116">
        <v>95.075000000000003</v>
      </c>
      <c r="C1736" s="116">
        <v>94.2</v>
      </c>
      <c r="D1736" s="116">
        <v>91.1</v>
      </c>
      <c r="E1736" s="116">
        <v>93.625</v>
      </c>
      <c r="F1736" s="116">
        <v>188.4</v>
      </c>
      <c r="G1736">
        <v>109683</v>
      </c>
      <c r="H1736" s="116"/>
      <c r="I1736" s="116"/>
      <c r="L1736" s="166">
        <v>44560</v>
      </c>
      <c r="M1736" s="116">
        <v>94.25</v>
      </c>
      <c r="N1736" s="116">
        <v>95</v>
      </c>
      <c r="O1736" s="116">
        <v>91.125</v>
      </c>
      <c r="P1736" s="116">
        <v>93.35</v>
      </c>
      <c r="Q1736" s="116">
        <v>188.5</v>
      </c>
      <c r="R1736">
        <v>712293</v>
      </c>
    </row>
    <row r="1737" spans="1:18" x14ac:dyDescent="0.25">
      <c r="A1737" s="166">
        <v>44561</v>
      </c>
      <c r="B1737" s="116">
        <v>96</v>
      </c>
      <c r="C1737" s="116">
        <v>92.224999999999994</v>
      </c>
      <c r="D1737" s="116">
        <v>91.85</v>
      </c>
      <c r="E1737" s="116">
        <v>96</v>
      </c>
      <c r="F1737" s="116">
        <v>184.45</v>
      </c>
      <c r="G1737">
        <v>40687</v>
      </c>
      <c r="H1737" s="116"/>
      <c r="I1737" s="116"/>
      <c r="L1737" s="166">
        <v>44561</v>
      </c>
      <c r="M1737" s="116">
        <v>92.15</v>
      </c>
      <c r="N1737" s="116">
        <v>95.2</v>
      </c>
      <c r="O1737" s="116">
        <v>91.75</v>
      </c>
      <c r="P1737" s="116">
        <v>94.775000000000006</v>
      </c>
      <c r="Q1737" s="116">
        <v>184.3</v>
      </c>
      <c r="R1737">
        <v>389469</v>
      </c>
    </row>
    <row r="1738" spans="1:18" x14ac:dyDescent="0.25">
      <c r="A1738" s="166">
        <v>44564</v>
      </c>
      <c r="B1738" s="116">
        <v>97.875</v>
      </c>
      <c r="C1738" s="116">
        <v>95.8</v>
      </c>
      <c r="D1738" s="116">
        <v>92.7</v>
      </c>
      <c r="E1738" s="116">
        <v>92.7</v>
      </c>
      <c r="F1738" s="116">
        <v>191.6</v>
      </c>
      <c r="G1738">
        <v>151895</v>
      </c>
      <c r="H1738" s="116"/>
      <c r="I1738" s="116"/>
      <c r="L1738" s="166">
        <v>44564</v>
      </c>
      <c r="M1738" s="116">
        <v>95.8</v>
      </c>
      <c r="N1738" s="116">
        <v>97.95</v>
      </c>
      <c r="O1738" s="116">
        <v>93</v>
      </c>
      <c r="P1738" s="116">
        <v>93.224999999999994</v>
      </c>
      <c r="Q1738" s="116">
        <v>191.6</v>
      </c>
      <c r="R1738">
        <v>827818</v>
      </c>
    </row>
    <row r="1739" spans="1:18" x14ac:dyDescent="0.25">
      <c r="A1739" s="166">
        <v>44565</v>
      </c>
      <c r="B1739" s="116">
        <v>96.3</v>
      </c>
      <c r="C1739" s="116">
        <v>94.2</v>
      </c>
      <c r="D1739" s="116">
        <v>93.375</v>
      </c>
      <c r="E1739" s="116">
        <v>96</v>
      </c>
      <c r="F1739" s="116">
        <v>188.4</v>
      </c>
      <c r="G1739">
        <v>39930</v>
      </c>
      <c r="H1739" s="116"/>
      <c r="I1739" s="116"/>
      <c r="L1739" s="166">
        <v>44565</v>
      </c>
      <c r="M1739" s="116">
        <v>94.4</v>
      </c>
      <c r="N1739" s="116">
        <v>96.55</v>
      </c>
      <c r="O1739" s="116">
        <v>93.224999999999994</v>
      </c>
      <c r="P1739" s="116">
        <v>95.8</v>
      </c>
      <c r="Q1739" s="116">
        <v>188.8</v>
      </c>
      <c r="R1739">
        <v>444454</v>
      </c>
    </row>
    <row r="1740" spans="1:18" x14ac:dyDescent="0.25">
      <c r="A1740" s="166">
        <v>44566</v>
      </c>
      <c r="B1740" s="116">
        <v>101.375</v>
      </c>
      <c r="C1740" s="116">
        <v>98.9</v>
      </c>
      <c r="D1740" s="116">
        <v>93.95</v>
      </c>
      <c r="E1740" s="116">
        <v>95</v>
      </c>
      <c r="F1740" s="116">
        <v>197.8</v>
      </c>
      <c r="G1740">
        <v>124530</v>
      </c>
      <c r="H1740" s="116"/>
      <c r="I1740" s="116"/>
      <c r="L1740" s="166">
        <v>44566</v>
      </c>
      <c r="M1740" s="116">
        <v>98.724999999999994</v>
      </c>
      <c r="N1740" s="116">
        <v>101.375</v>
      </c>
      <c r="O1740" s="116">
        <v>93.875</v>
      </c>
      <c r="P1740" s="116">
        <v>94.375</v>
      </c>
      <c r="Q1740" s="116">
        <v>197.45</v>
      </c>
      <c r="R1740">
        <v>1391090</v>
      </c>
    </row>
    <row r="1741" spans="1:18" x14ac:dyDescent="0.25">
      <c r="A1741" s="166">
        <v>44567</v>
      </c>
      <c r="B1741" s="116">
        <v>98.65</v>
      </c>
      <c r="C1741" s="116">
        <v>95.575000000000003</v>
      </c>
      <c r="D1741" s="116">
        <v>95.3</v>
      </c>
      <c r="E1741" s="116">
        <v>97.5</v>
      </c>
      <c r="F1741" s="116">
        <v>191.15</v>
      </c>
      <c r="G1741">
        <v>91091</v>
      </c>
      <c r="H1741" s="116"/>
      <c r="I1741" s="116"/>
      <c r="L1741" s="166">
        <v>44567</v>
      </c>
      <c r="M1741" s="116">
        <v>95.625</v>
      </c>
      <c r="N1741" s="116">
        <v>98.674999999999997</v>
      </c>
      <c r="O1741" s="116">
        <v>95.2</v>
      </c>
      <c r="P1741" s="116">
        <v>97.95</v>
      </c>
      <c r="Q1741" s="116">
        <v>191.25</v>
      </c>
      <c r="R1741">
        <v>442514</v>
      </c>
    </row>
    <row r="1742" spans="1:18" x14ac:dyDescent="0.25">
      <c r="A1742" s="166">
        <v>44568</v>
      </c>
      <c r="B1742" s="116">
        <v>99.5</v>
      </c>
      <c r="C1742" s="116">
        <v>93.575000000000003</v>
      </c>
      <c r="D1742" s="116">
        <v>92.35</v>
      </c>
      <c r="E1742" s="116">
        <v>99.5</v>
      </c>
      <c r="F1742" s="116">
        <v>187.15</v>
      </c>
      <c r="G1742">
        <v>69709</v>
      </c>
      <c r="H1742" s="116"/>
      <c r="I1742" s="116"/>
      <c r="L1742" s="166">
        <v>44568</v>
      </c>
      <c r="M1742" s="116">
        <v>94.05</v>
      </c>
      <c r="N1742" s="116">
        <v>96.825000000000003</v>
      </c>
      <c r="O1742" s="116">
        <v>92.25</v>
      </c>
      <c r="P1742" s="116">
        <v>96.375</v>
      </c>
      <c r="Q1742" s="116">
        <v>188.1</v>
      </c>
      <c r="R1742">
        <v>670544</v>
      </c>
    </row>
    <row r="1743" spans="1:18" x14ac:dyDescent="0.25">
      <c r="A1743" s="166">
        <v>44571</v>
      </c>
      <c r="B1743" s="116">
        <v>95.1</v>
      </c>
      <c r="C1743" s="116">
        <v>94.375</v>
      </c>
      <c r="D1743" s="116">
        <v>93.7</v>
      </c>
      <c r="E1743" s="116">
        <v>94.95</v>
      </c>
      <c r="F1743" s="116">
        <v>188.75</v>
      </c>
      <c r="G1743">
        <v>52193</v>
      </c>
      <c r="H1743" s="116"/>
      <c r="I1743" s="116"/>
      <c r="L1743" s="166">
        <v>44571</v>
      </c>
      <c r="M1743" s="116">
        <v>94.25</v>
      </c>
      <c r="N1743" s="116">
        <v>95.224999999999994</v>
      </c>
      <c r="O1743" s="116">
        <v>93.6</v>
      </c>
      <c r="P1743" s="116">
        <v>95</v>
      </c>
      <c r="Q1743" s="116">
        <v>188.5</v>
      </c>
      <c r="R1743">
        <v>347751</v>
      </c>
    </row>
    <row r="1744" spans="1:18" x14ac:dyDescent="0.25">
      <c r="A1744" s="166">
        <v>44572</v>
      </c>
      <c r="B1744" s="116">
        <v>102.2</v>
      </c>
      <c r="C1744" s="116">
        <v>100.15</v>
      </c>
      <c r="D1744" s="116">
        <v>94.8</v>
      </c>
      <c r="E1744" s="116">
        <v>94.8</v>
      </c>
      <c r="F1744" s="116">
        <v>200.3</v>
      </c>
      <c r="G1744">
        <v>271346</v>
      </c>
      <c r="H1744" s="116"/>
      <c r="I1744" s="116"/>
      <c r="L1744" s="166">
        <v>44572</v>
      </c>
      <c r="M1744" s="116">
        <v>100.27500000000001</v>
      </c>
      <c r="N1744" s="116">
        <v>102.325</v>
      </c>
      <c r="O1744" s="116">
        <v>94.95</v>
      </c>
      <c r="P1744" s="116">
        <v>95</v>
      </c>
      <c r="Q1744" s="116">
        <v>200.55</v>
      </c>
      <c r="R1744">
        <v>1471094</v>
      </c>
    </row>
    <row r="1745" spans="1:18" x14ac:dyDescent="0.25">
      <c r="A1745" s="166">
        <v>44573</v>
      </c>
      <c r="B1745" s="116">
        <v>102.45</v>
      </c>
      <c r="C1745" s="116">
        <v>98.5</v>
      </c>
      <c r="D1745" s="116">
        <v>97</v>
      </c>
      <c r="E1745" s="116">
        <v>102.45</v>
      </c>
      <c r="F1745" s="116">
        <v>197</v>
      </c>
      <c r="G1745">
        <v>89510</v>
      </c>
      <c r="H1745" s="116"/>
      <c r="I1745" s="116"/>
      <c r="L1745" s="166">
        <v>44573</v>
      </c>
      <c r="M1745" s="116">
        <v>98.674999999999997</v>
      </c>
      <c r="N1745" s="116">
        <v>102.375</v>
      </c>
      <c r="O1745" s="116">
        <v>96.6</v>
      </c>
      <c r="P1745" s="116">
        <v>101.5</v>
      </c>
      <c r="Q1745" s="116">
        <v>197.35</v>
      </c>
      <c r="R1745">
        <v>819324</v>
      </c>
    </row>
    <row r="1746" spans="1:18" x14ac:dyDescent="0.25">
      <c r="A1746" s="166">
        <v>44574</v>
      </c>
      <c r="B1746" s="116">
        <v>106.75</v>
      </c>
      <c r="C1746" s="116">
        <v>103.22499999999999</v>
      </c>
      <c r="D1746" s="116">
        <v>96.724999999999994</v>
      </c>
      <c r="E1746" s="116">
        <v>99</v>
      </c>
      <c r="F1746" s="116">
        <v>206.45</v>
      </c>
      <c r="G1746">
        <v>164240</v>
      </c>
      <c r="H1746" s="116"/>
      <c r="I1746" s="116"/>
      <c r="L1746" s="166">
        <v>44574</v>
      </c>
      <c r="M1746" s="116">
        <v>103.175</v>
      </c>
      <c r="N1746" s="116">
        <v>106.77500000000001</v>
      </c>
      <c r="O1746" s="116">
        <v>96.6</v>
      </c>
      <c r="P1746" s="116">
        <v>99</v>
      </c>
      <c r="Q1746" s="116">
        <v>206.35</v>
      </c>
      <c r="R1746">
        <v>1381833</v>
      </c>
    </row>
    <row r="1747" spans="1:18" x14ac:dyDescent="0.25">
      <c r="A1747" s="166">
        <v>44575</v>
      </c>
      <c r="B1747" s="116">
        <v>104.97499999999999</v>
      </c>
      <c r="C1747" s="116">
        <v>102.075</v>
      </c>
      <c r="D1747" s="116">
        <v>101.05</v>
      </c>
      <c r="E1747" s="116">
        <v>101.05</v>
      </c>
      <c r="F1747" s="116">
        <v>204.15</v>
      </c>
      <c r="G1747">
        <v>116705</v>
      </c>
      <c r="H1747" s="116"/>
      <c r="I1747" s="116"/>
      <c r="L1747" s="166">
        <v>44575</v>
      </c>
      <c r="M1747" s="116">
        <v>101.97499999999999</v>
      </c>
      <c r="N1747" s="116">
        <v>105</v>
      </c>
      <c r="O1747" s="116">
        <v>101.55</v>
      </c>
      <c r="P1747" s="116">
        <v>102.45</v>
      </c>
      <c r="Q1747" s="116">
        <v>203.95</v>
      </c>
      <c r="R1747">
        <v>550405</v>
      </c>
    </row>
    <row r="1748" spans="1:18" x14ac:dyDescent="0.25">
      <c r="A1748" s="166">
        <v>44578</v>
      </c>
      <c r="B1748" s="116">
        <v>107.075</v>
      </c>
      <c r="C1748" s="116">
        <v>103.27500000000001</v>
      </c>
      <c r="D1748" s="116">
        <v>102.1</v>
      </c>
      <c r="E1748" s="116">
        <v>102.1</v>
      </c>
      <c r="F1748" s="116">
        <v>206.55</v>
      </c>
      <c r="G1748">
        <v>167392</v>
      </c>
      <c r="H1748" s="116"/>
      <c r="I1748" s="116"/>
      <c r="L1748" s="166">
        <v>44578</v>
      </c>
      <c r="M1748" s="116">
        <v>103.25</v>
      </c>
      <c r="N1748" s="116">
        <v>107.15</v>
      </c>
      <c r="O1748" s="116">
        <v>102.52500000000001</v>
      </c>
      <c r="P1748" s="116">
        <v>102.72499999999999</v>
      </c>
      <c r="Q1748" s="116">
        <v>206.5</v>
      </c>
      <c r="R1748">
        <v>1085065</v>
      </c>
    </row>
    <row r="1749" spans="1:18" x14ac:dyDescent="0.25">
      <c r="A1749" s="166">
        <v>44579</v>
      </c>
      <c r="B1749" s="116">
        <v>105.175</v>
      </c>
      <c r="C1749" s="116">
        <v>98.6</v>
      </c>
      <c r="D1749" s="116">
        <v>97.474999999999994</v>
      </c>
      <c r="E1749" s="116">
        <v>105.175</v>
      </c>
      <c r="F1749" s="116">
        <v>197.2</v>
      </c>
      <c r="G1749">
        <v>189621</v>
      </c>
      <c r="H1749" s="116"/>
      <c r="I1749" s="116"/>
      <c r="L1749" s="166">
        <v>44579</v>
      </c>
      <c r="M1749" s="116">
        <v>98.5</v>
      </c>
      <c r="N1749" s="116">
        <v>104.35</v>
      </c>
      <c r="O1749" s="116">
        <v>97.5</v>
      </c>
      <c r="P1749" s="116">
        <v>104.075</v>
      </c>
      <c r="Q1749" s="116">
        <v>197</v>
      </c>
      <c r="R1749">
        <v>705203</v>
      </c>
    </row>
    <row r="1750" spans="1:18" x14ac:dyDescent="0.25">
      <c r="A1750" s="166">
        <v>44580</v>
      </c>
      <c r="B1750" s="116">
        <v>98.75</v>
      </c>
      <c r="C1750" s="116">
        <v>97.05</v>
      </c>
      <c r="D1750" s="116">
        <v>93.9</v>
      </c>
      <c r="E1750" s="116">
        <v>97.5</v>
      </c>
      <c r="F1750" s="116">
        <v>194.1</v>
      </c>
      <c r="G1750">
        <v>152517</v>
      </c>
      <c r="H1750" s="116"/>
      <c r="I1750" s="116"/>
      <c r="L1750" s="166">
        <v>44580</v>
      </c>
      <c r="M1750" s="116">
        <v>97.224999999999994</v>
      </c>
      <c r="N1750" s="116">
        <v>98.724999999999994</v>
      </c>
      <c r="O1750" s="116">
        <v>94.2</v>
      </c>
      <c r="P1750" s="116">
        <v>97.95</v>
      </c>
      <c r="Q1750" s="116">
        <v>194.45</v>
      </c>
      <c r="R1750">
        <v>842879</v>
      </c>
    </row>
    <row r="1751" spans="1:18" x14ac:dyDescent="0.25">
      <c r="A1751" s="166">
        <v>44581</v>
      </c>
      <c r="B1751" s="116">
        <v>99.95</v>
      </c>
      <c r="C1751" s="116">
        <v>97.224999999999994</v>
      </c>
      <c r="D1751" s="116">
        <v>96.35</v>
      </c>
      <c r="E1751" s="116">
        <v>99.95</v>
      </c>
      <c r="F1751" s="116">
        <v>194.45</v>
      </c>
      <c r="G1751">
        <v>64206</v>
      </c>
      <c r="H1751" s="116"/>
      <c r="I1751" s="116"/>
      <c r="L1751" s="166">
        <v>44581</v>
      </c>
      <c r="M1751" s="116">
        <v>97.375</v>
      </c>
      <c r="N1751" s="116">
        <v>99.25</v>
      </c>
      <c r="O1751" s="116">
        <v>96.325000000000003</v>
      </c>
      <c r="P1751" s="116">
        <v>97.775000000000006</v>
      </c>
      <c r="Q1751" s="116">
        <v>194.75</v>
      </c>
      <c r="R1751">
        <v>477166</v>
      </c>
    </row>
    <row r="1752" spans="1:18" x14ac:dyDescent="0.25">
      <c r="A1752" s="166">
        <v>44582</v>
      </c>
      <c r="B1752" s="116">
        <v>99.45</v>
      </c>
      <c r="C1752" s="116">
        <v>96.775000000000006</v>
      </c>
      <c r="D1752" s="116">
        <v>95</v>
      </c>
      <c r="E1752" s="116">
        <v>99.25</v>
      </c>
      <c r="F1752" s="116">
        <v>193.55</v>
      </c>
      <c r="G1752">
        <v>73351</v>
      </c>
      <c r="H1752" s="116"/>
      <c r="I1752" s="116"/>
      <c r="L1752" s="166">
        <v>44582</v>
      </c>
      <c r="M1752" s="116">
        <v>96.924999999999997</v>
      </c>
      <c r="N1752" s="116">
        <v>99.575000000000003</v>
      </c>
      <c r="O1752" s="116">
        <v>95.2</v>
      </c>
      <c r="P1752" s="116">
        <v>96.075000000000003</v>
      </c>
      <c r="Q1752" s="116">
        <v>193.85</v>
      </c>
      <c r="R1752">
        <v>536168</v>
      </c>
    </row>
    <row r="1753" spans="1:18" x14ac:dyDescent="0.25">
      <c r="A1753" s="166">
        <v>44585</v>
      </c>
      <c r="B1753" s="116">
        <v>96.775000000000006</v>
      </c>
      <c r="C1753" s="116">
        <v>87.35</v>
      </c>
      <c r="D1753" s="116">
        <v>83.224999999999994</v>
      </c>
      <c r="E1753" s="116">
        <v>96.775000000000006</v>
      </c>
      <c r="F1753" s="116">
        <v>174.7</v>
      </c>
      <c r="G1753">
        <v>200952</v>
      </c>
      <c r="H1753" s="116"/>
      <c r="I1753" s="116"/>
      <c r="L1753" s="166">
        <v>44585</v>
      </c>
      <c r="M1753" s="116">
        <v>87.35</v>
      </c>
      <c r="N1753" s="116">
        <v>97.424999999999997</v>
      </c>
      <c r="O1753" s="116">
        <v>83</v>
      </c>
      <c r="P1753" s="116">
        <v>96.875</v>
      </c>
      <c r="Q1753" s="116">
        <v>174.7</v>
      </c>
      <c r="R1753">
        <v>1409621</v>
      </c>
    </row>
    <row r="1754" spans="1:18" x14ac:dyDescent="0.25">
      <c r="A1754" s="166">
        <v>44586</v>
      </c>
      <c r="B1754" s="116">
        <v>90</v>
      </c>
      <c r="C1754" s="116">
        <v>87.8</v>
      </c>
      <c r="D1754" s="116">
        <v>83.025000000000006</v>
      </c>
      <c r="E1754" s="116">
        <v>89.9</v>
      </c>
      <c r="F1754" s="116">
        <v>175.6</v>
      </c>
      <c r="G1754">
        <v>120038</v>
      </c>
      <c r="H1754" s="116"/>
      <c r="I1754" s="116"/>
      <c r="L1754" s="166">
        <v>44586</v>
      </c>
      <c r="M1754" s="116">
        <v>87.575000000000003</v>
      </c>
      <c r="N1754" s="116">
        <v>89.05</v>
      </c>
      <c r="O1754" s="116">
        <v>83.174999999999997</v>
      </c>
      <c r="P1754" s="116">
        <v>86.85</v>
      </c>
      <c r="Q1754" s="116">
        <v>175.15</v>
      </c>
      <c r="R1754">
        <v>767914</v>
      </c>
    </row>
    <row r="1755" spans="1:18" x14ac:dyDescent="0.25">
      <c r="A1755" s="166">
        <v>44588</v>
      </c>
      <c r="B1755" s="116">
        <v>88.724999999999994</v>
      </c>
      <c r="C1755" s="116">
        <v>87.7</v>
      </c>
      <c r="D1755" s="116">
        <v>85.6</v>
      </c>
      <c r="E1755" s="116">
        <v>87.25</v>
      </c>
      <c r="F1755" s="116">
        <v>175.4</v>
      </c>
      <c r="G1755">
        <v>86737</v>
      </c>
      <c r="H1755" s="116"/>
      <c r="I1755" s="116"/>
      <c r="L1755" s="166">
        <v>44588</v>
      </c>
      <c r="M1755" s="116">
        <v>87.625</v>
      </c>
      <c r="N1755" s="116">
        <v>88.775000000000006</v>
      </c>
      <c r="O1755" s="116">
        <v>85.424999999999997</v>
      </c>
      <c r="P1755" s="116">
        <v>86.724999999999994</v>
      </c>
      <c r="Q1755" s="116">
        <v>175.25</v>
      </c>
      <c r="R1755">
        <v>389933</v>
      </c>
    </row>
    <row r="1756" spans="1:18" x14ac:dyDescent="0.25">
      <c r="A1756" s="166">
        <v>44589</v>
      </c>
      <c r="B1756" s="116">
        <v>93.125</v>
      </c>
      <c r="C1756" s="116">
        <v>88.825000000000003</v>
      </c>
      <c r="D1756" s="116">
        <v>88.125</v>
      </c>
      <c r="E1756" s="116">
        <v>89.474999999999994</v>
      </c>
      <c r="F1756" s="116">
        <v>177.65</v>
      </c>
      <c r="G1756">
        <v>84090</v>
      </c>
      <c r="H1756" s="116"/>
      <c r="I1756" s="116"/>
      <c r="L1756" s="166">
        <v>44589</v>
      </c>
      <c r="M1756" s="116">
        <v>88.9</v>
      </c>
      <c r="N1756" s="116">
        <v>93.25</v>
      </c>
      <c r="O1756" s="116">
        <v>88.025000000000006</v>
      </c>
      <c r="P1756" s="116">
        <v>89.95</v>
      </c>
      <c r="Q1756" s="116">
        <v>177.8</v>
      </c>
      <c r="R1756">
        <v>710861</v>
      </c>
    </row>
    <row r="1757" spans="1:18" x14ac:dyDescent="0.25">
      <c r="A1757" s="166">
        <v>44592</v>
      </c>
      <c r="B1757" s="116">
        <v>92</v>
      </c>
      <c r="C1757" s="116">
        <v>89.1</v>
      </c>
      <c r="D1757" s="116">
        <v>88.25</v>
      </c>
      <c r="E1757" s="116">
        <v>92</v>
      </c>
      <c r="F1757" s="116">
        <v>178.2</v>
      </c>
      <c r="G1757">
        <v>28257</v>
      </c>
      <c r="H1757" s="116"/>
      <c r="I1757" s="116"/>
      <c r="L1757" s="166">
        <v>44592</v>
      </c>
      <c r="M1757" s="116">
        <v>89.1</v>
      </c>
      <c r="N1757" s="116">
        <v>92.5</v>
      </c>
      <c r="O1757" s="116">
        <v>88.224999999999994</v>
      </c>
      <c r="P1757" s="116">
        <v>90.05</v>
      </c>
      <c r="Q1757" s="116">
        <v>178.2</v>
      </c>
      <c r="R1757">
        <v>337491</v>
      </c>
    </row>
    <row r="1758" spans="1:18" x14ac:dyDescent="0.25">
      <c r="A1758" s="166">
        <v>44593</v>
      </c>
      <c r="B1758" s="116">
        <v>91.7</v>
      </c>
      <c r="C1758" s="116">
        <v>85.924999999999997</v>
      </c>
      <c r="D1758" s="116">
        <v>84.174999999999997</v>
      </c>
      <c r="E1758" s="116">
        <v>91</v>
      </c>
      <c r="F1758" s="116">
        <v>171.85</v>
      </c>
      <c r="G1758">
        <v>219060</v>
      </c>
      <c r="H1758" s="116"/>
      <c r="I1758" s="116"/>
      <c r="L1758" s="166">
        <v>44593</v>
      </c>
      <c r="M1758" s="116">
        <v>86.025000000000006</v>
      </c>
      <c r="N1758" s="116">
        <v>91.85</v>
      </c>
      <c r="O1758" s="116">
        <v>84</v>
      </c>
      <c r="P1758" s="116">
        <v>90.325000000000003</v>
      </c>
      <c r="Q1758" s="116">
        <v>172.05</v>
      </c>
      <c r="R1758">
        <v>941006</v>
      </c>
    </row>
    <row r="1759" spans="1:18" x14ac:dyDescent="0.25">
      <c r="A1759" s="166">
        <v>44594</v>
      </c>
      <c r="B1759" s="116">
        <v>89.525000000000006</v>
      </c>
      <c r="C1759" s="116">
        <v>88.45</v>
      </c>
      <c r="D1759" s="116">
        <v>86.9</v>
      </c>
      <c r="E1759" s="116">
        <v>87</v>
      </c>
      <c r="F1759" s="116">
        <v>176.9</v>
      </c>
      <c r="G1759">
        <v>72807</v>
      </c>
      <c r="H1759" s="116"/>
      <c r="I1759" s="116"/>
      <c r="L1759" s="166">
        <v>44594</v>
      </c>
      <c r="M1759" s="116">
        <v>88.45</v>
      </c>
      <c r="N1759" s="116">
        <v>89.575000000000003</v>
      </c>
      <c r="O1759" s="116">
        <v>86.8</v>
      </c>
      <c r="P1759" s="116">
        <v>87.174999999999997</v>
      </c>
      <c r="Q1759" s="116">
        <v>176.9</v>
      </c>
      <c r="R1759">
        <v>635853</v>
      </c>
    </row>
    <row r="1760" spans="1:18" x14ac:dyDescent="0.25">
      <c r="A1760" s="166">
        <v>44595</v>
      </c>
      <c r="B1760" s="116">
        <v>89.6</v>
      </c>
      <c r="C1760" s="116">
        <v>88.15</v>
      </c>
      <c r="D1760" s="116">
        <v>87.85</v>
      </c>
      <c r="E1760" s="116">
        <v>89</v>
      </c>
      <c r="F1760" s="116">
        <v>176.3</v>
      </c>
      <c r="G1760">
        <v>43386</v>
      </c>
      <c r="H1760" s="116"/>
      <c r="I1760" s="116"/>
      <c r="L1760" s="166">
        <v>44595</v>
      </c>
      <c r="M1760" s="116">
        <v>88.15</v>
      </c>
      <c r="N1760" s="116">
        <v>89.775000000000006</v>
      </c>
      <c r="O1760" s="116">
        <v>87.75</v>
      </c>
      <c r="P1760" s="116">
        <v>89</v>
      </c>
      <c r="Q1760" s="116">
        <v>176.3</v>
      </c>
      <c r="R1760">
        <v>235497</v>
      </c>
    </row>
    <row r="1761" spans="1:18" x14ac:dyDescent="0.25">
      <c r="A1761" s="166">
        <v>44596</v>
      </c>
      <c r="B1761" s="116">
        <v>88.65</v>
      </c>
      <c r="C1761" s="116">
        <v>87.174999999999997</v>
      </c>
      <c r="D1761" s="116">
        <v>86.5</v>
      </c>
      <c r="E1761" s="116">
        <v>88.5</v>
      </c>
      <c r="F1761" s="116">
        <v>174.35</v>
      </c>
      <c r="G1761">
        <v>55172</v>
      </c>
      <c r="H1761" s="116"/>
      <c r="I1761" s="116"/>
      <c r="L1761" s="166">
        <v>44596</v>
      </c>
      <c r="M1761" s="116">
        <v>87.075000000000003</v>
      </c>
      <c r="N1761" s="116">
        <v>88.75</v>
      </c>
      <c r="O1761" s="116">
        <v>86.5</v>
      </c>
      <c r="P1761" s="116">
        <v>88.724999999999994</v>
      </c>
      <c r="Q1761" s="116">
        <v>174.15</v>
      </c>
      <c r="R1761">
        <v>250045</v>
      </c>
    </row>
    <row r="1762" spans="1:18" x14ac:dyDescent="0.25">
      <c r="A1762" s="166">
        <v>44599</v>
      </c>
      <c r="B1762" s="116">
        <v>88.5</v>
      </c>
      <c r="C1762" s="116">
        <v>86.65</v>
      </c>
      <c r="D1762" s="116">
        <v>85.65</v>
      </c>
      <c r="E1762" s="116">
        <v>87.5</v>
      </c>
      <c r="F1762" s="116">
        <v>173.3</v>
      </c>
      <c r="G1762">
        <v>55647</v>
      </c>
      <c r="H1762" s="116"/>
      <c r="I1762" s="116"/>
      <c r="L1762" s="166">
        <v>44599</v>
      </c>
      <c r="M1762" s="116">
        <v>86.575000000000003</v>
      </c>
      <c r="N1762" s="116">
        <v>88.55</v>
      </c>
      <c r="O1762" s="116">
        <v>85.674999999999997</v>
      </c>
      <c r="P1762" s="116">
        <v>87.25</v>
      </c>
      <c r="Q1762" s="116">
        <v>173.15</v>
      </c>
      <c r="R1762">
        <v>273324</v>
      </c>
    </row>
    <row r="1763" spans="1:18" x14ac:dyDescent="0.25">
      <c r="A1763" s="166">
        <v>44600</v>
      </c>
      <c r="B1763" s="116">
        <v>87.9</v>
      </c>
      <c r="C1763" s="116">
        <v>83.875</v>
      </c>
      <c r="D1763" s="116">
        <v>82.525000000000006</v>
      </c>
      <c r="E1763" s="116">
        <v>85.5</v>
      </c>
      <c r="F1763" s="116">
        <v>167.75</v>
      </c>
      <c r="G1763">
        <v>114420</v>
      </c>
      <c r="H1763" s="116"/>
      <c r="I1763" s="116"/>
      <c r="L1763" s="166">
        <v>44600</v>
      </c>
      <c r="M1763" s="116">
        <v>83.875</v>
      </c>
      <c r="N1763" s="116">
        <v>88.125</v>
      </c>
      <c r="O1763" s="116">
        <v>82.5</v>
      </c>
      <c r="P1763" s="116">
        <v>86.75</v>
      </c>
      <c r="Q1763" s="116">
        <v>167.75</v>
      </c>
      <c r="R1763">
        <v>570567</v>
      </c>
    </row>
    <row r="1764" spans="1:18" x14ac:dyDescent="0.25">
      <c r="A1764" s="166">
        <v>44601</v>
      </c>
      <c r="B1764" s="116">
        <v>85.85</v>
      </c>
      <c r="C1764" s="116">
        <v>81.7</v>
      </c>
      <c r="D1764" s="116">
        <v>80.75</v>
      </c>
      <c r="E1764" s="116">
        <v>84.05</v>
      </c>
      <c r="F1764" s="116">
        <v>163.4</v>
      </c>
      <c r="G1764">
        <v>120268</v>
      </c>
      <c r="H1764" s="116"/>
      <c r="I1764" s="116"/>
      <c r="L1764" s="166">
        <v>44601</v>
      </c>
      <c r="M1764" s="116">
        <v>81.724999999999994</v>
      </c>
      <c r="N1764" s="116">
        <v>86</v>
      </c>
      <c r="O1764" s="116">
        <v>80.55</v>
      </c>
      <c r="P1764" s="116">
        <v>84.55</v>
      </c>
      <c r="Q1764" s="116">
        <v>163.44999999999999</v>
      </c>
      <c r="R1764">
        <v>546429</v>
      </c>
    </row>
    <row r="1765" spans="1:18" x14ac:dyDescent="0.25">
      <c r="A1765" s="166">
        <v>44602</v>
      </c>
      <c r="B1765" s="116">
        <v>84.95</v>
      </c>
      <c r="C1765" s="116">
        <v>84.2</v>
      </c>
      <c r="D1765" s="116">
        <v>81.974999999999994</v>
      </c>
      <c r="E1765" s="116">
        <v>82.724999999999994</v>
      </c>
      <c r="F1765" s="116">
        <v>168.4</v>
      </c>
      <c r="G1765">
        <v>53865</v>
      </c>
      <c r="H1765" s="116"/>
      <c r="I1765" s="116"/>
      <c r="L1765" s="166">
        <v>44602</v>
      </c>
      <c r="M1765" s="116">
        <v>84.3</v>
      </c>
      <c r="N1765" s="116">
        <v>85.1</v>
      </c>
      <c r="O1765" s="116">
        <v>81.95</v>
      </c>
      <c r="P1765" s="116">
        <v>82.2</v>
      </c>
      <c r="Q1765" s="116">
        <v>168.6</v>
      </c>
      <c r="R1765">
        <v>403690</v>
      </c>
    </row>
    <row r="1766" spans="1:18" x14ac:dyDescent="0.25">
      <c r="A1766" s="166">
        <v>44603</v>
      </c>
      <c r="B1766" s="116">
        <v>83.4</v>
      </c>
      <c r="C1766" s="116">
        <v>81.150000000000006</v>
      </c>
      <c r="D1766" s="116">
        <v>80.8</v>
      </c>
      <c r="E1766" s="116">
        <v>83.4</v>
      </c>
      <c r="F1766" s="116">
        <v>162.30000000000001</v>
      </c>
      <c r="G1766">
        <v>70027</v>
      </c>
      <c r="H1766" s="116"/>
      <c r="I1766" s="116"/>
      <c r="L1766" s="166">
        <v>44603</v>
      </c>
      <c r="M1766" s="116">
        <v>81.174999999999997</v>
      </c>
      <c r="N1766" s="116">
        <v>83.5</v>
      </c>
      <c r="O1766" s="116">
        <v>80.849999999999994</v>
      </c>
      <c r="P1766" s="116">
        <v>82.65</v>
      </c>
      <c r="Q1766" s="116">
        <v>162.35</v>
      </c>
      <c r="R1766">
        <v>373299</v>
      </c>
    </row>
    <row r="1767" spans="1:18" x14ac:dyDescent="0.25">
      <c r="A1767" s="166">
        <v>44606</v>
      </c>
      <c r="B1767" s="116">
        <v>79.95</v>
      </c>
      <c r="C1767" s="116">
        <v>75.2</v>
      </c>
      <c r="D1767" s="116">
        <v>75</v>
      </c>
      <c r="E1767" s="116">
        <v>79.95</v>
      </c>
      <c r="F1767" s="116">
        <v>150.4</v>
      </c>
      <c r="G1767">
        <v>86876</v>
      </c>
      <c r="H1767" s="116"/>
      <c r="I1767" s="116"/>
      <c r="L1767" s="166">
        <v>44606</v>
      </c>
      <c r="M1767" s="116">
        <v>75.2</v>
      </c>
      <c r="N1767" s="116">
        <v>79.474999999999994</v>
      </c>
      <c r="O1767" s="116">
        <v>75</v>
      </c>
      <c r="P1767" s="116">
        <v>77.5</v>
      </c>
      <c r="Q1767" s="116">
        <v>150.4</v>
      </c>
      <c r="R1767">
        <v>535418</v>
      </c>
    </row>
    <row r="1768" spans="1:18" x14ac:dyDescent="0.25">
      <c r="A1768" s="166">
        <v>44607</v>
      </c>
      <c r="B1768" s="116">
        <v>79.474999999999994</v>
      </c>
      <c r="C1768" s="116">
        <v>78.8</v>
      </c>
      <c r="D1768" s="116">
        <v>71.875</v>
      </c>
      <c r="E1768" s="116">
        <v>78</v>
      </c>
      <c r="F1768" s="116">
        <v>157.6</v>
      </c>
      <c r="G1768">
        <v>146385</v>
      </c>
      <c r="H1768" s="116"/>
      <c r="I1768" s="116"/>
      <c r="L1768" s="166">
        <v>44607</v>
      </c>
      <c r="M1768" s="116">
        <v>78.825000000000003</v>
      </c>
      <c r="N1768" s="116">
        <v>79.5</v>
      </c>
      <c r="O1768" s="116">
        <v>71.8</v>
      </c>
      <c r="P1768" s="116">
        <v>77.325000000000003</v>
      </c>
      <c r="Q1768" s="116">
        <v>157.65</v>
      </c>
      <c r="R1768">
        <v>636843</v>
      </c>
    </row>
    <row r="1769" spans="1:18" x14ac:dyDescent="0.25">
      <c r="A1769" s="166">
        <v>44608</v>
      </c>
      <c r="B1769" s="116">
        <v>80.150000000000006</v>
      </c>
      <c r="C1769" s="116">
        <v>76.55</v>
      </c>
      <c r="D1769" s="116">
        <v>76.150000000000006</v>
      </c>
      <c r="E1769" s="116">
        <v>78.025000000000006</v>
      </c>
      <c r="F1769" s="116">
        <v>153.1</v>
      </c>
      <c r="G1769">
        <v>47428</v>
      </c>
      <c r="H1769" s="116"/>
      <c r="I1769" s="116"/>
      <c r="L1769" s="166">
        <v>44608</v>
      </c>
      <c r="M1769" s="116">
        <v>76.575000000000003</v>
      </c>
      <c r="N1769" s="116">
        <v>80.349999999999994</v>
      </c>
      <c r="O1769" s="116">
        <v>76.325000000000003</v>
      </c>
      <c r="P1769" s="116">
        <v>78.974999999999994</v>
      </c>
      <c r="Q1769" s="116">
        <v>153.15</v>
      </c>
      <c r="R1769">
        <v>485728</v>
      </c>
    </row>
    <row r="1770" spans="1:18" x14ac:dyDescent="0.25">
      <c r="A1770" s="166">
        <v>44609</v>
      </c>
      <c r="B1770" s="116">
        <v>78.349999999999994</v>
      </c>
      <c r="C1770" s="116">
        <v>75.224999999999994</v>
      </c>
      <c r="D1770" s="116">
        <v>74.5</v>
      </c>
      <c r="E1770" s="116">
        <v>77.424999999999997</v>
      </c>
      <c r="F1770" s="116">
        <v>150.44999999999999</v>
      </c>
      <c r="G1770">
        <v>30989</v>
      </c>
      <c r="H1770" s="116"/>
      <c r="I1770" s="116"/>
      <c r="L1770" s="166">
        <v>44609</v>
      </c>
      <c r="M1770" s="116">
        <v>75.325000000000003</v>
      </c>
      <c r="N1770" s="116">
        <v>78.424999999999997</v>
      </c>
      <c r="O1770" s="116">
        <v>74.8</v>
      </c>
      <c r="P1770" s="116">
        <v>76.974999999999994</v>
      </c>
      <c r="Q1770" s="116">
        <v>150.65</v>
      </c>
      <c r="R1770">
        <v>279404</v>
      </c>
    </row>
    <row r="1771" spans="1:18" x14ac:dyDescent="0.25">
      <c r="A1771" s="166">
        <v>44610</v>
      </c>
      <c r="B1771" s="116">
        <v>77.625</v>
      </c>
      <c r="C1771" s="116">
        <v>74.650000000000006</v>
      </c>
      <c r="D1771" s="116">
        <v>73.95</v>
      </c>
      <c r="E1771" s="116">
        <v>75.55</v>
      </c>
      <c r="F1771" s="116">
        <v>149.30000000000001</v>
      </c>
      <c r="G1771">
        <v>47789</v>
      </c>
      <c r="H1771" s="116"/>
      <c r="I1771" s="116"/>
      <c r="L1771" s="166">
        <v>44610</v>
      </c>
      <c r="M1771" s="116">
        <v>74.575000000000003</v>
      </c>
      <c r="N1771" s="116">
        <v>77.575000000000003</v>
      </c>
      <c r="O1771" s="116">
        <v>73.275000000000006</v>
      </c>
      <c r="P1771" s="116">
        <v>73.275000000000006</v>
      </c>
      <c r="Q1771" s="116">
        <v>149.15</v>
      </c>
      <c r="R1771">
        <v>365360</v>
      </c>
    </row>
    <row r="1772" spans="1:18" x14ac:dyDescent="0.25">
      <c r="A1772" s="166">
        <v>44613</v>
      </c>
      <c r="B1772" s="116">
        <v>76.375</v>
      </c>
      <c r="C1772" s="116">
        <v>74.174999999999997</v>
      </c>
      <c r="D1772" s="116">
        <v>72.75</v>
      </c>
      <c r="E1772" s="116">
        <v>75.5</v>
      </c>
      <c r="F1772" s="116">
        <v>148.35</v>
      </c>
      <c r="G1772">
        <v>86757</v>
      </c>
      <c r="H1772" s="116"/>
      <c r="I1772" s="116"/>
      <c r="L1772" s="166">
        <v>44613</v>
      </c>
      <c r="M1772" s="116">
        <v>74.25</v>
      </c>
      <c r="N1772" s="116">
        <v>76.95</v>
      </c>
      <c r="O1772" s="116">
        <v>72.625</v>
      </c>
      <c r="P1772" s="116">
        <v>76.95</v>
      </c>
      <c r="Q1772" s="116">
        <v>148.5</v>
      </c>
      <c r="R1772">
        <v>390055</v>
      </c>
    </row>
    <row r="1773" spans="1:18" x14ac:dyDescent="0.25">
      <c r="A1773" s="166">
        <v>44614</v>
      </c>
      <c r="B1773" s="116">
        <v>73.099999999999994</v>
      </c>
      <c r="C1773" s="116">
        <v>71.7</v>
      </c>
      <c r="D1773" s="116">
        <v>70.924999999999997</v>
      </c>
      <c r="E1773" s="116">
        <v>73.099999999999994</v>
      </c>
      <c r="F1773" s="116">
        <v>143.4</v>
      </c>
      <c r="G1773">
        <v>45729</v>
      </c>
      <c r="H1773" s="116"/>
      <c r="I1773" s="116"/>
      <c r="L1773" s="166">
        <v>44614</v>
      </c>
      <c r="M1773" s="116">
        <v>71.575000000000003</v>
      </c>
      <c r="N1773" s="116">
        <v>73.05</v>
      </c>
      <c r="O1773" s="116">
        <v>70.825000000000003</v>
      </c>
      <c r="P1773" s="116">
        <v>72.375</v>
      </c>
      <c r="Q1773" s="116">
        <v>143.15</v>
      </c>
      <c r="R1773">
        <v>464740</v>
      </c>
    </row>
    <row r="1774" spans="1:18" x14ac:dyDescent="0.25">
      <c r="A1774" s="166">
        <v>44615</v>
      </c>
      <c r="B1774" s="116">
        <v>77.275000000000006</v>
      </c>
      <c r="C1774" s="116">
        <v>73.5</v>
      </c>
      <c r="D1774" s="116">
        <v>72.45</v>
      </c>
      <c r="E1774" s="116">
        <v>73.75</v>
      </c>
      <c r="F1774" s="116">
        <v>147</v>
      </c>
      <c r="G1774">
        <v>85695</v>
      </c>
      <c r="H1774" s="116"/>
      <c r="I1774" s="116"/>
      <c r="L1774" s="166">
        <v>44615</v>
      </c>
      <c r="M1774" s="116">
        <v>73.7</v>
      </c>
      <c r="N1774" s="116">
        <v>77.400000000000006</v>
      </c>
      <c r="O1774" s="116">
        <v>72.375</v>
      </c>
      <c r="P1774" s="116">
        <v>72.5</v>
      </c>
      <c r="Q1774" s="116">
        <v>147.4</v>
      </c>
      <c r="R1774">
        <v>385331</v>
      </c>
    </row>
    <row r="1775" spans="1:18" x14ac:dyDescent="0.25">
      <c r="A1775" s="166">
        <v>44616</v>
      </c>
      <c r="B1775" s="116">
        <v>72.25</v>
      </c>
      <c r="C1775" s="116">
        <v>65.849999999999994</v>
      </c>
      <c r="D1775" s="116">
        <v>64.650000000000006</v>
      </c>
      <c r="E1775" s="116">
        <v>72.25</v>
      </c>
      <c r="F1775" s="116">
        <v>131.69999999999999</v>
      </c>
      <c r="G1775">
        <v>122625</v>
      </c>
      <c r="H1775" s="116"/>
      <c r="I1775" s="116"/>
      <c r="L1775" s="166">
        <v>44616</v>
      </c>
      <c r="M1775" s="116">
        <v>65.599999999999994</v>
      </c>
      <c r="N1775" s="116">
        <v>71.724999999999994</v>
      </c>
      <c r="O1775" s="116">
        <v>64.025000000000006</v>
      </c>
      <c r="P1775" s="116">
        <v>70</v>
      </c>
      <c r="Q1775" s="116">
        <v>131.19999999999999</v>
      </c>
      <c r="R1775">
        <v>757234</v>
      </c>
    </row>
    <row r="1776" spans="1:18" x14ac:dyDescent="0.25">
      <c r="A1776" s="166">
        <v>44617</v>
      </c>
      <c r="B1776" s="116">
        <v>71.525000000000006</v>
      </c>
      <c r="C1776" s="116">
        <v>70.349999999999994</v>
      </c>
      <c r="D1776" s="116">
        <v>66.599999999999994</v>
      </c>
      <c r="E1776" s="116">
        <v>66.599999999999994</v>
      </c>
      <c r="F1776" s="116">
        <v>140.69999999999999</v>
      </c>
      <c r="G1776">
        <v>86976</v>
      </c>
      <c r="H1776" s="116"/>
      <c r="I1776" s="116"/>
      <c r="L1776" s="166">
        <v>44617</v>
      </c>
      <c r="M1776" s="116">
        <v>70.424999999999997</v>
      </c>
      <c r="N1776" s="116">
        <v>71.5</v>
      </c>
      <c r="O1776" s="116">
        <v>68.174999999999997</v>
      </c>
      <c r="P1776" s="116">
        <v>68.8</v>
      </c>
      <c r="Q1776" s="116">
        <v>140.85</v>
      </c>
      <c r="R1776">
        <v>553426</v>
      </c>
    </row>
    <row r="1777" spans="1:18" x14ac:dyDescent="0.25">
      <c r="A1777" s="166">
        <v>44620</v>
      </c>
      <c r="B1777" s="116">
        <v>74.775000000000006</v>
      </c>
      <c r="C1777" s="116">
        <v>74.224999999999994</v>
      </c>
      <c r="D1777" s="116">
        <v>68.400000000000006</v>
      </c>
      <c r="E1777" s="116">
        <v>71.45</v>
      </c>
      <c r="F1777" s="116">
        <v>148.44999999999999</v>
      </c>
      <c r="G1777">
        <v>76075</v>
      </c>
      <c r="H1777" s="116"/>
      <c r="I1777" s="116"/>
      <c r="L1777" s="166">
        <v>44620</v>
      </c>
      <c r="M1777" s="116">
        <v>74.2</v>
      </c>
      <c r="N1777" s="116">
        <v>74.900000000000006</v>
      </c>
      <c r="O1777" s="116">
        <v>68.424999999999997</v>
      </c>
      <c r="P1777" s="116">
        <v>70.05</v>
      </c>
      <c r="Q1777" s="116">
        <v>148.4</v>
      </c>
      <c r="R1777">
        <v>420655</v>
      </c>
    </row>
    <row r="1778" spans="1:18" x14ac:dyDescent="0.25">
      <c r="A1778" s="166">
        <v>44622</v>
      </c>
      <c r="B1778" s="116">
        <v>75.150000000000006</v>
      </c>
      <c r="C1778" s="116">
        <v>74.099999999999994</v>
      </c>
      <c r="D1778" s="116">
        <v>72.424999999999997</v>
      </c>
      <c r="E1778" s="116">
        <v>73.099999999999994</v>
      </c>
      <c r="F1778" s="116">
        <v>148.19999999999999</v>
      </c>
      <c r="G1778">
        <v>56878</v>
      </c>
      <c r="H1778" s="116"/>
      <c r="I1778" s="116"/>
      <c r="L1778" s="166">
        <v>44622</v>
      </c>
      <c r="M1778" s="116">
        <v>74.150000000000006</v>
      </c>
      <c r="N1778" s="116">
        <v>75.3</v>
      </c>
      <c r="O1778" s="116">
        <v>72.275000000000006</v>
      </c>
      <c r="P1778" s="116">
        <v>72.924999999999997</v>
      </c>
      <c r="Q1778" s="116">
        <v>148.30000000000001</v>
      </c>
      <c r="R1778">
        <v>293953</v>
      </c>
    </row>
    <row r="1779" spans="1:18" x14ac:dyDescent="0.25">
      <c r="A1779" s="166">
        <v>44623</v>
      </c>
      <c r="B1779" s="116">
        <v>76</v>
      </c>
      <c r="C1779" s="116">
        <v>74.25</v>
      </c>
      <c r="D1779" s="116">
        <v>73.25</v>
      </c>
      <c r="E1779" s="116">
        <v>74.05</v>
      </c>
      <c r="F1779" s="116">
        <v>148.5</v>
      </c>
      <c r="G1779">
        <v>51718</v>
      </c>
      <c r="H1779" s="116"/>
      <c r="I1779" s="116"/>
      <c r="L1779" s="166">
        <v>44623</v>
      </c>
      <c r="M1779" s="116">
        <v>74.325000000000003</v>
      </c>
      <c r="N1779" s="116">
        <v>76.5</v>
      </c>
      <c r="O1779" s="116">
        <v>73.174999999999997</v>
      </c>
      <c r="P1779" s="116">
        <v>74.525000000000006</v>
      </c>
      <c r="Q1779" s="116">
        <v>148.65</v>
      </c>
      <c r="R1779">
        <v>284107</v>
      </c>
    </row>
    <row r="1780" spans="1:18" x14ac:dyDescent="0.25">
      <c r="A1780" s="166">
        <v>44624</v>
      </c>
      <c r="B1780" s="116">
        <v>74.424999999999997</v>
      </c>
      <c r="C1780" s="116">
        <v>71.5</v>
      </c>
      <c r="D1780" s="116">
        <v>71.25</v>
      </c>
      <c r="E1780" s="116">
        <v>74.424999999999997</v>
      </c>
      <c r="F1780" s="116">
        <v>143</v>
      </c>
      <c r="G1780">
        <v>34499</v>
      </c>
      <c r="H1780" s="116"/>
      <c r="I1780" s="116"/>
      <c r="L1780" s="166">
        <v>44624</v>
      </c>
      <c r="M1780" s="116">
        <v>71.575000000000003</v>
      </c>
      <c r="N1780" s="116">
        <v>74.474999999999994</v>
      </c>
      <c r="O1780" s="116">
        <v>71.224999999999994</v>
      </c>
      <c r="P1780" s="116">
        <v>73.599999999999994</v>
      </c>
      <c r="Q1780" s="116">
        <v>143.15</v>
      </c>
      <c r="R1780">
        <v>252113</v>
      </c>
    </row>
    <row r="1781" spans="1:18" x14ac:dyDescent="0.25">
      <c r="A1781" s="166">
        <v>44627</v>
      </c>
      <c r="B1781" s="116">
        <v>72.25</v>
      </c>
      <c r="C1781" s="116">
        <v>71.3</v>
      </c>
      <c r="D1781" s="116">
        <v>68.375</v>
      </c>
      <c r="E1781" s="116">
        <v>71.525000000000006</v>
      </c>
      <c r="F1781" s="116">
        <v>142.6</v>
      </c>
      <c r="G1781">
        <v>103801</v>
      </c>
      <c r="H1781" s="116"/>
      <c r="I1781" s="116"/>
      <c r="L1781" s="166">
        <v>44627</v>
      </c>
      <c r="M1781" s="116">
        <v>71.3</v>
      </c>
      <c r="N1781" s="116">
        <v>72.95</v>
      </c>
      <c r="O1781" s="116">
        <v>68.375</v>
      </c>
      <c r="P1781" s="116">
        <v>72.95</v>
      </c>
      <c r="Q1781" s="116">
        <v>142.6</v>
      </c>
      <c r="R1781">
        <v>410023</v>
      </c>
    </row>
    <row r="1782" spans="1:18" x14ac:dyDescent="0.25">
      <c r="A1782" s="166">
        <v>44628</v>
      </c>
      <c r="B1782" s="116">
        <v>74.525000000000006</v>
      </c>
      <c r="C1782" s="116">
        <v>73.525000000000006</v>
      </c>
      <c r="D1782" s="116">
        <v>70.325000000000003</v>
      </c>
      <c r="E1782" s="116">
        <v>71.724999999999994</v>
      </c>
      <c r="F1782" s="116">
        <v>147.05000000000001</v>
      </c>
      <c r="G1782">
        <v>63278</v>
      </c>
      <c r="H1782" s="116"/>
      <c r="I1782" s="116"/>
      <c r="L1782" s="166">
        <v>44628</v>
      </c>
      <c r="M1782" s="116">
        <v>73.7</v>
      </c>
      <c r="N1782" s="116">
        <v>74.875</v>
      </c>
      <c r="O1782" s="116">
        <v>70.25</v>
      </c>
      <c r="P1782" s="116">
        <v>71.5</v>
      </c>
      <c r="Q1782" s="116">
        <v>147.4</v>
      </c>
      <c r="R1782">
        <v>261546</v>
      </c>
    </row>
    <row r="1783" spans="1:18" x14ac:dyDescent="0.25">
      <c r="A1783" s="166">
        <v>44629</v>
      </c>
      <c r="B1783" s="116">
        <v>76.25</v>
      </c>
      <c r="C1783" s="116">
        <v>75.474999999999994</v>
      </c>
      <c r="D1783" s="116">
        <v>73.55</v>
      </c>
      <c r="E1783" s="116">
        <v>74</v>
      </c>
      <c r="F1783" s="116">
        <v>150.94999999999999</v>
      </c>
      <c r="G1783">
        <v>62631</v>
      </c>
      <c r="H1783" s="116"/>
      <c r="I1783" s="116"/>
      <c r="L1783" s="166">
        <v>44629</v>
      </c>
      <c r="M1783" s="116">
        <v>75.474999999999994</v>
      </c>
      <c r="N1783" s="116">
        <v>76.25</v>
      </c>
      <c r="O1783" s="116">
        <v>73.5</v>
      </c>
      <c r="P1783" s="116">
        <v>73.5</v>
      </c>
      <c r="Q1783" s="116">
        <v>150.94999999999999</v>
      </c>
      <c r="R1783">
        <v>349563</v>
      </c>
    </row>
    <row r="1784" spans="1:18" x14ac:dyDescent="0.25">
      <c r="A1784" s="166">
        <v>44630</v>
      </c>
      <c r="B1784" s="116">
        <v>78.45</v>
      </c>
      <c r="C1784" s="116">
        <v>76.224999999999994</v>
      </c>
      <c r="D1784" s="116">
        <v>75.325000000000003</v>
      </c>
      <c r="E1784" s="116">
        <v>78.45</v>
      </c>
      <c r="F1784" s="116">
        <v>152.44999999999999</v>
      </c>
      <c r="G1784">
        <v>76647</v>
      </c>
      <c r="H1784" s="116"/>
      <c r="I1784" s="116"/>
      <c r="L1784" s="166">
        <v>44630</v>
      </c>
      <c r="M1784" s="116">
        <v>76.349999999999994</v>
      </c>
      <c r="N1784" s="116">
        <v>77.849999999999994</v>
      </c>
      <c r="O1784" s="116">
        <v>75.174999999999997</v>
      </c>
      <c r="P1784" s="116">
        <v>76.575000000000003</v>
      </c>
      <c r="Q1784" s="116">
        <v>152.69999999999999</v>
      </c>
      <c r="R1784">
        <v>395718</v>
      </c>
    </row>
    <row r="1785" spans="1:18" x14ac:dyDescent="0.25">
      <c r="A1785" s="166">
        <v>44631</v>
      </c>
      <c r="B1785" s="116">
        <v>80.5</v>
      </c>
      <c r="C1785" s="116">
        <v>79.174999999999997</v>
      </c>
      <c r="D1785" s="116">
        <v>75.75</v>
      </c>
      <c r="E1785" s="116">
        <v>75.75</v>
      </c>
      <c r="F1785" s="116">
        <v>158.35</v>
      </c>
      <c r="G1785">
        <v>125971</v>
      </c>
      <c r="H1785" s="116"/>
      <c r="I1785" s="116"/>
      <c r="L1785" s="166">
        <v>44631</v>
      </c>
      <c r="M1785" s="116">
        <v>79.2</v>
      </c>
      <c r="N1785" s="116">
        <v>80.599999999999994</v>
      </c>
      <c r="O1785" s="116">
        <v>75.599999999999994</v>
      </c>
      <c r="P1785" s="116">
        <v>76</v>
      </c>
      <c r="Q1785" s="116">
        <v>158.4</v>
      </c>
      <c r="R1785">
        <v>913855</v>
      </c>
    </row>
    <row r="1786" spans="1:18" x14ac:dyDescent="0.25">
      <c r="A1786" s="166">
        <v>44634</v>
      </c>
      <c r="B1786" s="116">
        <v>81.625</v>
      </c>
      <c r="C1786" s="116">
        <v>79.5</v>
      </c>
      <c r="D1786" s="116">
        <v>77.599999999999994</v>
      </c>
      <c r="E1786" s="116">
        <v>79.2</v>
      </c>
      <c r="F1786" s="116">
        <v>159</v>
      </c>
      <c r="G1786">
        <v>58485</v>
      </c>
      <c r="H1786" s="116"/>
      <c r="I1786" s="116"/>
      <c r="L1786" s="166">
        <v>44634</v>
      </c>
      <c r="M1786" s="116">
        <v>79.575000000000003</v>
      </c>
      <c r="N1786" s="116">
        <v>81.599999999999994</v>
      </c>
      <c r="O1786" s="116">
        <v>77.525000000000006</v>
      </c>
      <c r="P1786" s="116">
        <v>79.2</v>
      </c>
      <c r="Q1786" s="116">
        <v>159.15</v>
      </c>
      <c r="R1786">
        <v>489409</v>
      </c>
    </row>
    <row r="1787" spans="1:18" x14ac:dyDescent="0.25">
      <c r="A1787" s="166">
        <v>44635</v>
      </c>
      <c r="B1787" s="116">
        <v>80.2</v>
      </c>
      <c r="C1787" s="116">
        <v>76.875</v>
      </c>
      <c r="D1787" s="116">
        <v>76.224999999999994</v>
      </c>
      <c r="E1787" s="116">
        <v>79.974999999999994</v>
      </c>
      <c r="F1787" s="116">
        <v>153.75</v>
      </c>
      <c r="G1787">
        <v>28807</v>
      </c>
      <c r="H1787" s="116"/>
      <c r="I1787" s="116"/>
      <c r="L1787" s="166">
        <v>44635</v>
      </c>
      <c r="M1787" s="116">
        <v>76.825000000000003</v>
      </c>
      <c r="N1787" s="116">
        <v>80.375</v>
      </c>
      <c r="O1787" s="116">
        <v>76.224999999999994</v>
      </c>
      <c r="P1787" s="116">
        <v>79.849999999999994</v>
      </c>
      <c r="Q1787" s="116">
        <v>153.65</v>
      </c>
      <c r="R1787">
        <v>295646</v>
      </c>
    </row>
    <row r="1788" spans="1:18" x14ac:dyDescent="0.25">
      <c r="A1788" s="166">
        <v>44636</v>
      </c>
      <c r="B1788" s="116">
        <v>78.724999999999994</v>
      </c>
      <c r="C1788" s="116">
        <v>77.8</v>
      </c>
      <c r="D1788" s="116">
        <v>76.75</v>
      </c>
      <c r="E1788" s="116">
        <v>78</v>
      </c>
      <c r="F1788" s="116">
        <v>155.6</v>
      </c>
      <c r="G1788">
        <v>38450</v>
      </c>
      <c r="H1788" s="116"/>
      <c r="I1788" s="116"/>
      <c r="L1788" s="166">
        <v>44636</v>
      </c>
      <c r="M1788" s="116">
        <v>77.8</v>
      </c>
      <c r="N1788" s="116">
        <v>78.75</v>
      </c>
      <c r="O1788" s="116">
        <v>76.25</v>
      </c>
      <c r="P1788" s="116">
        <v>77.599999999999994</v>
      </c>
      <c r="Q1788" s="116">
        <v>155.6</v>
      </c>
      <c r="R1788">
        <v>247610</v>
      </c>
    </row>
    <row r="1789" spans="1:18" x14ac:dyDescent="0.25">
      <c r="A1789" s="166">
        <v>44637</v>
      </c>
      <c r="B1789" s="116">
        <v>81.174999999999997</v>
      </c>
      <c r="C1789" s="116">
        <v>79.325000000000003</v>
      </c>
      <c r="D1789" s="116">
        <v>78.599999999999994</v>
      </c>
      <c r="E1789" s="116">
        <v>78.75</v>
      </c>
      <c r="F1789" s="116">
        <v>158.65</v>
      </c>
      <c r="G1789">
        <v>78853</v>
      </c>
      <c r="H1789" s="116"/>
      <c r="I1789" s="116"/>
      <c r="L1789" s="166">
        <v>44637</v>
      </c>
      <c r="M1789" s="116">
        <v>79.424999999999997</v>
      </c>
      <c r="N1789" s="116">
        <v>81.2</v>
      </c>
      <c r="O1789" s="116">
        <v>78.650000000000006</v>
      </c>
      <c r="P1789" s="116">
        <v>78.650000000000006</v>
      </c>
      <c r="Q1789" s="116">
        <v>158.85</v>
      </c>
      <c r="R1789">
        <v>269522</v>
      </c>
    </row>
    <row r="1790" spans="1:18" x14ac:dyDescent="0.25">
      <c r="A1790" s="166">
        <v>44641</v>
      </c>
      <c r="B1790" s="116">
        <v>80.349999999999994</v>
      </c>
      <c r="C1790" s="116">
        <v>76.8</v>
      </c>
      <c r="D1790" s="116">
        <v>76.2</v>
      </c>
      <c r="E1790" s="116">
        <v>79.400000000000006</v>
      </c>
      <c r="F1790" s="116">
        <v>153.6</v>
      </c>
      <c r="G1790">
        <v>41690</v>
      </c>
      <c r="H1790" s="116"/>
      <c r="I1790" s="116"/>
      <c r="L1790" s="166">
        <v>44641</v>
      </c>
      <c r="M1790" s="116">
        <v>76.400000000000006</v>
      </c>
      <c r="N1790" s="116">
        <v>80.45</v>
      </c>
      <c r="O1790" s="116">
        <v>76.2</v>
      </c>
      <c r="P1790" s="116">
        <v>80.2</v>
      </c>
      <c r="Q1790" s="116">
        <v>152.80000000000001</v>
      </c>
      <c r="R1790">
        <v>283250</v>
      </c>
    </row>
    <row r="1791" spans="1:18" x14ac:dyDescent="0.25">
      <c r="A1791" s="166">
        <v>44642</v>
      </c>
      <c r="B1791" s="116">
        <v>77.5</v>
      </c>
      <c r="C1791" s="116">
        <v>75.2</v>
      </c>
      <c r="D1791" s="116">
        <v>74.474999999999994</v>
      </c>
      <c r="E1791" s="116">
        <v>77.075000000000003</v>
      </c>
      <c r="F1791" s="116">
        <v>150.4</v>
      </c>
      <c r="G1791">
        <v>67969</v>
      </c>
      <c r="H1791" s="116"/>
      <c r="I1791" s="116"/>
      <c r="L1791" s="166">
        <v>44642</v>
      </c>
      <c r="M1791" s="116">
        <v>75.275000000000006</v>
      </c>
      <c r="N1791" s="116">
        <v>77.525000000000006</v>
      </c>
      <c r="O1791" s="116">
        <v>74.424999999999997</v>
      </c>
      <c r="P1791" s="116">
        <v>77</v>
      </c>
      <c r="Q1791" s="116">
        <v>150.55000000000001</v>
      </c>
      <c r="R1791">
        <v>339305</v>
      </c>
    </row>
    <row r="1792" spans="1:18" x14ac:dyDescent="0.25">
      <c r="A1792" s="166">
        <v>44643</v>
      </c>
      <c r="B1792" s="116">
        <v>77.95</v>
      </c>
      <c r="C1792" s="116">
        <v>75.325000000000003</v>
      </c>
      <c r="D1792" s="116">
        <v>74.075000000000003</v>
      </c>
      <c r="E1792" s="116">
        <v>76.099999999999994</v>
      </c>
      <c r="F1792" s="116">
        <v>150.65</v>
      </c>
      <c r="G1792">
        <v>47326</v>
      </c>
      <c r="H1792" s="116"/>
      <c r="I1792" s="116"/>
      <c r="L1792" s="166">
        <v>44643</v>
      </c>
      <c r="M1792" s="116">
        <v>75.400000000000006</v>
      </c>
      <c r="N1792" s="116">
        <v>78</v>
      </c>
      <c r="O1792" s="116">
        <v>74.025000000000006</v>
      </c>
      <c r="P1792" s="116">
        <v>76.2</v>
      </c>
      <c r="Q1792" s="116">
        <v>150.80000000000001</v>
      </c>
      <c r="R1792">
        <v>344351</v>
      </c>
    </row>
    <row r="1793" spans="1:18" x14ac:dyDescent="0.25">
      <c r="A1793" s="166">
        <v>44644</v>
      </c>
      <c r="B1793" s="116">
        <v>76.325000000000003</v>
      </c>
      <c r="C1793" s="116">
        <v>73.349999999999994</v>
      </c>
      <c r="D1793" s="116">
        <v>73.125</v>
      </c>
      <c r="E1793" s="116">
        <v>75</v>
      </c>
      <c r="F1793" s="116">
        <v>146.69999999999999</v>
      </c>
      <c r="G1793">
        <v>50364</v>
      </c>
      <c r="H1793" s="116"/>
      <c r="I1793" s="116"/>
      <c r="L1793" s="166">
        <v>44644</v>
      </c>
      <c r="M1793" s="116">
        <v>73.349999999999994</v>
      </c>
      <c r="N1793" s="116">
        <v>76.45</v>
      </c>
      <c r="O1793" s="116">
        <v>73.099999999999994</v>
      </c>
      <c r="P1793" s="116">
        <v>75.8</v>
      </c>
      <c r="Q1793" s="116">
        <v>146.69999999999999</v>
      </c>
      <c r="R1793">
        <v>393772</v>
      </c>
    </row>
    <row r="1794" spans="1:18" x14ac:dyDescent="0.25">
      <c r="A1794" s="166">
        <v>44645</v>
      </c>
      <c r="B1794" s="116">
        <v>75.150000000000006</v>
      </c>
      <c r="C1794" s="116">
        <v>72</v>
      </c>
      <c r="D1794" s="116">
        <v>71.275000000000006</v>
      </c>
      <c r="E1794" s="116">
        <v>74.900000000000006</v>
      </c>
      <c r="F1794" s="116">
        <v>144</v>
      </c>
      <c r="G1794">
        <v>72324</v>
      </c>
      <c r="H1794" s="116"/>
      <c r="I1794" s="116"/>
      <c r="L1794" s="166">
        <v>44645</v>
      </c>
      <c r="M1794" s="116">
        <v>71.974999999999994</v>
      </c>
      <c r="N1794" s="116">
        <v>75.45</v>
      </c>
      <c r="O1794" s="116">
        <v>71.25</v>
      </c>
      <c r="P1794" s="116">
        <v>75</v>
      </c>
      <c r="Q1794" s="116">
        <v>143.94999999999999</v>
      </c>
      <c r="R1794">
        <v>329401</v>
      </c>
    </row>
    <row r="1795" spans="1:18" x14ac:dyDescent="0.25">
      <c r="A1795" s="166">
        <v>44648</v>
      </c>
      <c r="B1795" s="116">
        <v>73.674999999999997</v>
      </c>
      <c r="C1795" s="116">
        <v>70.3</v>
      </c>
      <c r="D1795" s="116">
        <v>69</v>
      </c>
      <c r="E1795" s="116">
        <v>73.5</v>
      </c>
      <c r="F1795" s="116">
        <v>140.6</v>
      </c>
      <c r="G1795">
        <v>117092</v>
      </c>
      <c r="H1795" s="116"/>
      <c r="I1795" s="116"/>
      <c r="L1795" s="166">
        <v>44648</v>
      </c>
      <c r="M1795" s="116">
        <v>70.400000000000006</v>
      </c>
      <c r="N1795" s="116">
        <v>74</v>
      </c>
      <c r="O1795" s="116">
        <v>68.95</v>
      </c>
      <c r="P1795" s="116">
        <v>74</v>
      </c>
      <c r="Q1795" s="116">
        <v>140.80000000000001</v>
      </c>
      <c r="R1795">
        <v>623636</v>
      </c>
    </row>
    <row r="1796" spans="1:18" x14ac:dyDescent="0.25">
      <c r="A1796" s="166">
        <v>44649</v>
      </c>
      <c r="B1796" s="116">
        <v>71.3</v>
      </c>
      <c r="C1796" s="116">
        <v>70.5</v>
      </c>
      <c r="D1796" s="116">
        <v>69.325000000000003</v>
      </c>
      <c r="E1796" s="116">
        <v>70.724999999999994</v>
      </c>
      <c r="F1796" s="116">
        <v>141</v>
      </c>
      <c r="G1796">
        <v>41361</v>
      </c>
      <c r="H1796" s="116"/>
      <c r="I1796" s="116"/>
      <c r="L1796" s="166">
        <v>44649</v>
      </c>
      <c r="M1796" s="116">
        <v>70.55</v>
      </c>
      <c r="N1796" s="116">
        <v>71.400000000000006</v>
      </c>
      <c r="O1796" s="116">
        <v>69.3</v>
      </c>
      <c r="P1796" s="116">
        <v>70.5</v>
      </c>
      <c r="Q1796" s="116">
        <v>141.1</v>
      </c>
      <c r="R1796">
        <v>473107</v>
      </c>
    </row>
    <row r="1797" spans="1:18" x14ac:dyDescent="0.25">
      <c r="A1797" s="166">
        <v>44650</v>
      </c>
      <c r="B1797" s="116">
        <v>74</v>
      </c>
      <c r="C1797" s="116">
        <v>72.474999999999994</v>
      </c>
      <c r="D1797" s="116">
        <v>70.924999999999997</v>
      </c>
      <c r="E1797" s="116">
        <v>71.45</v>
      </c>
      <c r="F1797" s="116">
        <v>144.94999999999999</v>
      </c>
      <c r="G1797">
        <v>51501</v>
      </c>
      <c r="H1797" s="116"/>
      <c r="I1797" s="116"/>
      <c r="L1797" s="166">
        <v>44650</v>
      </c>
      <c r="M1797" s="116">
        <v>72.474999999999994</v>
      </c>
      <c r="N1797" s="116">
        <v>73.849999999999994</v>
      </c>
      <c r="O1797" s="116">
        <v>70.974999999999994</v>
      </c>
      <c r="P1797" s="116">
        <v>71.25</v>
      </c>
      <c r="Q1797" s="116">
        <v>144.94999999999999</v>
      </c>
      <c r="R1797">
        <v>411220</v>
      </c>
    </row>
    <row r="1798" spans="1:18" x14ac:dyDescent="0.25">
      <c r="A1798" s="166">
        <v>44651</v>
      </c>
      <c r="B1798" s="116">
        <v>74.099999999999994</v>
      </c>
      <c r="C1798" s="116">
        <v>71.924999999999997</v>
      </c>
      <c r="D1798" s="116">
        <v>71.575000000000003</v>
      </c>
      <c r="E1798" s="116">
        <v>72.5</v>
      </c>
      <c r="F1798" s="116">
        <v>143.85</v>
      </c>
      <c r="G1798">
        <v>97797</v>
      </c>
      <c r="H1798" s="116"/>
      <c r="I1798" s="116"/>
      <c r="L1798" s="166">
        <v>44651</v>
      </c>
      <c r="M1798" s="116">
        <v>71.900000000000006</v>
      </c>
      <c r="N1798" s="116">
        <v>74.125</v>
      </c>
      <c r="O1798" s="116">
        <v>71.575000000000003</v>
      </c>
      <c r="P1798" s="116">
        <v>72</v>
      </c>
      <c r="Q1798" s="116">
        <v>143.80000000000001</v>
      </c>
      <c r="R1798">
        <v>325953</v>
      </c>
    </row>
    <row r="1799" spans="1:18" x14ac:dyDescent="0.25">
      <c r="A1799" s="166">
        <v>44652</v>
      </c>
      <c r="B1799" s="116">
        <v>78.650000000000006</v>
      </c>
      <c r="C1799" s="116">
        <v>77.650000000000006</v>
      </c>
      <c r="D1799" s="116">
        <v>71.5</v>
      </c>
      <c r="E1799" s="116">
        <v>71.55</v>
      </c>
      <c r="F1799" s="116">
        <v>155.30000000000001</v>
      </c>
      <c r="G1799">
        <v>165073</v>
      </c>
      <c r="H1799" s="116"/>
      <c r="I1799" s="116"/>
      <c r="L1799" s="166">
        <v>44652</v>
      </c>
      <c r="M1799" s="116">
        <v>77.599999999999994</v>
      </c>
      <c r="N1799" s="116">
        <v>78.7</v>
      </c>
      <c r="O1799" s="116">
        <v>71.55</v>
      </c>
      <c r="P1799" s="116">
        <v>71.650000000000006</v>
      </c>
      <c r="Q1799" s="116">
        <v>155.19999999999999</v>
      </c>
      <c r="R1799">
        <v>804835</v>
      </c>
    </row>
    <row r="1800" spans="1:18" x14ac:dyDescent="0.25">
      <c r="A1800" s="166">
        <v>44655</v>
      </c>
      <c r="B1800" s="116">
        <v>86.924999999999997</v>
      </c>
      <c r="C1800" s="116">
        <v>85.724999999999994</v>
      </c>
      <c r="D1800" s="116">
        <v>78.05</v>
      </c>
      <c r="E1800" s="116">
        <v>78.45</v>
      </c>
      <c r="F1800" s="116">
        <v>171.45</v>
      </c>
      <c r="G1800">
        <v>283693</v>
      </c>
      <c r="H1800" s="116"/>
      <c r="I1800" s="116"/>
      <c r="L1800" s="166">
        <v>44655</v>
      </c>
      <c r="M1800" s="116">
        <v>85.825000000000003</v>
      </c>
      <c r="N1800" s="116">
        <v>87</v>
      </c>
      <c r="O1800" s="116">
        <v>77.900000000000006</v>
      </c>
      <c r="P1800" s="116">
        <v>78.099999999999994</v>
      </c>
      <c r="Q1800" s="116">
        <v>171.65</v>
      </c>
      <c r="R1800">
        <v>1727076</v>
      </c>
    </row>
    <row r="1801" spans="1:18" x14ac:dyDescent="0.25">
      <c r="A1801" s="166">
        <v>44656</v>
      </c>
      <c r="B1801" s="116">
        <v>90.724999999999994</v>
      </c>
      <c r="C1801" s="116">
        <v>88.974999999999994</v>
      </c>
      <c r="D1801" s="116">
        <v>83.75</v>
      </c>
      <c r="E1801" s="116">
        <v>86.4</v>
      </c>
      <c r="F1801" s="116">
        <v>177.95</v>
      </c>
      <c r="G1801">
        <v>163133</v>
      </c>
      <c r="H1801" s="116"/>
      <c r="I1801" s="116"/>
      <c r="L1801" s="166">
        <v>44656</v>
      </c>
      <c r="M1801" s="116">
        <v>88.825000000000003</v>
      </c>
      <c r="N1801" s="116">
        <v>90.8</v>
      </c>
      <c r="O1801" s="116">
        <v>83.65</v>
      </c>
      <c r="P1801" s="116">
        <v>86.3</v>
      </c>
      <c r="Q1801" s="116">
        <v>177.65</v>
      </c>
      <c r="R1801">
        <v>1444013</v>
      </c>
    </row>
    <row r="1802" spans="1:18" x14ac:dyDescent="0.25">
      <c r="A1802" s="166">
        <v>44657</v>
      </c>
      <c r="B1802" s="116">
        <v>91.924999999999997</v>
      </c>
      <c r="C1802" s="116">
        <v>89.424999999999997</v>
      </c>
      <c r="D1802" s="116">
        <v>87.65</v>
      </c>
      <c r="E1802" s="116">
        <v>87.65</v>
      </c>
      <c r="F1802" s="116">
        <v>178.85</v>
      </c>
      <c r="G1802">
        <v>137153</v>
      </c>
      <c r="H1802" s="116"/>
      <c r="I1802" s="116"/>
      <c r="L1802" s="166">
        <v>44657</v>
      </c>
      <c r="M1802" s="116">
        <v>89.625</v>
      </c>
      <c r="N1802" s="116">
        <v>92</v>
      </c>
      <c r="O1802" s="116">
        <v>87.724999999999994</v>
      </c>
      <c r="P1802" s="116">
        <v>88.424999999999997</v>
      </c>
      <c r="Q1802" s="116">
        <v>179.25</v>
      </c>
      <c r="R1802">
        <v>894235</v>
      </c>
    </row>
    <row r="1803" spans="1:18" x14ac:dyDescent="0.25">
      <c r="A1803" s="166">
        <v>44658</v>
      </c>
      <c r="B1803" s="116">
        <v>90.3</v>
      </c>
      <c r="C1803" s="116">
        <v>86.85</v>
      </c>
      <c r="D1803" s="116">
        <v>86.4</v>
      </c>
      <c r="E1803" s="116">
        <v>90.275000000000006</v>
      </c>
      <c r="F1803" s="116">
        <v>173.7</v>
      </c>
      <c r="G1803">
        <v>46963</v>
      </c>
      <c r="H1803" s="116"/>
      <c r="I1803" s="116"/>
      <c r="L1803" s="166">
        <v>44658</v>
      </c>
      <c r="M1803" s="116">
        <v>86.775000000000006</v>
      </c>
      <c r="N1803" s="116">
        <v>90.35</v>
      </c>
      <c r="O1803" s="116">
        <v>86.25</v>
      </c>
      <c r="P1803" s="116">
        <v>89</v>
      </c>
      <c r="Q1803" s="116">
        <v>173.55</v>
      </c>
      <c r="R1803">
        <v>432141</v>
      </c>
    </row>
    <row r="1804" spans="1:18" x14ac:dyDescent="0.25">
      <c r="A1804" s="166">
        <v>44659</v>
      </c>
      <c r="B1804" s="116">
        <v>88.4</v>
      </c>
      <c r="C1804" s="116">
        <v>87.15</v>
      </c>
      <c r="D1804" s="116">
        <v>85.75</v>
      </c>
      <c r="E1804" s="116">
        <v>87.15</v>
      </c>
      <c r="F1804" s="116">
        <v>174.3</v>
      </c>
      <c r="G1804">
        <v>53709</v>
      </c>
      <c r="H1804" s="116"/>
      <c r="I1804" s="116"/>
      <c r="L1804" s="166">
        <v>44659</v>
      </c>
      <c r="M1804" s="116">
        <v>87.275000000000006</v>
      </c>
      <c r="N1804" s="116">
        <v>88.1</v>
      </c>
      <c r="O1804" s="116">
        <v>85.65</v>
      </c>
      <c r="P1804" s="116">
        <v>87.2</v>
      </c>
      <c r="Q1804" s="116">
        <v>174.55</v>
      </c>
      <c r="R1804">
        <v>341963</v>
      </c>
    </row>
    <row r="1805" spans="1:18" x14ac:dyDescent="0.25">
      <c r="A1805" s="166">
        <v>44662</v>
      </c>
      <c r="B1805" s="116">
        <v>93.5</v>
      </c>
      <c r="C1805" s="116">
        <v>92.724999999999994</v>
      </c>
      <c r="D1805" s="116">
        <v>87.15</v>
      </c>
      <c r="E1805" s="116">
        <v>88</v>
      </c>
      <c r="F1805" s="116">
        <v>185.45</v>
      </c>
      <c r="G1805">
        <v>112708</v>
      </c>
      <c r="H1805" s="116"/>
      <c r="I1805" s="116"/>
      <c r="L1805" s="166">
        <v>44662</v>
      </c>
      <c r="M1805" s="116">
        <v>92.7</v>
      </c>
      <c r="N1805" s="116">
        <v>93.424999999999997</v>
      </c>
      <c r="O1805" s="116">
        <v>86.974999999999994</v>
      </c>
      <c r="P1805" s="116">
        <v>87</v>
      </c>
      <c r="Q1805" s="116">
        <v>185.4</v>
      </c>
      <c r="R1805">
        <v>1303302</v>
      </c>
    </row>
    <row r="1806" spans="1:18" x14ac:dyDescent="0.25">
      <c r="A1806" s="166">
        <v>44663</v>
      </c>
      <c r="B1806" s="116">
        <v>99.45</v>
      </c>
      <c r="C1806" s="116">
        <v>93.775000000000006</v>
      </c>
      <c r="D1806" s="116">
        <v>93</v>
      </c>
      <c r="E1806" s="116">
        <v>93.375</v>
      </c>
      <c r="F1806" s="116">
        <v>187.55</v>
      </c>
      <c r="G1806">
        <v>339786</v>
      </c>
      <c r="H1806" s="116"/>
      <c r="I1806" s="116"/>
      <c r="L1806" s="166">
        <v>44663</v>
      </c>
      <c r="M1806" s="116">
        <v>93.8</v>
      </c>
      <c r="N1806" s="116">
        <v>99.5</v>
      </c>
      <c r="O1806" s="116">
        <v>93.025000000000006</v>
      </c>
      <c r="P1806" s="116">
        <v>93.45</v>
      </c>
      <c r="Q1806" s="116">
        <v>187.6</v>
      </c>
      <c r="R1806">
        <v>2439401</v>
      </c>
    </row>
    <row r="1807" spans="1:18" x14ac:dyDescent="0.25">
      <c r="A1807" s="166">
        <v>44664</v>
      </c>
      <c r="B1807" s="116">
        <v>96.5</v>
      </c>
      <c r="C1807" s="116">
        <v>94.125</v>
      </c>
      <c r="D1807" s="116">
        <v>92.95</v>
      </c>
      <c r="E1807" s="116">
        <v>96.4</v>
      </c>
      <c r="F1807" s="116">
        <v>188.25</v>
      </c>
      <c r="G1807">
        <v>78225</v>
      </c>
      <c r="H1807" s="116"/>
      <c r="I1807" s="116"/>
      <c r="L1807" s="166">
        <v>44664</v>
      </c>
      <c r="M1807" s="116">
        <v>94.3</v>
      </c>
      <c r="N1807" s="116">
        <v>96.65</v>
      </c>
      <c r="O1807" s="116">
        <v>93</v>
      </c>
      <c r="P1807" s="116">
        <v>96.2</v>
      </c>
      <c r="Q1807" s="116">
        <v>188.6</v>
      </c>
      <c r="R1807">
        <v>636632</v>
      </c>
    </row>
    <row r="1808" spans="1:18" x14ac:dyDescent="0.25">
      <c r="A1808" s="166">
        <v>44669</v>
      </c>
      <c r="B1808" s="116">
        <v>99.775000000000006</v>
      </c>
      <c r="C1808" s="116">
        <v>97.3</v>
      </c>
      <c r="D1808" s="116">
        <v>91.924999999999997</v>
      </c>
      <c r="E1808" s="116">
        <v>94</v>
      </c>
      <c r="F1808" s="116">
        <v>194.6</v>
      </c>
      <c r="G1808">
        <v>135890</v>
      </c>
      <c r="H1808" s="116"/>
      <c r="I1808" s="116"/>
      <c r="L1808" s="166">
        <v>44669</v>
      </c>
      <c r="M1808" s="116">
        <v>97.075000000000003</v>
      </c>
      <c r="N1808" s="116">
        <v>99.9</v>
      </c>
      <c r="O1808" s="116">
        <v>91.75</v>
      </c>
      <c r="P1808" s="116">
        <v>93.924999999999997</v>
      </c>
      <c r="Q1808" s="116">
        <v>194.15</v>
      </c>
      <c r="R1808">
        <v>1240460</v>
      </c>
    </row>
    <row r="1809" spans="1:18" x14ac:dyDescent="0.25">
      <c r="A1809" s="166">
        <v>44670</v>
      </c>
      <c r="B1809" s="116">
        <v>98.974999999999994</v>
      </c>
      <c r="C1809" s="116">
        <v>95.35</v>
      </c>
      <c r="D1809" s="116">
        <v>93.6</v>
      </c>
      <c r="E1809" s="116">
        <v>97.05</v>
      </c>
      <c r="F1809" s="116">
        <v>190.7</v>
      </c>
      <c r="G1809">
        <v>136826</v>
      </c>
      <c r="H1809" s="116"/>
      <c r="I1809" s="116"/>
      <c r="L1809" s="166">
        <v>44670</v>
      </c>
      <c r="M1809" s="116">
        <v>95.525000000000006</v>
      </c>
      <c r="N1809" s="116">
        <v>99.075000000000003</v>
      </c>
      <c r="O1809" s="116">
        <v>93.7</v>
      </c>
      <c r="P1809" s="116">
        <v>97.9</v>
      </c>
      <c r="Q1809" s="116">
        <v>191.05</v>
      </c>
      <c r="R1809">
        <v>722811</v>
      </c>
    </row>
    <row r="1810" spans="1:18" x14ac:dyDescent="0.25">
      <c r="A1810" s="166">
        <v>44671</v>
      </c>
      <c r="B1810" s="116">
        <v>97.625</v>
      </c>
      <c r="C1810" s="116">
        <v>93.825000000000003</v>
      </c>
      <c r="D1810" s="116">
        <v>92.5</v>
      </c>
      <c r="E1810" s="116">
        <v>96.2</v>
      </c>
      <c r="F1810" s="116">
        <v>187.65</v>
      </c>
      <c r="G1810">
        <v>61920</v>
      </c>
      <c r="H1810" s="116"/>
      <c r="I1810" s="116"/>
      <c r="L1810" s="166">
        <v>44671</v>
      </c>
      <c r="M1810" s="116">
        <v>93.75</v>
      </c>
      <c r="N1810" s="116">
        <v>97.674999999999997</v>
      </c>
      <c r="O1810" s="116">
        <v>92.5</v>
      </c>
      <c r="P1810" s="116">
        <v>96.025000000000006</v>
      </c>
      <c r="Q1810" s="116">
        <v>187.5</v>
      </c>
      <c r="R1810">
        <v>462577</v>
      </c>
    </row>
    <row r="1811" spans="1:18" x14ac:dyDescent="0.25">
      <c r="A1811" s="166">
        <v>44672</v>
      </c>
      <c r="B1811" s="116">
        <v>97</v>
      </c>
      <c r="C1811" s="116">
        <v>95.125</v>
      </c>
      <c r="D1811" s="116">
        <v>94</v>
      </c>
      <c r="E1811" s="116">
        <v>94.5</v>
      </c>
      <c r="F1811" s="116">
        <v>190.25</v>
      </c>
      <c r="G1811">
        <v>85727</v>
      </c>
      <c r="H1811" s="116"/>
      <c r="I1811" s="116"/>
      <c r="L1811" s="166">
        <v>44672</v>
      </c>
      <c r="M1811" s="116">
        <v>95.25</v>
      </c>
      <c r="N1811" s="116">
        <v>97</v>
      </c>
      <c r="O1811" s="116">
        <v>93.974999999999994</v>
      </c>
      <c r="P1811" s="116">
        <v>94.474999999999994</v>
      </c>
      <c r="Q1811" s="116">
        <v>190.5</v>
      </c>
      <c r="R1811">
        <v>379968</v>
      </c>
    </row>
    <row r="1812" spans="1:18" x14ac:dyDescent="0.25">
      <c r="A1812" s="166">
        <v>44673</v>
      </c>
      <c r="B1812" s="116">
        <v>96</v>
      </c>
      <c r="C1812" s="116">
        <v>93.625</v>
      </c>
      <c r="D1812" s="116">
        <v>92.55</v>
      </c>
      <c r="E1812" s="116">
        <v>94.5</v>
      </c>
      <c r="F1812" s="116">
        <v>187.25</v>
      </c>
      <c r="G1812">
        <v>47911</v>
      </c>
      <c r="H1812" s="116"/>
      <c r="I1812" s="116"/>
      <c r="L1812" s="166">
        <v>44673</v>
      </c>
      <c r="M1812" s="116">
        <v>93.2</v>
      </c>
      <c r="N1812" s="116">
        <v>95.974999999999994</v>
      </c>
      <c r="O1812" s="116">
        <v>92.5</v>
      </c>
      <c r="P1812" s="116">
        <v>93.5</v>
      </c>
      <c r="Q1812" s="116">
        <v>186.4</v>
      </c>
      <c r="R1812">
        <v>305785</v>
      </c>
    </row>
    <row r="1813" spans="1:18" x14ac:dyDescent="0.25">
      <c r="A1813" s="166">
        <v>44676</v>
      </c>
      <c r="B1813" s="116">
        <v>97.075000000000003</v>
      </c>
      <c r="C1813" s="116">
        <v>94.8</v>
      </c>
      <c r="D1813" s="116">
        <v>91.6</v>
      </c>
      <c r="E1813" s="116">
        <v>93.1</v>
      </c>
      <c r="F1813" s="116">
        <v>189.6</v>
      </c>
      <c r="G1813">
        <v>112505</v>
      </c>
      <c r="H1813" s="116"/>
      <c r="I1813" s="116"/>
      <c r="L1813" s="166">
        <v>44676</v>
      </c>
      <c r="M1813" s="116">
        <v>94.474999999999994</v>
      </c>
      <c r="N1813" s="116">
        <v>97.2</v>
      </c>
      <c r="O1813" s="116">
        <v>91.525000000000006</v>
      </c>
      <c r="P1813" s="116">
        <v>92.9</v>
      </c>
      <c r="Q1813" s="116">
        <v>188.95</v>
      </c>
      <c r="R1813">
        <v>499969</v>
      </c>
    </row>
    <row r="1814" spans="1:18" x14ac:dyDescent="0.25">
      <c r="A1814" s="166">
        <v>44677</v>
      </c>
      <c r="B1814" s="116">
        <v>98.1</v>
      </c>
      <c r="C1814" s="116">
        <v>93.45</v>
      </c>
      <c r="D1814" s="116">
        <v>93</v>
      </c>
      <c r="E1814" s="116">
        <v>96.5</v>
      </c>
      <c r="F1814" s="116">
        <v>186.9</v>
      </c>
      <c r="G1814">
        <v>78597</v>
      </c>
      <c r="H1814" s="116"/>
      <c r="I1814" s="116"/>
      <c r="L1814" s="166">
        <v>44677</v>
      </c>
      <c r="M1814" s="116">
        <v>93.375</v>
      </c>
      <c r="N1814" s="116">
        <v>98.325000000000003</v>
      </c>
      <c r="O1814" s="116">
        <v>92.775000000000006</v>
      </c>
      <c r="P1814" s="116">
        <v>95</v>
      </c>
      <c r="Q1814" s="116">
        <v>186.75</v>
      </c>
      <c r="R1814">
        <v>544205</v>
      </c>
    </row>
    <row r="1815" spans="1:18" x14ac:dyDescent="0.25">
      <c r="A1815" s="166">
        <v>44678</v>
      </c>
      <c r="B1815" s="116">
        <v>93.8</v>
      </c>
      <c r="C1815" s="116">
        <v>90.474999999999994</v>
      </c>
      <c r="D1815" s="116">
        <v>89.2</v>
      </c>
      <c r="E1815" s="116">
        <v>91.775000000000006</v>
      </c>
      <c r="F1815" s="116">
        <v>180.95</v>
      </c>
      <c r="G1815">
        <v>99821</v>
      </c>
      <c r="H1815" s="116"/>
      <c r="I1815" s="116"/>
      <c r="L1815" s="166">
        <v>44678</v>
      </c>
      <c r="M1815" s="116">
        <v>90.474999999999994</v>
      </c>
      <c r="N1815" s="116">
        <v>93.85</v>
      </c>
      <c r="O1815" s="116">
        <v>89.4</v>
      </c>
      <c r="P1815" s="116">
        <v>93</v>
      </c>
      <c r="Q1815" s="116">
        <v>180.95</v>
      </c>
      <c r="R1815">
        <v>324228</v>
      </c>
    </row>
    <row r="1816" spans="1:18" x14ac:dyDescent="0.25">
      <c r="A1816" s="166">
        <v>44679</v>
      </c>
      <c r="B1816" s="116">
        <v>92.275000000000006</v>
      </c>
      <c r="C1816" s="116">
        <v>90.575000000000003</v>
      </c>
      <c r="D1816" s="116">
        <v>89</v>
      </c>
      <c r="E1816" s="116">
        <v>91.85</v>
      </c>
      <c r="F1816" s="116">
        <v>181.15</v>
      </c>
      <c r="G1816">
        <v>55695</v>
      </c>
      <c r="H1816" s="116"/>
      <c r="I1816" s="116"/>
      <c r="L1816" s="166">
        <v>44679</v>
      </c>
      <c r="M1816" s="116">
        <v>90.4</v>
      </c>
      <c r="N1816" s="116">
        <v>92.35</v>
      </c>
      <c r="O1816" s="116">
        <v>88.825000000000003</v>
      </c>
      <c r="P1816" s="116">
        <v>91</v>
      </c>
      <c r="Q1816" s="116">
        <v>180.8</v>
      </c>
      <c r="R1816">
        <v>262619</v>
      </c>
    </row>
    <row r="1817" spans="1:18" x14ac:dyDescent="0.25">
      <c r="A1817" s="166">
        <v>44680</v>
      </c>
      <c r="B1817" s="116">
        <v>96.85</v>
      </c>
      <c r="C1817" s="116">
        <v>93.9</v>
      </c>
      <c r="D1817" s="116">
        <v>90.775000000000006</v>
      </c>
      <c r="E1817" s="116">
        <v>91</v>
      </c>
      <c r="F1817" s="116">
        <v>187.8</v>
      </c>
      <c r="G1817">
        <v>144368</v>
      </c>
      <c r="H1817" s="116"/>
      <c r="I1817" s="116"/>
      <c r="L1817" s="166">
        <v>44680</v>
      </c>
      <c r="M1817" s="116">
        <v>94.1</v>
      </c>
      <c r="N1817" s="116">
        <v>96.95</v>
      </c>
      <c r="O1817" s="116">
        <v>90.5</v>
      </c>
      <c r="P1817" s="116">
        <v>90.5</v>
      </c>
      <c r="Q1817" s="116">
        <v>188.2</v>
      </c>
      <c r="R1817">
        <v>829269</v>
      </c>
    </row>
    <row r="1818" spans="1:18" x14ac:dyDescent="0.25">
      <c r="A1818" s="166">
        <v>44683</v>
      </c>
      <c r="B1818" s="116">
        <v>95.3</v>
      </c>
      <c r="C1818" s="116">
        <v>93.025000000000006</v>
      </c>
      <c r="D1818" s="116">
        <v>91</v>
      </c>
      <c r="E1818" s="116">
        <v>91</v>
      </c>
      <c r="F1818" s="116">
        <v>186.05</v>
      </c>
      <c r="G1818">
        <v>70810</v>
      </c>
      <c r="H1818" s="116"/>
      <c r="I1818" s="116"/>
      <c r="L1818" s="166">
        <v>44683</v>
      </c>
      <c r="M1818" s="116">
        <v>93.025000000000006</v>
      </c>
      <c r="N1818" s="116">
        <v>95.474999999999994</v>
      </c>
      <c r="O1818" s="116">
        <v>91.275000000000006</v>
      </c>
      <c r="P1818" s="116">
        <v>93.55</v>
      </c>
      <c r="Q1818" s="116">
        <v>186.05</v>
      </c>
      <c r="R1818">
        <v>461422</v>
      </c>
    </row>
    <row r="1819" spans="1:18" x14ac:dyDescent="0.25">
      <c r="A1819" s="166">
        <v>44685</v>
      </c>
      <c r="B1819" s="116">
        <v>96.95</v>
      </c>
      <c r="C1819" s="116">
        <v>90.9</v>
      </c>
      <c r="D1819" s="116">
        <v>90.224999999999994</v>
      </c>
      <c r="E1819" s="116">
        <v>95.85</v>
      </c>
      <c r="F1819" s="116">
        <v>181.8</v>
      </c>
      <c r="G1819">
        <v>73817</v>
      </c>
      <c r="H1819" s="116"/>
      <c r="I1819" s="116"/>
      <c r="L1819" s="166">
        <v>44685</v>
      </c>
      <c r="M1819" s="116">
        <v>90.9</v>
      </c>
      <c r="N1819" s="116">
        <v>97.35</v>
      </c>
      <c r="O1819" s="116">
        <v>90.275000000000006</v>
      </c>
      <c r="P1819" s="116">
        <v>96.325000000000003</v>
      </c>
      <c r="Q1819" s="116">
        <v>181.8</v>
      </c>
      <c r="R1819">
        <v>623778</v>
      </c>
    </row>
    <row r="1820" spans="1:18" x14ac:dyDescent="0.25">
      <c r="A1820" s="166">
        <v>44686</v>
      </c>
      <c r="B1820" s="116">
        <v>92.5</v>
      </c>
      <c r="C1820" s="116">
        <v>86.275000000000006</v>
      </c>
      <c r="D1820" s="116">
        <v>83.65</v>
      </c>
      <c r="E1820" s="116">
        <v>92.2</v>
      </c>
      <c r="F1820" s="116">
        <v>172.55</v>
      </c>
      <c r="G1820">
        <v>133174</v>
      </c>
      <c r="H1820" s="116"/>
      <c r="I1820" s="116"/>
      <c r="L1820" s="166">
        <v>44686</v>
      </c>
      <c r="M1820" s="116">
        <v>86.224999999999994</v>
      </c>
      <c r="N1820" s="116">
        <v>92.75</v>
      </c>
      <c r="O1820" s="116">
        <v>83.625</v>
      </c>
      <c r="P1820" s="116">
        <v>92</v>
      </c>
      <c r="Q1820" s="116">
        <v>172.45</v>
      </c>
      <c r="R1820">
        <v>548568</v>
      </c>
    </row>
    <row r="1821" spans="1:18" x14ac:dyDescent="0.25">
      <c r="A1821" s="166">
        <v>44687</v>
      </c>
      <c r="B1821" s="116">
        <v>87.8</v>
      </c>
      <c r="C1821" s="116">
        <v>86.575000000000003</v>
      </c>
      <c r="D1821" s="116">
        <v>83.325000000000003</v>
      </c>
      <c r="E1821" s="116">
        <v>84</v>
      </c>
      <c r="F1821" s="116">
        <v>173.15</v>
      </c>
      <c r="G1821">
        <v>158143</v>
      </c>
      <c r="H1821" s="116"/>
      <c r="I1821" s="116"/>
      <c r="L1821" s="166">
        <v>44687</v>
      </c>
      <c r="M1821" s="116">
        <v>86.5</v>
      </c>
      <c r="N1821" s="116">
        <v>87.875</v>
      </c>
      <c r="O1821" s="116">
        <v>83.5</v>
      </c>
      <c r="P1821" s="116">
        <v>83.625</v>
      </c>
      <c r="Q1821" s="116">
        <v>173</v>
      </c>
      <c r="R1821">
        <v>523427</v>
      </c>
    </row>
    <row r="1822" spans="1:18" x14ac:dyDescent="0.25">
      <c r="A1822" s="166">
        <v>44690</v>
      </c>
      <c r="B1822" s="116">
        <v>87</v>
      </c>
      <c r="C1822" s="116">
        <v>84.75</v>
      </c>
      <c r="D1822" s="116">
        <v>81.075000000000003</v>
      </c>
      <c r="E1822" s="116">
        <v>87</v>
      </c>
      <c r="F1822" s="116">
        <v>169.5</v>
      </c>
      <c r="G1822">
        <v>89400</v>
      </c>
      <c r="H1822" s="116"/>
      <c r="I1822" s="116"/>
      <c r="L1822" s="166">
        <v>44690</v>
      </c>
      <c r="M1822" s="116">
        <v>84.575000000000003</v>
      </c>
      <c r="N1822" s="116">
        <v>86.25</v>
      </c>
      <c r="O1822" s="116">
        <v>78.674999999999997</v>
      </c>
      <c r="P1822" s="116">
        <v>86.25</v>
      </c>
      <c r="Q1822" s="116">
        <v>169.15</v>
      </c>
      <c r="R1822">
        <v>499286</v>
      </c>
    </row>
    <row r="1823" spans="1:18" x14ac:dyDescent="0.25">
      <c r="A1823" s="166">
        <v>44691</v>
      </c>
      <c r="B1823" s="116">
        <v>86.95</v>
      </c>
      <c r="C1823" s="116">
        <v>83.424999999999997</v>
      </c>
      <c r="D1823" s="116">
        <v>82.95</v>
      </c>
      <c r="E1823" s="116">
        <v>85</v>
      </c>
      <c r="F1823" s="116">
        <v>166.85</v>
      </c>
      <c r="G1823">
        <v>40972</v>
      </c>
      <c r="H1823" s="116"/>
      <c r="I1823" s="116"/>
      <c r="L1823" s="166">
        <v>44691</v>
      </c>
      <c r="M1823" s="116">
        <v>83.8</v>
      </c>
      <c r="N1823" s="116">
        <v>87.15</v>
      </c>
      <c r="O1823" s="116">
        <v>82.775000000000006</v>
      </c>
      <c r="P1823" s="116">
        <v>84.6</v>
      </c>
      <c r="Q1823" s="116">
        <v>167.6</v>
      </c>
      <c r="R1823">
        <v>232713</v>
      </c>
    </row>
    <row r="1824" spans="1:18" x14ac:dyDescent="0.25">
      <c r="A1824" s="166">
        <v>44692</v>
      </c>
      <c r="B1824" s="116">
        <v>89.45</v>
      </c>
      <c r="C1824" s="116">
        <v>88.25</v>
      </c>
      <c r="D1824" s="116">
        <v>79.400000000000006</v>
      </c>
      <c r="E1824" s="116">
        <v>81.099999999999994</v>
      </c>
      <c r="F1824" s="116">
        <v>176.5</v>
      </c>
      <c r="G1824">
        <v>167819</v>
      </c>
      <c r="H1824" s="116"/>
      <c r="I1824" s="116"/>
      <c r="L1824" s="166">
        <v>44692</v>
      </c>
      <c r="M1824" s="116">
        <v>88.6</v>
      </c>
      <c r="N1824" s="116">
        <v>89.5</v>
      </c>
      <c r="O1824" s="116">
        <v>79.25</v>
      </c>
      <c r="P1824" s="116">
        <v>83.4</v>
      </c>
      <c r="Q1824" s="116">
        <v>177.2</v>
      </c>
      <c r="R1824">
        <v>1601420</v>
      </c>
    </row>
    <row r="1825" spans="1:18" x14ac:dyDescent="0.25">
      <c r="A1825" s="166">
        <v>44693</v>
      </c>
      <c r="B1825" s="116">
        <v>92.224999999999994</v>
      </c>
      <c r="C1825" s="116">
        <v>90.55</v>
      </c>
      <c r="D1825" s="116">
        <v>85.25</v>
      </c>
      <c r="E1825" s="116">
        <v>89.35</v>
      </c>
      <c r="F1825" s="116">
        <v>181.1</v>
      </c>
      <c r="G1825">
        <v>71345</v>
      </c>
      <c r="H1825" s="116"/>
      <c r="I1825" s="116"/>
      <c r="L1825" s="166">
        <v>44693</v>
      </c>
      <c r="M1825" s="116">
        <v>90.6</v>
      </c>
      <c r="N1825" s="116">
        <v>92.4</v>
      </c>
      <c r="O1825" s="116">
        <v>85.1</v>
      </c>
      <c r="P1825" s="116">
        <v>87.45</v>
      </c>
      <c r="Q1825" s="116">
        <v>181.2</v>
      </c>
      <c r="R1825">
        <v>823930</v>
      </c>
    </row>
    <row r="1826" spans="1:18" x14ac:dyDescent="0.25">
      <c r="A1826" s="166">
        <v>44694</v>
      </c>
      <c r="B1826" s="116">
        <v>96.9</v>
      </c>
      <c r="C1826" s="116">
        <v>92.275000000000006</v>
      </c>
      <c r="D1826" s="116">
        <v>89</v>
      </c>
      <c r="E1826" s="116">
        <v>89</v>
      </c>
      <c r="F1826" s="116">
        <v>184.55</v>
      </c>
      <c r="G1826">
        <v>76620</v>
      </c>
      <c r="H1826" s="116"/>
      <c r="I1826" s="116"/>
      <c r="L1826" s="166">
        <v>44694</v>
      </c>
      <c r="M1826" s="116">
        <v>92.3</v>
      </c>
      <c r="N1826" s="116">
        <v>97</v>
      </c>
      <c r="O1826" s="116">
        <v>89.924999999999997</v>
      </c>
      <c r="P1826" s="116">
        <v>91.075000000000003</v>
      </c>
      <c r="Q1826" s="116">
        <v>184.6</v>
      </c>
      <c r="R1826">
        <v>793562</v>
      </c>
    </row>
    <row r="1827" spans="1:18" x14ac:dyDescent="0.25">
      <c r="A1827" s="166">
        <v>44697</v>
      </c>
      <c r="B1827" s="116">
        <v>95.974999999999994</v>
      </c>
      <c r="C1827" s="116">
        <v>92.65</v>
      </c>
      <c r="D1827" s="116">
        <v>90.75</v>
      </c>
      <c r="E1827" s="116">
        <v>91</v>
      </c>
      <c r="F1827" s="116">
        <v>185.3</v>
      </c>
      <c r="G1827">
        <v>63667</v>
      </c>
      <c r="H1827" s="116"/>
      <c r="I1827" s="116"/>
      <c r="L1827" s="166">
        <v>44697</v>
      </c>
      <c r="M1827" s="116">
        <v>92.65</v>
      </c>
      <c r="N1827" s="116">
        <v>96</v>
      </c>
      <c r="O1827" s="116">
        <v>90.174999999999997</v>
      </c>
      <c r="P1827" s="116">
        <v>92.95</v>
      </c>
      <c r="Q1827" s="116">
        <v>185.3</v>
      </c>
      <c r="R1827">
        <v>539201</v>
      </c>
    </row>
    <row r="1828" spans="1:18" x14ac:dyDescent="0.25">
      <c r="A1828" s="166">
        <v>44698</v>
      </c>
      <c r="B1828" s="116">
        <v>97.424999999999997</v>
      </c>
      <c r="C1828" s="116">
        <v>96.5</v>
      </c>
      <c r="D1828" s="116">
        <v>92.65</v>
      </c>
      <c r="E1828" s="116">
        <v>93.35</v>
      </c>
      <c r="F1828" s="116">
        <v>193</v>
      </c>
      <c r="G1828">
        <v>107949</v>
      </c>
      <c r="H1828" s="116"/>
      <c r="I1828" s="116"/>
      <c r="L1828" s="166">
        <v>44698</v>
      </c>
      <c r="M1828" s="116">
        <v>96.724999999999994</v>
      </c>
      <c r="N1828" s="116">
        <v>97.5</v>
      </c>
      <c r="O1828" s="116">
        <v>92.55</v>
      </c>
      <c r="P1828" s="116">
        <v>93.125</v>
      </c>
      <c r="Q1828" s="116">
        <v>193.45</v>
      </c>
      <c r="R1828">
        <v>616175</v>
      </c>
    </row>
    <row r="1829" spans="1:18" x14ac:dyDescent="0.25">
      <c r="A1829" s="166">
        <v>44699</v>
      </c>
      <c r="B1829" s="116">
        <v>101.22499999999999</v>
      </c>
      <c r="C1829" s="116">
        <v>98.75</v>
      </c>
      <c r="D1829" s="116">
        <v>95.4</v>
      </c>
      <c r="E1829" s="116">
        <v>98.474999999999994</v>
      </c>
      <c r="F1829" s="116">
        <v>197.5</v>
      </c>
      <c r="G1829">
        <v>192501</v>
      </c>
      <c r="H1829" s="116"/>
      <c r="I1829" s="116"/>
      <c r="L1829" s="166">
        <v>44699</v>
      </c>
      <c r="M1829" s="116">
        <v>98.974999999999994</v>
      </c>
      <c r="N1829" s="116">
        <v>101.35</v>
      </c>
      <c r="O1829" s="116">
        <v>93.674999999999997</v>
      </c>
      <c r="P1829" s="116">
        <v>97.474999999999994</v>
      </c>
      <c r="Q1829" s="116">
        <v>197.95</v>
      </c>
      <c r="R1829">
        <v>1499998</v>
      </c>
    </row>
    <row r="1830" spans="1:18" x14ac:dyDescent="0.25">
      <c r="A1830" s="166">
        <v>44700</v>
      </c>
      <c r="B1830" s="116">
        <v>98</v>
      </c>
      <c r="C1830" s="116">
        <v>95.075000000000003</v>
      </c>
      <c r="D1830" s="116">
        <v>94.05</v>
      </c>
      <c r="E1830" s="116">
        <v>97.2</v>
      </c>
      <c r="F1830" s="116">
        <v>190.15</v>
      </c>
      <c r="G1830">
        <v>51920</v>
      </c>
      <c r="H1830" s="116"/>
      <c r="I1830" s="116"/>
      <c r="L1830" s="166">
        <v>44700</v>
      </c>
      <c r="M1830" s="116">
        <v>95.375</v>
      </c>
      <c r="N1830" s="116">
        <v>98</v>
      </c>
      <c r="O1830" s="116">
        <v>94.075000000000003</v>
      </c>
      <c r="P1830" s="116">
        <v>96</v>
      </c>
      <c r="Q1830" s="116">
        <v>190.75</v>
      </c>
      <c r="R1830">
        <v>625389</v>
      </c>
    </row>
    <row r="1831" spans="1:18" x14ac:dyDescent="0.25">
      <c r="A1831" s="166">
        <v>44701</v>
      </c>
      <c r="B1831" s="116">
        <v>104.7</v>
      </c>
      <c r="C1831" s="116">
        <v>102.52500000000001</v>
      </c>
      <c r="D1831" s="116">
        <v>97.575000000000003</v>
      </c>
      <c r="E1831" s="116">
        <v>97.575000000000003</v>
      </c>
      <c r="F1831" s="116">
        <v>205.05</v>
      </c>
      <c r="G1831">
        <v>178582</v>
      </c>
      <c r="H1831" s="116"/>
      <c r="I1831" s="116"/>
      <c r="L1831" s="166">
        <v>44701</v>
      </c>
      <c r="M1831" s="116">
        <v>102.325</v>
      </c>
      <c r="N1831" s="116">
        <v>104.625</v>
      </c>
      <c r="O1831" s="116">
        <v>97.5</v>
      </c>
      <c r="P1831" s="116">
        <v>97.5</v>
      </c>
      <c r="Q1831" s="116">
        <v>204.65</v>
      </c>
      <c r="R1831">
        <v>2020396</v>
      </c>
    </row>
    <row r="1832" spans="1:18" x14ac:dyDescent="0.25">
      <c r="A1832" s="166">
        <v>44704</v>
      </c>
      <c r="B1832" s="116">
        <v>106</v>
      </c>
      <c r="C1832" s="116">
        <v>99</v>
      </c>
      <c r="D1832" s="116">
        <v>97.95</v>
      </c>
      <c r="E1832" s="116">
        <v>103.125</v>
      </c>
      <c r="F1832" s="116">
        <v>198</v>
      </c>
      <c r="G1832">
        <v>112793</v>
      </c>
      <c r="H1832" s="116"/>
      <c r="I1832" s="116"/>
      <c r="L1832" s="166">
        <v>44704</v>
      </c>
      <c r="M1832" s="116">
        <v>98.974999999999994</v>
      </c>
      <c r="N1832" s="116">
        <v>106.2</v>
      </c>
      <c r="O1832" s="116">
        <v>98</v>
      </c>
      <c r="P1832" s="116">
        <v>103</v>
      </c>
      <c r="Q1832" s="116">
        <v>197.95</v>
      </c>
      <c r="R1832">
        <v>923055</v>
      </c>
    </row>
    <row r="1833" spans="1:18" x14ac:dyDescent="0.25">
      <c r="A1833" s="166">
        <v>44705</v>
      </c>
      <c r="B1833" s="116">
        <v>99.974999999999994</v>
      </c>
      <c r="C1833" s="116">
        <v>98.575000000000003</v>
      </c>
      <c r="D1833" s="116">
        <v>96.7</v>
      </c>
      <c r="E1833" s="116">
        <v>99.974999999999994</v>
      </c>
      <c r="F1833" s="116">
        <v>197.15</v>
      </c>
      <c r="G1833">
        <v>73809</v>
      </c>
      <c r="H1833" s="116"/>
      <c r="I1833" s="116"/>
      <c r="L1833" s="166">
        <v>44705</v>
      </c>
      <c r="M1833" s="116">
        <v>98.55</v>
      </c>
      <c r="N1833" s="116">
        <v>99.974999999999994</v>
      </c>
      <c r="O1833" s="116">
        <v>96.775000000000006</v>
      </c>
      <c r="P1833" s="116">
        <v>99.75</v>
      </c>
      <c r="Q1833" s="116">
        <v>197.1</v>
      </c>
      <c r="R1833">
        <v>397769</v>
      </c>
    </row>
    <row r="1834" spans="1:18" x14ac:dyDescent="0.25">
      <c r="A1834" s="166">
        <v>44706</v>
      </c>
      <c r="B1834" s="116">
        <v>102.35</v>
      </c>
      <c r="C1834" s="116">
        <v>95.9</v>
      </c>
      <c r="D1834" s="116">
        <v>95.05</v>
      </c>
      <c r="E1834" s="116">
        <v>98.25</v>
      </c>
      <c r="F1834" s="116">
        <v>191.8</v>
      </c>
      <c r="G1834">
        <v>112217</v>
      </c>
      <c r="H1834" s="116"/>
      <c r="I1834" s="116"/>
      <c r="L1834" s="166">
        <v>44706</v>
      </c>
      <c r="M1834" s="116">
        <v>96</v>
      </c>
      <c r="N1834" s="116">
        <v>102.25</v>
      </c>
      <c r="O1834" s="116">
        <v>95.025000000000006</v>
      </c>
      <c r="P1834" s="116">
        <v>99</v>
      </c>
      <c r="Q1834" s="116">
        <v>192</v>
      </c>
      <c r="R1834">
        <v>723583</v>
      </c>
    </row>
    <row r="1835" spans="1:18" x14ac:dyDescent="0.25">
      <c r="A1835" s="166">
        <v>44707</v>
      </c>
      <c r="B1835" s="116">
        <v>97.3</v>
      </c>
      <c r="C1835" s="116">
        <v>95.5</v>
      </c>
      <c r="D1835" s="116">
        <v>90.45</v>
      </c>
      <c r="E1835" s="116">
        <v>91.6</v>
      </c>
      <c r="F1835" s="116">
        <v>191</v>
      </c>
      <c r="G1835">
        <v>98494</v>
      </c>
      <c r="H1835" s="116"/>
      <c r="I1835" s="116"/>
      <c r="L1835" s="166">
        <v>44707</v>
      </c>
      <c r="M1835" s="116">
        <v>95.2</v>
      </c>
      <c r="N1835" s="116">
        <v>97.474999999999994</v>
      </c>
      <c r="O1835" s="116">
        <v>90.35</v>
      </c>
      <c r="P1835" s="116">
        <v>95.65</v>
      </c>
      <c r="Q1835" s="116">
        <v>190.4</v>
      </c>
      <c r="R1835">
        <v>660899</v>
      </c>
    </row>
    <row r="1836" spans="1:18" x14ac:dyDescent="0.25">
      <c r="A1836" s="166">
        <v>44708</v>
      </c>
      <c r="B1836" s="116">
        <v>97.65</v>
      </c>
      <c r="C1836" s="116">
        <v>96.075000000000003</v>
      </c>
      <c r="D1836" s="116">
        <v>94.575000000000003</v>
      </c>
      <c r="E1836" s="116">
        <v>97.075000000000003</v>
      </c>
      <c r="F1836" s="116">
        <v>192.15</v>
      </c>
      <c r="G1836">
        <v>49815</v>
      </c>
      <c r="H1836" s="116"/>
      <c r="I1836" s="116"/>
      <c r="L1836" s="166">
        <v>44708</v>
      </c>
      <c r="M1836" s="116">
        <v>96.025000000000006</v>
      </c>
      <c r="N1836" s="116">
        <v>97.924999999999997</v>
      </c>
      <c r="O1836" s="116">
        <v>94.525000000000006</v>
      </c>
      <c r="P1836" s="116">
        <v>96.275000000000006</v>
      </c>
      <c r="Q1836" s="116">
        <v>192.05</v>
      </c>
      <c r="R1836">
        <v>281365</v>
      </c>
    </row>
    <row r="1837" spans="1:18" x14ac:dyDescent="0.25">
      <c r="A1837" s="166">
        <v>44711</v>
      </c>
      <c r="B1837" s="116">
        <v>101.575</v>
      </c>
      <c r="C1837" s="116">
        <v>99.45</v>
      </c>
      <c r="D1837" s="116">
        <v>97.075000000000003</v>
      </c>
      <c r="E1837" s="116">
        <v>98.7</v>
      </c>
      <c r="F1837" s="116">
        <v>198.9</v>
      </c>
      <c r="G1837">
        <v>97073</v>
      </c>
      <c r="H1837" s="116"/>
      <c r="I1837" s="116"/>
      <c r="L1837" s="166">
        <v>44711</v>
      </c>
      <c r="M1837" s="116">
        <v>99.525000000000006</v>
      </c>
      <c r="N1837" s="116">
        <v>101.65</v>
      </c>
      <c r="O1837" s="116">
        <v>97</v>
      </c>
      <c r="P1837" s="116">
        <v>99</v>
      </c>
      <c r="Q1837" s="116">
        <v>199.05</v>
      </c>
      <c r="R1837">
        <v>607333</v>
      </c>
    </row>
    <row r="1838" spans="1:18" x14ac:dyDescent="0.25">
      <c r="A1838" s="166">
        <v>44712</v>
      </c>
      <c r="B1838" s="116">
        <v>102.625</v>
      </c>
      <c r="C1838" s="116">
        <v>98.3</v>
      </c>
      <c r="D1838" s="116">
        <v>98</v>
      </c>
      <c r="E1838" s="116">
        <v>99.85</v>
      </c>
      <c r="F1838" s="116">
        <v>196.6</v>
      </c>
      <c r="G1838">
        <v>56134</v>
      </c>
      <c r="H1838" s="116"/>
      <c r="I1838" s="116"/>
      <c r="L1838" s="166">
        <v>44712</v>
      </c>
      <c r="M1838" s="116">
        <v>98.3</v>
      </c>
      <c r="N1838" s="116">
        <v>102.75</v>
      </c>
      <c r="O1838" s="116">
        <v>98</v>
      </c>
      <c r="P1838" s="116">
        <v>99.424999999999997</v>
      </c>
      <c r="Q1838" s="116">
        <v>196.6</v>
      </c>
      <c r="R1838">
        <v>415359</v>
      </c>
    </row>
    <row r="1839" spans="1:18" x14ac:dyDescent="0.25">
      <c r="A1839" s="166">
        <v>44713</v>
      </c>
      <c r="B1839" s="116">
        <v>103.5</v>
      </c>
      <c r="C1839" s="116">
        <v>101.5</v>
      </c>
      <c r="D1839" s="116">
        <v>97.375</v>
      </c>
      <c r="E1839" s="116">
        <v>97.375</v>
      </c>
      <c r="F1839" s="116">
        <v>203</v>
      </c>
      <c r="G1839">
        <v>91719</v>
      </c>
      <c r="H1839" s="116"/>
      <c r="I1839" s="116"/>
      <c r="L1839" s="166">
        <v>44713</v>
      </c>
      <c r="M1839" s="116">
        <v>101.45</v>
      </c>
      <c r="N1839" s="116">
        <v>103.5</v>
      </c>
      <c r="O1839" s="116">
        <v>98.625</v>
      </c>
      <c r="P1839" s="116">
        <v>99.075000000000003</v>
      </c>
      <c r="Q1839" s="116">
        <v>202.9</v>
      </c>
      <c r="R1839">
        <v>610120</v>
      </c>
    </row>
    <row r="1840" spans="1:18" x14ac:dyDescent="0.25">
      <c r="A1840" s="166">
        <v>44714</v>
      </c>
      <c r="B1840" s="116">
        <v>115.75</v>
      </c>
      <c r="C1840" s="116">
        <v>114.52500000000001</v>
      </c>
      <c r="D1840" s="116">
        <v>101.7</v>
      </c>
      <c r="E1840" s="116">
        <v>102.5</v>
      </c>
      <c r="F1840" s="116">
        <v>229.05</v>
      </c>
      <c r="G1840">
        <v>558679</v>
      </c>
      <c r="H1840" s="116"/>
      <c r="I1840" s="116"/>
      <c r="L1840" s="166">
        <v>44714</v>
      </c>
      <c r="M1840" s="116">
        <v>114.625</v>
      </c>
      <c r="N1840" s="116">
        <v>115.85</v>
      </c>
      <c r="O1840" s="116">
        <v>101.675</v>
      </c>
      <c r="P1840" s="116">
        <v>102</v>
      </c>
      <c r="Q1840" s="116">
        <v>229.25</v>
      </c>
      <c r="R1840">
        <v>5425695</v>
      </c>
    </row>
    <row r="1841" spans="1:18" x14ac:dyDescent="0.25">
      <c r="A1841" s="166">
        <v>44715</v>
      </c>
      <c r="B1841" s="116">
        <v>117.5</v>
      </c>
      <c r="C1841" s="116">
        <v>114.875</v>
      </c>
      <c r="D1841" s="116">
        <v>112.65</v>
      </c>
      <c r="E1841" s="116">
        <v>115.97499999999999</v>
      </c>
      <c r="F1841" s="116">
        <v>229.75</v>
      </c>
      <c r="G1841">
        <v>210605</v>
      </c>
      <c r="H1841" s="116"/>
      <c r="I1841" s="116"/>
      <c r="L1841" s="166">
        <v>44715</v>
      </c>
      <c r="M1841" s="116">
        <v>115.15</v>
      </c>
      <c r="N1841" s="116">
        <v>117.5</v>
      </c>
      <c r="O1841" s="116">
        <v>112.5</v>
      </c>
      <c r="P1841" s="116">
        <v>116</v>
      </c>
      <c r="Q1841" s="116">
        <v>230.3</v>
      </c>
      <c r="R1841">
        <v>2739557</v>
      </c>
    </row>
    <row r="1842" spans="1:18" x14ac:dyDescent="0.25">
      <c r="A1842" s="166">
        <v>44718</v>
      </c>
      <c r="B1842" s="116">
        <v>135</v>
      </c>
      <c r="C1842" s="116">
        <v>125.35</v>
      </c>
      <c r="D1842" s="116">
        <v>115.47499999999999</v>
      </c>
      <c r="E1842" s="116">
        <v>118</v>
      </c>
      <c r="F1842" s="116">
        <v>250.7</v>
      </c>
      <c r="G1842">
        <v>594480</v>
      </c>
      <c r="H1842" s="116"/>
      <c r="I1842" s="116"/>
      <c r="L1842" s="166">
        <v>44718</v>
      </c>
      <c r="M1842" s="116">
        <v>125.3</v>
      </c>
      <c r="N1842" s="116">
        <v>134.65</v>
      </c>
      <c r="O1842" s="116">
        <v>115.575</v>
      </c>
      <c r="P1842" s="116">
        <v>116.85</v>
      </c>
      <c r="Q1842" s="116">
        <v>250.6</v>
      </c>
      <c r="R1842">
        <v>9241504</v>
      </c>
    </row>
    <row r="1843" spans="1:18" x14ac:dyDescent="0.25">
      <c r="A1843" s="166">
        <v>44719</v>
      </c>
      <c r="B1843" s="116">
        <v>134.85</v>
      </c>
      <c r="C1843" s="116">
        <v>130.9</v>
      </c>
      <c r="D1843" s="116">
        <v>121.7</v>
      </c>
      <c r="E1843" s="116">
        <v>124.05</v>
      </c>
      <c r="F1843" s="116">
        <v>261.8</v>
      </c>
      <c r="G1843">
        <v>331346</v>
      </c>
      <c r="H1843" s="116"/>
      <c r="I1843" s="116"/>
      <c r="L1843" s="166">
        <v>44719</v>
      </c>
      <c r="M1843" s="116">
        <v>130.875</v>
      </c>
      <c r="N1843" s="116">
        <v>134.94999999999999</v>
      </c>
      <c r="O1843" s="116">
        <v>121.85</v>
      </c>
      <c r="P1843" s="116">
        <v>124.45</v>
      </c>
      <c r="Q1843" s="116">
        <v>261.75</v>
      </c>
      <c r="R1843">
        <v>3877732</v>
      </c>
    </row>
    <row r="1844" spans="1:18" x14ac:dyDescent="0.25">
      <c r="A1844" s="166">
        <v>44720</v>
      </c>
      <c r="B1844" s="116">
        <v>131.35</v>
      </c>
      <c r="C1844" s="116">
        <v>125.02500000000001</v>
      </c>
      <c r="D1844" s="116">
        <v>122.575</v>
      </c>
      <c r="E1844" s="116">
        <v>131.35</v>
      </c>
      <c r="F1844" s="116">
        <v>250.05</v>
      </c>
      <c r="G1844">
        <v>131583</v>
      </c>
      <c r="H1844" s="116"/>
      <c r="I1844" s="116"/>
      <c r="L1844" s="166">
        <v>44720</v>
      </c>
      <c r="M1844" s="116">
        <v>125.27500000000001</v>
      </c>
      <c r="N1844" s="116">
        <v>132.17500000000001</v>
      </c>
      <c r="O1844" s="116">
        <v>122.65</v>
      </c>
      <c r="P1844" s="116">
        <v>130.77500000000001</v>
      </c>
      <c r="Q1844" s="116">
        <v>250.55</v>
      </c>
      <c r="R1844">
        <v>903384</v>
      </c>
    </row>
    <row r="1845" spans="1:18" x14ac:dyDescent="0.25">
      <c r="A1845" s="166">
        <v>44721</v>
      </c>
      <c r="B1845" s="116">
        <v>128.25</v>
      </c>
      <c r="C1845" s="116">
        <v>125.425</v>
      </c>
      <c r="D1845" s="116">
        <v>121.52500000000001</v>
      </c>
      <c r="E1845" s="116">
        <v>126.47499999999999</v>
      </c>
      <c r="F1845" s="116">
        <v>250.85</v>
      </c>
      <c r="G1845">
        <v>33519</v>
      </c>
      <c r="H1845" s="116"/>
      <c r="I1845" s="116"/>
      <c r="L1845" s="166">
        <v>44721</v>
      </c>
      <c r="M1845" s="116">
        <v>125.675</v>
      </c>
      <c r="N1845" s="116">
        <v>128.30000000000001</v>
      </c>
      <c r="O1845" s="116">
        <v>121.5</v>
      </c>
      <c r="P1845" s="116">
        <v>125.125</v>
      </c>
      <c r="Q1845" s="116">
        <v>251.35</v>
      </c>
      <c r="R1845">
        <v>557307</v>
      </c>
    </row>
    <row r="1846" spans="1:18" x14ac:dyDescent="0.25">
      <c r="A1846" s="166">
        <v>44722</v>
      </c>
      <c r="B1846" s="116">
        <v>126.6</v>
      </c>
      <c r="C1846" s="116">
        <v>124.52500000000001</v>
      </c>
      <c r="D1846" s="116">
        <v>123.25</v>
      </c>
      <c r="E1846" s="116">
        <v>125.175</v>
      </c>
      <c r="F1846" s="116">
        <v>249.05</v>
      </c>
      <c r="G1846">
        <v>14602</v>
      </c>
      <c r="H1846" s="116"/>
      <c r="I1846" s="116"/>
      <c r="L1846" s="166">
        <v>44722</v>
      </c>
      <c r="M1846" s="116">
        <v>124.625</v>
      </c>
      <c r="N1846" s="116">
        <v>126.85</v>
      </c>
      <c r="O1846" s="116">
        <v>123.05</v>
      </c>
      <c r="P1846" s="116">
        <v>124</v>
      </c>
      <c r="Q1846" s="116">
        <v>249.25</v>
      </c>
      <c r="R1846">
        <v>282304</v>
      </c>
    </row>
    <row r="1847" spans="1:18" x14ac:dyDescent="0.25">
      <c r="A1847" s="166">
        <v>44725</v>
      </c>
      <c r="B1847" s="116">
        <v>130.02500000000001</v>
      </c>
      <c r="C1847" s="116">
        <v>122.22499999999999</v>
      </c>
      <c r="D1847" s="116">
        <v>118.45</v>
      </c>
      <c r="E1847" s="116">
        <v>123.72499999999999</v>
      </c>
      <c r="F1847" s="116">
        <v>244.45</v>
      </c>
      <c r="G1847">
        <v>57420</v>
      </c>
      <c r="H1847" s="116"/>
      <c r="I1847" s="116"/>
      <c r="L1847" s="166">
        <v>44725</v>
      </c>
      <c r="M1847" s="116">
        <v>122.575</v>
      </c>
      <c r="N1847" s="116">
        <v>129.94999999999999</v>
      </c>
      <c r="O1847" s="116">
        <v>118.27500000000001</v>
      </c>
      <c r="P1847" s="116">
        <v>122.47499999999999</v>
      </c>
      <c r="Q1847" s="116">
        <v>245.15</v>
      </c>
      <c r="R1847">
        <v>722811</v>
      </c>
    </row>
    <row r="1848" spans="1:18" x14ac:dyDescent="0.25">
      <c r="A1848" s="166">
        <v>44726</v>
      </c>
      <c r="B1848" s="116">
        <v>124</v>
      </c>
      <c r="C1848" s="116">
        <v>118.27500000000001</v>
      </c>
      <c r="D1848" s="116">
        <v>116.75</v>
      </c>
      <c r="E1848" s="116">
        <v>124</v>
      </c>
      <c r="F1848" s="116">
        <v>236.55</v>
      </c>
      <c r="G1848">
        <v>23707</v>
      </c>
      <c r="H1848" s="116"/>
      <c r="I1848" s="116"/>
      <c r="L1848" s="166">
        <v>44726</v>
      </c>
      <c r="M1848" s="116">
        <v>118.625</v>
      </c>
      <c r="N1848" s="116">
        <v>123.95</v>
      </c>
      <c r="O1848" s="116">
        <v>116.85</v>
      </c>
      <c r="P1848" s="116">
        <v>123</v>
      </c>
      <c r="Q1848" s="116">
        <v>237.25</v>
      </c>
      <c r="R1848">
        <v>510310</v>
      </c>
    </row>
    <row r="1849" spans="1:18" x14ac:dyDescent="0.25">
      <c r="A1849" s="166">
        <v>44727</v>
      </c>
      <c r="B1849" s="116">
        <v>132.85</v>
      </c>
      <c r="C1849" s="116">
        <v>127.575</v>
      </c>
      <c r="D1849" s="116">
        <v>118.5</v>
      </c>
      <c r="E1849" s="116">
        <v>119.5</v>
      </c>
      <c r="F1849" s="116">
        <v>255.15</v>
      </c>
      <c r="G1849">
        <v>84247</v>
      </c>
      <c r="H1849" s="116"/>
      <c r="I1849" s="116"/>
      <c r="L1849" s="166">
        <v>44727</v>
      </c>
      <c r="M1849" s="116">
        <v>127.65</v>
      </c>
      <c r="N1849" s="116">
        <v>132.94999999999999</v>
      </c>
      <c r="O1849" s="116">
        <v>118</v>
      </c>
      <c r="P1849" s="116">
        <v>119.45</v>
      </c>
      <c r="Q1849" s="116">
        <v>255.3</v>
      </c>
      <c r="R1849">
        <v>2059401</v>
      </c>
    </row>
    <row r="1850" spans="1:18" x14ac:dyDescent="0.25">
      <c r="A1850" s="166">
        <v>44728</v>
      </c>
      <c r="B1850" s="116">
        <v>134.32499999999999</v>
      </c>
      <c r="C1850" s="116">
        <v>122.375</v>
      </c>
      <c r="D1850" s="116">
        <v>119.575</v>
      </c>
      <c r="E1850" s="116">
        <v>130</v>
      </c>
      <c r="F1850" s="116">
        <v>244.75</v>
      </c>
      <c r="G1850">
        <v>137920</v>
      </c>
      <c r="H1850" s="116"/>
      <c r="I1850" s="116"/>
      <c r="L1850" s="166">
        <v>44728</v>
      </c>
      <c r="M1850" s="116">
        <v>122.425</v>
      </c>
      <c r="N1850" s="116">
        <v>134.4</v>
      </c>
      <c r="O1850" s="116">
        <v>119.5</v>
      </c>
      <c r="P1850" s="116">
        <v>129.65</v>
      </c>
      <c r="Q1850" s="116">
        <v>244.85</v>
      </c>
      <c r="R1850">
        <v>1641676</v>
      </c>
    </row>
    <row r="1851" spans="1:18" x14ac:dyDescent="0.25">
      <c r="A1851" s="166">
        <v>44729</v>
      </c>
      <c r="B1851" s="116">
        <v>134.19999999999999</v>
      </c>
      <c r="C1851" s="116">
        <v>129.72499999999999</v>
      </c>
      <c r="D1851" s="116">
        <v>121.5</v>
      </c>
      <c r="E1851" s="116">
        <v>122.4</v>
      </c>
      <c r="F1851" s="116">
        <v>259.45</v>
      </c>
      <c r="G1851">
        <v>173268</v>
      </c>
      <c r="H1851" s="116"/>
      <c r="I1851" s="116"/>
      <c r="L1851" s="166">
        <v>44729</v>
      </c>
      <c r="M1851" s="116">
        <v>129.75</v>
      </c>
      <c r="N1851" s="116">
        <v>134.375</v>
      </c>
      <c r="O1851" s="116">
        <v>121.25</v>
      </c>
      <c r="P1851" s="116">
        <v>121.925</v>
      </c>
      <c r="Q1851" s="116">
        <v>259.5</v>
      </c>
      <c r="R1851">
        <v>2238716</v>
      </c>
    </row>
    <row r="1852" spans="1:18" x14ac:dyDescent="0.25">
      <c r="A1852" s="166">
        <v>44732</v>
      </c>
      <c r="B1852" s="116">
        <v>132.44999999999999</v>
      </c>
      <c r="C1852" s="116">
        <v>122.77500000000001</v>
      </c>
      <c r="D1852" s="116">
        <v>116.575</v>
      </c>
      <c r="E1852" s="116">
        <v>131.47499999999999</v>
      </c>
      <c r="F1852" s="116">
        <v>245.55</v>
      </c>
      <c r="G1852">
        <v>146819</v>
      </c>
      <c r="H1852" s="116"/>
      <c r="I1852" s="116"/>
      <c r="L1852" s="166">
        <v>44732</v>
      </c>
      <c r="M1852" s="116">
        <v>122.575</v>
      </c>
      <c r="N1852" s="116">
        <v>132.30000000000001</v>
      </c>
      <c r="O1852" s="116">
        <v>116.5</v>
      </c>
      <c r="P1852" s="116">
        <v>131.25</v>
      </c>
      <c r="Q1852" s="116">
        <v>245.15</v>
      </c>
      <c r="R1852">
        <v>1626846</v>
      </c>
    </row>
    <row r="1853" spans="1:18" x14ac:dyDescent="0.25">
      <c r="A1853" s="166">
        <v>44733</v>
      </c>
      <c r="B1853" s="116">
        <v>131</v>
      </c>
      <c r="C1853" s="116">
        <v>129.72499999999999</v>
      </c>
      <c r="D1853" s="116">
        <v>122</v>
      </c>
      <c r="E1853" s="116">
        <v>122</v>
      </c>
      <c r="F1853" s="116">
        <v>259.45</v>
      </c>
      <c r="G1853">
        <v>208863</v>
      </c>
      <c r="H1853" s="116"/>
      <c r="I1853" s="116"/>
      <c r="L1853" s="166">
        <v>44733</v>
      </c>
      <c r="M1853" s="116">
        <v>129.65</v>
      </c>
      <c r="N1853" s="116">
        <v>130.97499999999999</v>
      </c>
      <c r="O1853" s="116">
        <v>123.45</v>
      </c>
      <c r="P1853" s="116">
        <v>124</v>
      </c>
      <c r="Q1853" s="116">
        <v>259.3</v>
      </c>
      <c r="R1853">
        <v>1311128</v>
      </c>
    </row>
    <row r="1854" spans="1:18" x14ac:dyDescent="0.25">
      <c r="A1854" s="166">
        <v>44734</v>
      </c>
      <c r="B1854" s="116">
        <v>137.44999999999999</v>
      </c>
      <c r="C1854" s="116">
        <v>134.85</v>
      </c>
      <c r="D1854" s="116">
        <v>128.65</v>
      </c>
      <c r="E1854" s="116">
        <v>129.72499999999999</v>
      </c>
      <c r="F1854" s="116">
        <v>269.7</v>
      </c>
      <c r="G1854">
        <v>338991</v>
      </c>
      <c r="H1854" s="116"/>
      <c r="I1854" s="116"/>
      <c r="L1854" s="166">
        <v>44734</v>
      </c>
      <c r="M1854" s="116">
        <v>134.82499999999999</v>
      </c>
      <c r="N1854" s="116">
        <v>137.47499999999999</v>
      </c>
      <c r="O1854" s="116">
        <v>128.55000000000001</v>
      </c>
      <c r="P1854" s="116">
        <v>129.75</v>
      </c>
      <c r="Q1854" s="116">
        <v>269.64999999999998</v>
      </c>
      <c r="R1854">
        <v>4022797</v>
      </c>
    </row>
    <row r="1855" spans="1:18" x14ac:dyDescent="0.25">
      <c r="A1855" s="166">
        <v>44735</v>
      </c>
      <c r="B1855" s="116">
        <v>144.94999999999999</v>
      </c>
      <c r="C1855" s="116">
        <v>138.80000000000001</v>
      </c>
      <c r="D1855" s="116">
        <v>135.47499999999999</v>
      </c>
      <c r="E1855" s="116">
        <v>135.47499999999999</v>
      </c>
      <c r="F1855" s="116">
        <v>277.60000000000002</v>
      </c>
      <c r="G1855">
        <v>398946</v>
      </c>
      <c r="H1855" s="116"/>
      <c r="I1855" s="116"/>
      <c r="L1855" s="166">
        <v>44735</v>
      </c>
      <c r="M1855" s="116">
        <v>138.67500000000001</v>
      </c>
      <c r="N1855" s="116">
        <v>144.94999999999999</v>
      </c>
      <c r="O1855" s="116">
        <v>135.65</v>
      </c>
      <c r="P1855" s="116">
        <v>135.75</v>
      </c>
      <c r="Q1855" s="116">
        <v>277.35000000000002</v>
      </c>
      <c r="R1855">
        <v>4167715</v>
      </c>
    </row>
    <row r="1856" spans="1:18" x14ac:dyDescent="0.25">
      <c r="A1856" s="166">
        <v>44736</v>
      </c>
      <c r="B1856" s="116">
        <v>141.94999999999999</v>
      </c>
      <c r="C1856" s="116">
        <v>134.35</v>
      </c>
      <c r="D1856" s="116">
        <v>133.30000000000001</v>
      </c>
      <c r="E1856" s="116">
        <v>141.75</v>
      </c>
      <c r="F1856" s="116">
        <v>268.7</v>
      </c>
      <c r="G1856">
        <v>172137</v>
      </c>
      <c r="H1856" s="116"/>
      <c r="I1856" s="116"/>
      <c r="L1856" s="166">
        <v>44736</v>
      </c>
      <c r="M1856" s="116">
        <v>134.55000000000001</v>
      </c>
      <c r="N1856" s="116">
        <v>142.15</v>
      </c>
      <c r="O1856" s="116">
        <v>133.30000000000001</v>
      </c>
      <c r="P1856" s="116">
        <v>141</v>
      </c>
      <c r="Q1856" s="116">
        <v>269.10000000000002</v>
      </c>
      <c r="R1856">
        <v>1364104</v>
      </c>
    </row>
    <row r="1857" spans="1:18" x14ac:dyDescent="0.25">
      <c r="A1857" s="166">
        <v>44739</v>
      </c>
      <c r="B1857" s="116">
        <v>138.85</v>
      </c>
      <c r="C1857" s="116">
        <v>130.875</v>
      </c>
      <c r="D1857" s="116">
        <v>129.25</v>
      </c>
      <c r="E1857" s="116">
        <v>136.25</v>
      </c>
      <c r="F1857" s="116">
        <v>261.75</v>
      </c>
      <c r="G1857">
        <v>98895</v>
      </c>
      <c r="H1857" s="116"/>
      <c r="I1857" s="116"/>
      <c r="L1857" s="166">
        <v>44739</v>
      </c>
      <c r="M1857" s="116">
        <v>130.72499999999999</v>
      </c>
      <c r="N1857" s="116">
        <v>138.9</v>
      </c>
      <c r="O1857" s="116">
        <v>129.65</v>
      </c>
      <c r="P1857" s="116">
        <v>136.69999999999999</v>
      </c>
      <c r="Q1857" s="116">
        <v>261.45</v>
      </c>
      <c r="R1857">
        <v>1141431</v>
      </c>
    </row>
    <row r="1858" spans="1:18" x14ac:dyDescent="0.25">
      <c r="A1858" s="166">
        <v>44740</v>
      </c>
      <c r="B1858" s="116">
        <v>135.5</v>
      </c>
      <c r="C1858" s="116">
        <v>134.44999999999999</v>
      </c>
      <c r="D1858" s="116">
        <v>127.875</v>
      </c>
      <c r="E1858" s="116">
        <v>132.19999999999999</v>
      </c>
      <c r="F1858" s="116">
        <v>268.89999999999998</v>
      </c>
      <c r="G1858">
        <v>154433</v>
      </c>
      <c r="H1858" s="116"/>
      <c r="I1858" s="116"/>
      <c r="L1858" s="166">
        <v>44740</v>
      </c>
      <c r="M1858" s="116">
        <v>134.47499999999999</v>
      </c>
      <c r="N1858" s="116">
        <v>135.55000000000001</v>
      </c>
      <c r="O1858" s="116">
        <v>127.8</v>
      </c>
      <c r="P1858" s="116">
        <v>131.02500000000001</v>
      </c>
      <c r="Q1858" s="116">
        <v>268.95</v>
      </c>
      <c r="R1858">
        <v>1356356</v>
      </c>
    </row>
    <row r="1859" spans="1:18" x14ac:dyDescent="0.25">
      <c r="A1859" s="166">
        <v>44741</v>
      </c>
      <c r="B1859" s="116">
        <v>136.44999999999999</v>
      </c>
      <c r="C1859" s="116">
        <v>131.4</v>
      </c>
      <c r="D1859" s="116">
        <v>130.65</v>
      </c>
      <c r="E1859" s="116">
        <v>135</v>
      </c>
      <c r="F1859" s="116">
        <v>262.8</v>
      </c>
      <c r="G1859">
        <v>57371</v>
      </c>
      <c r="H1859" s="116"/>
      <c r="I1859" s="116"/>
      <c r="L1859" s="166">
        <v>44741</v>
      </c>
      <c r="M1859" s="116">
        <v>131.27500000000001</v>
      </c>
      <c r="N1859" s="116">
        <v>136.44999999999999</v>
      </c>
      <c r="O1859" s="116">
        <v>130.625</v>
      </c>
      <c r="P1859" s="116">
        <v>133.94999999999999</v>
      </c>
      <c r="Q1859" s="116">
        <v>262.55</v>
      </c>
      <c r="R1859">
        <v>574371</v>
      </c>
    </row>
    <row r="1860" spans="1:18" x14ac:dyDescent="0.25">
      <c r="A1860" s="166">
        <v>44742</v>
      </c>
      <c r="B1860" s="116">
        <v>135.5</v>
      </c>
      <c r="C1860" s="116">
        <v>130.42500000000001</v>
      </c>
      <c r="D1860" s="116">
        <v>129.5</v>
      </c>
      <c r="E1860" s="116">
        <v>132</v>
      </c>
      <c r="F1860" s="116">
        <v>260.85000000000002</v>
      </c>
      <c r="G1860">
        <v>102044</v>
      </c>
      <c r="H1860" s="116"/>
      <c r="I1860" s="116"/>
      <c r="L1860" s="166">
        <v>44742</v>
      </c>
      <c r="M1860" s="116">
        <v>130.57499999999999</v>
      </c>
      <c r="N1860" s="116">
        <v>135.5</v>
      </c>
      <c r="O1860" s="116">
        <v>129.625</v>
      </c>
      <c r="P1860" s="116">
        <v>132.1</v>
      </c>
      <c r="Q1860" s="116">
        <v>261.14999999999998</v>
      </c>
      <c r="R1860">
        <v>790258</v>
      </c>
    </row>
    <row r="1861" spans="1:18" x14ac:dyDescent="0.25">
      <c r="A1861" s="166">
        <v>44743</v>
      </c>
      <c r="B1861" s="116">
        <v>131.65</v>
      </c>
      <c r="C1861" s="116">
        <v>130.5</v>
      </c>
      <c r="D1861" s="116">
        <v>127</v>
      </c>
      <c r="E1861" s="116">
        <v>128.30000000000001</v>
      </c>
      <c r="F1861" s="116">
        <v>261</v>
      </c>
      <c r="G1861">
        <v>60328</v>
      </c>
      <c r="H1861" s="116"/>
      <c r="I1861" s="116"/>
      <c r="L1861" s="166">
        <v>44743</v>
      </c>
      <c r="M1861" s="116">
        <v>130.57499999999999</v>
      </c>
      <c r="N1861" s="116">
        <v>131.85</v>
      </c>
      <c r="O1861" s="116">
        <v>127</v>
      </c>
      <c r="P1861" s="116">
        <v>130.75</v>
      </c>
      <c r="Q1861" s="116">
        <v>261.14999999999998</v>
      </c>
      <c r="R1861">
        <v>561941</v>
      </c>
    </row>
    <row r="1862" spans="1:18" x14ac:dyDescent="0.25">
      <c r="A1862" s="166">
        <v>44746</v>
      </c>
      <c r="B1862" s="116">
        <v>134.30000000000001</v>
      </c>
      <c r="C1862" s="116">
        <v>132.07499999999999</v>
      </c>
      <c r="D1862" s="116">
        <v>129.5</v>
      </c>
      <c r="E1862" s="116">
        <v>130.57499999999999</v>
      </c>
      <c r="F1862" s="116">
        <v>264.14999999999998</v>
      </c>
      <c r="G1862">
        <v>46185</v>
      </c>
      <c r="H1862" s="116"/>
      <c r="I1862" s="116"/>
      <c r="L1862" s="166">
        <v>44746</v>
      </c>
      <c r="M1862" s="116">
        <v>132.07499999999999</v>
      </c>
      <c r="N1862" s="116">
        <v>134.4</v>
      </c>
      <c r="O1862" s="116">
        <v>129.4</v>
      </c>
      <c r="P1862" s="116">
        <v>130.6</v>
      </c>
      <c r="Q1862" s="116">
        <v>264.14999999999998</v>
      </c>
      <c r="R1862">
        <v>528633</v>
      </c>
    </row>
    <row r="1863" spans="1:18" x14ac:dyDescent="0.25">
      <c r="A1863" s="166">
        <v>44747</v>
      </c>
      <c r="B1863" s="116">
        <v>139.15</v>
      </c>
      <c r="C1863" s="116">
        <v>135.625</v>
      </c>
      <c r="D1863" s="116">
        <v>132.4</v>
      </c>
      <c r="E1863" s="116">
        <v>132.4</v>
      </c>
      <c r="F1863" s="116">
        <v>271.25</v>
      </c>
      <c r="G1863">
        <v>153890</v>
      </c>
      <c r="H1863" s="116"/>
      <c r="I1863" s="116"/>
      <c r="L1863" s="166">
        <v>44747</v>
      </c>
      <c r="M1863" s="116">
        <v>135.75</v>
      </c>
      <c r="N1863" s="116">
        <v>139.19999999999999</v>
      </c>
      <c r="O1863" s="116">
        <v>133.25</v>
      </c>
      <c r="P1863" s="116">
        <v>133.30000000000001</v>
      </c>
      <c r="Q1863" s="116">
        <v>271.5</v>
      </c>
      <c r="R1863">
        <v>1119017</v>
      </c>
    </row>
    <row r="1864" spans="1:18" x14ac:dyDescent="0.25">
      <c r="A1864" s="166">
        <v>44748</v>
      </c>
      <c r="B1864" s="116">
        <v>146.65</v>
      </c>
      <c r="C1864" s="116">
        <v>145.375</v>
      </c>
      <c r="D1864" s="116">
        <v>134.15</v>
      </c>
      <c r="E1864" s="116">
        <v>136.5</v>
      </c>
      <c r="F1864" s="116">
        <v>290.75</v>
      </c>
      <c r="G1864">
        <v>207584</v>
      </c>
      <c r="H1864" s="116"/>
      <c r="I1864" s="116"/>
      <c r="L1864" s="166">
        <v>44748</v>
      </c>
      <c r="M1864" s="116">
        <v>145.52500000000001</v>
      </c>
      <c r="N1864" s="116">
        <v>146.97499999999999</v>
      </c>
      <c r="O1864" s="116">
        <v>134.05000000000001</v>
      </c>
      <c r="P1864" s="116">
        <v>136.15</v>
      </c>
      <c r="Q1864" s="116">
        <v>291.05</v>
      </c>
      <c r="R1864">
        <v>3102256</v>
      </c>
    </row>
    <row r="1865" spans="1:18" x14ac:dyDescent="0.25">
      <c r="A1865" s="166">
        <v>44749</v>
      </c>
      <c r="B1865" s="116">
        <v>150</v>
      </c>
      <c r="C1865" s="116">
        <v>149.02500000000001</v>
      </c>
      <c r="D1865" s="116">
        <v>143.30000000000001</v>
      </c>
      <c r="E1865" s="116">
        <v>145</v>
      </c>
      <c r="F1865" s="116">
        <v>298.05</v>
      </c>
      <c r="G1865">
        <v>222592</v>
      </c>
      <c r="H1865" s="116"/>
      <c r="I1865" s="116"/>
      <c r="L1865" s="166">
        <v>44749</v>
      </c>
      <c r="M1865" s="116">
        <v>148.9</v>
      </c>
      <c r="N1865" s="116">
        <v>149.85</v>
      </c>
      <c r="O1865" s="116">
        <v>143.17500000000001</v>
      </c>
      <c r="P1865" s="116">
        <v>145.72499999999999</v>
      </c>
      <c r="Q1865" s="116">
        <v>297.8</v>
      </c>
      <c r="R1865">
        <v>2356898</v>
      </c>
    </row>
    <row r="1866" spans="1:18" x14ac:dyDescent="0.25">
      <c r="A1866" s="166">
        <v>44750</v>
      </c>
      <c r="B1866" s="116">
        <v>151.5</v>
      </c>
      <c r="C1866" s="116">
        <v>147.15</v>
      </c>
      <c r="D1866" s="116">
        <v>146.4</v>
      </c>
      <c r="E1866" s="116">
        <v>149.9</v>
      </c>
      <c r="F1866" s="116">
        <v>294.3</v>
      </c>
      <c r="G1866">
        <v>120169</v>
      </c>
      <c r="H1866" s="116"/>
      <c r="I1866" s="116"/>
      <c r="L1866" s="166">
        <v>44750</v>
      </c>
      <c r="M1866" s="116">
        <v>147.25</v>
      </c>
      <c r="N1866" s="116">
        <v>151.5</v>
      </c>
      <c r="O1866" s="116">
        <v>146.47499999999999</v>
      </c>
      <c r="P1866" s="116">
        <v>149.97499999999999</v>
      </c>
      <c r="Q1866" s="116">
        <v>294.5</v>
      </c>
      <c r="R1866">
        <v>850562</v>
      </c>
    </row>
    <row r="1867" spans="1:18" x14ac:dyDescent="0.25">
      <c r="A1867" s="166">
        <v>44753</v>
      </c>
      <c r="B1867" s="116">
        <v>160.85</v>
      </c>
      <c r="C1867" s="116">
        <v>158.97499999999999</v>
      </c>
      <c r="D1867" s="116">
        <v>143.77500000000001</v>
      </c>
      <c r="E1867" s="116">
        <v>147.15</v>
      </c>
      <c r="F1867" s="116">
        <v>317.95</v>
      </c>
      <c r="G1867">
        <v>254891</v>
      </c>
      <c r="H1867" s="116"/>
      <c r="I1867" s="116"/>
      <c r="L1867" s="166">
        <v>44753</v>
      </c>
      <c r="M1867" s="116">
        <v>159.22499999999999</v>
      </c>
      <c r="N1867" s="116">
        <v>160.85</v>
      </c>
      <c r="O1867" s="116">
        <v>143.75</v>
      </c>
      <c r="P1867" s="116">
        <v>147</v>
      </c>
      <c r="Q1867" s="116">
        <v>318.45</v>
      </c>
      <c r="R1867">
        <v>3591418</v>
      </c>
    </row>
    <row r="1868" spans="1:18" x14ac:dyDescent="0.25">
      <c r="A1868" s="166">
        <v>44754</v>
      </c>
      <c r="B1868" s="116">
        <v>162.52500000000001</v>
      </c>
      <c r="C1868" s="116">
        <v>161.07499999999999</v>
      </c>
      <c r="D1868" s="116">
        <v>157.32499999999999</v>
      </c>
      <c r="E1868" s="116">
        <v>158.25</v>
      </c>
      <c r="F1868" s="116">
        <v>322.14999999999998</v>
      </c>
      <c r="G1868">
        <v>124940</v>
      </c>
      <c r="H1868" s="116"/>
      <c r="I1868" s="116"/>
      <c r="L1868" s="166">
        <v>44754</v>
      </c>
      <c r="M1868" s="116">
        <v>160.85</v>
      </c>
      <c r="N1868" s="116">
        <v>162.5</v>
      </c>
      <c r="O1868" s="116">
        <v>157.30000000000001</v>
      </c>
      <c r="P1868" s="116">
        <v>158.375</v>
      </c>
      <c r="Q1868" s="116">
        <v>321.7</v>
      </c>
      <c r="R1868">
        <v>1586035</v>
      </c>
    </row>
    <row r="1869" spans="1:18" x14ac:dyDescent="0.25">
      <c r="A1869" s="166">
        <v>44755</v>
      </c>
      <c r="B1869" s="116">
        <v>161.65</v>
      </c>
      <c r="C1869" s="116">
        <v>154.35</v>
      </c>
      <c r="D1869" s="116">
        <v>153.25</v>
      </c>
      <c r="E1869" s="116">
        <v>158.6</v>
      </c>
      <c r="F1869" s="116">
        <v>308.7</v>
      </c>
      <c r="G1869">
        <v>115683</v>
      </c>
      <c r="H1869" s="116"/>
      <c r="I1869" s="116"/>
      <c r="L1869" s="166">
        <v>44755</v>
      </c>
      <c r="M1869" s="116">
        <v>154.5</v>
      </c>
      <c r="N1869" s="116">
        <v>161.67500000000001</v>
      </c>
      <c r="O1869" s="116">
        <v>153.6</v>
      </c>
      <c r="P1869" s="116">
        <v>160.94999999999999</v>
      </c>
      <c r="Q1869" s="116">
        <v>309</v>
      </c>
      <c r="R1869">
        <v>787731</v>
      </c>
    </row>
    <row r="1870" spans="1:18" x14ac:dyDescent="0.25">
      <c r="A1870" s="166">
        <v>44756</v>
      </c>
      <c r="B1870" s="116">
        <v>156.55000000000001</v>
      </c>
      <c r="C1870" s="116">
        <v>152.30000000000001</v>
      </c>
      <c r="D1870" s="116">
        <v>150.25</v>
      </c>
      <c r="E1870" s="116">
        <v>156.55000000000001</v>
      </c>
      <c r="F1870" s="116">
        <v>304.60000000000002</v>
      </c>
      <c r="G1870">
        <v>91339</v>
      </c>
      <c r="H1870" s="116"/>
      <c r="I1870" s="116"/>
      <c r="L1870" s="166">
        <v>44756</v>
      </c>
      <c r="M1870" s="116">
        <v>152.42500000000001</v>
      </c>
      <c r="N1870" s="116">
        <v>156.30000000000001</v>
      </c>
      <c r="O1870" s="116">
        <v>150.15</v>
      </c>
      <c r="P1870" s="116">
        <v>155</v>
      </c>
      <c r="Q1870" s="116">
        <v>304.85000000000002</v>
      </c>
      <c r="R1870">
        <v>891353</v>
      </c>
    </row>
    <row r="1871" spans="1:18" x14ac:dyDescent="0.25">
      <c r="A1871" s="166">
        <v>44757</v>
      </c>
      <c r="B1871" s="116">
        <v>157.5</v>
      </c>
      <c r="C1871" s="116">
        <v>154.9</v>
      </c>
      <c r="D1871" s="116">
        <v>152.42500000000001</v>
      </c>
      <c r="E1871" s="116">
        <v>153.4</v>
      </c>
      <c r="F1871" s="116">
        <v>309.8</v>
      </c>
      <c r="G1871">
        <v>62463</v>
      </c>
      <c r="H1871" s="116"/>
      <c r="I1871" s="116"/>
      <c r="L1871" s="166">
        <v>44757</v>
      </c>
      <c r="M1871" s="116">
        <v>155.1</v>
      </c>
      <c r="N1871" s="116">
        <v>156.44999999999999</v>
      </c>
      <c r="O1871" s="116">
        <v>152.4</v>
      </c>
      <c r="P1871" s="116">
        <v>153.72499999999999</v>
      </c>
      <c r="Q1871" s="116">
        <v>310.2</v>
      </c>
      <c r="R1871">
        <v>726644</v>
      </c>
    </row>
    <row r="1872" spans="1:18" x14ac:dyDescent="0.25">
      <c r="A1872" s="166">
        <v>44760</v>
      </c>
      <c r="B1872" s="116">
        <v>161.17500000000001</v>
      </c>
      <c r="C1872" s="116">
        <v>159.75</v>
      </c>
      <c r="D1872" s="116">
        <v>156</v>
      </c>
      <c r="E1872" s="116">
        <v>156</v>
      </c>
      <c r="F1872" s="116">
        <v>319.5</v>
      </c>
      <c r="G1872">
        <v>61400</v>
      </c>
      <c r="H1872" s="116"/>
      <c r="I1872" s="116"/>
      <c r="L1872" s="166">
        <v>44760</v>
      </c>
      <c r="M1872" s="116">
        <v>159.80000000000001</v>
      </c>
      <c r="N1872" s="116">
        <v>161.1</v>
      </c>
      <c r="O1872" s="116">
        <v>156.02500000000001</v>
      </c>
      <c r="P1872" s="116">
        <v>156.75</v>
      </c>
      <c r="Q1872" s="116">
        <v>319.60000000000002</v>
      </c>
      <c r="R1872">
        <v>1089204</v>
      </c>
    </row>
    <row r="1873" spans="1:18" x14ac:dyDescent="0.25">
      <c r="A1873" s="166">
        <v>44761</v>
      </c>
      <c r="B1873" s="116">
        <v>167.5</v>
      </c>
      <c r="C1873" s="116">
        <v>165.625</v>
      </c>
      <c r="D1873" s="116">
        <v>159.25</v>
      </c>
      <c r="E1873" s="116">
        <v>159.94999999999999</v>
      </c>
      <c r="F1873" s="116">
        <v>331.25</v>
      </c>
      <c r="G1873">
        <v>164305</v>
      </c>
      <c r="H1873" s="116"/>
      <c r="I1873" s="116"/>
      <c r="L1873" s="166">
        <v>44761</v>
      </c>
      <c r="M1873" s="116">
        <v>165.67500000000001</v>
      </c>
      <c r="N1873" s="116">
        <v>167.5</v>
      </c>
      <c r="O1873" s="116">
        <v>158.97499999999999</v>
      </c>
      <c r="P1873" s="116">
        <v>159.72499999999999</v>
      </c>
      <c r="Q1873" s="116">
        <v>331.35</v>
      </c>
      <c r="R1873">
        <v>1651280</v>
      </c>
    </row>
    <row r="1874" spans="1:18" x14ac:dyDescent="0.25">
      <c r="A1874" s="166">
        <v>44762</v>
      </c>
      <c r="B1874" s="116">
        <v>174.1</v>
      </c>
      <c r="C1874" s="116">
        <v>165.92500000000001</v>
      </c>
      <c r="D1874" s="116">
        <v>162.6</v>
      </c>
      <c r="E1874" s="116">
        <v>167</v>
      </c>
      <c r="F1874" s="116">
        <v>331.85</v>
      </c>
      <c r="G1874">
        <v>177903</v>
      </c>
      <c r="H1874" s="116"/>
      <c r="I1874" s="116"/>
      <c r="L1874" s="166">
        <v>44762</v>
      </c>
      <c r="M1874" s="116">
        <v>165.8</v>
      </c>
      <c r="N1874" s="116">
        <v>174.22499999999999</v>
      </c>
      <c r="O1874" s="116">
        <v>162.55000000000001</v>
      </c>
      <c r="P1874" s="116">
        <v>167.25</v>
      </c>
      <c r="Q1874" s="116">
        <v>331.6</v>
      </c>
      <c r="R1874">
        <v>2313734</v>
      </c>
    </row>
    <row r="1875" spans="1:18" x14ac:dyDescent="0.25">
      <c r="A1875" s="166">
        <v>44763</v>
      </c>
      <c r="B1875" s="116">
        <v>168.42500000000001</v>
      </c>
      <c r="C1875" s="116">
        <v>156.05000000000001</v>
      </c>
      <c r="D1875" s="116">
        <v>151</v>
      </c>
      <c r="E1875" s="116">
        <v>166.75</v>
      </c>
      <c r="F1875" s="116">
        <v>312.10000000000002</v>
      </c>
      <c r="G1875">
        <v>257615</v>
      </c>
      <c r="H1875" s="116"/>
      <c r="I1875" s="116"/>
      <c r="L1875" s="166">
        <v>44763</v>
      </c>
      <c r="M1875" s="116">
        <v>156.9</v>
      </c>
      <c r="N1875" s="116">
        <v>168.45</v>
      </c>
      <c r="O1875" s="116">
        <v>151.1</v>
      </c>
      <c r="P1875" s="116">
        <v>166.5</v>
      </c>
      <c r="Q1875" s="116">
        <v>313.8</v>
      </c>
      <c r="R1875">
        <v>2730458</v>
      </c>
    </row>
    <row r="1876" spans="1:18" x14ac:dyDescent="0.25">
      <c r="A1876" s="166">
        <v>44764</v>
      </c>
      <c r="B1876" s="116">
        <v>166.47499999999999</v>
      </c>
      <c r="C1876" s="116">
        <v>164.82499999999999</v>
      </c>
      <c r="D1876" s="116">
        <v>155.75</v>
      </c>
      <c r="E1876" s="116">
        <v>156.75</v>
      </c>
      <c r="F1876" s="116">
        <v>329.65</v>
      </c>
      <c r="G1876">
        <v>137062</v>
      </c>
      <c r="H1876" s="116"/>
      <c r="I1876" s="116"/>
      <c r="L1876" s="166">
        <v>44764</v>
      </c>
      <c r="M1876" s="116">
        <v>164.95</v>
      </c>
      <c r="N1876" s="116">
        <v>166.4</v>
      </c>
      <c r="O1876" s="116">
        <v>155.69999999999999</v>
      </c>
      <c r="P1876" s="116">
        <v>157.65</v>
      </c>
      <c r="Q1876" s="116">
        <v>329.9</v>
      </c>
      <c r="R1876">
        <v>1998672</v>
      </c>
    </row>
    <row r="1877" spans="1:18" x14ac:dyDescent="0.25">
      <c r="A1877" s="166">
        <v>44767</v>
      </c>
      <c r="B1877" s="116">
        <v>197.02500000000001</v>
      </c>
      <c r="C1877" s="116">
        <v>188.9</v>
      </c>
      <c r="D1877" s="116">
        <v>165.2</v>
      </c>
      <c r="E1877" s="116">
        <v>167.42500000000001</v>
      </c>
      <c r="F1877" s="116">
        <v>377.8</v>
      </c>
      <c r="G1877">
        <v>517225</v>
      </c>
      <c r="H1877" s="116"/>
      <c r="I1877" s="116"/>
      <c r="L1877" s="166">
        <v>44767</v>
      </c>
      <c r="M1877" s="116">
        <v>188.75</v>
      </c>
      <c r="N1877" s="116">
        <v>196.97499999999999</v>
      </c>
      <c r="O1877" s="116">
        <v>165.05</v>
      </c>
      <c r="P1877" s="116">
        <v>165.95</v>
      </c>
      <c r="Q1877" s="116">
        <v>377.5</v>
      </c>
      <c r="R1877">
        <v>8499792</v>
      </c>
    </row>
    <row r="1878" spans="1:18" x14ac:dyDescent="0.25">
      <c r="A1878" s="166">
        <v>44768</v>
      </c>
      <c r="B1878" s="116">
        <v>195.95</v>
      </c>
      <c r="C1878" s="116">
        <v>185</v>
      </c>
      <c r="D1878" s="116">
        <v>183.3</v>
      </c>
      <c r="E1878" s="116">
        <v>185.7</v>
      </c>
      <c r="F1878" s="116">
        <v>370</v>
      </c>
      <c r="G1878">
        <v>295204</v>
      </c>
      <c r="H1878" s="116"/>
      <c r="I1878" s="116"/>
      <c r="L1878" s="166">
        <v>44768</v>
      </c>
      <c r="M1878" s="116">
        <v>185.07499999999999</v>
      </c>
      <c r="N1878" s="116">
        <v>195.85</v>
      </c>
      <c r="O1878" s="116">
        <v>183.17500000000001</v>
      </c>
      <c r="P1878" s="116">
        <v>186</v>
      </c>
      <c r="Q1878" s="116">
        <v>370.15</v>
      </c>
      <c r="R1878">
        <v>3744135</v>
      </c>
    </row>
    <row r="1879" spans="1:18" x14ac:dyDescent="0.25">
      <c r="A1879" s="166">
        <v>44769</v>
      </c>
      <c r="B1879" s="116">
        <v>188.875</v>
      </c>
      <c r="C1879" s="116">
        <v>185.57499999999999</v>
      </c>
      <c r="D1879" s="116">
        <v>182.125</v>
      </c>
      <c r="E1879" s="116">
        <v>187.15</v>
      </c>
      <c r="F1879" s="116">
        <v>371.15</v>
      </c>
      <c r="G1879">
        <v>58485</v>
      </c>
      <c r="H1879" s="116"/>
      <c r="I1879" s="116"/>
      <c r="L1879" s="166">
        <v>44769</v>
      </c>
      <c r="M1879" s="116">
        <v>185.72499999999999</v>
      </c>
      <c r="N1879" s="116">
        <v>188.97499999999999</v>
      </c>
      <c r="O1879" s="116">
        <v>182.05</v>
      </c>
      <c r="P1879" s="116">
        <v>185.45</v>
      </c>
      <c r="Q1879" s="116">
        <v>371.45</v>
      </c>
      <c r="R1879">
        <v>767990</v>
      </c>
    </row>
    <row r="1880" spans="1:18" x14ac:dyDescent="0.25">
      <c r="A1880" s="166">
        <v>44770</v>
      </c>
      <c r="B1880" s="116">
        <v>187.7</v>
      </c>
      <c r="C1880" s="116">
        <v>181.25</v>
      </c>
      <c r="D1880" s="116">
        <v>180.52500000000001</v>
      </c>
      <c r="E1880" s="116">
        <v>187.7</v>
      </c>
      <c r="F1880" s="116">
        <v>362.5</v>
      </c>
      <c r="G1880">
        <v>36601</v>
      </c>
      <c r="H1880" s="116"/>
      <c r="I1880" s="116"/>
      <c r="L1880" s="166">
        <v>44770</v>
      </c>
      <c r="M1880" s="116">
        <v>181.22499999999999</v>
      </c>
      <c r="N1880" s="116">
        <v>186.9</v>
      </c>
      <c r="O1880" s="116">
        <v>180.5</v>
      </c>
      <c r="P1880" s="116">
        <v>186</v>
      </c>
      <c r="Q1880" s="116">
        <v>362.45</v>
      </c>
      <c r="R1880">
        <v>474256</v>
      </c>
    </row>
    <row r="1881" spans="1:18" x14ac:dyDescent="0.25">
      <c r="A1881" s="166">
        <v>44771</v>
      </c>
      <c r="B1881" s="116">
        <v>186</v>
      </c>
      <c r="C1881" s="116">
        <v>181.125</v>
      </c>
      <c r="D1881" s="116">
        <v>180.25</v>
      </c>
      <c r="E1881" s="116">
        <v>183.22499999999999</v>
      </c>
      <c r="F1881" s="116">
        <v>362.25</v>
      </c>
      <c r="G1881">
        <v>58453</v>
      </c>
      <c r="H1881" s="116"/>
      <c r="I1881" s="116"/>
      <c r="L1881" s="166">
        <v>44771</v>
      </c>
      <c r="M1881" s="116">
        <v>181.1</v>
      </c>
      <c r="N1881" s="116">
        <v>186</v>
      </c>
      <c r="O1881" s="116">
        <v>180.25</v>
      </c>
      <c r="P1881" s="116">
        <v>182.15</v>
      </c>
      <c r="Q1881" s="116">
        <v>362.2</v>
      </c>
      <c r="R1881">
        <v>425066</v>
      </c>
    </row>
    <row r="1882" spans="1:18" x14ac:dyDescent="0.25">
      <c r="A1882" s="166">
        <v>44774</v>
      </c>
      <c r="B1882" s="116">
        <v>182.22499999999999</v>
      </c>
      <c r="C1882" s="116">
        <v>176.82499999999999</v>
      </c>
      <c r="D1882" s="116">
        <v>176.02500000000001</v>
      </c>
      <c r="E1882" s="116">
        <v>180.07499999999999</v>
      </c>
      <c r="F1882" s="116">
        <v>353.65</v>
      </c>
      <c r="G1882">
        <v>55899</v>
      </c>
      <c r="H1882" s="116"/>
      <c r="I1882" s="116"/>
      <c r="L1882" s="166">
        <v>44774</v>
      </c>
      <c r="M1882" s="116">
        <v>176.82499999999999</v>
      </c>
      <c r="N1882" s="116">
        <v>182.27500000000001</v>
      </c>
      <c r="O1882" s="116">
        <v>176.2</v>
      </c>
      <c r="P1882" s="116">
        <v>181.25</v>
      </c>
      <c r="Q1882" s="116">
        <v>353.65</v>
      </c>
      <c r="R1882">
        <v>414398</v>
      </c>
    </row>
    <row r="1883" spans="1:18" x14ac:dyDescent="0.25">
      <c r="A1883" s="166">
        <v>44775</v>
      </c>
      <c r="B1883" s="116">
        <v>182.07499999999999</v>
      </c>
      <c r="C1883" s="116">
        <v>177.05</v>
      </c>
      <c r="D1883" s="116">
        <v>172.4</v>
      </c>
      <c r="E1883" s="116">
        <v>176.5</v>
      </c>
      <c r="F1883" s="116">
        <v>354.1</v>
      </c>
      <c r="G1883">
        <v>57447</v>
      </c>
      <c r="H1883" s="116"/>
      <c r="I1883" s="116"/>
      <c r="L1883" s="166">
        <v>44775</v>
      </c>
      <c r="M1883" s="116">
        <v>177.6</v>
      </c>
      <c r="N1883" s="116">
        <v>182.15</v>
      </c>
      <c r="O1883" s="116">
        <v>172.22499999999999</v>
      </c>
      <c r="P1883" s="116">
        <v>177.5</v>
      </c>
      <c r="Q1883" s="116">
        <v>355.2</v>
      </c>
      <c r="R1883">
        <v>726609</v>
      </c>
    </row>
    <row r="1884" spans="1:18" x14ac:dyDescent="0.25">
      <c r="A1884" s="166">
        <v>44776</v>
      </c>
      <c r="B1884" s="116">
        <v>181</v>
      </c>
      <c r="C1884" s="116">
        <v>169.2</v>
      </c>
      <c r="D1884" s="116">
        <v>167.8</v>
      </c>
      <c r="E1884" s="116">
        <v>178.77500000000001</v>
      </c>
      <c r="F1884" s="116">
        <v>338.4</v>
      </c>
      <c r="G1884">
        <v>45887</v>
      </c>
      <c r="H1884" s="116"/>
      <c r="I1884" s="116"/>
      <c r="L1884" s="166">
        <v>44776</v>
      </c>
      <c r="M1884" s="116">
        <v>169.17500000000001</v>
      </c>
      <c r="N1884" s="116">
        <v>180.95</v>
      </c>
      <c r="O1884" s="116">
        <v>167.77500000000001</v>
      </c>
      <c r="P1884" s="116">
        <v>178.9</v>
      </c>
      <c r="Q1884" s="116">
        <v>338.35</v>
      </c>
      <c r="R1884">
        <v>748111</v>
      </c>
    </row>
    <row r="1885" spans="1:18" x14ac:dyDescent="0.25">
      <c r="A1885" s="166">
        <v>44777</v>
      </c>
      <c r="B1885" s="116">
        <v>173.5</v>
      </c>
      <c r="C1885" s="116">
        <v>172.1</v>
      </c>
      <c r="D1885" s="116">
        <v>166</v>
      </c>
      <c r="E1885" s="116">
        <v>171.45</v>
      </c>
      <c r="F1885" s="116">
        <v>344.2</v>
      </c>
      <c r="G1885">
        <v>55776</v>
      </c>
      <c r="H1885" s="116"/>
      <c r="I1885" s="116"/>
      <c r="L1885" s="166">
        <v>44777</v>
      </c>
      <c r="M1885" s="116">
        <v>172.35</v>
      </c>
      <c r="N1885" s="116">
        <v>173.65</v>
      </c>
      <c r="O1885" s="116">
        <v>165.97499999999999</v>
      </c>
      <c r="P1885" s="116">
        <v>169.95</v>
      </c>
      <c r="Q1885" s="116">
        <v>344.7</v>
      </c>
      <c r="R1885">
        <v>626017</v>
      </c>
    </row>
    <row r="1886" spans="1:18" x14ac:dyDescent="0.25">
      <c r="A1886" s="166">
        <v>44778</v>
      </c>
      <c r="B1886" s="116">
        <v>175.47499999999999</v>
      </c>
      <c r="C1886" s="116">
        <v>171.8</v>
      </c>
      <c r="D1886" s="116">
        <v>170.02500000000001</v>
      </c>
      <c r="E1886" s="116">
        <v>175</v>
      </c>
      <c r="F1886" s="116">
        <v>343.6</v>
      </c>
      <c r="G1886">
        <v>22465</v>
      </c>
      <c r="H1886" s="116"/>
      <c r="I1886" s="116"/>
      <c r="L1886" s="166">
        <v>44778</v>
      </c>
      <c r="M1886" s="116">
        <v>171.67500000000001</v>
      </c>
      <c r="N1886" s="116">
        <v>176.1</v>
      </c>
      <c r="O1886" s="116">
        <v>170</v>
      </c>
      <c r="P1886" s="116">
        <v>173.5</v>
      </c>
      <c r="Q1886" s="116">
        <v>343.35</v>
      </c>
      <c r="R1886">
        <v>244604</v>
      </c>
    </row>
    <row r="1887" spans="1:18" x14ac:dyDescent="0.25">
      <c r="A1887" s="166">
        <v>44781</v>
      </c>
      <c r="B1887" s="116">
        <v>178.82499999999999</v>
      </c>
      <c r="C1887" s="116">
        <v>175.25</v>
      </c>
      <c r="D1887" s="116">
        <v>171.55</v>
      </c>
      <c r="E1887" s="116">
        <v>174.95</v>
      </c>
      <c r="F1887" s="116">
        <v>350.5</v>
      </c>
      <c r="G1887">
        <v>48414</v>
      </c>
      <c r="H1887" s="116"/>
      <c r="I1887" s="116"/>
      <c r="L1887" s="166">
        <v>44781</v>
      </c>
      <c r="M1887" s="116">
        <v>175.1</v>
      </c>
      <c r="N1887" s="116">
        <v>179</v>
      </c>
      <c r="O1887" s="116">
        <v>171.7</v>
      </c>
      <c r="P1887" s="116">
        <v>173.45</v>
      </c>
      <c r="Q1887" s="116">
        <v>350.2</v>
      </c>
      <c r="R1887">
        <v>392852</v>
      </c>
    </row>
    <row r="1888" spans="1:18" x14ac:dyDescent="0.25">
      <c r="A1888" s="166">
        <v>44783</v>
      </c>
      <c r="B1888" s="116">
        <v>177.47499999999999</v>
      </c>
      <c r="C1888" s="116">
        <v>173.75</v>
      </c>
      <c r="D1888" s="116">
        <v>172.72499999999999</v>
      </c>
      <c r="E1888" s="116">
        <v>177.47499999999999</v>
      </c>
      <c r="F1888" s="116">
        <v>347.5</v>
      </c>
      <c r="G1888">
        <v>46576</v>
      </c>
      <c r="H1888" s="116"/>
      <c r="I1888" s="116"/>
      <c r="L1888" s="166">
        <v>44783</v>
      </c>
      <c r="M1888" s="116">
        <v>173.82499999999999</v>
      </c>
      <c r="N1888" s="116">
        <v>177.47499999999999</v>
      </c>
      <c r="O1888" s="116">
        <v>172.75</v>
      </c>
      <c r="P1888" s="116">
        <v>176.47499999999999</v>
      </c>
      <c r="Q1888" s="116">
        <v>347.65</v>
      </c>
      <c r="R1888">
        <v>269508</v>
      </c>
    </row>
    <row r="1889" spans="1:18" x14ac:dyDescent="0.25">
      <c r="A1889" s="166">
        <v>44784</v>
      </c>
      <c r="B1889" s="116">
        <v>178.25</v>
      </c>
      <c r="C1889" s="116">
        <v>172.57499999999999</v>
      </c>
      <c r="D1889" s="116">
        <v>172.02500000000001</v>
      </c>
      <c r="E1889" s="116">
        <v>175</v>
      </c>
      <c r="F1889" s="116">
        <v>345.15</v>
      </c>
      <c r="G1889">
        <v>20703</v>
      </c>
      <c r="H1889" s="116"/>
      <c r="I1889" s="116"/>
      <c r="L1889" s="166">
        <v>44784</v>
      </c>
      <c r="M1889" s="116">
        <v>172.47499999999999</v>
      </c>
      <c r="N1889" s="116">
        <v>178.42500000000001</v>
      </c>
      <c r="O1889" s="116">
        <v>172.02500000000001</v>
      </c>
      <c r="P1889" s="116">
        <v>174.5</v>
      </c>
      <c r="Q1889" s="116">
        <v>344.95</v>
      </c>
      <c r="R1889">
        <v>247985</v>
      </c>
    </row>
    <row r="1890" spans="1:18" x14ac:dyDescent="0.25">
      <c r="A1890" s="166">
        <v>44785</v>
      </c>
      <c r="B1890" s="116">
        <v>173.7</v>
      </c>
      <c r="C1890" s="116">
        <v>170.2</v>
      </c>
      <c r="D1890" s="116">
        <v>169.35</v>
      </c>
      <c r="E1890" s="116">
        <v>173.17500000000001</v>
      </c>
      <c r="F1890" s="116">
        <v>340.4</v>
      </c>
      <c r="G1890">
        <v>33903</v>
      </c>
      <c r="H1890" s="116"/>
      <c r="I1890" s="116"/>
      <c r="L1890" s="166">
        <v>44785</v>
      </c>
      <c r="M1890" s="116">
        <v>170.4</v>
      </c>
      <c r="N1890" s="116">
        <v>173.75</v>
      </c>
      <c r="O1890" s="116">
        <v>169.1</v>
      </c>
      <c r="P1890" s="116">
        <v>173</v>
      </c>
      <c r="Q1890" s="116">
        <v>340.8</v>
      </c>
      <c r="R1890">
        <v>212393</v>
      </c>
    </row>
    <row r="1891" spans="1:18" x14ac:dyDescent="0.25">
      <c r="A1891" s="166">
        <v>44789</v>
      </c>
      <c r="B1891" s="116">
        <v>174</v>
      </c>
      <c r="C1891" s="116">
        <v>171.6</v>
      </c>
      <c r="D1891" s="116">
        <v>170.02500000000001</v>
      </c>
      <c r="E1891" s="116">
        <v>173.45</v>
      </c>
      <c r="F1891" s="116">
        <v>343.2</v>
      </c>
      <c r="G1891">
        <v>22864</v>
      </c>
      <c r="H1891" s="116"/>
      <c r="I1891" s="116"/>
      <c r="L1891" s="166">
        <v>44789</v>
      </c>
      <c r="M1891" s="116">
        <v>171.125</v>
      </c>
      <c r="N1891" s="116">
        <v>173.95</v>
      </c>
      <c r="O1891" s="116">
        <v>170</v>
      </c>
      <c r="P1891" s="116">
        <v>171</v>
      </c>
      <c r="Q1891" s="116">
        <v>342.25</v>
      </c>
      <c r="R1891">
        <v>251527</v>
      </c>
    </row>
    <row r="1892" spans="1:18" x14ac:dyDescent="0.25">
      <c r="A1892" s="166">
        <v>44790</v>
      </c>
      <c r="B1892" s="116">
        <v>182</v>
      </c>
      <c r="C1892" s="116">
        <v>179.27500000000001</v>
      </c>
      <c r="D1892" s="116">
        <v>170.92500000000001</v>
      </c>
      <c r="E1892" s="116">
        <v>172</v>
      </c>
      <c r="F1892" s="116">
        <v>358.55</v>
      </c>
      <c r="G1892">
        <v>112875</v>
      </c>
      <c r="H1892" s="116"/>
      <c r="I1892" s="116"/>
      <c r="L1892" s="166">
        <v>44790</v>
      </c>
      <c r="M1892" s="116">
        <v>178.35</v>
      </c>
      <c r="N1892" s="116">
        <v>180.47499999999999</v>
      </c>
      <c r="O1892" s="116">
        <v>171</v>
      </c>
      <c r="P1892" s="116">
        <v>172.875</v>
      </c>
      <c r="Q1892" s="116">
        <v>356.7</v>
      </c>
      <c r="R1892">
        <v>766500</v>
      </c>
    </row>
    <row r="1893" spans="1:18" x14ac:dyDescent="0.25">
      <c r="A1893" s="166">
        <v>44791</v>
      </c>
      <c r="B1893" s="116">
        <v>186.67500000000001</v>
      </c>
      <c r="C1893" s="116">
        <v>180.5</v>
      </c>
      <c r="D1893" s="116">
        <v>174.3</v>
      </c>
      <c r="E1893" s="116">
        <v>180.95</v>
      </c>
      <c r="F1893" s="116">
        <v>361</v>
      </c>
      <c r="G1893">
        <v>137374</v>
      </c>
      <c r="H1893" s="116"/>
      <c r="I1893" s="116"/>
      <c r="L1893" s="166">
        <v>44791</v>
      </c>
      <c r="M1893" s="116">
        <v>180.47499999999999</v>
      </c>
      <c r="N1893" s="116">
        <v>186.97499999999999</v>
      </c>
      <c r="O1893" s="116">
        <v>175</v>
      </c>
      <c r="P1893" s="116">
        <v>180.05</v>
      </c>
      <c r="Q1893" s="116">
        <v>360.95</v>
      </c>
      <c r="R1893">
        <v>706527</v>
      </c>
    </row>
    <row r="1894" spans="1:18" x14ac:dyDescent="0.25">
      <c r="A1894" s="166">
        <v>44792</v>
      </c>
      <c r="B1894" s="116">
        <v>182.1</v>
      </c>
      <c r="C1894" s="116">
        <v>173.375</v>
      </c>
      <c r="D1894" s="116">
        <v>172.15</v>
      </c>
      <c r="E1894" s="116">
        <v>179.2</v>
      </c>
      <c r="F1894" s="116">
        <v>346.75</v>
      </c>
      <c r="G1894">
        <v>77325</v>
      </c>
      <c r="H1894" s="116"/>
      <c r="I1894" s="116"/>
      <c r="L1894" s="166">
        <v>44792</v>
      </c>
      <c r="M1894" s="116">
        <v>173.2</v>
      </c>
      <c r="N1894" s="116">
        <v>182.32499999999999</v>
      </c>
      <c r="O1894" s="116">
        <v>172.5</v>
      </c>
      <c r="P1894" s="116">
        <v>181.55</v>
      </c>
      <c r="Q1894" s="116">
        <v>346.4</v>
      </c>
      <c r="R1894">
        <v>316946</v>
      </c>
    </row>
    <row r="1895" spans="1:18" x14ac:dyDescent="0.25">
      <c r="A1895" s="166">
        <v>44795</v>
      </c>
      <c r="B1895" s="116">
        <v>173.02500000000001</v>
      </c>
      <c r="C1895" s="116">
        <v>171.07499999999999</v>
      </c>
      <c r="D1895" s="116">
        <v>166.5</v>
      </c>
      <c r="E1895" s="116">
        <v>169.55</v>
      </c>
      <c r="F1895" s="116">
        <v>342.15</v>
      </c>
      <c r="G1895">
        <v>66013</v>
      </c>
      <c r="H1895" s="116"/>
      <c r="I1895" s="116"/>
      <c r="L1895" s="166">
        <v>44795</v>
      </c>
      <c r="M1895" s="116">
        <v>171.42500000000001</v>
      </c>
      <c r="N1895" s="116">
        <v>173.35</v>
      </c>
      <c r="O1895" s="116">
        <v>166.45</v>
      </c>
      <c r="P1895" s="116">
        <v>171.75</v>
      </c>
      <c r="Q1895" s="116">
        <v>342.85</v>
      </c>
      <c r="R1895">
        <v>277217</v>
      </c>
    </row>
    <row r="1896" spans="1:18" x14ac:dyDescent="0.25">
      <c r="A1896" s="166">
        <v>44796</v>
      </c>
      <c r="B1896" s="116">
        <v>175.65</v>
      </c>
      <c r="C1896" s="116">
        <v>172.67500000000001</v>
      </c>
      <c r="D1896" s="116">
        <v>169.8</v>
      </c>
      <c r="E1896" s="116">
        <v>174.45</v>
      </c>
      <c r="F1896" s="116">
        <v>345.35</v>
      </c>
      <c r="G1896">
        <v>28773</v>
      </c>
      <c r="H1896" s="116"/>
      <c r="I1896" s="116"/>
      <c r="L1896" s="166">
        <v>44796</v>
      </c>
      <c r="M1896" s="116">
        <v>172.65</v>
      </c>
      <c r="N1896" s="116">
        <v>175.65</v>
      </c>
      <c r="O1896" s="116">
        <v>169.52500000000001</v>
      </c>
      <c r="P1896" s="116">
        <v>171.42500000000001</v>
      </c>
      <c r="Q1896" s="116">
        <v>345.3</v>
      </c>
      <c r="R1896">
        <v>190424</v>
      </c>
    </row>
    <row r="1897" spans="1:18" x14ac:dyDescent="0.25">
      <c r="A1897" s="166">
        <v>44797</v>
      </c>
      <c r="B1897" s="116">
        <v>179.375</v>
      </c>
      <c r="C1897" s="116">
        <v>175.67500000000001</v>
      </c>
      <c r="D1897" s="116">
        <v>173</v>
      </c>
      <c r="E1897" s="116">
        <v>173.57499999999999</v>
      </c>
      <c r="F1897" s="116">
        <v>351.35</v>
      </c>
      <c r="G1897">
        <v>38231</v>
      </c>
      <c r="H1897" s="116"/>
      <c r="I1897" s="116"/>
      <c r="L1897" s="166">
        <v>44797</v>
      </c>
      <c r="M1897" s="116">
        <v>175.92500000000001</v>
      </c>
      <c r="N1897" s="116">
        <v>179.35</v>
      </c>
      <c r="O1897" s="116">
        <v>172.77500000000001</v>
      </c>
      <c r="P1897" s="116">
        <v>173.2</v>
      </c>
      <c r="Q1897" s="116">
        <v>351.85</v>
      </c>
      <c r="R1897">
        <v>205623</v>
      </c>
    </row>
    <row r="1898" spans="1:18" x14ac:dyDescent="0.25">
      <c r="A1898" s="166">
        <v>44798</v>
      </c>
      <c r="B1898" s="116">
        <v>180.95</v>
      </c>
      <c r="C1898" s="116">
        <v>175.67500000000001</v>
      </c>
      <c r="D1898" s="116">
        <v>172.25</v>
      </c>
      <c r="E1898" s="116">
        <v>172.25</v>
      </c>
      <c r="F1898" s="116">
        <v>351.35</v>
      </c>
      <c r="G1898">
        <v>20638</v>
      </c>
      <c r="H1898" s="116"/>
      <c r="I1898" s="116"/>
      <c r="L1898" s="166">
        <v>44798</v>
      </c>
      <c r="M1898" s="116">
        <v>175.85</v>
      </c>
      <c r="N1898" s="116">
        <v>180.92500000000001</v>
      </c>
      <c r="O1898" s="116">
        <v>174.05</v>
      </c>
      <c r="P1898" s="116">
        <v>176.5</v>
      </c>
      <c r="Q1898" s="116">
        <v>351.7</v>
      </c>
      <c r="R1898">
        <v>263516</v>
      </c>
    </row>
    <row r="1899" spans="1:18" x14ac:dyDescent="0.25">
      <c r="A1899" s="166">
        <v>44799</v>
      </c>
      <c r="B1899" s="116">
        <v>188.9</v>
      </c>
      <c r="C1899" s="116">
        <v>187.3</v>
      </c>
      <c r="D1899" s="116">
        <v>177.07499999999999</v>
      </c>
      <c r="E1899" s="116">
        <v>178.5</v>
      </c>
      <c r="F1899" s="116">
        <v>374.6</v>
      </c>
      <c r="G1899">
        <v>111697</v>
      </c>
      <c r="H1899" s="116"/>
      <c r="I1899" s="116"/>
      <c r="L1899" s="166">
        <v>44799</v>
      </c>
      <c r="M1899" s="116">
        <v>187.15</v>
      </c>
      <c r="N1899" s="116">
        <v>188.95</v>
      </c>
      <c r="O1899" s="116">
        <v>177</v>
      </c>
      <c r="P1899" s="116">
        <v>177.5</v>
      </c>
      <c r="Q1899" s="116">
        <v>374.3</v>
      </c>
      <c r="R1899">
        <v>1484037</v>
      </c>
    </row>
    <row r="1900" spans="1:18" x14ac:dyDescent="0.25">
      <c r="A1900" s="166">
        <v>44802</v>
      </c>
      <c r="B1900" s="116">
        <v>188.375</v>
      </c>
      <c r="C1900" s="116">
        <v>183.35</v>
      </c>
      <c r="D1900" s="116">
        <v>175</v>
      </c>
      <c r="E1900" s="116">
        <v>180</v>
      </c>
      <c r="F1900" s="116">
        <v>366.7</v>
      </c>
      <c r="G1900">
        <v>97036</v>
      </c>
      <c r="H1900" s="116"/>
      <c r="I1900" s="116"/>
      <c r="L1900" s="166">
        <v>44802</v>
      </c>
      <c r="M1900" s="116">
        <v>183.25</v>
      </c>
      <c r="N1900" s="116">
        <v>188.375</v>
      </c>
      <c r="O1900" s="116">
        <v>177</v>
      </c>
      <c r="P1900" s="116">
        <v>180.15</v>
      </c>
      <c r="Q1900" s="116">
        <v>366.5</v>
      </c>
      <c r="R1900">
        <v>541584</v>
      </c>
    </row>
    <row r="1901" spans="1:18" x14ac:dyDescent="0.25">
      <c r="A1901" s="166">
        <v>44803</v>
      </c>
      <c r="B1901" s="116">
        <v>197.25</v>
      </c>
      <c r="C1901" s="116">
        <v>187.625</v>
      </c>
      <c r="D1901" s="116">
        <v>183.35</v>
      </c>
      <c r="E1901" s="116">
        <v>183.35</v>
      </c>
      <c r="F1901" s="116">
        <v>375.25</v>
      </c>
      <c r="G1901">
        <v>127436</v>
      </c>
      <c r="H1901" s="116"/>
      <c r="I1901" s="116"/>
      <c r="L1901" s="166">
        <v>44803</v>
      </c>
      <c r="M1901" s="116">
        <v>187.67500000000001</v>
      </c>
      <c r="N1901" s="116">
        <v>197.45</v>
      </c>
      <c r="O1901" s="116">
        <v>184.875</v>
      </c>
      <c r="P1901" s="116">
        <v>184.875</v>
      </c>
      <c r="Q1901" s="116">
        <v>375.35</v>
      </c>
      <c r="R1901">
        <v>1143363</v>
      </c>
    </row>
    <row r="1902" spans="1:18" x14ac:dyDescent="0.25">
      <c r="A1902" s="166">
        <v>44805</v>
      </c>
      <c r="B1902" s="116">
        <v>190.57499999999999</v>
      </c>
      <c r="C1902" s="116">
        <v>185.75</v>
      </c>
      <c r="D1902" s="116">
        <v>183.6</v>
      </c>
      <c r="E1902" s="116">
        <v>187.85</v>
      </c>
      <c r="F1902" s="116">
        <v>371.5</v>
      </c>
      <c r="G1902">
        <v>40814</v>
      </c>
      <c r="H1902" s="116"/>
      <c r="I1902" s="116"/>
      <c r="L1902" s="166">
        <v>44805</v>
      </c>
      <c r="M1902" s="116">
        <v>185.97499999999999</v>
      </c>
      <c r="N1902" s="116">
        <v>191</v>
      </c>
      <c r="O1902" s="116">
        <v>183.52500000000001</v>
      </c>
      <c r="P1902" s="116">
        <v>187.45</v>
      </c>
      <c r="Q1902" s="116">
        <v>371.95</v>
      </c>
      <c r="R1902">
        <v>333067</v>
      </c>
    </row>
    <row r="1903" spans="1:18" x14ac:dyDescent="0.25">
      <c r="A1903" s="166">
        <v>44806</v>
      </c>
      <c r="B1903" s="116">
        <v>187.5</v>
      </c>
      <c r="C1903" s="116">
        <v>181.92500000000001</v>
      </c>
      <c r="D1903" s="116">
        <v>180.4</v>
      </c>
      <c r="E1903" s="116">
        <v>187.4</v>
      </c>
      <c r="F1903" s="116">
        <v>363.85</v>
      </c>
      <c r="G1903">
        <v>41734</v>
      </c>
      <c r="H1903" s="116"/>
      <c r="I1903" s="116"/>
      <c r="L1903" s="166">
        <v>44806</v>
      </c>
      <c r="M1903" s="116">
        <v>181.625</v>
      </c>
      <c r="N1903" s="116">
        <v>187.5</v>
      </c>
      <c r="O1903" s="116">
        <v>180</v>
      </c>
      <c r="P1903" s="116">
        <v>187.17500000000001</v>
      </c>
      <c r="Q1903" s="116">
        <v>363.25</v>
      </c>
      <c r="R1903">
        <v>303349</v>
      </c>
    </row>
    <row r="1904" spans="1:18" x14ac:dyDescent="0.25">
      <c r="A1904" s="166">
        <v>44809</v>
      </c>
      <c r="B1904" s="116">
        <v>184.32499999999999</v>
      </c>
      <c r="C1904" s="116">
        <v>180.4</v>
      </c>
      <c r="D1904" s="116">
        <v>177.02500000000001</v>
      </c>
      <c r="E1904" s="116">
        <v>180</v>
      </c>
      <c r="F1904" s="116">
        <v>360.8</v>
      </c>
      <c r="G1904">
        <v>49129</v>
      </c>
      <c r="H1904" s="116"/>
      <c r="I1904" s="116"/>
      <c r="L1904" s="166">
        <v>44809</v>
      </c>
      <c r="M1904" s="116">
        <v>180.47499999999999</v>
      </c>
      <c r="N1904" s="116">
        <v>184.25</v>
      </c>
      <c r="O1904" s="116">
        <v>178.05</v>
      </c>
      <c r="P1904" s="116">
        <v>182.5</v>
      </c>
      <c r="Q1904" s="116">
        <v>360.95</v>
      </c>
      <c r="R1904">
        <v>236186</v>
      </c>
    </row>
    <row r="1905" spans="1:18" x14ac:dyDescent="0.25">
      <c r="A1905" s="166">
        <v>44810</v>
      </c>
      <c r="B1905" s="116">
        <v>188.5</v>
      </c>
      <c r="C1905" s="116">
        <v>184.47499999999999</v>
      </c>
      <c r="D1905" s="116">
        <v>180.17500000000001</v>
      </c>
      <c r="E1905" s="116">
        <v>180.4</v>
      </c>
      <c r="F1905" s="116">
        <v>368.95</v>
      </c>
      <c r="G1905">
        <v>39352</v>
      </c>
      <c r="H1905" s="116"/>
      <c r="I1905" s="116"/>
      <c r="L1905" s="166">
        <v>44810</v>
      </c>
      <c r="M1905" s="116">
        <v>184.5</v>
      </c>
      <c r="N1905" s="116">
        <v>188.72499999999999</v>
      </c>
      <c r="O1905" s="116">
        <v>180.1</v>
      </c>
      <c r="P1905" s="116">
        <v>182.25</v>
      </c>
      <c r="Q1905" s="116">
        <v>369</v>
      </c>
      <c r="R1905">
        <v>410109</v>
      </c>
    </row>
    <row r="1906" spans="1:18" x14ac:dyDescent="0.25">
      <c r="A1906" s="166">
        <v>44811</v>
      </c>
      <c r="B1906" s="116">
        <v>191.82499999999999</v>
      </c>
      <c r="C1906" s="116">
        <v>187.52500000000001</v>
      </c>
      <c r="D1906" s="116">
        <v>182.95</v>
      </c>
      <c r="E1906" s="116">
        <v>184.42500000000001</v>
      </c>
      <c r="F1906" s="116">
        <v>375.05</v>
      </c>
      <c r="G1906">
        <v>47505</v>
      </c>
      <c r="H1906" s="116"/>
      <c r="I1906" s="116"/>
      <c r="L1906" s="166">
        <v>44811</v>
      </c>
      <c r="M1906" s="116">
        <v>187.17500000000001</v>
      </c>
      <c r="N1906" s="116">
        <v>191.85</v>
      </c>
      <c r="O1906" s="116">
        <v>182.52500000000001</v>
      </c>
      <c r="P1906" s="116">
        <v>183.95</v>
      </c>
      <c r="Q1906" s="116">
        <v>374.35</v>
      </c>
      <c r="R1906">
        <v>383515</v>
      </c>
    </row>
    <row r="1907" spans="1:18" x14ac:dyDescent="0.25">
      <c r="A1907" s="166">
        <v>44812</v>
      </c>
      <c r="B1907" s="116">
        <v>190.7</v>
      </c>
      <c r="C1907" s="116">
        <v>187.72499999999999</v>
      </c>
      <c r="D1907" s="116">
        <v>186.125</v>
      </c>
      <c r="E1907" s="116">
        <v>190</v>
      </c>
      <c r="F1907" s="116">
        <v>375.45</v>
      </c>
      <c r="G1907">
        <v>44326</v>
      </c>
      <c r="H1907" s="116"/>
      <c r="I1907" s="116"/>
      <c r="L1907" s="166">
        <v>44812</v>
      </c>
      <c r="M1907" s="116">
        <v>188.07499999999999</v>
      </c>
      <c r="N1907" s="116">
        <v>190.875</v>
      </c>
      <c r="O1907" s="116">
        <v>186.22499999999999</v>
      </c>
      <c r="P1907" s="116">
        <v>190</v>
      </c>
      <c r="Q1907" s="116">
        <v>376.15</v>
      </c>
      <c r="R1907">
        <v>187829</v>
      </c>
    </row>
    <row r="1908" spans="1:18" x14ac:dyDescent="0.25">
      <c r="A1908" s="166">
        <v>44813</v>
      </c>
      <c r="B1908" s="116">
        <v>195.95</v>
      </c>
      <c r="C1908" s="116">
        <v>188.125</v>
      </c>
      <c r="D1908" s="116">
        <v>186.75</v>
      </c>
      <c r="E1908" s="116">
        <v>187.72499999999999</v>
      </c>
      <c r="F1908" s="116">
        <v>376.25</v>
      </c>
      <c r="G1908">
        <v>74739</v>
      </c>
      <c r="H1908" s="116"/>
      <c r="I1908" s="116"/>
      <c r="L1908" s="166">
        <v>44813</v>
      </c>
      <c r="M1908" s="116">
        <v>188.05</v>
      </c>
      <c r="N1908" s="116">
        <v>196.2</v>
      </c>
      <c r="O1908" s="116">
        <v>186.5</v>
      </c>
      <c r="P1908" s="116">
        <v>189.57499999999999</v>
      </c>
      <c r="Q1908" s="116">
        <v>376.1</v>
      </c>
      <c r="R1908">
        <v>684520</v>
      </c>
    </row>
    <row r="1909" spans="1:18" x14ac:dyDescent="0.25">
      <c r="A1909" s="166">
        <v>44816</v>
      </c>
      <c r="B1909" s="116">
        <v>191.65</v>
      </c>
      <c r="C1909" s="116">
        <v>185.2</v>
      </c>
      <c r="D1909" s="116">
        <v>183.52500000000001</v>
      </c>
      <c r="E1909" s="116">
        <v>191.65</v>
      </c>
      <c r="F1909" s="116">
        <v>370.4</v>
      </c>
      <c r="G1909">
        <v>56464</v>
      </c>
      <c r="H1909" s="116"/>
      <c r="I1909" s="116"/>
      <c r="L1909" s="166">
        <v>44816</v>
      </c>
      <c r="M1909" s="116">
        <v>185.75</v>
      </c>
      <c r="N1909" s="116">
        <v>191.375</v>
      </c>
      <c r="O1909" s="116">
        <v>184.625</v>
      </c>
      <c r="P1909" s="116">
        <v>188.05</v>
      </c>
      <c r="Q1909" s="116">
        <v>371.5</v>
      </c>
      <c r="R1909">
        <v>309223</v>
      </c>
    </row>
    <row r="1910" spans="1:18" x14ac:dyDescent="0.25">
      <c r="A1910" s="166">
        <v>44817</v>
      </c>
      <c r="B1910" s="116">
        <v>193.8</v>
      </c>
      <c r="C1910" s="116">
        <v>190</v>
      </c>
      <c r="D1910" s="116">
        <v>185.67500000000001</v>
      </c>
      <c r="E1910" s="116">
        <v>185.85</v>
      </c>
      <c r="F1910" s="116">
        <v>380</v>
      </c>
      <c r="G1910">
        <v>41181</v>
      </c>
      <c r="H1910" s="116"/>
      <c r="I1910" s="116"/>
      <c r="L1910" s="166">
        <v>44817</v>
      </c>
      <c r="M1910" s="116">
        <v>189.9</v>
      </c>
      <c r="N1910" s="116">
        <v>193.77500000000001</v>
      </c>
      <c r="O1910" s="116">
        <v>185.35</v>
      </c>
      <c r="P1910" s="116">
        <v>186.42500000000001</v>
      </c>
      <c r="Q1910" s="116">
        <v>379.8</v>
      </c>
      <c r="R1910">
        <v>551156</v>
      </c>
    </row>
    <row r="1911" spans="1:18" x14ac:dyDescent="0.25">
      <c r="A1911" s="166">
        <v>44818</v>
      </c>
      <c r="B1911" s="116">
        <v>207.5</v>
      </c>
      <c r="C1911" s="116">
        <v>196.67500000000001</v>
      </c>
      <c r="D1911" s="116">
        <v>185.32499999999999</v>
      </c>
      <c r="E1911" s="116">
        <v>186</v>
      </c>
      <c r="F1911" s="116">
        <v>393.35</v>
      </c>
      <c r="G1911">
        <v>283651</v>
      </c>
      <c r="H1911" s="116"/>
      <c r="I1911" s="116"/>
      <c r="L1911" s="166">
        <v>44818</v>
      </c>
      <c r="M1911" s="116">
        <v>196.875</v>
      </c>
      <c r="N1911" s="116">
        <v>207.8</v>
      </c>
      <c r="O1911" s="116">
        <v>185</v>
      </c>
      <c r="P1911" s="116">
        <v>187.5</v>
      </c>
      <c r="Q1911" s="116">
        <v>393.75</v>
      </c>
      <c r="R1911">
        <v>2126294</v>
      </c>
    </row>
    <row r="1912" spans="1:18" x14ac:dyDescent="0.25">
      <c r="A1912" s="166">
        <v>44819</v>
      </c>
      <c r="B1912" s="116">
        <v>199.75</v>
      </c>
      <c r="C1912" s="116">
        <v>194.8</v>
      </c>
      <c r="D1912" s="116">
        <v>190.57499999999999</v>
      </c>
      <c r="E1912" s="116">
        <v>196.67500000000001</v>
      </c>
      <c r="F1912" s="116">
        <v>389.6</v>
      </c>
      <c r="G1912">
        <v>55651</v>
      </c>
      <c r="H1912" s="116"/>
      <c r="I1912" s="116"/>
      <c r="L1912" s="166">
        <v>44819</v>
      </c>
      <c r="M1912" s="116">
        <v>194.72499999999999</v>
      </c>
      <c r="N1912" s="116">
        <v>199.8</v>
      </c>
      <c r="O1912" s="116">
        <v>190.55</v>
      </c>
      <c r="P1912" s="116">
        <v>198.45</v>
      </c>
      <c r="Q1912" s="116">
        <v>389.45</v>
      </c>
      <c r="R1912">
        <v>615100</v>
      </c>
    </row>
    <row r="1913" spans="1:18" x14ac:dyDescent="0.25">
      <c r="A1913" s="166">
        <v>44820</v>
      </c>
      <c r="B1913" s="116">
        <v>196.35</v>
      </c>
      <c r="C1913" s="116">
        <v>192.97499999999999</v>
      </c>
      <c r="D1913" s="116">
        <v>186.77500000000001</v>
      </c>
      <c r="E1913" s="116">
        <v>195</v>
      </c>
      <c r="F1913" s="116">
        <v>385.95</v>
      </c>
      <c r="G1913">
        <v>137750</v>
      </c>
      <c r="H1913" s="116"/>
      <c r="I1913" s="116"/>
      <c r="L1913" s="166">
        <v>44820</v>
      </c>
      <c r="M1913" s="116">
        <v>192.97499999999999</v>
      </c>
      <c r="N1913" s="116">
        <v>196.27500000000001</v>
      </c>
      <c r="O1913" s="116">
        <v>187.5</v>
      </c>
      <c r="P1913" s="116">
        <v>194.45</v>
      </c>
      <c r="Q1913" s="116">
        <v>385.95</v>
      </c>
      <c r="R1913">
        <v>564337</v>
      </c>
    </row>
    <row r="1914" spans="1:18" x14ac:dyDescent="0.25">
      <c r="A1914" s="166">
        <v>44823</v>
      </c>
      <c r="B1914" s="116">
        <v>199.5</v>
      </c>
      <c r="C1914" s="116">
        <v>193.2</v>
      </c>
      <c r="D1914" s="116">
        <v>190.52500000000001</v>
      </c>
      <c r="E1914" s="116">
        <v>191</v>
      </c>
      <c r="F1914" s="116">
        <v>386.4</v>
      </c>
      <c r="G1914">
        <v>78897</v>
      </c>
      <c r="H1914" s="116"/>
      <c r="I1914" s="116"/>
      <c r="L1914" s="166">
        <v>44823</v>
      </c>
      <c r="M1914" s="116">
        <v>193</v>
      </c>
      <c r="N1914" s="116">
        <v>199.75</v>
      </c>
      <c r="O1914" s="116">
        <v>190.75</v>
      </c>
      <c r="P1914" s="116">
        <v>194.32499999999999</v>
      </c>
      <c r="Q1914" s="116">
        <v>386</v>
      </c>
      <c r="R1914">
        <v>473401</v>
      </c>
    </row>
    <row r="1915" spans="1:18" x14ac:dyDescent="0.25">
      <c r="A1915" s="166">
        <v>44824</v>
      </c>
      <c r="B1915" s="116">
        <v>197</v>
      </c>
      <c r="C1915" s="116">
        <v>192.25</v>
      </c>
      <c r="D1915" s="116">
        <v>191.52500000000001</v>
      </c>
      <c r="E1915" s="116">
        <v>194.5</v>
      </c>
      <c r="F1915" s="116">
        <v>384.5</v>
      </c>
      <c r="G1915">
        <v>39253</v>
      </c>
      <c r="H1915" s="116"/>
      <c r="I1915" s="116"/>
      <c r="L1915" s="166">
        <v>44824</v>
      </c>
      <c r="M1915" s="116">
        <v>192.27500000000001</v>
      </c>
      <c r="N1915" s="116">
        <v>197.47499999999999</v>
      </c>
      <c r="O1915" s="116">
        <v>191.57499999999999</v>
      </c>
      <c r="P1915" s="116">
        <v>195.5</v>
      </c>
      <c r="Q1915" s="116">
        <v>384.55</v>
      </c>
      <c r="R1915">
        <v>214643</v>
      </c>
    </row>
    <row r="1916" spans="1:18" x14ac:dyDescent="0.25">
      <c r="A1916" s="166">
        <v>44825</v>
      </c>
      <c r="B1916" s="116">
        <v>194</v>
      </c>
      <c r="C1916" s="116">
        <v>188.15</v>
      </c>
      <c r="D1916" s="116">
        <v>187.5</v>
      </c>
      <c r="E1916" s="116">
        <v>190.77500000000001</v>
      </c>
      <c r="F1916" s="116">
        <v>376.3</v>
      </c>
      <c r="G1916">
        <v>24063</v>
      </c>
      <c r="H1916" s="116"/>
      <c r="I1916" s="116"/>
      <c r="L1916" s="166">
        <v>44825</v>
      </c>
      <c r="M1916" s="116">
        <v>188.07499999999999</v>
      </c>
      <c r="N1916" s="116">
        <v>194</v>
      </c>
      <c r="O1916" s="116">
        <v>187.5</v>
      </c>
      <c r="P1916" s="116">
        <v>192.27500000000001</v>
      </c>
      <c r="Q1916" s="116">
        <v>376.15</v>
      </c>
      <c r="R1916">
        <v>238189</v>
      </c>
    </row>
    <row r="1917" spans="1:18" x14ac:dyDescent="0.25">
      <c r="A1917" s="166">
        <v>44826</v>
      </c>
      <c r="B1917" s="116">
        <v>188.5</v>
      </c>
      <c r="C1917" s="116">
        <v>183.77500000000001</v>
      </c>
      <c r="D1917" s="116">
        <v>180</v>
      </c>
      <c r="E1917" s="116">
        <v>186.5</v>
      </c>
      <c r="F1917" s="116">
        <v>367.55</v>
      </c>
      <c r="G1917">
        <v>81350</v>
      </c>
      <c r="H1917" s="116"/>
      <c r="I1917" s="116"/>
      <c r="L1917" s="166">
        <v>44826</v>
      </c>
      <c r="M1917" s="116">
        <v>183.82499999999999</v>
      </c>
      <c r="N1917" s="116">
        <v>188.52500000000001</v>
      </c>
      <c r="O1917" s="116">
        <v>180.05</v>
      </c>
      <c r="P1917" s="116">
        <v>188</v>
      </c>
      <c r="Q1917" s="116">
        <v>367.65</v>
      </c>
      <c r="R1917">
        <v>307786</v>
      </c>
    </row>
    <row r="1918" spans="1:18" x14ac:dyDescent="0.25">
      <c r="A1918" s="166">
        <v>44827</v>
      </c>
      <c r="B1918" s="116">
        <v>185.25</v>
      </c>
      <c r="C1918" s="116">
        <v>175.3</v>
      </c>
      <c r="D1918" s="116">
        <v>171.8</v>
      </c>
      <c r="E1918" s="116">
        <v>182.5</v>
      </c>
      <c r="F1918" s="116">
        <v>350.6</v>
      </c>
      <c r="G1918">
        <v>42984</v>
      </c>
      <c r="H1918" s="116"/>
      <c r="I1918" s="116"/>
      <c r="L1918" s="166">
        <v>44827</v>
      </c>
      <c r="M1918" s="116">
        <v>174.92500000000001</v>
      </c>
      <c r="N1918" s="116">
        <v>185.25</v>
      </c>
      <c r="O1918" s="116">
        <v>171.72499999999999</v>
      </c>
      <c r="P1918" s="116">
        <v>181.17500000000001</v>
      </c>
      <c r="Q1918" s="116">
        <v>349.85</v>
      </c>
      <c r="R1918">
        <v>495888</v>
      </c>
    </row>
    <row r="1919" spans="1:18" x14ac:dyDescent="0.25">
      <c r="A1919" s="166">
        <v>44830</v>
      </c>
      <c r="B1919" s="116">
        <v>172.22499999999999</v>
      </c>
      <c r="C1919" s="116">
        <v>164.375</v>
      </c>
      <c r="D1919" s="116">
        <v>159.07499999999999</v>
      </c>
      <c r="E1919" s="116">
        <v>170.625</v>
      </c>
      <c r="F1919" s="116">
        <v>328.75</v>
      </c>
      <c r="G1919">
        <v>160832</v>
      </c>
      <c r="H1919" s="116"/>
      <c r="I1919" s="116"/>
      <c r="L1919" s="166">
        <v>44830</v>
      </c>
      <c r="M1919" s="116">
        <v>164.05</v>
      </c>
      <c r="N1919" s="116">
        <v>173.2</v>
      </c>
      <c r="O1919" s="116">
        <v>159</v>
      </c>
      <c r="P1919" s="116">
        <v>171.25</v>
      </c>
      <c r="Q1919" s="116">
        <v>328.1</v>
      </c>
      <c r="R1919">
        <v>489691</v>
      </c>
    </row>
    <row r="1920" spans="1:18" x14ac:dyDescent="0.25">
      <c r="A1920" s="166">
        <v>44831</v>
      </c>
      <c r="B1920" s="116">
        <v>168.5</v>
      </c>
      <c r="C1920" s="116">
        <v>165.07499999999999</v>
      </c>
      <c r="D1920" s="116">
        <v>163.80000000000001</v>
      </c>
      <c r="E1920" s="116">
        <v>164</v>
      </c>
      <c r="F1920" s="116">
        <v>330.15</v>
      </c>
      <c r="G1920">
        <v>34929</v>
      </c>
      <c r="H1920" s="116"/>
      <c r="I1920" s="116"/>
      <c r="L1920" s="166">
        <v>44831</v>
      </c>
      <c r="M1920" s="116">
        <v>164.82499999999999</v>
      </c>
      <c r="N1920" s="116">
        <v>168.55</v>
      </c>
      <c r="O1920" s="116">
        <v>163.47499999999999</v>
      </c>
      <c r="P1920" s="116">
        <v>163.5</v>
      </c>
      <c r="Q1920" s="116">
        <v>329.65</v>
      </c>
      <c r="R1920">
        <v>205299</v>
      </c>
    </row>
    <row r="1921" spans="1:18" x14ac:dyDescent="0.25">
      <c r="A1921" s="166">
        <v>44832</v>
      </c>
      <c r="B1921" s="116">
        <v>170.5</v>
      </c>
      <c r="C1921" s="116">
        <v>164.4</v>
      </c>
      <c r="D1921" s="116">
        <v>162.42500000000001</v>
      </c>
      <c r="E1921" s="116">
        <v>163.47499999999999</v>
      </c>
      <c r="F1921" s="116">
        <v>328.8</v>
      </c>
      <c r="G1921">
        <v>94792</v>
      </c>
      <c r="H1921" s="116"/>
      <c r="I1921" s="116"/>
      <c r="L1921" s="166">
        <v>44832</v>
      </c>
      <c r="M1921" s="116">
        <v>164.92500000000001</v>
      </c>
      <c r="N1921" s="116">
        <v>170.5</v>
      </c>
      <c r="O1921" s="116">
        <v>162.4</v>
      </c>
      <c r="P1921" s="116">
        <v>164.8</v>
      </c>
      <c r="Q1921" s="116">
        <v>329.85</v>
      </c>
      <c r="R1921">
        <v>283293</v>
      </c>
    </row>
    <row r="1922" spans="1:18" x14ac:dyDescent="0.25">
      <c r="A1922" s="166">
        <v>44833</v>
      </c>
      <c r="B1922" s="116">
        <v>170.45</v>
      </c>
      <c r="C1922" s="116">
        <v>166.65</v>
      </c>
      <c r="D1922" s="116">
        <v>163</v>
      </c>
      <c r="E1922" s="116">
        <v>169.97499999999999</v>
      </c>
      <c r="F1922" s="116">
        <v>333.3</v>
      </c>
      <c r="G1922">
        <v>31768</v>
      </c>
      <c r="H1922" s="116"/>
      <c r="I1922" s="116"/>
      <c r="L1922" s="166">
        <v>44833</v>
      </c>
      <c r="M1922" s="116">
        <v>166.85</v>
      </c>
      <c r="N1922" s="116">
        <v>170.57499999999999</v>
      </c>
      <c r="O1922" s="116">
        <v>163.5</v>
      </c>
      <c r="P1922" s="116">
        <v>166.5</v>
      </c>
      <c r="Q1922" s="116">
        <v>333.7</v>
      </c>
      <c r="R1922">
        <v>230931</v>
      </c>
    </row>
    <row r="1923" spans="1:18" x14ac:dyDescent="0.25">
      <c r="A1923" s="166">
        <v>44834</v>
      </c>
      <c r="B1923" s="116">
        <v>172.375</v>
      </c>
      <c r="C1923" s="116">
        <v>170.77500000000001</v>
      </c>
      <c r="D1923" s="116">
        <v>164.52500000000001</v>
      </c>
      <c r="E1923" s="116">
        <v>164.52500000000001</v>
      </c>
      <c r="F1923" s="116">
        <v>341.55</v>
      </c>
      <c r="G1923">
        <v>32819</v>
      </c>
      <c r="H1923" s="116"/>
      <c r="I1923" s="116"/>
      <c r="L1923" s="166">
        <v>44834</v>
      </c>
      <c r="M1923" s="116">
        <v>170.95</v>
      </c>
      <c r="N1923" s="116">
        <v>172.25</v>
      </c>
      <c r="O1923" s="116">
        <v>164.65</v>
      </c>
      <c r="P1923" s="116">
        <v>167.35</v>
      </c>
      <c r="Q1923" s="116">
        <v>341.9</v>
      </c>
      <c r="R1923">
        <v>188847</v>
      </c>
    </row>
    <row r="1924" spans="1:18" x14ac:dyDescent="0.25">
      <c r="A1924" s="166">
        <v>44837</v>
      </c>
      <c r="B1924" s="116">
        <v>174.25</v>
      </c>
      <c r="C1924" s="116">
        <v>165.82499999999999</v>
      </c>
      <c r="D1924" s="116">
        <v>164.6</v>
      </c>
      <c r="E1924" s="116">
        <v>170.75</v>
      </c>
      <c r="F1924" s="116">
        <v>331.65</v>
      </c>
      <c r="G1924">
        <v>27603</v>
      </c>
      <c r="H1924" s="116"/>
      <c r="I1924" s="116"/>
      <c r="L1924" s="166">
        <v>44837</v>
      </c>
      <c r="M1924" s="116">
        <v>166.52500000000001</v>
      </c>
      <c r="N1924" s="116">
        <v>173</v>
      </c>
      <c r="O1924" s="116">
        <v>164.52500000000001</v>
      </c>
      <c r="P1924" s="116">
        <v>170</v>
      </c>
      <c r="Q1924" s="116">
        <v>333.05</v>
      </c>
      <c r="R1924">
        <v>227561</v>
      </c>
    </row>
    <row r="1925" spans="1:18" x14ac:dyDescent="0.25">
      <c r="A1925" s="166">
        <v>44838</v>
      </c>
      <c r="B1925" s="116">
        <v>173.5</v>
      </c>
      <c r="C1925" s="116">
        <v>169.6</v>
      </c>
      <c r="D1925" s="116">
        <v>167.25</v>
      </c>
      <c r="E1925" s="116">
        <v>167.25</v>
      </c>
      <c r="F1925" s="116">
        <v>339.2</v>
      </c>
      <c r="G1925">
        <v>33770</v>
      </c>
      <c r="H1925" s="116"/>
      <c r="I1925" s="116"/>
      <c r="L1925" s="166">
        <v>44838</v>
      </c>
      <c r="M1925" s="116">
        <v>169.75</v>
      </c>
      <c r="N1925" s="116">
        <v>173.55</v>
      </c>
      <c r="O1925" s="116">
        <v>167.55</v>
      </c>
      <c r="P1925" s="116">
        <v>169.4</v>
      </c>
      <c r="Q1925" s="116">
        <v>339.5</v>
      </c>
      <c r="R1925">
        <v>265357</v>
      </c>
    </row>
    <row r="1926" spans="1:18" x14ac:dyDescent="0.25">
      <c r="A1926" s="166">
        <v>44840</v>
      </c>
      <c r="B1926" s="116">
        <v>171.5</v>
      </c>
      <c r="C1926" s="116">
        <v>167.7</v>
      </c>
      <c r="D1926" s="116">
        <v>167</v>
      </c>
      <c r="E1926" s="116">
        <v>170.52500000000001</v>
      </c>
      <c r="F1926" s="116">
        <v>335.4</v>
      </c>
      <c r="G1926">
        <v>10448</v>
      </c>
      <c r="H1926" s="116"/>
      <c r="I1926" s="116"/>
      <c r="L1926" s="166">
        <v>44840</v>
      </c>
      <c r="M1926" s="116">
        <v>167.72499999999999</v>
      </c>
      <c r="N1926" s="116">
        <v>172</v>
      </c>
      <c r="O1926" s="116">
        <v>166.75</v>
      </c>
      <c r="P1926" s="116">
        <v>172</v>
      </c>
      <c r="Q1926" s="116">
        <v>335.45</v>
      </c>
      <c r="R1926">
        <v>218240</v>
      </c>
    </row>
    <row r="1927" spans="1:18" x14ac:dyDescent="0.25">
      <c r="A1927" s="166">
        <v>44841</v>
      </c>
      <c r="B1927" s="116">
        <v>170.5</v>
      </c>
      <c r="C1927" s="116">
        <v>169.625</v>
      </c>
      <c r="D1927" s="116">
        <v>163.125</v>
      </c>
      <c r="E1927" s="116">
        <v>168.625</v>
      </c>
      <c r="F1927" s="116">
        <v>339.25</v>
      </c>
      <c r="G1927">
        <v>25034</v>
      </c>
      <c r="H1927" s="116"/>
      <c r="I1927" s="116"/>
      <c r="L1927" s="166">
        <v>44841</v>
      </c>
      <c r="M1927" s="116">
        <v>169.65</v>
      </c>
      <c r="N1927" s="116">
        <v>170.85</v>
      </c>
      <c r="O1927" s="116">
        <v>162.75</v>
      </c>
      <c r="P1927" s="116">
        <v>168.72499999999999</v>
      </c>
      <c r="Q1927" s="116">
        <v>339.3</v>
      </c>
      <c r="R1927">
        <v>264050</v>
      </c>
    </row>
    <row r="1928" spans="1:18" x14ac:dyDescent="0.25">
      <c r="A1928" s="166">
        <v>44844</v>
      </c>
      <c r="B1928" s="116">
        <v>170.52500000000001</v>
      </c>
      <c r="C1928" s="116">
        <v>168.25</v>
      </c>
      <c r="D1928" s="116">
        <v>166.65</v>
      </c>
      <c r="E1928" s="116">
        <v>168.97499999999999</v>
      </c>
      <c r="F1928" s="116">
        <v>336.5</v>
      </c>
      <c r="G1928">
        <v>13238</v>
      </c>
      <c r="H1928" s="116"/>
      <c r="I1928" s="116"/>
      <c r="L1928" s="166">
        <v>44844</v>
      </c>
      <c r="M1928" s="116">
        <v>168.45</v>
      </c>
      <c r="N1928" s="116">
        <v>170.55</v>
      </c>
      <c r="O1928" s="116">
        <v>166.125</v>
      </c>
      <c r="P1928" s="116">
        <v>166.125</v>
      </c>
      <c r="Q1928" s="116">
        <v>336.9</v>
      </c>
      <c r="R1928">
        <v>112348</v>
      </c>
    </row>
    <row r="1929" spans="1:18" x14ac:dyDescent="0.25">
      <c r="A1929" s="166">
        <v>44845</v>
      </c>
      <c r="B1929" s="116">
        <v>172.57499999999999</v>
      </c>
      <c r="C1929" s="116">
        <v>165.65</v>
      </c>
      <c r="D1929" s="116">
        <v>163.30000000000001</v>
      </c>
      <c r="E1929" s="116">
        <v>165.57499999999999</v>
      </c>
      <c r="F1929" s="116">
        <v>331.3</v>
      </c>
      <c r="G1929">
        <v>29915</v>
      </c>
      <c r="H1929" s="116"/>
      <c r="I1929" s="116"/>
      <c r="L1929" s="166">
        <v>44845</v>
      </c>
      <c r="M1929" s="116">
        <v>165.7</v>
      </c>
      <c r="N1929" s="116">
        <v>172.5</v>
      </c>
      <c r="O1929" s="116">
        <v>163.55000000000001</v>
      </c>
      <c r="P1929" s="116">
        <v>169.6</v>
      </c>
      <c r="Q1929" s="116">
        <v>331.4</v>
      </c>
      <c r="R1929">
        <v>170368</v>
      </c>
    </row>
    <row r="1930" spans="1:18" x14ac:dyDescent="0.25">
      <c r="A1930" s="166">
        <v>44846</v>
      </c>
      <c r="B1930" s="116">
        <v>168.7</v>
      </c>
      <c r="C1930" s="116">
        <v>166</v>
      </c>
      <c r="D1930" s="116">
        <v>165</v>
      </c>
      <c r="E1930" s="116">
        <v>165.75</v>
      </c>
      <c r="F1930" s="116">
        <v>332</v>
      </c>
      <c r="G1930">
        <v>10029</v>
      </c>
      <c r="H1930" s="116"/>
      <c r="I1930" s="116"/>
      <c r="L1930" s="166">
        <v>44846</v>
      </c>
      <c r="M1930" s="116">
        <v>166.4</v>
      </c>
      <c r="N1930" s="116">
        <v>169.4</v>
      </c>
      <c r="O1930" s="116">
        <v>165.07499999999999</v>
      </c>
      <c r="P1930" s="116">
        <v>167.4</v>
      </c>
      <c r="Q1930" s="116">
        <v>332.8</v>
      </c>
      <c r="R1930">
        <v>102358</v>
      </c>
    </row>
    <row r="1931" spans="1:18" x14ac:dyDescent="0.25">
      <c r="A1931" s="166">
        <v>44847</v>
      </c>
      <c r="B1931" s="116">
        <v>167.82499999999999</v>
      </c>
      <c r="C1931" s="116">
        <v>165.625</v>
      </c>
      <c r="D1931" s="116">
        <v>164.27500000000001</v>
      </c>
      <c r="E1931" s="116">
        <v>166.875</v>
      </c>
      <c r="F1931" s="116">
        <v>331.25</v>
      </c>
      <c r="G1931">
        <v>9309</v>
      </c>
      <c r="H1931" s="116"/>
      <c r="I1931" s="116"/>
      <c r="L1931" s="166">
        <v>44847</v>
      </c>
      <c r="M1931" s="116">
        <v>165.5</v>
      </c>
      <c r="N1931" s="116">
        <v>167.77500000000001</v>
      </c>
      <c r="O1931" s="116">
        <v>164</v>
      </c>
      <c r="P1931" s="116">
        <v>166.95</v>
      </c>
      <c r="Q1931" s="116">
        <v>331</v>
      </c>
      <c r="R1931">
        <v>94215</v>
      </c>
    </row>
    <row r="1932" spans="1:18" x14ac:dyDescent="0.25">
      <c r="A1932" s="166">
        <v>44848</v>
      </c>
      <c r="B1932" s="116">
        <v>169.5</v>
      </c>
      <c r="C1932" s="116">
        <v>165.07499999999999</v>
      </c>
      <c r="D1932" s="116">
        <v>163.92500000000001</v>
      </c>
      <c r="E1932" s="116">
        <v>169.47499999999999</v>
      </c>
      <c r="F1932" s="116">
        <v>330.15</v>
      </c>
      <c r="G1932">
        <v>16968</v>
      </c>
      <c r="H1932" s="116"/>
      <c r="I1932" s="116"/>
      <c r="L1932" s="166">
        <v>44848</v>
      </c>
      <c r="M1932" s="116">
        <v>164.97499999999999</v>
      </c>
      <c r="N1932" s="116">
        <v>169.55</v>
      </c>
      <c r="O1932" s="116">
        <v>163.1</v>
      </c>
      <c r="P1932" s="116">
        <v>168.5</v>
      </c>
      <c r="Q1932" s="116">
        <v>329.95</v>
      </c>
      <c r="R1932">
        <v>102332</v>
      </c>
    </row>
    <row r="1933" spans="1:18" x14ac:dyDescent="0.25">
      <c r="A1933" s="166">
        <v>44851</v>
      </c>
      <c r="B1933" s="116">
        <v>169.07499999999999</v>
      </c>
      <c r="C1933" s="116">
        <v>168.1</v>
      </c>
      <c r="D1933" s="116">
        <v>159.125</v>
      </c>
      <c r="E1933" s="116">
        <v>166.375</v>
      </c>
      <c r="F1933" s="116">
        <v>336.2</v>
      </c>
      <c r="G1933">
        <v>32623</v>
      </c>
      <c r="H1933" s="116"/>
      <c r="I1933" s="116"/>
      <c r="L1933" s="166">
        <v>44851</v>
      </c>
      <c r="M1933" s="116">
        <v>167.65</v>
      </c>
      <c r="N1933" s="116">
        <v>169.2</v>
      </c>
      <c r="O1933" s="116">
        <v>158.69999999999999</v>
      </c>
      <c r="P1933" s="116">
        <v>164.45</v>
      </c>
      <c r="Q1933" s="116">
        <v>335.3</v>
      </c>
      <c r="R1933">
        <v>162447</v>
      </c>
    </row>
    <row r="1934" spans="1:18" x14ac:dyDescent="0.25">
      <c r="A1934" s="166">
        <v>44852</v>
      </c>
      <c r="B1934" s="116">
        <v>180.1</v>
      </c>
      <c r="C1934" s="116">
        <v>179.07499999999999</v>
      </c>
      <c r="D1934" s="116">
        <v>165.875</v>
      </c>
      <c r="E1934" s="116">
        <v>165.875</v>
      </c>
      <c r="F1934" s="116">
        <v>358.15</v>
      </c>
      <c r="G1934">
        <v>97639</v>
      </c>
      <c r="H1934" s="116"/>
      <c r="I1934" s="116"/>
      <c r="L1934" s="166">
        <v>44852</v>
      </c>
      <c r="M1934" s="116">
        <v>178.85</v>
      </c>
      <c r="N1934" s="116">
        <v>180</v>
      </c>
      <c r="O1934" s="116">
        <v>168.5</v>
      </c>
      <c r="P1934" s="116">
        <v>168.75</v>
      </c>
      <c r="Q1934" s="116">
        <v>357.7</v>
      </c>
      <c r="R1934">
        <v>635950</v>
      </c>
    </row>
    <row r="1935" spans="1:18" x14ac:dyDescent="0.25">
      <c r="A1935" s="166">
        <v>44853</v>
      </c>
      <c r="B1935" s="116">
        <v>184.4</v>
      </c>
      <c r="C1935" s="116">
        <v>180.22499999999999</v>
      </c>
      <c r="D1935" s="116">
        <v>178.42500000000001</v>
      </c>
      <c r="E1935" s="116">
        <v>180.05</v>
      </c>
      <c r="F1935" s="116">
        <v>360.45</v>
      </c>
      <c r="G1935">
        <v>51115</v>
      </c>
      <c r="H1935" s="116"/>
      <c r="I1935" s="116"/>
      <c r="L1935" s="166">
        <v>44853</v>
      </c>
      <c r="M1935" s="116">
        <v>179.9</v>
      </c>
      <c r="N1935" s="116">
        <v>184.5</v>
      </c>
      <c r="O1935" s="116">
        <v>178.55</v>
      </c>
      <c r="P1935" s="116">
        <v>181.7</v>
      </c>
      <c r="Q1935" s="116">
        <v>359.8</v>
      </c>
      <c r="R1935">
        <v>275861</v>
      </c>
    </row>
    <row r="1936" spans="1:18" x14ac:dyDescent="0.25">
      <c r="A1936" s="166">
        <v>44854</v>
      </c>
      <c r="B1936" s="116">
        <v>187.5</v>
      </c>
      <c r="C1936" s="116">
        <v>186.32499999999999</v>
      </c>
      <c r="D1936" s="116">
        <v>175.57499999999999</v>
      </c>
      <c r="E1936" s="116">
        <v>178.125</v>
      </c>
      <c r="F1936" s="116">
        <v>372.65</v>
      </c>
      <c r="G1936">
        <v>52597</v>
      </c>
      <c r="H1936" s="116"/>
      <c r="I1936" s="116"/>
      <c r="L1936" s="166">
        <v>44854</v>
      </c>
      <c r="M1936" s="116">
        <v>186.42500000000001</v>
      </c>
      <c r="N1936" s="116">
        <v>188.375</v>
      </c>
      <c r="O1936" s="116">
        <v>175.6</v>
      </c>
      <c r="P1936" s="116">
        <v>179.2</v>
      </c>
      <c r="Q1936" s="116">
        <v>372.85</v>
      </c>
      <c r="R1936">
        <v>277282</v>
      </c>
    </row>
    <row r="1937" spans="1:18" x14ac:dyDescent="0.25">
      <c r="A1937" s="166">
        <v>44855</v>
      </c>
      <c r="B1937" s="116">
        <v>189.17500000000001</v>
      </c>
      <c r="C1937" s="116">
        <v>182.02500000000001</v>
      </c>
      <c r="D1937" s="116">
        <v>180.55</v>
      </c>
      <c r="E1937" s="116">
        <v>187.5</v>
      </c>
      <c r="F1937" s="116">
        <v>364.05</v>
      </c>
      <c r="G1937">
        <v>26631</v>
      </c>
      <c r="H1937" s="116"/>
      <c r="I1937" s="116"/>
      <c r="L1937" s="166">
        <v>44855</v>
      </c>
      <c r="M1937" s="116">
        <v>181.57499999999999</v>
      </c>
      <c r="N1937" s="116">
        <v>189.5</v>
      </c>
      <c r="O1937" s="116">
        <v>180.5</v>
      </c>
      <c r="P1937" s="116">
        <v>187.92500000000001</v>
      </c>
      <c r="Q1937" s="116">
        <v>363.15</v>
      </c>
      <c r="R1937">
        <v>201749</v>
      </c>
    </row>
    <row r="1938" spans="1:18" x14ac:dyDescent="0.25">
      <c r="A1938" s="166">
        <v>44858</v>
      </c>
      <c r="B1938" s="116">
        <v>185.5</v>
      </c>
      <c r="C1938" s="116">
        <v>184</v>
      </c>
      <c r="D1938" s="116">
        <v>182.5</v>
      </c>
      <c r="E1938" s="116">
        <v>182.5</v>
      </c>
      <c r="F1938" s="116">
        <v>368</v>
      </c>
      <c r="G1938">
        <v>15784</v>
      </c>
      <c r="H1938" s="116"/>
      <c r="I1938" s="116"/>
      <c r="L1938" s="166">
        <v>44858</v>
      </c>
      <c r="M1938" s="116">
        <v>184.375</v>
      </c>
      <c r="N1938" s="116">
        <v>185.55</v>
      </c>
      <c r="O1938" s="116">
        <v>182.67500000000001</v>
      </c>
      <c r="P1938" s="116">
        <v>183.875</v>
      </c>
      <c r="Q1938" s="116">
        <v>368.75</v>
      </c>
      <c r="R1938">
        <v>85683</v>
      </c>
    </row>
    <row r="1939" spans="1:18" x14ac:dyDescent="0.25">
      <c r="A1939" s="166">
        <v>44859</v>
      </c>
      <c r="B1939" s="116">
        <v>188.3</v>
      </c>
      <c r="C1939" s="116">
        <v>184.72499999999999</v>
      </c>
      <c r="D1939" s="116">
        <v>183.05</v>
      </c>
      <c r="E1939" s="116">
        <v>187.65</v>
      </c>
      <c r="F1939" s="116">
        <v>369.45</v>
      </c>
      <c r="G1939">
        <v>16016</v>
      </c>
      <c r="H1939" s="116"/>
      <c r="I1939" s="116"/>
      <c r="L1939" s="166">
        <v>44859</v>
      </c>
      <c r="M1939" s="116">
        <v>185.1</v>
      </c>
      <c r="N1939" s="116">
        <v>188.4</v>
      </c>
      <c r="O1939" s="116">
        <v>183</v>
      </c>
      <c r="P1939" s="116">
        <v>185.95</v>
      </c>
      <c r="Q1939" s="116">
        <v>370.2</v>
      </c>
      <c r="R1939">
        <v>179751</v>
      </c>
    </row>
    <row r="1940" spans="1:18" x14ac:dyDescent="0.25">
      <c r="A1940" s="166">
        <v>44861</v>
      </c>
      <c r="B1940" s="116">
        <v>187.25</v>
      </c>
      <c r="C1940" s="116">
        <v>183.95</v>
      </c>
      <c r="D1940" s="116">
        <v>180.65</v>
      </c>
      <c r="E1940" s="116">
        <v>185.75</v>
      </c>
      <c r="F1940" s="116">
        <v>367.9</v>
      </c>
      <c r="G1940">
        <v>14102</v>
      </c>
      <c r="H1940" s="116"/>
      <c r="I1940" s="116"/>
      <c r="L1940" s="166">
        <v>44861</v>
      </c>
      <c r="M1940" s="116">
        <v>183.55</v>
      </c>
      <c r="N1940" s="116">
        <v>187.4</v>
      </c>
      <c r="O1940" s="116">
        <v>180.4</v>
      </c>
      <c r="P1940" s="116">
        <v>187.35</v>
      </c>
      <c r="Q1940" s="116">
        <v>367.1</v>
      </c>
      <c r="R1940">
        <v>125832</v>
      </c>
    </row>
    <row r="1941" spans="1:18" x14ac:dyDescent="0.25">
      <c r="A1941" s="166">
        <v>44862</v>
      </c>
      <c r="B1941" s="116">
        <v>187.35</v>
      </c>
      <c r="C1941" s="116">
        <v>186.32499999999999</v>
      </c>
      <c r="D1941" s="116">
        <v>183.17500000000001</v>
      </c>
      <c r="E1941" s="116">
        <v>183.17500000000001</v>
      </c>
      <c r="F1941" s="116">
        <v>372.65</v>
      </c>
      <c r="G1941">
        <v>22885</v>
      </c>
      <c r="H1941" s="116"/>
      <c r="I1941" s="116"/>
      <c r="L1941" s="166">
        <v>44862</v>
      </c>
      <c r="M1941" s="116">
        <v>186.22499999999999</v>
      </c>
      <c r="N1941" s="116">
        <v>187.47499999999999</v>
      </c>
      <c r="O1941" s="116">
        <v>183.15</v>
      </c>
      <c r="P1941" s="116">
        <v>184.5</v>
      </c>
      <c r="Q1941" s="116">
        <v>372.45</v>
      </c>
      <c r="R1941">
        <v>155815</v>
      </c>
    </row>
    <row r="1942" spans="1:18" x14ac:dyDescent="0.25">
      <c r="A1942" s="166">
        <v>44865</v>
      </c>
      <c r="B1942" s="116">
        <v>195</v>
      </c>
      <c r="C1942" s="116">
        <v>188.55</v>
      </c>
      <c r="D1942" s="116">
        <v>186.05</v>
      </c>
      <c r="E1942" s="116">
        <v>186.05</v>
      </c>
      <c r="F1942" s="116">
        <v>377.1</v>
      </c>
      <c r="G1942">
        <v>67570</v>
      </c>
      <c r="H1942" s="116"/>
      <c r="I1942" s="116"/>
      <c r="L1942" s="166">
        <v>44865</v>
      </c>
      <c r="M1942" s="116">
        <v>188.55</v>
      </c>
      <c r="N1942" s="116">
        <v>195</v>
      </c>
      <c r="O1942" s="116">
        <v>186.5</v>
      </c>
      <c r="P1942" s="116">
        <v>186.5</v>
      </c>
      <c r="Q1942" s="116">
        <v>377.1</v>
      </c>
      <c r="R1942">
        <v>354245</v>
      </c>
    </row>
    <row r="1943" spans="1:18" x14ac:dyDescent="0.25">
      <c r="A1943" s="166">
        <v>44866</v>
      </c>
      <c r="B1943" s="116">
        <v>192.5</v>
      </c>
      <c r="C1943" s="116">
        <v>183.67500000000001</v>
      </c>
      <c r="D1943" s="116">
        <v>173.15</v>
      </c>
      <c r="E1943" s="116">
        <v>188.9</v>
      </c>
      <c r="F1943" s="116">
        <v>367.35</v>
      </c>
      <c r="G1943">
        <v>62973</v>
      </c>
      <c r="H1943" s="116"/>
      <c r="I1943" s="116"/>
      <c r="L1943" s="166">
        <v>44866</v>
      </c>
      <c r="M1943" s="116">
        <v>184.07499999999999</v>
      </c>
      <c r="N1943" s="116">
        <v>192.5</v>
      </c>
      <c r="O1943" s="116">
        <v>172.97499999999999</v>
      </c>
      <c r="P1943" s="116">
        <v>189.45</v>
      </c>
      <c r="Q1943" s="116">
        <v>368.15</v>
      </c>
      <c r="R1943">
        <v>409046</v>
      </c>
    </row>
    <row r="1944" spans="1:18" x14ac:dyDescent="0.25">
      <c r="A1944" s="166">
        <v>44867</v>
      </c>
      <c r="B1944" s="116">
        <v>187.45</v>
      </c>
      <c r="C1944" s="116">
        <v>185.4</v>
      </c>
      <c r="D1944" s="116">
        <v>181.92500000000001</v>
      </c>
      <c r="E1944" s="116">
        <v>183.67500000000001</v>
      </c>
      <c r="F1944" s="116">
        <v>370.8</v>
      </c>
      <c r="G1944">
        <v>9640</v>
      </c>
      <c r="H1944" s="116"/>
      <c r="I1944" s="116"/>
      <c r="L1944" s="166">
        <v>44867</v>
      </c>
      <c r="M1944" s="116">
        <v>185.8</v>
      </c>
      <c r="N1944" s="116">
        <v>187.65</v>
      </c>
      <c r="O1944" s="116">
        <v>181.9</v>
      </c>
      <c r="P1944" s="116">
        <v>184.6</v>
      </c>
      <c r="Q1944" s="116">
        <v>371.6</v>
      </c>
      <c r="R1944">
        <v>128451</v>
      </c>
    </row>
    <row r="1945" spans="1:18" x14ac:dyDescent="0.25">
      <c r="A1945" s="166">
        <v>44868</v>
      </c>
      <c r="B1945" s="116">
        <v>202.42500000000001</v>
      </c>
      <c r="C1945" s="116">
        <v>199.7</v>
      </c>
      <c r="D1945" s="116">
        <v>183.27500000000001</v>
      </c>
      <c r="E1945" s="116">
        <v>184.97499999999999</v>
      </c>
      <c r="F1945" s="116">
        <v>399.4</v>
      </c>
      <c r="G1945">
        <v>120900</v>
      </c>
      <c r="H1945" s="116"/>
      <c r="I1945" s="116"/>
      <c r="L1945" s="166">
        <v>44868</v>
      </c>
      <c r="M1945" s="116">
        <v>200</v>
      </c>
      <c r="N1945" s="116">
        <v>202.5</v>
      </c>
      <c r="O1945" s="116">
        <v>183.1</v>
      </c>
      <c r="P1945" s="116">
        <v>184.95</v>
      </c>
      <c r="Q1945" s="116">
        <v>400</v>
      </c>
      <c r="R1945">
        <v>1754275</v>
      </c>
    </row>
    <row r="1946" spans="1:18" x14ac:dyDescent="0.25">
      <c r="A1946" s="166">
        <v>44869</v>
      </c>
      <c r="B1946" s="116">
        <v>207.65</v>
      </c>
      <c r="C1946" s="116">
        <v>198.9</v>
      </c>
      <c r="D1946" s="116">
        <v>196.2</v>
      </c>
      <c r="E1946" s="116">
        <v>202.52500000000001</v>
      </c>
      <c r="F1946" s="116">
        <v>397.8</v>
      </c>
      <c r="G1946">
        <v>59059</v>
      </c>
      <c r="H1946" s="116"/>
      <c r="I1946" s="116"/>
      <c r="L1946" s="166">
        <v>44869</v>
      </c>
      <c r="M1946" s="116">
        <v>199.05</v>
      </c>
      <c r="N1946" s="116">
        <v>207.5</v>
      </c>
      <c r="O1946" s="116">
        <v>196</v>
      </c>
      <c r="P1946" s="116">
        <v>201.9</v>
      </c>
      <c r="Q1946" s="116">
        <v>398.1</v>
      </c>
      <c r="R1946">
        <v>1116134</v>
      </c>
    </row>
    <row r="1947" spans="1:18" x14ac:dyDescent="0.25">
      <c r="A1947" s="166">
        <v>44872</v>
      </c>
      <c r="B1947" s="116">
        <v>209.55</v>
      </c>
      <c r="C1947" s="116">
        <v>208.625</v>
      </c>
      <c r="D1947" s="116">
        <v>198.47499999999999</v>
      </c>
      <c r="E1947" s="116">
        <v>199.25</v>
      </c>
      <c r="F1947" s="116">
        <v>417.25</v>
      </c>
      <c r="G1947">
        <v>81046</v>
      </c>
      <c r="H1947" s="116"/>
      <c r="I1947" s="116"/>
      <c r="L1947" s="166">
        <v>44872</v>
      </c>
      <c r="M1947" s="116">
        <v>208.47499999999999</v>
      </c>
      <c r="N1947" s="116">
        <v>209.5</v>
      </c>
      <c r="O1947" s="116">
        <v>198.17500000000001</v>
      </c>
      <c r="P1947" s="116">
        <v>200.85</v>
      </c>
      <c r="Q1947" s="116">
        <v>416.95</v>
      </c>
      <c r="R1947">
        <v>1399027</v>
      </c>
    </row>
    <row r="1948" spans="1:18" x14ac:dyDescent="0.25">
      <c r="A1948" s="166">
        <v>44874</v>
      </c>
      <c r="B1948" s="116">
        <v>219.5</v>
      </c>
      <c r="C1948" s="116">
        <v>217.82499999999999</v>
      </c>
      <c r="D1948" s="116">
        <v>209.95</v>
      </c>
      <c r="E1948" s="116">
        <v>210</v>
      </c>
      <c r="F1948" s="116">
        <v>435.65</v>
      </c>
      <c r="G1948">
        <v>164100</v>
      </c>
      <c r="H1948" s="116"/>
      <c r="I1948" s="116"/>
      <c r="L1948" s="166">
        <v>44874</v>
      </c>
      <c r="M1948" s="116">
        <v>217.625</v>
      </c>
      <c r="N1948" s="116">
        <v>219.77500000000001</v>
      </c>
      <c r="O1948" s="116">
        <v>210</v>
      </c>
      <c r="P1948" s="116">
        <v>210</v>
      </c>
      <c r="Q1948" s="116">
        <v>435.25</v>
      </c>
      <c r="R1948">
        <v>1057468</v>
      </c>
    </row>
    <row r="1949" spans="1:18" x14ac:dyDescent="0.25">
      <c r="A1949" s="166">
        <v>44875</v>
      </c>
      <c r="B1949" s="116">
        <v>224.5</v>
      </c>
      <c r="C1949" s="116">
        <v>222.45</v>
      </c>
      <c r="D1949" s="116">
        <v>212.82499999999999</v>
      </c>
      <c r="E1949" s="116">
        <v>216.95</v>
      </c>
      <c r="F1949" s="116">
        <v>444.9</v>
      </c>
      <c r="G1949">
        <v>122293</v>
      </c>
      <c r="H1949" s="116"/>
      <c r="I1949" s="116"/>
      <c r="L1949" s="166">
        <v>44875</v>
      </c>
      <c r="M1949" s="116">
        <v>222.55</v>
      </c>
      <c r="N1949" s="116">
        <v>224.72499999999999</v>
      </c>
      <c r="O1949" s="116">
        <v>213.07499999999999</v>
      </c>
      <c r="P1949" s="116">
        <v>216.5</v>
      </c>
      <c r="Q1949" s="116">
        <v>445.1</v>
      </c>
      <c r="R1949">
        <v>800796</v>
      </c>
    </row>
    <row r="1950" spans="1:18" x14ac:dyDescent="0.25">
      <c r="A1950" s="166">
        <v>44876</v>
      </c>
      <c r="B1950" s="116">
        <v>229.47499999999999</v>
      </c>
      <c r="C1950" s="116">
        <v>224.15</v>
      </c>
      <c r="D1950" s="116">
        <v>221</v>
      </c>
      <c r="E1950" s="116">
        <v>226.5</v>
      </c>
      <c r="F1950" s="116">
        <v>448.3</v>
      </c>
      <c r="G1950">
        <v>57771</v>
      </c>
      <c r="H1950" s="116"/>
      <c r="I1950" s="116"/>
      <c r="L1950" s="166">
        <v>44876</v>
      </c>
      <c r="M1950" s="116">
        <v>223.9</v>
      </c>
      <c r="N1950" s="116">
        <v>229.4</v>
      </c>
      <c r="O1950" s="116">
        <v>221.3</v>
      </c>
      <c r="P1950" s="116">
        <v>226</v>
      </c>
      <c r="Q1950" s="116">
        <v>447.8</v>
      </c>
      <c r="R1950">
        <v>678002</v>
      </c>
    </row>
    <row r="1951" spans="1:18" x14ac:dyDescent="0.25">
      <c r="A1951" s="166">
        <v>44879</v>
      </c>
      <c r="B1951" s="116">
        <v>227.5</v>
      </c>
      <c r="C1951" s="116">
        <v>226.05</v>
      </c>
      <c r="D1951" s="116">
        <v>212.8</v>
      </c>
      <c r="E1951" s="116">
        <v>222.22499999999999</v>
      </c>
      <c r="F1951" s="116">
        <v>452.1</v>
      </c>
      <c r="G1951">
        <v>72419</v>
      </c>
      <c r="H1951" s="116"/>
      <c r="I1951" s="116"/>
      <c r="L1951" s="166">
        <v>44879</v>
      </c>
      <c r="M1951" s="116">
        <v>226.25</v>
      </c>
      <c r="N1951" s="116">
        <v>227.5</v>
      </c>
      <c r="O1951" s="116">
        <v>213.15</v>
      </c>
      <c r="P1951" s="116">
        <v>223.72499999999999</v>
      </c>
      <c r="Q1951" s="116">
        <v>452.5</v>
      </c>
      <c r="R1951">
        <v>458126</v>
      </c>
    </row>
    <row r="1952" spans="1:18" x14ac:dyDescent="0.25">
      <c r="A1952" s="166">
        <v>44880</v>
      </c>
      <c r="B1952" s="116">
        <v>228.85</v>
      </c>
      <c r="C1952" s="116">
        <v>221.875</v>
      </c>
      <c r="D1952" s="116">
        <v>220.47499999999999</v>
      </c>
      <c r="E1952" s="116">
        <v>222.07499999999999</v>
      </c>
      <c r="F1952" s="116">
        <v>443.75</v>
      </c>
      <c r="G1952">
        <v>26753</v>
      </c>
      <c r="H1952" s="116"/>
      <c r="I1952" s="116"/>
      <c r="L1952" s="166">
        <v>44880</v>
      </c>
      <c r="M1952" s="116">
        <v>221.9</v>
      </c>
      <c r="N1952" s="116">
        <v>229</v>
      </c>
      <c r="O1952" s="116">
        <v>220.4</v>
      </c>
      <c r="P1952" s="116">
        <v>226.3</v>
      </c>
      <c r="Q1952" s="116">
        <v>443.8</v>
      </c>
      <c r="R1952">
        <v>322069</v>
      </c>
    </row>
    <row r="1953" spans="1:18" x14ac:dyDescent="0.25">
      <c r="A1953" s="166">
        <v>44881</v>
      </c>
      <c r="B1953" s="116">
        <v>226.2</v>
      </c>
      <c r="C1953" s="116">
        <v>222.375</v>
      </c>
      <c r="D1953" s="116">
        <v>217.6</v>
      </c>
      <c r="E1953" s="116">
        <v>217.6</v>
      </c>
      <c r="F1953" s="116">
        <v>444.75</v>
      </c>
      <c r="G1953">
        <v>21284</v>
      </c>
      <c r="H1953" s="116"/>
      <c r="I1953" s="116"/>
      <c r="L1953" s="166">
        <v>44881</v>
      </c>
      <c r="M1953" s="116">
        <v>222.45</v>
      </c>
      <c r="N1953" s="116">
        <v>226.22499999999999</v>
      </c>
      <c r="O1953" s="116">
        <v>219.85</v>
      </c>
      <c r="P1953" s="116">
        <v>220.47499999999999</v>
      </c>
      <c r="Q1953" s="116">
        <v>444.9</v>
      </c>
      <c r="R1953">
        <v>230352</v>
      </c>
    </row>
    <row r="1954" spans="1:18" x14ac:dyDescent="0.25">
      <c r="A1954" s="166">
        <v>44882</v>
      </c>
      <c r="B1954" s="116">
        <v>223.6</v>
      </c>
      <c r="C1954" s="116">
        <v>220.4</v>
      </c>
      <c r="D1954" s="116">
        <v>218.15</v>
      </c>
      <c r="E1954" s="116">
        <v>220.52500000000001</v>
      </c>
      <c r="F1954" s="116">
        <v>440.8</v>
      </c>
      <c r="G1954">
        <v>29755</v>
      </c>
      <c r="H1954" s="116"/>
      <c r="I1954" s="116"/>
      <c r="L1954" s="166">
        <v>44882</v>
      </c>
      <c r="M1954" s="116">
        <v>220.125</v>
      </c>
      <c r="N1954" s="116">
        <v>223.5</v>
      </c>
      <c r="O1954" s="116">
        <v>218.05</v>
      </c>
      <c r="P1954" s="116">
        <v>222</v>
      </c>
      <c r="Q1954" s="116">
        <v>440.25</v>
      </c>
      <c r="R1954">
        <v>242534</v>
      </c>
    </row>
    <row r="1955" spans="1:18" x14ac:dyDescent="0.25">
      <c r="A1955" s="166">
        <v>44883</v>
      </c>
      <c r="B1955" s="116">
        <v>221.92500000000001</v>
      </c>
      <c r="C1955" s="116">
        <v>212.97499999999999</v>
      </c>
      <c r="D1955" s="116">
        <v>205.4</v>
      </c>
      <c r="E1955" s="116">
        <v>218.77500000000001</v>
      </c>
      <c r="F1955" s="116">
        <v>425.95</v>
      </c>
      <c r="G1955">
        <v>85847</v>
      </c>
      <c r="H1955" s="116"/>
      <c r="I1955" s="116"/>
      <c r="L1955" s="166">
        <v>44883</v>
      </c>
      <c r="M1955" s="116">
        <v>213.45</v>
      </c>
      <c r="N1955" s="116">
        <v>221.97499999999999</v>
      </c>
      <c r="O1955" s="116">
        <v>202.77500000000001</v>
      </c>
      <c r="P1955" s="116">
        <v>220.95</v>
      </c>
      <c r="Q1955" s="116">
        <v>426.9</v>
      </c>
      <c r="R1955">
        <v>401164</v>
      </c>
    </row>
    <row r="1956" spans="1:18" x14ac:dyDescent="0.25">
      <c r="A1956" s="166">
        <v>44886</v>
      </c>
      <c r="B1956" s="116">
        <v>218.25</v>
      </c>
      <c r="C1956" s="116">
        <v>212.4</v>
      </c>
      <c r="D1956" s="116">
        <v>211.52500000000001</v>
      </c>
      <c r="E1956" s="116">
        <v>213</v>
      </c>
      <c r="F1956" s="116">
        <v>424.8</v>
      </c>
      <c r="G1956">
        <v>21872</v>
      </c>
      <c r="H1956" s="116"/>
      <c r="I1956" s="116"/>
      <c r="L1956" s="166">
        <v>44886</v>
      </c>
      <c r="M1956" s="116">
        <v>212.45</v>
      </c>
      <c r="N1956" s="116">
        <v>218.52500000000001</v>
      </c>
      <c r="O1956" s="116">
        <v>211.57499999999999</v>
      </c>
      <c r="P1956" s="116">
        <v>213.45</v>
      </c>
      <c r="Q1956" s="116">
        <v>424.9</v>
      </c>
      <c r="R1956">
        <v>195027</v>
      </c>
    </row>
    <row r="1957" spans="1:18" x14ac:dyDescent="0.25">
      <c r="A1957" s="166">
        <v>44887</v>
      </c>
      <c r="B1957" s="116">
        <v>217</v>
      </c>
      <c r="C1957" s="116">
        <v>213.8</v>
      </c>
      <c r="D1957" s="116">
        <v>209.75</v>
      </c>
      <c r="E1957" s="116">
        <v>212.47499999999999</v>
      </c>
      <c r="F1957" s="116">
        <v>427.6</v>
      </c>
      <c r="G1957">
        <v>15807</v>
      </c>
      <c r="H1957" s="116"/>
      <c r="I1957" s="116"/>
      <c r="L1957" s="166">
        <v>44887</v>
      </c>
      <c r="M1957" s="116">
        <v>214</v>
      </c>
      <c r="N1957" s="116">
        <v>217.35</v>
      </c>
      <c r="O1957" s="116">
        <v>209.5</v>
      </c>
      <c r="P1957" s="116">
        <v>213.85</v>
      </c>
      <c r="Q1957" s="116">
        <v>428</v>
      </c>
      <c r="R1957">
        <v>157506</v>
      </c>
    </row>
    <row r="1958" spans="1:18" x14ac:dyDescent="0.25">
      <c r="A1958" s="166">
        <v>44888</v>
      </c>
      <c r="B1958" s="116">
        <v>224.95</v>
      </c>
      <c r="C1958" s="116">
        <v>223.45</v>
      </c>
      <c r="D1958" s="116">
        <v>215.47499999999999</v>
      </c>
      <c r="E1958" s="116">
        <v>219.4</v>
      </c>
      <c r="F1958" s="116">
        <v>446.9</v>
      </c>
      <c r="G1958">
        <v>22745</v>
      </c>
      <c r="H1958" s="116"/>
      <c r="I1958" s="116"/>
      <c r="L1958" s="166">
        <v>44888</v>
      </c>
      <c r="M1958" s="116">
        <v>223.42500000000001</v>
      </c>
      <c r="N1958" s="116">
        <v>225</v>
      </c>
      <c r="O1958" s="116">
        <v>215.02500000000001</v>
      </c>
      <c r="P1958" s="116">
        <v>215.05</v>
      </c>
      <c r="Q1958" s="116">
        <v>446.85</v>
      </c>
      <c r="R1958">
        <v>324740</v>
      </c>
    </row>
    <row r="1959" spans="1:18" x14ac:dyDescent="0.25">
      <c r="A1959" s="166">
        <v>44889</v>
      </c>
      <c r="B1959" s="116">
        <v>231.97499999999999</v>
      </c>
      <c r="C1959" s="116">
        <v>226.1</v>
      </c>
      <c r="D1959" s="116">
        <v>224.07499999999999</v>
      </c>
      <c r="E1959" s="116">
        <v>225</v>
      </c>
      <c r="F1959" s="116">
        <v>452.2</v>
      </c>
      <c r="G1959">
        <v>63341</v>
      </c>
      <c r="H1959" s="116"/>
      <c r="I1959" s="116"/>
      <c r="L1959" s="166">
        <v>44889</v>
      </c>
      <c r="M1959" s="116">
        <v>226.15</v>
      </c>
      <c r="N1959" s="116">
        <v>231.8</v>
      </c>
      <c r="O1959" s="116">
        <v>224.05</v>
      </c>
      <c r="P1959" s="116">
        <v>227.27500000000001</v>
      </c>
      <c r="Q1959" s="116">
        <v>452.3</v>
      </c>
      <c r="R1959">
        <v>412970</v>
      </c>
    </row>
    <row r="1960" spans="1:18" x14ac:dyDescent="0.25">
      <c r="A1960" s="166">
        <v>44890</v>
      </c>
      <c r="B1960" s="116">
        <v>232.5</v>
      </c>
      <c r="C1960" s="116">
        <v>227.95</v>
      </c>
      <c r="D1960" s="116">
        <v>226.65</v>
      </c>
      <c r="E1960" s="116">
        <v>229.3</v>
      </c>
      <c r="F1960" s="116">
        <v>455.9</v>
      </c>
      <c r="G1960">
        <v>19880</v>
      </c>
      <c r="H1960" s="116"/>
      <c r="I1960" s="116"/>
      <c r="L1960" s="166">
        <v>44890</v>
      </c>
      <c r="M1960" s="116">
        <v>228.17500000000001</v>
      </c>
      <c r="N1960" s="116">
        <v>232.45</v>
      </c>
      <c r="O1960" s="116">
        <v>226.5</v>
      </c>
      <c r="P1960" s="116">
        <v>226.5</v>
      </c>
      <c r="Q1960" s="116">
        <v>456.35</v>
      </c>
      <c r="R1960">
        <v>230814</v>
      </c>
    </row>
    <row r="1961" spans="1:18" x14ac:dyDescent="0.25">
      <c r="A1961" s="166">
        <v>44893</v>
      </c>
      <c r="B1961" s="116">
        <v>229.35</v>
      </c>
      <c r="C1961" s="116">
        <v>222.52500000000001</v>
      </c>
      <c r="D1961" s="116">
        <v>219.25</v>
      </c>
      <c r="E1961" s="116">
        <v>226.55</v>
      </c>
      <c r="F1961" s="116">
        <v>445.05</v>
      </c>
      <c r="G1961">
        <v>30037</v>
      </c>
      <c r="H1961" s="116"/>
      <c r="I1961" s="116"/>
      <c r="L1961" s="166">
        <v>44893</v>
      </c>
      <c r="M1961" s="116">
        <v>222.77500000000001</v>
      </c>
      <c r="N1961" s="116">
        <v>230.2</v>
      </c>
      <c r="O1961" s="116">
        <v>219.2</v>
      </c>
      <c r="P1961" s="116">
        <v>229.45</v>
      </c>
      <c r="Q1961" s="116">
        <v>445.55</v>
      </c>
      <c r="R1961">
        <v>303787</v>
      </c>
    </row>
    <row r="1962" spans="1:18" x14ac:dyDescent="0.25">
      <c r="A1962" s="166">
        <v>44894</v>
      </c>
      <c r="B1962" s="116">
        <v>222.82499999999999</v>
      </c>
      <c r="C1962" s="116">
        <v>219.55</v>
      </c>
      <c r="D1962" s="116">
        <v>217.92500000000001</v>
      </c>
      <c r="E1962" s="116">
        <v>221.375</v>
      </c>
      <c r="F1962" s="116">
        <v>439.1</v>
      </c>
      <c r="G1962">
        <v>11385</v>
      </c>
      <c r="H1962" s="116"/>
      <c r="I1962" s="116"/>
      <c r="L1962" s="166">
        <v>44894</v>
      </c>
      <c r="M1962" s="116">
        <v>219.4</v>
      </c>
      <c r="N1962" s="116">
        <v>223</v>
      </c>
      <c r="O1962" s="116">
        <v>218</v>
      </c>
      <c r="P1962" s="116">
        <v>222.77500000000001</v>
      </c>
      <c r="Q1962" s="116">
        <v>438.8</v>
      </c>
      <c r="R1962">
        <v>154435</v>
      </c>
    </row>
    <row r="1963" spans="1:18" x14ac:dyDescent="0.25">
      <c r="A1963" s="166">
        <v>44895</v>
      </c>
      <c r="B1963" s="116">
        <v>232.5</v>
      </c>
      <c r="C1963" s="116">
        <v>228.97499999999999</v>
      </c>
      <c r="D1963" s="116">
        <v>216.5</v>
      </c>
      <c r="E1963" s="116">
        <v>219.5</v>
      </c>
      <c r="F1963" s="116">
        <v>457.95</v>
      </c>
      <c r="G1963">
        <v>51586</v>
      </c>
      <c r="H1963" s="116"/>
      <c r="I1963" s="116"/>
      <c r="L1963" s="166">
        <v>44895</v>
      </c>
      <c r="M1963" s="116">
        <v>229.45</v>
      </c>
      <c r="N1963" s="116">
        <v>232.5</v>
      </c>
      <c r="O1963" s="116">
        <v>216.5</v>
      </c>
      <c r="P1963" s="116">
        <v>219.95</v>
      </c>
      <c r="Q1963" s="116">
        <v>458.9</v>
      </c>
      <c r="R1963">
        <v>933793</v>
      </c>
    </row>
    <row r="1964" spans="1:18" x14ac:dyDescent="0.25">
      <c r="A1964" s="166">
        <v>44896</v>
      </c>
      <c r="B1964" s="116">
        <v>237.875</v>
      </c>
      <c r="C1964" s="116">
        <v>232.07499999999999</v>
      </c>
      <c r="D1964" s="116">
        <v>229.5</v>
      </c>
      <c r="E1964" s="116">
        <v>232.47499999999999</v>
      </c>
      <c r="F1964" s="116">
        <v>464.15</v>
      </c>
      <c r="G1964">
        <v>25847</v>
      </c>
      <c r="H1964" s="116"/>
      <c r="I1964" s="116"/>
      <c r="L1964" s="166">
        <v>44896</v>
      </c>
      <c r="M1964" s="116">
        <v>232.57499999999999</v>
      </c>
      <c r="N1964" s="116">
        <v>238</v>
      </c>
      <c r="O1964" s="116">
        <v>230.27500000000001</v>
      </c>
      <c r="P1964" s="116">
        <v>232</v>
      </c>
      <c r="Q1964" s="116">
        <v>465.15</v>
      </c>
      <c r="R1964">
        <v>401288</v>
      </c>
    </row>
    <row r="1965" spans="1:18" x14ac:dyDescent="0.25">
      <c r="A1965" s="166">
        <v>44897</v>
      </c>
      <c r="B1965" s="116">
        <v>232.125</v>
      </c>
      <c r="C1965" s="116">
        <v>225.35</v>
      </c>
      <c r="D1965" s="116">
        <v>223.92500000000001</v>
      </c>
      <c r="E1965" s="116">
        <v>229.5</v>
      </c>
      <c r="F1965" s="116">
        <v>450.7</v>
      </c>
      <c r="G1965">
        <v>19023</v>
      </c>
      <c r="H1965" s="116"/>
      <c r="I1965" s="116"/>
      <c r="L1965" s="166">
        <v>44897</v>
      </c>
      <c r="M1965" s="116">
        <v>225.42500000000001</v>
      </c>
      <c r="N1965" s="116">
        <v>232.42500000000001</v>
      </c>
      <c r="O1965" s="116">
        <v>223.32499999999999</v>
      </c>
      <c r="P1965" s="116">
        <v>232.32499999999999</v>
      </c>
      <c r="Q1965" s="116">
        <v>450.85</v>
      </c>
      <c r="R1965">
        <v>233839</v>
      </c>
    </row>
    <row r="1966" spans="1:18" x14ac:dyDescent="0.25">
      <c r="A1966" s="166">
        <v>44900</v>
      </c>
      <c r="B1966" s="116">
        <v>227.375</v>
      </c>
      <c r="C1966" s="116">
        <v>225.1</v>
      </c>
      <c r="D1966" s="116">
        <v>222.75</v>
      </c>
      <c r="E1966" s="116">
        <v>225.5</v>
      </c>
      <c r="F1966" s="116">
        <v>450.2</v>
      </c>
      <c r="G1966">
        <v>7413</v>
      </c>
      <c r="H1966" s="116"/>
      <c r="I1966" s="116"/>
      <c r="L1966" s="166">
        <v>44900</v>
      </c>
      <c r="M1966" s="116">
        <v>225.2</v>
      </c>
      <c r="N1966" s="116">
        <v>227.45</v>
      </c>
      <c r="O1966" s="116">
        <v>222.55</v>
      </c>
      <c r="P1966" s="116">
        <v>226.3</v>
      </c>
      <c r="Q1966" s="116">
        <v>450.4</v>
      </c>
      <c r="R1966">
        <v>124055</v>
      </c>
    </row>
    <row r="1967" spans="1:18" x14ac:dyDescent="0.25">
      <c r="A1967" s="166">
        <v>44901</v>
      </c>
      <c r="B1967" s="116">
        <v>224.67500000000001</v>
      </c>
      <c r="C1967" s="116">
        <v>220.82499999999999</v>
      </c>
      <c r="D1967" s="116">
        <v>220</v>
      </c>
      <c r="E1967" s="116">
        <v>224.5</v>
      </c>
      <c r="F1967" s="116">
        <v>441.65</v>
      </c>
      <c r="G1967">
        <v>6608</v>
      </c>
      <c r="H1967" s="116"/>
      <c r="I1967" s="116"/>
      <c r="L1967" s="166">
        <v>44901</v>
      </c>
      <c r="M1967" s="116">
        <v>220.67500000000001</v>
      </c>
      <c r="N1967" s="116">
        <v>225</v>
      </c>
      <c r="O1967" s="116">
        <v>220</v>
      </c>
      <c r="P1967" s="116">
        <v>224.55</v>
      </c>
      <c r="Q1967" s="116">
        <v>441.35</v>
      </c>
      <c r="R1967">
        <v>98437</v>
      </c>
    </row>
    <row r="1968" spans="1:18" x14ac:dyDescent="0.25">
      <c r="A1968" s="166">
        <v>44902</v>
      </c>
      <c r="B1968" s="116">
        <v>225</v>
      </c>
      <c r="C1968" s="116">
        <v>215.05</v>
      </c>
      <c r="D1968" s="116">
        <v>213.125</v>
      </c>
      <c r="E1968" s="116">
        <v>218.625</v>
      </c>
      <c r="F1968" s="116">
        <v>430.1</v>
      </c>
      <c r="G1968">
        <v>40705</v>
      </c>
      <c r="H1968" s="116"/>
      <c r="I1968" s="116"/>
      <c r="L1968" s="166">
        <v>44902</v>
      </c>
      <c r="M1968" s="116">
        <v>215.22499999999999</v>
      </c>
      <c r="N1968" s="116">
        <v>225</v>
      </c>
      <c r="O1968" s="116">
        <v>212.5</v>
      </c>
      <c r="P1968" s="116">
        <v>220.6</v>
      </c>
      <c r="Q1968" s="116">
        <v>430.45</v>
      </c>
      <c r="R1968">
        <v>262026</v>
      </c>
    </row>
    <row r="1969" spans="1:18" x14ac:dyDescent="0.25">
      <c r="A1969" s="166">
        <v>44903</v>
      </c>
      <c r="B1969" s="116">
        <v>216.2</v>
      </c>
      <c r="C1969" s="116">
        <v>213.85</v>
      </c>
      <c r="D1969" s="116">
        <v>209.5</v>
      </c>
      <c r="E1969" s="116">
        <v>213.57499999999999</v>
      </c>
      <c r="F1969" s="116">
        <v>427.7</v>
      </c>
      <c r="G1969">
        <v>18934</v>
      </c>
      <c r="H1969" s="116"/>
      <c r="I1969" s="116"/>
      <c r="L1969" s="166">
        <v>44903</v>
      </c>
      <c r="M1969" s="116">
        <v>213.85</v>
      </c>
      <c r="N1969" s="116">
        <v>216.5</v>
      </c>
      <c r="O1969" s="116">
        <v>209.35</v>
      </c>
      <c r="P1969" s="116">
        <v>216</v>
      </c>
      <c r="Q1969" s="116">
        <v>427.7</v>
      </c>
      <c r="R1969">
        <v>311433</v>
      </c>
    </row>
    <row r="1970" spans="1:18" x14ac:dyDescent="0.25">
      <c r="A1970" s="166">
        <v>44904</v>
      </c>
      <c r="B1970" s="116">
        <v>216.42500000000001</v>
      </c>
      <c r="C1970" s="116">
        <v>210.22499999999999</v>
      </c>
      <c r="D1970" s="116">
        <v>207.55</v>
      </c>
      <c r="E1970" s="116">
        <v>216.42500000000001</v>
      </c>
      <c r="F1970" s="116">
        <v>420.45</v>
      </c>
      <c r="G1970">
        <v>31053</v>
      </c>
      <c r="H1970" s="116"/>
      <c r="I1970" s="116"/>
      <c r="L1970" s="166">
        <v>44904</v>
      </c>
      <c r="M1970" s="116">
        <v>210.55</v>
      </c>
      <c r="N1970" s="116">
        <v>215.22499999999999</v>
      </c>
      <c r="O1970" s="116">
        <v>207.65</v>
      </c>
      <c r="P1970" s="116">
        <v>214.85</v>
      </c>
      <c r="Q1970" s="116">
        <v>421.1</v>
      </c>
      <c r="R1970">
        <v>240517</v>
      </c>
    </row>
    <row r="1971" spans="1:18" x14ac:dyDescent="0.25">
      <c r="A1971" s="166">
        <v>44907</v>
      </c>
      <c r="B1971" s="116">
        <v>212.5</v>
      </c>
      <c r="C1971" s="116">
        <v>206.65</v>
      </c>
      <c r="D1971" s="116">
        <v>202.57499999999999</v>
      </c>
      <c r="E1971" s="116">
        <v>209.125</v>
      </c>
      <c r="F1971" s="116">
        <v>413.3</v>
      </c>
      <c r="G1971">
        <v>17592</v>
      </c>
      <c r="H1971" s="116"/>
      <c r="I1971" s="116"/>
      <c r="L1971" s="166">
        <v>44907</v>
      </c>
      <c r="M1971" s="116">
        <v>206.85</v>
      </c>
      <c r="N1971" s="116">
        <v>213.05</v>
      </c>
      <c r="O1971" s="116">
        <v>202.77500000000001</v>
      </c>
      <c r="P1971" s="116">
        <v>210.35</v>
      </c>
      <c r="Q1971" s="116">
        <v>413.7</v>
      </c>
      <c r="R1971">
        <v>278751</v>
      </c>
    </row>
    <row r="1972" spans="1:18" x14ac:dyDescent="0.25">
      <c r="A1972" s="166">
        <v>44908</v>
      </c>
      <c r="B1972" s="116">
        <v>216.97499999999999</v>
      </c>
      <c r="C1972" s="116">
        <v>216.22499999999999</v>
      </c>
      <c r="D1972" s="116">
        <v>207.17500000000001</v>
      </c>
      <c r="E1972" s="116">
        <v>208.47499999999999</v>
      </c>
      <c r="F1972" s="116">
        <v>432.45</v>
      </c>
      <c r="G1972">
        <v>18070</v>
      </c>
      <c r="H1972" s="116"/>
      <c r="I1972" s="116"/>
      <c r="L1972" s="166">
        <v>44908</v>
      </c>
      <c r="M1972" s="116">
        <v>216.25</v>
      </c>
      <c r="N1972" s="116">
        <v>217</v>
      </c>
      <c r="O1972" s="116">
        <v>207.02500000000001</v>
      </c>
      <c r="P1972" s="116">
        <v>207.9</v>
      </c>
      <c r="Q1972" s="116">
        <v>432.5</v>
      </c>
      <c r="R1972">
        <v>206997</v>
      </c>
    </row>
    <row r="1973" spans="1:18" x14ac:dyDescent="0.25">
      <c r="A1973" s="166">
        <v>44909</v>
      </c>
      <c r="B1973" s="116">
        <v>218.97499999999999</v>
      </c>
      <c r="C1973" s="116">
        <v>215.02500000000001</v>
      </c>
      <c r="D1973" s="116">
        <v>212.6</v>
      </c>
      <c r="E1973" s="116">
        <v>212.6</v>
      </c>
      <c r="F1973" s="116">
        <v>430.05</v>
      </c>
      <c r="G1973">
        <v>10773</v>
      </c>
      <c r="H1973" s="116"/>
      <c r="I1973" s="116"/>
      <c r="L1973" s="166">
        <v>44909</v>
      </c>
      <c r="M1973" s="116">
        <v>215.35</v>
      </c>
      <c r="N1973" s="116">
        <v>219</v>
      </c>
      <c r="O1973" s="116">
        <v>212.97499999999999</v>
      </c>
      <c r="P1973" s="116">
        <v>216.15</v>
      </c>
      <c r="Q1973" s="116">
        <v>430.7</v>
      </c>
      <c r="R1973">
        <v>122839</v>
      </c>
    </row>
    <row r="1974" spans="1:18" x14ac:dyDescent="0.25">
      <c r="A1974" s="166">
        <v>44910</v>
      </c>
      <c r="B1974" s="116">
        <v>216.25</v>
      </c>
      <c r="C1974" s="116">
        <v>212.42500000000001</v>
      </c>
      <c r="D1974" s="116">
        <v>210.02500000000001</v>
      </c>
      <c r="E1974" s="116">
        <v>215</v>
      </c>
      <c r="F1974" s="116">
        <v>424.85</v>
      </c>
      <c r="G1974">
        <v>8292</v>
      </c>
      <c r="H1974" s="116"/>
      <c r="I1974" s="116"/>
      <c r="L1974" s="166">
        <v>44910</v>
      </c>
      <c r="M1974" s="116">
        <v>213.125</v>
      </c>
      <c r="N1974" s="116">
        <v>216.8</v>
      </c>
      <c r="O1974" s="116">
        <v>210</v>
      </c>
      <c r="P1974" s="116">
        <v>215.57499999999999</v>
      </c>
      <c r="Q1974" s="116">
        <v>426.25</v>
      </c>
      <c r="R1974">
        <v>134152</v>
      </c>
    </row>
    <row r="1975" spans="1:18" x14ac:dyDescent="0.25">
      <c r="A1975" s="166">
        <v>44911</v>
      </c>
      <c r="B1975" s="116">
        <v>214.77500000000001</v>
      </c>
      <c r="C1975" s="116">
        <v>211.9</v>
      </c>
      <c r="D1975" s="116">
        <v>210.27500000000001</v>
      </c>
      <c r="E1975" s="116">
        <v>212.42500000000001</v>
      </c>
      <c r="F1975" s="116">
        <v>423.8</v>
      </c>
      <c r="G1975">
        <v>7819</v>
      </c>
      <c r="H1975" s="116"/>
      <c r="I1975" s="116"/>
      <c r="L1975" s="166">
        <v>44911</v>
      </c>
      <c r="M1975" s="116">
        <v>211.625</v>
      </c>
      <c r="N1975" s="116">
        <v>215</v>
      </c>
      <c r="O1975" s="116">
        <v>210.52500000000001</v>
      </c>
      <c r="P1975" s="116">
        <v>211.5</v>
      </c>
      <c r="Q1975" s="116">
        <v>423.25</v>
      </c>
      <c r="R1975">
        <v>80888</v>
      </c>
    </row>
    <row r="1976" spans="1:18" x14ac:dyDescent="0.25">
      <c r="A1976" s="166">
        <v>44914</v>
      </c>
      <c r="B1976" s="116">
        <v>212.3</v>
      </c>
      <c r="C1976" s="116">
        <v>208.15</v>
      </c>
      <c r="D1976" s="116">
        <v>206.32499999999999</v>
      </c>
      <c r="E1976" s="116">
        <v>210.72499999999999</v>
      </c>
      <c r="F1976" s="116">
        <v>416.3</v>
      </c>
      <c r="G1976">
        <v>33406</v>
      </c>
      <c r="H1976" s="116"/>
      <c r="I1976" s="116"/>
      <c r="L1976" s="166">
        <v>44914</v>
      </c>
      <c r="M1976" s="116">
        <v>208.1</v>
      </c>
      <c r="N1976" s="116">
        <v>212.6</v>
      </c>
      <c r="O1976" s="116">
        <v>205.52500000000001</v>
      </c>
      <c r="P1976" s="116">
        <v>212</v>
      </c>
      <c r="Q1976" s="116">
        <v>416.2</v>
      </c>
      <c r="R1976">
        <v>100710</v>
      </c>
    </row>
    <row r="1977" spans="1:18" x14ac:dyDescent="0.25">
      <c r="A1977" s="166">
        <v>44915</v>
      </c>
      <c r="B1977" s="116">
        <v>216.45</v>
      </c>
      <c r="C1977" s="116">
        <v>213.77500000000001</v>
      </c>
      <c r="D1977" s="116">
        <v>208.5</v>
      </c>
      <c r="E1977" s="116">
        <v>210</v>
      </c>
      <c r="F1977" s="116">
        <v>427.55</v>
      </c>
      <c r="G1977">
        <v>19057</v>
      </c>
      <c r="H1977" s="116"/>
      <c r="I1977" s="116"/>
      <c r="L1977" s="166">
        <v>44915</v>
      </c>
      <c r="M1977" s="116">
        <v>213.92500000000001</v>
      </c>
      <c r="N1977" s="116">
        <v>216</v>
      </c>
      <c r="O1977" s="116">
        <v>208.45</v>
      </c>
      <c r="P1977" s="116">
        <v>210.3</v>
      </c>
      <c r="Q1977" s="116">
        <v>427.85</v>
      </c>
      <c r="R1977">
        <v>109857</v>
      </c>
    </row>
    <row r="1978" spans="1:18" x14ac:dyDescent="0.25">
      <c r="A1978" s="166">
        <v>44916</v>
      </c>
      <c r="B1978" s="116">
        <v>216.125</v>
      </c>
      <c r="C1978" s="116">
        <v>203.35</v>
      </c>
      <c r="D1978" s="116">
        <v>200.875</v>
      </c>
      <c r="E1978" s="116">
        <v>213.77500000000001</v>
      </c>
      <c r="F1978" s="116">
        <v>406.7</v>
      </c>
      <c r="G1978">
        <v>21598</v>
      </c>
      <c r="H1978" s="116"/>
      <c r="I1978" s="116"/>
      <c r="L1978" s="166">
        <v>44916</v>
      </c>
      <c r="M1978" s="116">
        <v>203.27500000000001</v>
      </c>
      <c r="N1978" s="116">
        <v>217.35</v>
      </c>
      <c r="O1978" s="116">
        <v>200.7</v>
      </c>
      <c r="P1978" s="116">
        <v>215</v>
      </c>
      <c r="Q1978" s="116">
        <v>406.55</v>
      </c>
      <c r="R1978">
        <v>234585</v>
      </c>
    </row>
    <row r="1979" spans="1:18" x14ac:dyDescent="0.25">
      <c r="A1979" s="166">
        <v>44917</v>
      </c>
      <c r="B1979" s="116">
        <v>206.52500000000001</v>
      </c>
      <c r="C1979" s="116">
        <v>194.35</v>
      </c>
      <c r="D1979" s="116">
        <v>190.22499999999999</v>
      </c>
      <c r="E1979" s="116">
        <v>203.17500000000001</v>
      </c>
      <c r="F1979" s="116">
        <v>388.7</v>
      </c>
      <c r="G1979">
        <v>62072</v>
      </c>
      <c r="H1979" s="116"/>
      <c r="I1979" s="116"/>
      <c r="L1979" s="166">
        <v>44917</v>
      </c>
      <c r="M1979" s="116">
        <v>194.27500000000001</v>
      </c>
      <c r="N1979" s="116">
        <v>206.7</v>
      </c>
      <c r="O1979" s="116">
        <v>190.55</v>
      </c>
      <c r="P1979" s="116">
        <v>204.95</v>
      </c>
      <c r="Q1979" s="116">
        <v>388.55</v>
      </c>
      <c r="R1979">
        <v>386875</v>
      </c>
    </row>
    <row r="1980" spans="1:18" x14ac:dyDescent="0.25">
      <c r="A1980" s="166">
        <v>44918</v>
      </c>
      <c r="B1980" s="116">
        <v>194.2</v>
      </c>
      <c r="C1980" s="116">
        <v>173.7</v>
      </c>
      <c r="D1980" s="116">
        <v>170.5</v>
      </c>
      <c r="E1980" s="116">
        <v>192.52500000000001</v>
      </c>
      <c r="F1980" s="116">
        <v>347.4</v>
      </c>
      <c r="G1980">
        <v>140975</v>
      </c>
      <c r="H1980" s="116"/>
      <c r="I1980" s="116"/>
      <c r="L1980" s="166">
        <v>44918</v>
      </c>
      <c r="M1980" s="116">
        <v>174.05</v>
      </c>
      <c r="N1980" s="116">
        <v>194.25</v>
      </c>
      <c r="O1980" s="116">
        <v>170.8</v>
      </c>
      <c r="P1980" s="116">
        <v>194.25</v>
      </c>
      <c r="Q1980" s="116">
        <v>348.1</v>
      </c>
      <c r="R1980">
        <v>558897</v>
      </c>
    </row>
    <row r="1981" spans="1:18" x14ac:dyDescent="0.25">
      <c r="A1981" s="166">
        <v>44921</v>
      </c>
      <c r="B1981" s="116">
        <v>184</v>
      </c>
      <c r="C1981" s="116">
        <v>178.65</v>
      </c>
      <c r="D1981" s="116">
        <v>165.625</v>
      </c>
      <c r="E1981" s="116">
        <v>165.625</v>
      </c>
      <c r="F1981" s="116">
        <v>357.3</v>
      </c>
      <c r="G1981">
        <v>37253</v>
      </c>
      <c r="H1981" s="116"/>
      <c r="I1981" s="116"/>
      <c r="L1981" s="166">
        <v>44921</v>
      </c>
      <c r="M1981" s="116">
        <v>178.5</v>
      </c>
      <c r="N1981" s="116">
        <v>184.2</v>
      </c>
      <c r="O1981" s="116">
        <v>167.5</v>
      </c>
      <c r="P1981" s="116">
        <v>167.5</v>
      </c>
      <c r="Q1981" s="116">
        <v>357</v>
      </c>
      <c r="R1981">
        <v>676762</v>
      </c>
    </row>
    <row r="1982" spans="1:18" x14ac:dyDescent="0.25">
      <c r="A1982" s="166">
        <v>44922</v>
      </c>
      <c r="B1982" s="116">
        <v>188.25</v>
      </c>
      <c r="C1982" s="116">
        <v>186.625</v>
      </c>
      <c r="D1982" s="116">
        <v>179.9</v>
      </c>
      <c r="E1982" s="116">
        <v>183.97499999999999</v>
      </c>
      <c r="F1982" s="116">
        <v>373.25</v>
      </c>
      <c r="G1982">
        <v>32845</v>
      </c>
      <c r="H1982" s="116"/>
      <c r="I1982" s="116"/>
      <c r="L1982" s="166">
        <v>44922</v>
      </c>
      <c r="M1982" s="116">
        <v>186.65</v>
      </c>
      <c r="N1982" s="116">
        <v>188.2</v>
      </c>
      <c r="O1982" s="116">
        <v>180</v>
      </c>
      <c r="P1982" s="116">
        <v>181</v>
      </c>
      <c r="Q1982" s="116">
        <v>373.3</v>
      </c>
      <c r="R1982">
        <v>295533</v>
      </c>
    </row>
    <row r="1983" spans="1:18" x14ac:dyDescent="0.25">
      <c r="A1983" s="166">
        <v>44923</v>
      </c>
      <c r="B1983" s="116">
        <v>188.6</v>
      </c>
      <c r="C1983" s="116">
        <v>185.3</v>
      </c>
      <c r="D1983" s="116">
        <v>183.15</v>
      </c>
      <c r="E1983" s="116">
        <v>188.6</v>
      </c>
      <c r="F1983" s="116">
        <v>370.6</v>
      </c>
      <c r="G1983">
        <v>11368</v>
      </c>
      <c r="H1983" s="116"/>
      <c r="I1983" s="116"/>
      <c r="L1983" s="166">
        <v>44923</v>
      </c>
      <c r="M1983" s="116">
        <v>184.97499999999999</v>
      </c>
      <c r="N1983" s="116">
        <v>188.5</v>
      </c>
      <c r="O1983" s="116">
        <v>183.125</v>
      </c>
      <c r="P1983" s="116">
        <v>187.4</v>
      </c>
      <c r="Q1983" s="116">
        <v>369.95</v>
      </c>
      <c r="R1983">
        <v>176412</v>
      </c>
    </row>
    <row r="1984" spans="1:18" x14ac:dyDescent="0.25">
      <c r="A1984" s="166">
        <v>44924</v>
      </c>
      <c r="B1984" s="116">
        <v>185</v>
      </c>
      <c r="C1984" s="116">
        <v>182</v>
      </c>
      <c r="D1984" s="116">
        <v>176.7</v>
      </c>
      <c r="E1984" s="116">
        <v>185</v>
      </c>
      <c r="F1984" s="116">
        <v>364</v>
      </c>
      <c r="G1984">
        <v>28098</v>
      </c>
      <c r="H1984" s="116"/>
      <c r="I1984" s="116"/>
      <c r="L1984" s="166">
        <v>44924</v>
      </c>
      <c r="M1984" s="116">
        <v>181.92500000000001</v>
      </c>
      <c r="N1984" s="116">
        <v>184</v>
      </c>
      <c r="O1984" s="116">
        <v>175.27500000000001</v>
      </c>
      <c r="P1984" s="116">
        <v>183.15</v>
      </c>
      <c r="Q1984" s="116">
        <v>363.85</v>
      </c>
      <c r="R1984">
        <v>189316</v>
      </c>
    </row>
    <row r="1985" spans="1:18" x14ac:dyDescent="0.25">
      <c r="A1985" s="166">
        <v>44925</v>
      </c>
      <c r="B1985" s="116">
        <v>187.27500000000001</v>
      </c>
      <c r="C1985" s="116">
        <v>182.27500000000001</v>
      </c>
      <c r="D1985" s="116">
        <v>180.07499999999999</v>
      </c>
      <c r="E1985" s="116">
        <v>184.7</v>
      </c>
      <c r="F1985" s="116">
        <v>364.55</v>
      </c>
      <c r="G1985">
        <v>21917</v>
      </c>
      <c r="H1985" s="116"/>
      <c r="I1985" s="116"/>
      <c r="L1985" s="166">
        <v>44925</v>
      </c>
      <c r="M1985" s="116">
        <v>182.3</v>
      </c>
      <c r="N1985" s="116">
        <v>187.5</v>
      </c>
      <c r="O1985" s="116">
        <v>180.05</v>
      </c>
      <c r="P1985" s="116">
        <v>183.25</v>
      </c>
      <c r="Q1985" s="116">
        <v>364.6</v>
      </c>
      <c r="R1985">
        <v>198060</v>
      </c>
    </row>
    <row r="1986" spans="1:18" x14ac:dyDescent="0.25">
      <c r="A1986" s="166">
        <v>44928</v>
      </c>
      <c r="B1986" s="116">
        <v>189.8</v>
      </c>
      <c r="C1986" s="116">
        <v>189.35</v>
      </c>
      <c r="D1986" s="116">
        <v>182.85</v>
      </c>
      <c r="E1986" s="116">
        <v>182.85</v>
      </c>
      <c r="F1986" s="116">
        <v>378.7</v>
      </c>
      <c r="G1986">
        <v>24965</v>
      </c>
      <c r="H1986" s="116"/>
      <c r="I1986" s="116"/>
      <c r="L1986" s="166">
        <v>44928</v>
      </c>
      <c r="M1986" s="116">
        <v>189</v>
      </c>
      <c r="N1986" s="116">
        <v>189.75</v>
      </c>
      <c r="O1986" s="116">
        <v>184.32499999999999</v>
      </c>
      <c r="P1986" s="116">
        <v>184.625</v>
      </c>
      <c r="Q1986" s="116">
        <v>378</v>
      </c>
      <c r="R1986">
        <v>350092</v>
      </c>
    </row>
    <row r="1987" spans="1:18" x14ac:dyDescent="0.25">
      <c r="A1987" s="166">
        <v>44929</v>
      </c>
      <c r="B1987" s="116">
        <v>189.72499999999999</v>
      </c>
      <c r="C1987" s="116">
        <v>186.82499999999999</v>
      </c>
      <c r="D1987" s="116">
        <v>182.15</v>
      </c>
      <c r="E1987" s="116">
        <v>189.72499999999999</v>
      </c>
      <c r="F1987" s="116">
        <v>373.65</v>
      </c>
      <c r="G1987">
        <v>46225</v>
      </c>
      <c r="H1987" s="116"/>
      <c r="I1987" s="116"/>
      <c r="L1987" s="166">
        <v>44929</v>
      </c>
      <c r="M1987" s="116">
        <v>186.57499999999999</v>
      </c>
      <c r="N1987" s="116">
        <v>189.95</v>
      </c>
      <c r="O1987" s="116">
        <v>182.1</v>
      </c>
      <c r="P1987" s="116">
        <v>189.5</v>
      </c>
      <c r="Q1987" s="116">
        <v>373.15</v>
      </c>
      <c r="R1987">
        <v>268790</v>
      </c>
    </row>
    <row r="1988" spans="1:18" x14ac:dyDescent="0.25">
      <c r="A1988" s="166">
        <v>44930</v>
      </c>
      <c r="B1988" s="116">
        <v>186.42500000000001</v>
      </c>
      <c r="C1988" s="116">
        <v>181.47499999999999</v>
      </c>
      <c r="D1988" s="116">
        <v>179.2</v>
      </c>
      <c r="E1988" s="116">
        <v>186.42500000000001</v>
      </c>
      <c r="F1988" s="116">
        <v>362.95</v>
      </c>
      <c r="G1988">
        <v>41546</v>
      </c>
      <c r="H1988" s="116"/>
      <c r="I1988" s="116"/>
      <c r="L1988" s="166">
        <v>44930</v>
      </c>
      <c r="M1988" s="116">
        <v>181.57499999999999</v>
      </c>
      <c r="N1988" s="116">
        <v>186.72499999999999</v>
      </c>
      <c r="O1988" s="116">
        <v>179.375</v>
      </c>
      <c r="P1988" s="116">
        <v>186.5</v>
      </c>
      <c r="Q1988" s="116">
        <v>363.15</v>
      </c>
      <c r="R1988">
        <v>236315</v>
      </c>
    </row>
    <row r="1989" spans="1:18" x14ac:dyDescent="0.25">
      <c r="A1989" s="166">
        <v>44931</v>
      </c>
      <c r="B1989" s="116">
        <v>183.35</v>
      </c>
      <c r="C1989" s="116">
        <v>180.5</v>
      </c>
      <c r="D1989" s="116">
        <v>177.75</v>
      </c>
      <c r="E1989" s="116">
        <v>181.57499999999999</v>
      </c>
      <c r="F1989" s="116">
        <v>361</v>
      </c>
      <c r="G1989">
        <v>11234</v>
      </c>
      <c r="H1989" s="116"/>
      <c r="I1989" s="116"/>
      <c r="L1989" s="166">
        <v>44931</v>
      </c>
      <c r="M1989" s="116">
        <v>180.52500000000001</v>
      </c>
      <c r="N1989" s="116">
        <v>183.32499999999999</v>
      </c>
      <c r="O1989" s="116">
        <v>177.625</v>
      </c>
      <c r="P1989" s="116">
        <v>182.45</v>
      </c>
      <c r="Q1989" s="116">
        <v>361.05</v>
      </c>
      <c r="R1989">
        <v>205704</v>
      </c>
    </row>
    <row r="1990" spans="1:18" x14ac:dyDescent="0.25">
      <c r="A1990" s="166">
        <v>44932</v>
      </c>
      <c r="B1990" s="116">
        <v>181.1</v>
      </c>
      <c r="C1990" s="116">
        <v>179.52500000000001</v>
      </c>
      <c r="D1990" s="116">
        <v>177.25</v>
      </c>
      <c r="E1990" s="116">
        <v>179.05</v>
      </c>
      <c r="F1990" s="116">
        <v>359.05</v>
      </c>
      <c r="G1990">
        <v>11491</v>
      </c>
      <c r="H1990" s="116"/>
      <c r="I1990" s="116"/>
      <c r="L1990" s="166">
        <v>44932</v>
      </c>
      <c r="M1990" s="116">
        <v>179.375</v>
      </c>
      <c r="N1990" s="116">
        <v>181.2</v>
      </c>
      <c r="O1990" s="116">
        <v>177.22499999999999</v>
      </c>
      <c r="P1990" s="116">
        <v>181</v>
      </c>
      <c r="Q1990" s="116">
        <v>358.75</v>
      </c>
      <c r="R1990">
        <v>197820</v>
      </c>
    </row>
    <row r="1991" spans="1:18" x14ac:dyDescent="0.25">
      <c r="A1991" s="166">
        <v>44935</v>
      </c>
      <c r="B1991" s="116">
        <v>187.47499999999999</v>
      </c>
      <c r="C1991" s="116">
        <v>185.97499999999999</v>
      </c>
      <c r="D1991" s="116">
        <v>180.85</v>
      </c>
      <c r="E1991" s="116">
        <v>181.77500000000001</v>
      </c>
      <c r="F1991" s="116">
        <v>371.95</v>
      </c>
      <c r="G1991">
        <v>25207</v>
      </c>
      <c r="H1991" s="116"/>
      <c r="I1991" s="116"/>
      <c r="L1991" s="166">
        <v>44935</v>
      </c>
      <c r="M1991" s="116">
        <v>185.95</v>
      </c>
      <c r="N1991" s="116">
        <v>187.5</v>
      </c>
      <c r="O1991" s="116">
        <v>180.67500000000001</v>
      </c>
      <c r="P1991" s="116">
        <v>180.67500000000001</v>
      </c>
      <c r="Q1991" s="116">
        <v>371.9</v>
      </c>
      <c r="R1991">
        <v>295928</v>
      </c>
    </row>
    <row r="1992" spans="1:18" x14ac:dyDescent="0.25">
      <c r="A1992" s="166">
        <v>44936</v>
      </c>
      <c r="B1992" s="116">
        <v>192.875</v>
      </c>
      <c r="C1992" s="116">
        <v>185.35</v>
      </c>
      <c r="D1992" s="116">
        <v>184.05</v>
      </c>
      <c r="E1992" s="116">
        <v>184.05</v>
      </c>
      <c r="F1992" s="116">
        <v>370.7</v>
      </c>
      <c r="G1992">
        <v>60021</v>
      </c>
      <c r="H1992" s="116"/>
      <c r="I1992" s="116"/>
      <c r="L1992" s="166">
        <v>44936</v>
      </c>
      <c r="M1992" s="116">
        <v>185.35</v>
      </c>
      <c r="N1992" s="116">
        <v>192.97499999999999</v>
      </c>
      <c r="O1992" s="116">
        <v>184.25</v>
      </c>
      <c r="P1992" s="116">
        <v>186.3</v>
      </c>
      <c r="Q1992" s="116">
        <v>370.7</v>
      </c>
      <c r="R1992">
        <v>343380</v>
      </c>
    </row>
    <row r="1993" spans="1:18" x14ac:dyDescent="0.25">
      <c r="A1993" s="166">
        <v>44937</v>
      </c>
      <c r="B1993" s="116">
        <v>189.5</v>
      </c>
      <c r="C1993" s="116">
        <v>187.65</v>
      </c>
      <c r="D1993" s="116">
        <v>185</v>
      </c>
      <c r="E1993" s="116">
        <v>185</v>
      </c>
      <c r="F1993" s="116">
        <v>375.3</v>
      </c>
      <c r="G1993">
        <v>31804</v>
      </c>
      <c r="H1993" s="116"/>
      <c r="I1993" s="116"/>
      <c r="L1993" s="166">
        <v>44937</v>
      </c>
      <c r="M1993" s="116">
        <v>187.8</v>
      </c>
      <c r="N1993" s="116">
        <v>189.57499999999999</v>
      </c>
      <c r="O1993" s="116">
        <v>184.95</v>
      </c>
      <c r="P1993" s="116">
        <v>186</v>
      </c>
      <c r="Q1993" s="116">
        <v>375.6</v>
      </c>
      <c r="R1993">
        <v>137375</v>
      </c>
    </row>
    <row r="1994" spans="1:18" x14ac:dyDescent="0.25">
      <c r="A1994" s="166">
        <v>44938</v>
      </c>
      <c r="B1994" s="116">
        <v>193.85</v>
      </c>
      <c r="C1994" s="116">
        <v>192.2</v>
      </c>
      <c r="D1994" s="116">
        <v>187.67500000000001</v>
      </c>
      <c r="E1994" s="116">
        <v>190.6</v>
      </c>
      <c r="F1994" s="116">
        <v>384.4</v>
      </c>
      <c r="G1994">
        <v>27259</v>
      </c>
      <c r="H1994" s="116"/>
      <c r="I1994" s="116"/>
      <c r="L1994" s="166">
        <v>44938</v>
      </c>
      <c r="M1994" s="116">
        <v>192.4</v>
      </c>
      <c r="N1994" s="116">
        <v>194</v>
      </c>
      <c r="O1994" s="116">
        <v>187.625</v>
      </c>
      <c r="P1994" s="116">
        <v>188.75</v>
      </c>
      <c r="Q1994" s="116">
        <v>384.8</v>
      </c>
      <c r="R1994">
        <v>374823</v>
      </c>
    </row>
    <row r="1995" spans="1:18" x14ac:dyDescent="0.25">
      <c r="A1995" s="166">
        <v>44939</v>
      </c>
      <c r="B1995" s="116">
        <v>196.95</v>
      </c>
      <c r="C1995" s="116">
        <v>196.27500000000001</v>
      </c>
      <c r="D1995" s="116">
        <v>191.35</v>
      </c>
      <c r="E1995" s="116">
        <v>192.5</v>
      </c>
      <c r="F1995" s="116">
        <v>392.55</v>
      </c>
      <c r="G1995">
        <v>21107</v>
      </c>
      <c r="H1995" s="116"/>
      <c r="I1995" s="116"/>
      <c r="L1995" s="166">
        <v>44939</v>
      </c>
      <c r="M1995" s="116">
        <v>196.15</v>
      </c>
      <c r="N1995" s="116">
        <v>197</v>
      </c>
      <c r="O1995" s="116">
        <v>191.15</v>
      </c>
      <c r="P1995" s="116">
        <v>194</v>
      </c>
      <c r="Q1995" s="116">
        <v>392.3</v>
      </c>
      <c r="R1995">
        <v>238995</v>
      </c>
    </row>
    <row r="1996" spans="1:18" x14ac:dyDescent="0.25">
      <c r="A1996" s="166">
        <v>44942</v>
      </c>
      <c r="B1996" s="116">
        <v>199.5</v>
      </c>
      <c r="C1996" s="116">
        <v>196.2</v>
      </c>
      <c r="D1996" s="116">
        <v>193.42500000000001</v>
      </c>
      <c r="E1996" s="116">
        <v>197.97499999999999</v>
      </c>
      <c r="F1996" s="116">
        <v>392.4</v>
      </c>
      <c r="G1996">
        <v>31269</v>
      </c>
      <c r="H1996" s="116"/>
      <c r="I1996" s="116"/>
      <c r="L1996" s="166">
        <v>44942</v>
      </c>
      <c r="M1996" s="116">
        <v>196.32499999999999</v>
      </c>
      <c r="N1996" s="116">
        <v>199.5</v>
      </c>
      <c r="O1996" s="116">
        <v>193.5</v>
      </c>
      <c r="P1996" s="116">
        <v>196.15</v>
      </c>
      <c r="Q1996" s="116">
        <v>392.65</v>
      </c>
      <c r="R1996">
        <v>202084</v>
      </c>
    </row>
    <row r="1997" spans="1:18" x14ac:dyDescent="0.25">
      <c r="A1997" s="166">
        <v>44943</v>
      </c>
      <c r="B1997" s="116">
        <v>196.875</v>
      </c>
      <c r="C1997" s="116">
        <v>194.35</v>
      </c>
      <c r="D1997" s="116">
        <v>190.97499999999999</v>
      </c>
      <c r="E1997" s="116">
        <v>196.875</v>
      </c>
      <c r="F1997" s="116">
        <v>388.7</v>
      </c>
      <c r="G1997">
        <v>14843</v>
      </c>
      <c r="H1997" s="116"/>
      <c r="I1997" s="116"/>
      <c r="L1997" s="166">
        <v>44943</v>
      </c>
      <c r="M1997" s="116">
        <v>194.02500000000001</v>
      </c>
      <c r="N1997" s="116">
        <v>197.3</v>
      </c>
      <c r="O1997" s="116">
        <v>190.75</v>
      </c>
      <c r="P1997" s="116">
        <v>196.4</v>
      </c>
      <c r="Q1997" s="116">
        <v>388.05</v>
      </c>
      <c r="R1997">
        <v>113751</v>
      </c>
    </row>
    <row r="1998" spans="1:18" x14ac:dyDescent="0.25">
      <c r="A1998" s="166">
        <v>44944</v>
      </c>
      <c r="B1998" s="116">
        <v>196.47499999999999</v>
      </c>
      <c r="C1998" s="116">
        <v>192.75</v>
      </c>
      <c r="D1998" s="116">
        <v>191.8</v>
      </c>
      <c r="E1998" s="116">
        <v>196.47499999999999</v>
      </c>
      <c r="F1998" s="116">
        <v>385.5</v>
      </c>
      <c r="G1998">
        <v>7953</v>
      </c>
      <c r="H1998" s="116"/>
      <c r="I1998" s="116"/>
      <c r="L1998" s="166">
        <v>44944</v>
      </c>
      <c r="M1998" s="116">
        <v>192.97499999999999</v>
      </c>
      <c r="N1998" s="116">
        <v>196.42500000000001</v>
      </c>
      <c r="O1998" s="116">
        <v>191.72499999999999</v>
      </c>
      <c r="P1998" s="116">
        <v>194.02500000000001</v>
      </c>
      <c r="Q1998" s="116">
        <v>385.95</v>
      </c>
      <c r="R1998">
        <v>71797</v>
      </c>
    </row>
    <row r="1999" spans="1:18" x14ac:dyDescent="0.25">
      <c r="A1999" s="166">
        <v>44945</v>
      </c>
      <c r="B1999" s="116">
        <v>193.55</v>
      </c>
      <c r="C1999" s="116">
        <v>192.67500000000001</v>
      </c>
      <c r="D1999" s="116">
        <v>190.25</v>
      </c>
      <c r="E1999" s="116">
        <v>190.25</v>
      </c>
      <c r="F1999" s="116">
        <v>385.35</v>
      </c>
      <c r="G1999">
        <v>6014</v>
      </c>
      <c r="H1999" s="116"/>
      <c r="I1999" s="116"/>
      <c r="L1999" s="166">
        <v>44945</v>
      </c>
      <c r="M1999" s="116">
        <v>192.65</v>
      </c>
      <c r="N1999" s="116">
        <v>193.625</v>
      </c>
      <c r="O1999" s="116">
        <v>191.5</v>
      </c>
      <c r="P1999" s="116">
        <v>192.22499999999999</v>
      </c>
      <c r="Q1999" s="116">
        <v>385.3</v>
      </c>
      <c r="R1999">
        <v>64043</v>
      </c>
    </row>
    <row r="2000" spans="1:18" x14ac:dyDescent="0.25">
      <c r="A2000" s="166">
        <v>44946</v>
      </c>
      <c r="B2000" s="116">
        <v>194.65</v>
      </c>
      <c r="C2000" s="116">
        <v>188.25</v>
      </c>
      <c r="D2000" s="116">
        <v>187.02500000000001</v>
      </c>
      <c r="E2000" s="116">
        <v>193.25</v>
      </c>
      <c r="F2000" s="116">
        <v>376.5</v>
      </c>
      <c r="G2000">
        <v>17312</v>
      </c>
      <c r="H2000" s="116"/>
      <c r="I2000" s="116"/>
      <c r="L2000" s="166">
        <v>44946</v>
      </c>
      <c r="M2000" s="116">
        <v>188.875</v>
      </c>
      <c r="N2000" s="116">
        <v>194.95</v>
      </c>
      <c r="O2000" s="116">
        <v>188.1</v>
      </c>
      <c r="P2000" s="116">
        <v>192.65</v>
      </c>
      <c r="Q2000" s="116">
        <v>377.75</v>
      </c>
      <c r="R2000">
        <v>70932</v>
      </c>
    </row>
    <row r="2001" spans="1:18" x14ac:dyDescent="0.25">
      <c r="A2001" s="166">
        <v>44949</v>
      </c>
      <c r="B2001" s="116">
        <v>196.07499999999999</v>
      </c>
      <c r="C2001" s="116">
        <v>194.02500000000001</v>
      </c>
      <c r="D2001" s="116">
        <v>186.67500000000001</v>
      </c>
      <c r="E2001" s="116">
        <v>186.67500000000001</v>
      </c>
      <c r="F2001" s="116">
        <v>388.05</v>
      </c>
      <c r="G2001">
        <v>11270</v>
      </c>
      <c r="H2001" s="116"/>
      <c r="I2001" s="116"/>
      <c r="L2001" s="166">
        <v>44949</v>
      </c>
      <c r="M2001" s="116">
        <v>194.52500000000001</v>
      </c>
      <c r="N2001" s="116">
        <v>196.2</v>
      </c>
      <c r="O2001" s="116">
        <v>189.07499999999999</v>
      </c>
      <c r="P2001" s="116">
        <v>189.07499999999999</v>
      </c>
      <c r="Q2001" s="116">
        <v>389.05</v>
      </c>
      <c r="R2001">
        <v>156528</v>
      </c>
    </row>
    <row r="2002" spans="1:18" x14ac:dyDescent="0.25">
      <c r="A2002" s="166">
        <v>44950</v>
      </c>
      <c r="B2002" s="116">
        <v>198.375</v>
      </c>
      <c r="C2002" s="116">
        <v>192.375</v>
      </c>
      <c r="D2002" s="116">
        <v>190.1</v>
      </c>
      <c r="E2002" s="116">
        <v>194.65</v>
      </c>
      <c r="F2002" s="116">
        <v>384.75</v>
      </c>
      <c r="G2002">
        <v>43101</v>
      </c>
      <c r="H2002" s="116"/>
      <c r="I2002" s="116"/>
      <c r="L2002" s="166">
        <v>44950</v>
      </c>
      <c r="M2002" s="116">
        <v>192.3</v>
      </c>
      <c r="N2002" s="116">
        <v>198.5</v>
      </c>
      <c r="O2002" s="116">
        <v>190.07499999999999</v>
      </c>
      <c r="P2002" s="116">
        <v>195.4</v>
      </c>
      <c r="Q2002" s="116">
        <v>384.6</v>
      </c>
      <c r="R2002">
        <v>520666</v>
      </c>
    </row>
    <row r="2003" spans="1:18" x14ac:dyDescent="0.25">
      <c r="A2003" s="166">
        <v>44951</v>
      </c>
      <c r="B2003" s="116">
        <v>203</v>
      </c>
      <c r="C2003" s="116">
        <v>194.07499999999999</v>
      </c>
      <c r="D2003" s="116">
        <v>193.05</v>
      </c>
      <c r="E2003" s="116">
        <v>197.5</v>
      </c>
      <c r="F2003" s="116">
        <v>388.15</v>
      </c>
      <c r="G2003">
        <v>71635</v>
      </c>
      <c r="H2003" s="116"/>
      <c r="I2003" s="116"/>
      <c r="L2003" s="166">
        <v>44951</v>
      </c>
      <c r="M2003" s="116">
        <v>194.2</v>
      </c>
      <c r="N2003" s="116">
        <v>203.35</v>
      </c>
      <c r="O2003" s="116">
        <v>193</v>
      </c>
      <c r="P2003" s="116">
        <v>198.5</v>
      </c>
      <c r="Q2003" s="116">
        <v>388.4</v>
      </c>
      <c r="R2003">
        <v>840912</v>
      </c>
    </row>
    <row r="2004" spans="1:18" x14ac:dyDescent="0.25">
      <c r="A2004" s="166">
        <v>44953</v>
      </c>
      <c r="B2004" s="116">
        <v>197.27500000000001</v>
      </c>
      <c r="C2004" s="116">
        <v>189.85</v>
      </c>
      <c r="D2004" s="116">
        <v>182.15</v>
      </c>
      <c r="E2004" s="116">
        <v>196.375</v>
      </c>
      <c r="F2004" s="116">
        <v>379.7</v>
      </c>
      <c r="G2004">
        <v>38233</v>
      </c>
      <c r="H2004" s="116"/>
      <c r="I2004" s="116"/>
      <c r="L2004" s="166">
        <v>44953</v>
      </c>
      <c r="M2004" s="116">
        <v>190.15</v>
      </c>
      <c r="N2004" s="116">
        <v>197.35</v>
      </c>
      <c r="O2004" s="116">
        <v>182</v>
      </c>
      <c r="P2004" s="116">
        <v>195.55</v>
      </c>
      <c r="Q2004" s="116">
        <v>380.3</v>
      </c>
      <c r="R2004">
        <v>442222</v>
      </c>
    </row>
    <row r="2005" spans="1:18" x14ac:dyDescent="0.25">
      <c r="A2005" s="166">
        <v>44956</v>
      </c>
      <c r="B2005" s="116">
        <v>195.95</v>
      </c>
      <c r="C2005" s="116">
        <v>184.25</v>
      </c>
      <c r="D2005" s="116">
        <v>180.7</v>
      </c>
      <c r="E2005" s="116">
        <v>195.95</v>
      </c>
      <c r="F2005" s="116">
        <v>368.5</v>
      </c>
      <c r="G2005">
        <v>35918</v>
      </c>
      <c r="H2005" s="116"/>
      <c r="I2005" s="116"/>
      <c r="L2005" s="166">
        <v>44956</v>
      </c>
      <c r="M2005" s="116">
        <v>185.125</v>
      </c>
      <c r="N2005" s="116">
        <v>192.9</v>
      </c>
      <c r="O2005" s="116">
        <v>180.6</v>
      </c>
      <c r="P2005" s="116">
        <v>190.02500000000001</v>
      </c>
      <c r="Q2005" s="116">
        <v>370.25</v>
      </c>
      <c r="R2005">
        <v>210786</v>
      </c>
    </row>
    <row r="2006" spans="1:18" x14ac:dyDescent="0.25">
      <c r="A2006" s="166">
        <v>44957</v>
      </c>
      <c r="B2006" s="116">
        <v>194.15</v>
      </c>
      <c r="C2006" s="116">
        <v>192.9</v>
      </c>
      <c r="D2006" s="116">
        <v>182.07499999999999</v>
      </c>
      <c r="E2006" s="116">
        <v>182.07499999999999</v>
      </c>
      <c r="F2006" s="116">
        <v>385.8</v>
      </c>
      <c r="G2006">
        <v>28237</v>
      </c>
      <c r="H2006" s="116"/>
      <c r="I2006" s="116"/>
      <c r="L2006" s="166">
        <v>44957</v>
      </c>
      <c r="M2006" s="116">
        <v>193.3</v>
      </c>
      <c r="N2006" s="116">
        <v>194.4</v>
      </c>
      <c r="O2006" s="116">
        <v>184.02500000000001</v>
      </c>
      <c r="P2006" s="116">
        <v>186</v>
      </c>
      <c r="Q2006" s="116">
        <v>386.6</v>
      </c>
      <c r="R2006">
        <v>247451</v>
      </c>
    </row>
    <row r="2007" spans="1:18" x14ac:dyDescent="0.25">
      <c r="A2007" s="166">
        <v>44958</v>
      </c>
      <c r="B2007" s="116">
        <v>197.875</v>
      </c>
      <c r="C2007" s="116">
        <v>186.9</v>
      </c>
      <c r="D2007" s="116">
        <v>181.02500000000001</v>
      </c>
      <c r="E2007" s="116">
        <v>192.9</v>
      </c>
      <c r="F2007" s="116">
        <v>373.8</v>
      </c>
      <c r="G2007">
        <v>35237</v>
      </c>
      <c r="H2007" s="116"/>
      <c r="I2007" s="116"/>
      <c r="L2007" s="166">
        <v>44958</v>
      </c>
      <c r="M2007" s="116">
        <v>186.875</v>
      </c>
      <c r="N2007" s="116">
        <v>198</v>
      </c>
      <c r="O2007" s="116">
        <v>181.32499999999999</v>
      </c>
      <c r="P2007" s="116">
        <v>194.97499999999999</v>
      </c>
      <c r="Q2007" s="116">
        <v>373.75</v>
      </c>
      <c r="R2007">
        <v>327082</v>
      </c>
    </row>
    <row r="2008" spans="1:18" x14ac:dyDescent="0.25">
      <c r="A2008" s="166">
        <v>44959</v>
      </c>
      <c r="B2008" s="116">
        <v>191.65</v>
      </c>
      <c r="C2008" s="116">
        <v>188.57499999999999</v>
      </c>
      <c r="D2008" s="116">
        <v>185.5</v>
      </c>
      <c r="E2008" s="116">
        <v>185.5</v>
      </c>
      <c r="F2008" s="116">
        <v>377.15</v>
      </c>
      <c r="G2008">
        <v>33272</v>
      </c>
      <c r="H2008" s="116"/>
      <c r="I2008" s="116"/>
      <c r="L2008" s="166">
        <v>44959</v>
      </c>
      <c r="M2008" s="116">
        <v>188.65</v>
      </c>
      <c r="N2008" s="116">
        <v>191.7</v>
      </c>
      <c r="O2008" s="116">
        <v>185.82499999999999</v>
      </c>
      <c r="P2008" s="116">
        <v>187.82499999999999</v>
      </c>
      <c r="Q2008" s="116">
        <v>377.3</v>
      </c>
      <c r="R2008">
        <v>170539</v>
      </c>
    </row>
    <row r="2009" spans="1:18" x14ac:dyDescent="0.25">
      <c r="A2009" s="166">
        <v>44960</v>
      </c>
      <c r="B2009" s="116">
        <v>192.32499999999999</v>
      </c>
      <c r="C2009" s="116">
        <v>188.625</v>
      </c>
      <c r="D2009" s="116">
        <v>186.5</v>
      </c>
      <c r="E2009" s="116">
        <v>192.32499999999999</v>
      </c>
      <c r="F2009" s="116">
        <v>377.25</v>
      </c>
      <c r="G2009">
        <v>17875</v>
      </c>
      <c r="H2009" s="116"/>
      <c r="I2009" s="116"/>
      <c r="L2009" s="166">
        <v>44960</v>
      </c>
      <c r="M2009" s="116">
        <v>188.77500000000001</v>
      </c>
      <c r="N2009" s="116">
        <v>191.67500000000001</v>
      </c>
      <c r="O2009" s="116">
        <v>186.27500000000001</v>
      </c>
      <c r="P2009" s="116">
        <v>189.95</v>
      </c>
      <c r="Q2009" s="116">
        <v>377.55</v>
      </c>
      <c r="R2009">
        <v>149742</v>
      </c>
    </row>
    <row r="2010" spans="1:18" x14ac:dyDescent="0.25">
      <c r="A2010" s="166">
        <v>44963</v>
      </c>
      <c r="B2010" s="116">
        <v>193.27500000000001</v>
      </c>
      <c r="C2010" s="116">
        <v>189.8</v>
      </c>
      <c r="D2010" s="116">
        <v>188.5</v>
      </c>
      <c r="E2010" s="116">
        <v>190.05</v>
      </c>
      <c r="F2010" s="116">
        <v>379.6</v>
      </c>
      <c r="G2010">
        <v>14753</v>
      </c>
      <c r="H2010" s="116"/>
      <c r="I2010" s="116"/>
      <c r="L2010" s="166">
        <v>44963</v>
      </c>
      <c r="M2010" s="116">
        <v>189.65</v>
      </c>
      <c r="N2010" s="116">
        <v>193.4</v>
      </c>
      <c r="O2010" s="116">
        <v>188.375</v>
      </c>
      <c r="P2010" s="116">
        <v>189.5</v>
      </c>
      <c r="Q2010" s="116">
        <v>379.3</v>
      </c>
      <c r="R2010">
        <v>127131</v>
      </c>
    </row>
    <row r="2011" spans="1:18" x14ac:dyDescent="0.25">
      <c r="A2011" s="166">
        <v>44964</v>
      </c>
      <c r="B2011" s="116">
        <v>190.82499999999999</v>
      </c>
      <c r="C2011" s="116">
        <v>189.125</v>
      </c>
      <c r="D2011" s="116">
        <v>186.875</v>
      </c>
      <c r="E2011" s="116">
        <v>188.02500000000001</v>
      </c>
      <c r="F2011" s="116">
        <v>378.25</v>
      </c>
      <c r="G2011">
        <v>21861</v>
      </c>
      <c r="H2011" s="116"/>
      <c r="I2011" s="116"/>
      <c r="L2011" s="166">
        <v>44964</v>
      </c>
      <c r="M2011" s="116">
        <v>189.3</v>
      </c>
      <c r="N2011" s="116">
        <v>190.8</v>
      </c>
      <c r="O2011" s="116">
        <v>186.92500000000001</v>
      </c>
      <c r="P2011" s="116">
        <v>189</v>
      </c>
      <c r="Q2011" s="116">
        <v>378.6</v>
      </c>
      <c r="R2011">
        <v>104777</v>
      </c>
    </row>
    <row r="2012" spans="1:18" x14ac:dyDescent="0.25">
      <c r="A2012" s="166">
        <v>44965</v>
      </c>
      <c r="B2012" s="116">
        <v>191.07499999999999</v>
      </c>
      <c r="C2012" s="116">
        <v>188.9</v>
      </c>
      <c r="D2012" s="116">
        <v>186.85</v>
      </c>
      <c r="E2012" s="116">
        <v>187.52500000000001</v>
      </c>
      <c r="F2012" s="116">
        <v>377.8</v>
      </c>
      <c r="G2012">
        <v>114665</v>
      </c>
      <c r="H2012" s="116"/>
      <c r="I2012" s="116"/>
      <c r="L2012" s="166">
        <v>44965</v>
      </c>
      <c r="M2012" s="116">
        <v>188.92500000000001</v>
      </c>
      <c r="N2012" s="116">
        <v>191</v>
      </c>
      <c r="O2012" s="116">
        <v>186.72499999999999</v>
      </c>
      <c r="P2012" s="116">
        <v>189.77500000000001</v>
      </c>
      <c r="Q2012" s="116">
        <v>377.85</v>
      </c>
      <c r="R2012">
        <v>168602</v>
      </c>
    </row>
    <row r="2013" spans="1:18" x14ac:dyDescent="0.25">
      <c r="A2013" s="166">
        <v>44966</v>
      </c>
      <c r="B2013" s="116">
        <v>190.25</v>
      </c>
      <c r="C2013" s="116">
        <v>188.72499999999999</v>
      </c>
      <c r="D2013" s="116">
        <v>185.15</v>
      </c>
      <c r="E2013" s="116">
        <v>185.15</v>
      </c>
      <c r="F2013" s="116">
        <v>377.45</v>
      </c>
      <c r="G2013">
        <v>48479</v>
      </c>
      <c r="H2013" s="116"/>
      <c r="I2013" s="116"/>
      <c r="L2013" s="166">
        <v>44966</v>
      </c>
      <c r="M2013" s="116">
        <v>188.65</v>
      </c>
      <c r="N2013" s="116">
        <v>190.32499999999999</v>
      </c>
      <c r="O2013" s="116">
        <v>186.75</v>
      </c>
      <c r="P2013" s="116">
        <v>189.5</v>
      </c>
      <c r="Q2013" s="116">
        <v>377.3</v>
      </c>
      <c r="R2013">
        <v>142239</v>
      </c>
    </row>
    <row r="2014" spans="1:18" x14ac:dyDescent="0.25">
      <c r="A2014" s="166">
        <v>44967</v>
      </c>
      <c r="B2014" s="116">
        <v>193.45</v>
      </c>
      <c r="C2014" s="116">
        <v>192.125</v>
      </c>
      <c r="D2014" s="116">
        <v>187.02500000000001</v>
      </c>
      <c r="E2014" s="116">
        <v>187.02500000000001</v>
      </c>
      <c r="F2014" s="116">
        <v>384.25</v>
      </c>
      <c r="G2014">
        <v>61269</v>
      </c>
      <c r="H2014" s="116"/>
      <c r="I2014" s="116"/>
      <c r="L2014" s="166">
        <v>44967</v>
      </c>
      <c r="M2014" s="116">
        <v>192</v>
      </c>
      <c r="N2014" s="116">
        <v>193.5</v>
      </c>
      <c r="O2014" s="116">
        <v>187.22499999999999</v>
      </c>
      <c r="P2014" s="116">
        <v>188.32499999999999</v>
      </c>
      <c r="Q2014" s="116">
        <v>384</v>
      </c>
      <c r="R2014">
        <v>129554</v>
      </c>
    </row>
    <row r="2015" spans="1:18" x14ac:dyDescent="0.25">
      <c r="A2015" s="166">
        <v>44970</v>
      </c>
      <c r="B2015" s="116">
        <v>193</v>
      </c>
      <c r="C2015" s="116">
        <v>183.27500000000001</v>
      </c>
      <c r="D2015" s="116">
        <v>179.92500000000001</v>
      </c>
      <c r="E2015" s="116">
        <v>192.5</v>
      </c>
      <c r="F2015" s="116">
        <v>366.55</v>
      </c>
      <c r="G2015">
        <v>103655</v>
      </c>
      <c r="H2015" s="116"/>
      <c r="I2015" s="116"/>
      <c r="L2015" s="166">
        <v>44970</v>
      </c>
      <c r="M2015" s="116">
        <v>183.47499999999999</v>
      </c>
      <c r="N2015" s="116">
        <v>193</v>
      </c>
      <c r="O2015" s="116">
        <v>179.82499999999999</v>
      </c>
      <c r="P2015" s="116">
        <v>192.35</v>
      </c>
      <c r="Q2015" s="116">
        <v>366.95</v>
      </c>
      <c r="R2015">
        <v>255168</v>
      </c>
    </row>
    <row r="2016" spans="1:18" x14ac:dyDescent="0.25">
      <c r="A2016" s="166">
        <v>44971</v>
      </c>
      <c r="B2016" s="116">
        <v>185.72499999999999</v>
      </c>
      <c r="C2016" s="116">
        <v>183.92500000000001</v>
      </c>
      <c r="D2016" s="116">
        <v>180.32499999999999</v>
      </c>
      <c r="E2016" s="116">
        <v>184.07499999999999</v>
      </c>
      <c r="F2016" s="116">
        <v>367.85</v>
      </c>
      <c r="G2016">
        <v>30837</v>
      </c>
      <c r="H2016" s="116"/>
      <c r="I2016" s="116"/>
      <c r="L2016" s="166">
        <v>44971</v>
      </c>
      <c r="M2016" s="116">
        <v>184.375</v>
      </c>
      <c r="N2016" s="116">
        <v>186</v>
      </c>
      <c r="O2016" s="116">
        <v>180.25</v>
      </c>
      <c r="P2016" s="116">
        <v>184.35</v>
      </c>
      <c r="Q2016" s="116">
        <v>368.75</v>
      </c>
      <c r="R2016">
        <v>154983</v>
      </c>
    </row>
    <row r="2017" spans="1:18" x14ac:dyDescent="0.25">
      <c r="A2017" s="166">
        <v>44972</v>
      </c>
      <c r="B2017" s="116">
        <v>189.27500000000001</v>
      </c>
      <c r="C2017" s="116">
        <v>188.57499999999999</v>
      </c>
      <c r="D2017" s="116">
        <v>182.65</v>
      </c>
      <c r="E2017" s="116">
        <v>184.5</v>
      </c>
      <c r="F2017" s="116">
        <v>377.15</v>
      </c>
      <c r="G2017">
        <v>71015</v>
      </c>
      <c r="H2017" s="116"/>
      <c r="I2017" s="116"/>
      <c r="L2017" s="166">
        <v>44972</v>
      </c>
      <c r="M2017" s="116">
        <v>188.35</v>
      </c>
      <c r="N2017" s="116">
        <v>189.47499999999999</v>
      </c>
      <c r="O2017" s="116">
        <v>182.47499999999999</v>
      </c>
      <c r="P2017" s="116">
        <v>183.875</v>
      </c>
      <c r="Q2017" s="116">
        <v>376.7</v>
      </c>
      <c r="R2017">
        <v>183195</v>
      </c>
    </row>
    <row r="2018" spans="1:18" x14ac:dyDescent="0.25">
      <c r="A2018" s="166">
        <v>44973</v>
      </c>
      <c r="B2018" s="116">
        <v>192.5</v>
      </c>
      <c r="C2018" s="116">
        <v>190.95</v>
      </c>
      <c r="D2018" s="116">
        <v>187.55</v>
      </c>
      <c r="E2018" s="116">
        <v>187.9</v>
      </c>
      <c r="F2018" s="116">
        <v>381.9</v>
      </c>
      <c r="G2018">
        <v>26046</v>
      </c>
      <c r="H2018" s="116"/>
      <c r="I2018" s="116"/>
      <c r="L2018" s="166">
        <v>44973</v>
      </c>
      <c r="M2018" s="116">
        <v>190.85</v>
      </c>
      <c r="N2018" s="116">
        <v>192.45</v>
      </c>
      <c r="O2018" s="116">
        <v>187.32499999999999</v>
      </c>
      <c r="P2018" s="116">
        <v>188.35</v>
      </c>
      <c r="Q2018" s="116">
        <v>381.7</v>
      </c>
      <c r="R2018">
        <v>110457</v>
      </c>
    </row>
    <row r="2019" spans="1:18" x14ac:dyDescent="0.25">
      <c r="A2019" s="166">
        <v>44974</v>
      </c>
      <c r="B2019" s="116">
        <v>210.55</v>
      </c>
      <c r="C2019" s="116">
        <v>208.125</v>
      </c>
      <c r="D2019" s="116">
        <v>189.77500000000001</v>
      </c>
      <c r="E2019" s="116">
        <v>191.5</v>
      </c>
      <c r="F2019" s="116">
        <v>416.25</v>
      </c>
      <c r="G2019">
        <v>278114</v>
      </c>
      <c r="H2019" s="116"/>
      <c r="I2019" s="116"/>
      <c r="L2019" s="166">
        <v>44974</v>
      </c>
      <c r="M2019" s="116">
        <v>207.97499999999999</v>
      </c>
      <c r="N2019" s="116">
        <v>209.92500000000001</v>
      </c>
      <c r="O2019" s="116">
        <v>189.67500000000001</v>
      </c>
      <c r="P2019" s="116">
        <v>190</v>
      </c>
      <c r="Q2019" s="116">
        <v>415.95</v>
      </c>
      <c r="R2019">
        <v>1682240</v>
      </c>
    </row>
    <row r="2020" spans="1:18" x14ac:dyDescent="0.25">
      <c r="A2020" s="166">
        <v>44977</v>
      </c>
      <c r="B2020" s="116">
        <v>211.1</v>
      </c>
      <c r="C2020" s="116">
        <v>209.7</v>
      </c>
      <c r="D2020" s="116">
        <v>204</v>
      </c>
      <c r="E2020" s="116">
        <v>209.4</v>
      </c>
      <c r="F2020" s="116">
        <v>419.4</v>
      </c>
      <c r="G2020">
        <v>86352</v>
      </c>
      <c r="H2020" s="116"/>
      <c r="I2020" s="116"/>
      <c r="L2020" s="166">
        <v>44977</v>
      </c>
      <c r="M2020" s="116">
        <v>209.42500000000001</v>
      </c>
      <c r="N2020" s="116">
        <v>211</v>
      </c>
      <c r="O2020" s="116">
        <v>204.02500000000001</v>
      </c>
      <c r="P2020" s="116">
        <v>208.85</v>
      </c>
      <c r="Q2020" s="116">
        <v>418.85</v>
      </c>
      <c r="R2020">
        <v>419599</v>
      </c>
    </row>
    <row r="2021" spans="1:18" x14ac:dyDescent="0.25">
      <c r="A2021" s="166">
        <v>44978</v>
      </c>
      <c r="B2021" s="116">
        <v>216.67500000000001</v>
      </c>
      <c r="C2021" s="116">
        <v>211.5</v>
      </c>
      <c r="D2021" s="116">
        <v>208.47499999999999</v>
      </c>
      <c r="E2021" s="116">
        <v>209.52500000000001</v>
      </c>
      <c r="F2021" s="116">
        <v>423</v>
      </c>
      <c r="G2021">
        <v>101703</v>
      </c>
      <c r="H2021" s="116"/>
      <c r="I2021" s="116"/>
      <c r="L2021" s="166">
        <v>44978</v>
      </c>
      <c r="M2021" s="116">
        <v>211.5</v>
      </c>
      <c r="N2021" s="116">
        <v>216.85</v>
      </c>
      <c r="O2021" s="116">
        <v>208.07499999999999</v>
      </c>
      <c r="P2021" s="116">
        <v>210.45</v>
      </c>
      <c r="Q2021" s="116">
        <v>423</v>
      </c>
      <c r="R2021">
        <v>541272</v>
      </c>
    </row>
    <row r="2022" spans="1:18" x14ac:dyDescent="0.25">
      <c r="A2022" s="166">
        <v>44979</v>
      </c>
      <c r="B2022" s="116">
        <v>210.125</v>
      </c>
      <c r="C2022" s="116">
        <v>204.95</v>
      </c>
      <c r="D2022" s="116">
        <v>200.27500000000001</v>
      </c>
      <c r="E2022" s="116">
        <v>208.35</v>
      </c>
      <c r="F2022" s="116">
        <v>409.9</v>
      </c>
      <c r="G2022">
        <v>85772</v>
      </c>
      <c r="H2022" s="116"/>
      <c r="I2022" s="116"/>
      <c r="L2022" s="166">
        <v>44979</v>
      </c>
      <c r="M2022" s="116">
        <v>204.72499999999999</v>
      </c>
      <c r="N2022" s="116">
        <v>210.25</v>
      </c>
      <c r="O2022" s="116">
        <v>200.125</v>
      </c>
      <c r="P2022" s="116">
        <v>210</v>
      </c>
      <c r="Q2022" s="116">
        <v>409.45</v>
      </c>
      <c r="R2022">
        <v>317446</v>
      </c>
    </row>
    <row r="2023" spans="1:18" x14ac:dyDescent="0.25">
      <c r="A2023" s="166">
        <v>44980</v>
      </c>
      <c r="B2023" s="116">
        <v>209.65</v>
      </c>
      <c r="C2023" s="116">
        <v>205.92500000000001</v>
      </c>
      <c r="D2023" s="116">
        <v>203.9</v>
      </c>
      <c r="E2023" s="116">
        <v>204.47499999999999</v>
      </c>
      <c r="F2023" s="116">
        <v>411.85</v>
      </c>
      <c r="G2023">
        <v>44155</v>
      </c>
      <c r="H2023" s="116"/>
      <c r="I2023" s="116"/>
      <c r="L2023" s="166">
        <v>44980</v>
      </c>
      <c r="M2023" s="116">
        <v>205.8</v>
      </c>
      <c r="N2023" s="116">
        <v>209.67500000000001</v>
      </c>
      <c r="O2023" s="116">
        <v>203.97499999999999</v>
      </c>
      <c r="P2023" s="116">
        <v>205</v>
      </c>
      <c r="Q2023" s="116">
        <v>411.6</v>
      </c>
      <c r="R2023">
        <v>224718</v>
      </c>
    </row>
    <row r="2024" spans="1:18" x14ac:dyDescent="0.25">
      <c r="A2024" s="166">
        <v>44981</v>
      </c>
      <c r="B2024" s="116">
        <v>209.25</v>
      </c>
      <c r="C2024" s="116">
        <v>204.07499999999999</v>
      </c>
      <c r="D2024" s="116">
        <v>201.875</v>
      </c>
      <c r="E2024" s="116">
        <v>203.52500000000001</v>
      </c>
      <c r="F2024" s="116">
        <v>408.15</v>
      </c>
      <c r="G2024">
        <v>150242</v>
      </c>
      <c r="H2024" s="116"/>
      <c r="I2024" s="116"/>
      <c r="L2024" s="166">
        <v>44981</v>
      </c>
      <c r="M2024" s="116">
        <v>203.97499999999999</v>
      </c>
      <c r="N2024" s="116">
        <v>208.4</v>
      </c>
      <c r="O2024" s="116">
        <v>201.8</v>
      </c>
      <c r="P2024" s="116">
        <v>206.85</v>
      </c>
      <c r="Q2024" s="116">
        <v>407.95</v>
      </c>
      <c r="R2024">
        <v>196132</v>
      </c>
    </row>
    <row r="2025" spans="1:18" x14ac:dyDescent="0.25">
      <c r="A2025" s="166">
        <v>44984</v>
      </c>
      <c r="B2025" s="116">
        <v>205.42500000000001</v>
      </c>
      <c r="C2025" s="116">
        <v>189.72499999999999</v>
      </c>
      <c r="D2025" s="116">
        <v>185.6</v>
      </c>
      <c r="E2025" s="116">
        <v>205.42500000000001</v>
      </c>
      <c r="F2025" s="116">
        <v>379.45</v>
      </c>
      <c r="G2025">
        <v>210161</v>
      </c>
      <c r="H2025" s="116"/>
      <c r="I2025" s="116"/>
      <c r="L2025" s="166">
        <v>44984</v>
      </c>
      <c r="M2025" s="116">
        <v>189.9</v>
      </c>
      <c r="N2025" s="116">
        <v>203.97499999999999</v>
      </c>
      <c r="O2025" s="116">
        <v>187.52500000000001</v>
      </c>
      <c r="P2025" s="116">
        <v>203.97499999999999</v>
      </c>
      <c r="Q2025" s="116">
        <v>379.8</v>
      </c>
      <c r="R2025">
        <v>498567</v>
      </c>
    </row>
    <row r="2026" spans="1:18" x14ac:dyDescent="0.25">
      <c r="A2026" s="166">
        <v>44985</v>
      </c>
      <c r="B2026" s="116">
        <v>198.45</v>
      </c>
      <c r="C2026" s="116">
        <v>197.35</v>
      </c>
      <c r="D2026" s="116">
        <v>186.3</v>
      </c>
      <c r="E2026" s="116">
        <v>186.3</v>
      </c>
      <c r="F2026" s="116">
        <v>394.7</v>
      </c>
      <c r="G2026">
        <v>96169</v>
      </c>
      <c r="H2026" s="116"/>
      <c r="I2026" s="116"/>
      <c r="L2026" s="166">
        <v>44985</v>
      </c>
      <c r="M2026" s="116">
        <v>197.17500000000001</v>
      </c>
      <c r="N2026" s="116">
        <v>198.1</v>
      </c>
      <c r="O2026" s="116">
        <v>189.5</v>
      </c>
      <c r="P2026" s="116">
        <v>189.85</v>
      </c>
      <c r="Q2026" s="116">
        <v>394.35</v>
      </c>
      <c r="R2026">
        <v>534931</v>
      </c>
    </row>
    <row r="2027" spans="1:18" x14ac:dyDescent="0.25">
      <c r="A2027" s="166">
        <v>44986</v>
      </c>
      <c r="B2027" s="116">
        <v>202.57499999999999</v>
      </c>
      <c r="C2027" s="116">
        <v>196.9</v>
      </c>
      <c r="D2027" s="116">
        <v>195.27500000000001</v>
      </c>
      <c r="E2027" s="116">
        <v>198</v>
      </c>
      <c r="F2027" s="116">
        <v>393.8</v>
      </c>
      <c r="G2027">
        <v>69102</v>
      </c>
      <c r="H2027" s="116"/>
      <c r="I2027" s="116"/>
      <c r="L2027" s="166">
        <v>44986</v>
      </c>
      <c r="M2027" s="116">
        <v>197</v>
      </c>
      <c r="N2027" s="116">
        <v>202.97499999999999</v>
      </c>
      <c r="O2027" s="116">
        <v>195.25</v>
      </c>
      <c r="P2027" s="116">
        <v>198.95</v>
      </c>
      <c r="Q2027" s="116">
        <v>394</v>
      </c>
      <c r="R2027">
        <v>239699</v>
      </c>
    </row>
    <row r="2028" spans="1:18" x14ac:dyDescent="0.25">
      <c r="A2028" s="166">
        <v>44987</v>
      </c>
      <c r="B2028" s="116">
        <v>199.25</v>
      </c>
      <c r="C2028" s="116">
        <v>189.1</v>
      </c>
      <c r="D2028" s="116">
        <v>188</v>
      </c>
      <c r="E2028" s="116">
        <v>197.35</v>
      </c>
      <c r="F2028" s="116">
        <v>378.2</v>
      </c>
      <c r="G2028">
        <v>63564</v>
      </c>
      <c r="H2028" s="116"/>
      <c r="I2028" s="116"/>
      <c r="L2028" s="166">
        <v>44987</v>
      </c>
      <c r="M2028" s="116">
        <v>189.67500000000001</v>
      </c>
      <c r="N2028" s="116">
        <v>199.5</v>
      </c>
      <c r="O2028" s="116">
        <v>188.42500000000001</v>
      </c>
      <c r="P2028" s="116">
        <v>197.45</v>
      </c>
      <c r="Q2028" s="116">
        <v>379.35</v>
      </c>
      <c r="R2028">
        <v>286637</v>
      </c>
    </row>
    <row r="2029" spans="1:18" x14ac:dyDescent="0.25">
      <c r="A2029" s="166">
        <v>44988</v>
      </c>
      <c r="B2029" s="116">
        <v>195.77500000000001</v>
      </c>
      <c r="C2029" s="116">
        <v>193.1</v>
      </c>
      <c r="D2029" s="116">
        <v>189.92500000000001</v>
      </c>
      <c r="E2029" s="116">
        <v>192.8</v>
      </c>
      <c r="F2029" s="116">
        <v>386.2</v>
      </c>
      <c r="G2029">
        <v>22758</v>
      </c>
      <c r="H2029" s="116"/>
      <c r="I2029" s="116"/>
      <c r="L2029" s="166">
        <v>44988</v>
      </c>
      <c r="M2029" s="116">
        <v>193</v>
      </c>
      <c r="N2029" s="116">
        <v>195.5</v>
      </c>
      <c r="O2029" s="116">
        <v>189.72499999999999</v>
      </c>
      <c r="P2029" s="116">
        <v>193</v>
      </c>
      <c r="Q2029" s="116">
        <v>386</v>
      </c>
      <c r="R2029">
        <v>225138</v>
      </c>
    </row>
    <row r="2030" spans="1:18" x14ac:dyDescent="0.25">
      <c r="A2030" s="166">
        <v>44991</v>
      </c>
      <c r="B2030" s="116">
        <v>196.5</v>
      </c>
      <c r="C2030" s="116">
        <v>192.8</v>
      </c>
      <c r="D2030" s="116">
        <v>192.02500000000001</v>
      </c>
      <c r="E2030" s="116">
        <v>194.47499999999999</v>
      </c>
      <c r="F2030" s="116">
        <v>385.6</v>
      </c>
      <c r="G2030">
        <v>44015</v>
      </c>
      <c r="H2030" s="116"/>
      <c r="I2030" s="116"/>
      <c r="L2030" s="166">
        <v>44991</v>
      </c>
      <c r="M2030" s="116">
        <v>192.8</v>
      </c>
      <c r="N2030" s="116">
        <v>196.95</v>
      </c>
      <c r="O2030" s="116">
        <v>192</v>
      </c>
      <c r="P2030" s="116">
        <v>193.67500000000001</v>
      </c>
      <c r="Q2030" s="116">
        <v>385.6</v>
      </c>
      <c r="R2030">
        <v>179141</v>
      </c>
    </row>
    <row r="2031" spans="1:18" x14ac:dyDescent="0.25">
      <c r="A2031" s="166">
        <v>44993</v>
      </c>
      <c r="B2031" s="116">
        <v>196.5</v>
      </c>
      <c r="C2031" s="116">
        <v>195.17500000000001</v>
      </c>
      <c r="D2031" s="116">
        <v>190</v>
      </c>
      <c r="E2031" s="116">
        <v>190.5</v>
      </c>
      <c r="F2031" s="116">
        <v>390.35</v>
      </c>
      <c r="G2031">
        <v>32846</v>
      </c>
      <c r="H2031" s="116"/>
      <c r="I2031" s="116"/>
      <c r="L2031" s="166">
        <v>44993</v>
      </c>
      <c r="M2031" s="116">
        <v>195.2</v>
      </c>
      <c r="N2031" s="116">
        <v>196.55</v>
      </c>
      <c r="O2031" s="116">
        <v>190.17500000000001</v>
      </c>
      <c r="P2031" s="116">
        <v>191.85</v>
      </c>
      <c r="Q2031" s="116">
        <v>390.4</v>
      </c>
      <c r="R2031">
        <v>214302</v>
      </c>
    </row>
    <row r="2032" spans="1:18" x14ac:dyDescent="0.25">
      <c r="A2032" s="166">
        <v>44994</v>
      </c>
      <c r="B2032" s="116">
        <v>202.1</v>
      </c>
      <c r="C2032" s="116">
        <v>200.17500000000001</v>
      </c>
      <c r="D2032" s="116">
        <v>194.97499999999999</v>
      </c>
      <c r="E2032" s="116">
        <v>195.2</v>
      </c>
      <c r="F2032" s="116">
        <v>400.35</v>
      </c>
      <c r="G2032">
        <v>33680</v>
      </c>
      <c r="H2032" s="116"/>
      <c r="I2032" s="116"/>
      <c r="L2032" s="166">
        <v>44994</v>
      </c>
      <c r="M2032" s="116">
        <v>200.05</v>
      </c>
      <c r="N2032" s="116">
        <v>202.45</v>
      </c>
      <c r="O2032" s="116">
        <v>195.2</v>
      </c>
      <c r="P2032" s="116">
        <v>195.65</v>
      </c>
      <c r="Q2032" s="116">
        <v>400.1</v>
      </c>
      <c r="R2032">
        <v>303949</v>
      </c>
    </row>
    <row r="2033" spans="1:18" x14ac:dyDescent="0.25">
      <c r="A2033" s="166">
        <v>44995</v>
      </c>
      <c r="B2033" s="116">
        <v>203.125</v>
      </c>
      <c r="C2033" s="116">
        <v>199.125</v>
      </c>
      <c r="D2033" s="116">
        <v>196.95</v>
      </c>
      <c r="E2033" s="116">
        <v>199.97499999999999</v>
      </c>
      <c r="F2033" s="116">
        <v>398.25</v>
      </c>
      <c r="G2033">
        <v>67741</v>
      </c>
      <c r="H2033" s="116"/>
      <c r="I2033" s="116"/>
      <c r="L2033" s="166">
        <v>44995</v>
      </c>
      <c r="M2033" s="116">
        <v>199.05</v>
      </c>
      <c r="N2033" s="116">
        <v>203.47499999999999</v>
      </c>
      <c r="O2033" s="116">
        <v>197</v>
      </c>
      <c r="P2033" s="116">
        <v>200</v>
      </c>
      <c r="Q2033" s="116">
        <v>398.1</v>
      </c>
      <c r="R2033">
        <v>408139</v>
      </c>
    </row>
    <row r="2034" spans="1:18" x14ac:dyDescent="0.25">
      <c r="A2034" s="166">
        <v>44998</v>
      </c>
      <c r="B2034" s="116">
        <v>200.6</v>
      </c>
      <c r="C2034" s="116">
        <v>189.9</v>
      </c>
      <c r="D2034" s="116">
        <v>189.07499999999999</v>
      </c>
      <c r="E2034" s="116">
        <v>198.57499999999999</v>
      </c>
      <c r="F2034" s="116">
        <v>379.8</v>
      </c>
      <c r="G2034">
        <v>37675</v>
      </c>
      <c r="H2034" s="116"/>
      <c r="I2034" s="116"/>
      <c r="L2034" s="166">
        <v>44998</v>
      </c>
      <c r="M2034" s="116">
        <v>190.17500000000001</v>
      </c>
      <c r="N2034" s="116">
        <v>200.65</v>
      </c>
      <c r="O2034" s="116">
        <v>189.27500000000001</v>
      </c>
      <c r="P2034" s="116">
        <v>200</v>
      </c>
      <c r="Q2034" s="116">
        <v>380.35</v>
      </c>
      <c r="R2034">
        <v>194858</v>
      </c>
    </row>
    <row r="2035" spans="1:18" x14ac:dyDescent="0.25">
      <c r="A2035" s="166">
        <v>44999</v>
      </c>
      <c r="B2035" s="116">
        <v>193.7</v>
      </c>
      <c r="C2035" s="116">
        <v>192.02500000000001</v>
      </c>
      <c r="D2035" s="116">
        <v>186.82499999999999</v>
      </c>
      <c r="E2035" s="116">
        <v>190.57499999999999</v>
      </c>
      <c r="F2035" s="116">
        <v>384.05</v>
      </c>
      <c r="G2035">
        <v>33748</v>
      </c>
      <c r="H2035" s="116"/>
      <c r="I2035" s="116"/>
      <c r="L2035" s="166">
        <v>44999</v>
      </c>
      <c r="M2035" s="116">
        <v>192</v>
      </c>
      <c r="N2035" s="116">
        <v>193.32499999999999</v>
      </c>
      <c r="O2035" s="116">
        <v>186.72499999999999</v>
      </c>
      <c r="P2035" s="116">
        <v>190.45</v>
      </c>
      <c r="Q2035" s="116">
        <v>384</v>
      </c>
      <c r="R2035">
        <v>234441</v>
      </c>
    </row>
    <row r="2036" spans="1:18" x14ac:dyDescent="0.25">
      <c r="A2036" s="166">
        <v>45000</v>
      </c>
      <c r="B2036" s="116">
        <v>196.42500000000001</v>
      </c>
      <c r="C2036" s="116">
        <v>190.67500000000001</v>
      </c>
      <c r="D2036" s="116">
        <v>189.4</v>
      </c>
      <c r="E2036" s="116">
        <v>193</v>
      </c>
      <c r="F2036" s="116">
        <v>381.35</v>
      </c>
      <c r="G2036">
        <v>50687</v>
      </c>
      <c r="H2036" s="116"/>
      <c r="I2036" s="116"/>
      <c r="L2036" s="166">
        <v>45000</v>
      </c>
      <c r="M2036" s="116">
        <v>190.72499999999999</v>
      </c>
      <c r="N2036" s="116">
        <v>196.47499999999999</v>
      </c>
      <c r="O2036" s="116">
        <v>189.45</v>
      </c>
      <c r="P2036" s="116">
        <v>193.75</v>
      </c>
      <c r="Q2036" s="116">
        <v>381.45</v>
      </c>
      <c r="R2036">
        <v>271368</v>
      </c>
    </row>
    <row r="2037" spans="1:18" x14ac:dyDescent="0.25">
      <c r="A2037" s="166">
        <v>45001</v>
      </c>
      <c r="B2037" s="116">
        <v>193.55</v>
      </c>
      <c r="C2037" s="116">
        <v>192.3</v>
      </c>
      <c r="D2037" s="116">
        <v>185.125</v>
      </c>
      <c r="E2037" s="116">
        <v>186.92500000000001</v>
      </c>
      <c r="F2037" s="116">
        <v>384.6</v>
      </c>
      <c r="G2037">
        <v>36871</v>
      </c>
      <c r="H2037" s="116"/>
      <c r="I2037" s="116"/>
      <c r="L2037" s="166">
        <v>45001</v>
      </c>
      <c r="M2037" s="116">
        <v>192.5</v>
      </c>
      <c r="N2037" s="116">
        <v>193.72499999999999</v>
      </c>
      <c r="O2037" s="116">
        <v>184.85</v>
      </c>
      <c r="P2037" s="116">
        <v>189.75</v>
      </c>
      <c r="Q2037" s="116">
        <v>385</v>
      </c>
      <c r="R2037">
        <v>346678</v>
      </c>
    </row>
    <row r="2038" spans="1:18" x14ac:dyDescent="0.25">
      <c r="A2038" s="166">
        <v>45002</v>
      </c>
      <c r="B2038" s="116">
        <v>196.67500000000001</v>
      </c>
      <c r="C2038" s="116">
        <v>193.5</v>
      </c>
      <c r="D2038" s="116">
        <v>191.17500000000001</v>
      </c>
      <c r="E2038" s="116">
        <v>193.82499999999999</v>
      </c>
      <c r="F2038" s="116">
        <v>387</v>
      </c>
      <c r="G2038">
        <v>32797</v>
      </c>
      <c r="H2038" s="116"/>
      <c r="I2038" s="116"/>
      <c r="L2038" s="166">
        <v>45002</v>
      </c>
      <c r="M2038" s="116">
        <v>193.25</v>
      </c>
      <c r="N2038" s="116">
        <v>196.9</v>
      </c>
      <c r="O2038" s="116">
        <v>191.07499999999999</v>
      </c>
      <c r="P2038" s="116">
        <v>194</v>
      </c>
      <c r="Q2038" s="116">
        <v>386.5</v>
      </c>
      <c r="R2038">
        <v>200869</v>
      </c>
    </row>
    <row r="2039" spans="1:18" x14ac:dyDescent="0.25">
      <c r="A2039" s="166">
        <v>45005</v>
      </c>
      <c r="B2039" s="116">
        <v>193.02500000000001</v>
      </c>
      <c r="C2039" s="116">
        <v>190.7</v>
      </c>
      <c r="D2039" s="116">
        <v>188.8</v>
      </c>
      <c r="E2039" s="116">
        <v>193</v>
      </c>
      <c r="F2039" s="116">
        <v>381.4</v>
      </c>
      <c r="G2039">
        <v>27733</v>
      </c>
      <c r="H2039" s="116"/>
      <c r="I2039" s="116"/>
      <c r="L2039" s="166">
        <v>45005</v>
      </c>
      <c r="M2039" s="116">
        <v>190.92500000000001</v>
      </c>
      <c r="N2039" s="116">
        <v>193.2</v>
      </c>
      <c r="O2039" s="116">
        <v>188.72499999999999</v>
      </c>
      <c r="P2039" s="116">
        <v>193.2</v>
      </c>
      <c r="Q2039" s="116">
        <v>381.85</v>
      </c>
      <c r="R2039">
        <v>193145</v>
      </c>
    </row>
    <row r="2040" spans="1:18" x14ac:dyDescent="0.25">
      <c r="A2040" s="166">
        <v>45006</v>
      </c>
      <c r="B2040" s="116">
        <v>192.85</v>
      </c>
      <c r="C2040" s="116">
        <v>191.4</v>
      </c>
      <c r="D2040" s="116">
        <v>189.45</v>
      </c>
      <c r="E2040" s="116">
        <v>191.85</v>
      </c>
      <c r="F2040" s="116">
        <v>382.8</v>
      </c>
      <c r="G2040">
        <v>28549</v>
      </c>
      <c r="H2040" s="116"/>
      <c r="I2040" s="116"/>
      <c r="L2040" s="166">
        <v>45006</v>
      </c>
      <c r="M2040" s="116">
        <v>191.25</v>
      </c>
      <c r="N2040" s="116">
        <v>193.45</v>
      </c>
      <c r="O2040" s="116">
        <v>189.55</v>
      </c>
      <c r="P2040" s="116">
        <v>191.6</v>
      </c>
      <c r="Q2040" s="116">
        <v>382.5</v>
      </c>
      <c r="R2040">
        <v>115581</v>
      </c>
    </row>
    <row r="2041" spans="1:18" x14ac:dyDescent="0.25">
      <c r="A2041" s="166">
        <v>45007</v>
      </c>
      <c r="B2041" s="116">
        <v>192.47499999999999</v>
      </c>
      <c r="C2041" s="116">
        <v>191.52500000000001</v>
      </c>
      <c r="D2041" s="116">
        <v>188.75</v>
      </c>
      <c r="E2041" s="116">
        <v>191.8</v>
      </c>
      <c r="F2041" s="116">
        <v>383.05</v>
      </c>
      <c r="G2041">
        <v>27840</v>
      </c>
      <c r="H2041" s="116"/>
      <c r="I2041" s="116"/>
      <c r="L2041" s="166">
        <v>45007</v>
      </c>
      <c r="M2041" s="116">
        <v>191.52500000000001</v>
      </c>
      <c r="N2041" s="116">
        <v>192.8</v>
      </c>
      <c r="O2041" s="116">
        <v>188.7</v>
      </c>
      <c r="P2041" s="116">
        <v>191.45</v>
      </c>
      <c r="Q2041" s="116">
        <v>383.05</v>
      </c>
      <c r="R2041">
        <v>88196</v>
      </c>
    </row>
    <row r="2042" spans="1:18" x14ac:dyDescent="0.25">
      <c r="A2042" s="166">
        <v>45008</v>
      </c>
      <c r="B2042" s="116">
        <v>194.9</v>
      </c>
      <c r="C2042" s="116">
        <v>192.27500000000001</v>
      </c>
      <c r="D2042" s="116">
        <v>191.22499999999999</v>
      </c>
      <c r="E2042" s="116">
        <v>192.55</v>
      </c>
      <c r="F2042" s="116">
        <v>384.55</v>
      </c>
      <c r="G2042">
        <v>19851</v>
      </c>
      <c r="H2042" s="116"/>
      <c r="I2042" s="116"/>
      <c r="L2042" s="166">
        <v>45008</v>
      </c>
      <c r="M2042" s="116">
        <v>192.65</v>
      </c>
      <c r="N2042" s="116">
        <v>194.875</v>
      </c>
      <c r="O2042" s="116">
        <v>191.52500000000001</v>
      </c>
      <c r="P2042" s="116">
        <v>192.95</v>
      </c>
      <c r="Q2042" s="116">
        <v>385.3</v>
      </c>
      <c r="R2042">
        <v>125434</v>
      </c>
    </row>
    <row r="2043" spans="1:18" x14ac:dyDescent="0.25">
      <c r="A2043" s="166">
        <v>45009</v>
      </c>
      <c r="B2043" s="116">
        <v>194.5</v>
      </c>
      <c r="C2043" s="116">
        <v>189.55</v>
      </c>
      <c r="D2043" s="116">
        <v>188.07499999999999</v>
      </c>
      <c r="E2043" s="116">
        <v>192.52500000000001</v>
      </c>
      <c r="F2043" s="116">
        <v>379.1</v>
      </c>
      <c r="G2043">
        <v>24478</v>
      </c>
      <c r="H2043" s="116"/>
      <c r="I2043" s="116"/>
      <c r="L2043" s="166">
        <v>45009</v>
      </c>
      <c r="M2043" s="116">
        <v>189.17500000000001</v>
      </c>
      <c r="N2043" s="116">
        <v>194.72499999999999</v>
      </c>
      <c r="O2043" s="116">
        <v>188.02500000000001</v>
      </c>
      <c r="P2043" s="116">
        <v>192</v>
      </c>
      <c r="Q2043" s="116">
        <v>378.35</v>
      </c>
      <c r="R2043">
        <v>116218</v>
      </c>
    </row>
    <row r="2044" spans="1:18" x14ac:dyDescent="0.25">
      <c r="A2044" s="166">
        <v>45012</v>
      </c>
      <c r="B2044" s="116">
        <v>193.5</v>
      </c>
      <c r="C2044" s="116">
        <v>182.32499999999999</v>
      </c>
      <c r="D2044" s="116">
        <v>180.8</v>
      </c>
      <c r="E2044" s="116">
        <v>188.97499999999999</v>
      </c>
      <c r="F2044" s="116">
        <v>364.65</v>
      </c>
      <c r="G2044">
        <v>46938</v>
      </c>
      <c r="H2044" s="116"/>
      <c r="I2044" s="116"/>
      <c r="L2044" s="166">
        <v>45012</v>
      </c>
      <c r="M2044" s="116">
        <v>182.4</v>
      </c>
      <c r="N2044" s="116">
        <v>193.5</v>
      </c>
      <c r="O2044" s="116">
        <v>181.5</v>
      </c>
      <c r="P2044" s="116">
        <v>189.97499999999999</v>
      </c>
      <c r="Q2044" s="116">
        <v>364.8</v>
      </c>
      <c r="R2044">
        <v>150201</v>
      </c>
    </row>
    <row r="2045" spans="1:18" x14ac:dyDescent="0.25">
      <c r="A2045" s="166">
        <v>45013</v>
      </c>
      <c r="B2045" s="116">
        <v>187.8</v>
      </c>
      <c r="C2045" s="116">
        <v>184.92500000000001</v>
      </c>
      <c r="D2045" s="116">
        <v>174.95</v>
      </c>
      <c r="E2045" s="116">
        <v>182.32499999999999</v>
      </c>
      <c r="F2045" s="116">
        <v>369.85</v>
      </c>
      <c r="G2045">
        <v>54866</v>
      </c>
      <c r="H2045" s="116"/>
      <c r="I2045" s="116"/>
      <c r="L2045" s="166">
        <v>45013</v>
      </c>
      <c r="M2045" s="116">
        <v>184.45</v>
      </c>
      <c r="N2045" s="116">
        <v>187.9</v>
      </c>
      <c r="O2045" s="116">
        <v>174.92500000000001</v>
      </c>
      <c r="P2045" s="116">
        <v>182.45</v>
      </c>
      <c r="Q2045" s="116">
        <v>368.9</v>
      </c>
      <c r="R2045">
        <v>355432</v>
      </c>
    </row>
    <row r="2046" spans="1:18" x14ac:dyDescent="0.25">
      <c r="A2046" s="166">
        <v>45014</v>
      </c>
      <c r="B2046" s="116">
        <v>192.27500000000001</v>
      </c>
      <c r="C2046" s="116">
        <v>188.47499999999999</v>
      </c>
      <c r="D2046" s="116">
        <v>182.92500000000001</v>
      </c>
      <c r="E2046" s="116">
        <v>185.5</v>
      </c>
      <c r="F2046" s="116">
        <v>376.95</v>
      </c>
      <c r="G2046">
        <v>34310</v>
      </c>
      <c r="H2046" s="116"/>
      <c r="I2046" s="116"/>
      <c r="L2046" s="166">
        <v>45014</v>
      </c>
      <c r="M2046" s="116">
        <v>189.17500000000001</v>
      </c>
      <c r="N2046" s="116">
        <v>192.375</v>
      </c>
      <c r="O2046" s="116">
        <v>182.52500000000001</v>
      </c>
      <c r="P2046" s="116">
        <v>182.52500000000001</v>
      </c>
      <c r="Q2046" s="116">
        <v>378.35</v>
      </c>
      <c r="R2046">
        <v>264026</v>
      </c>
    </row>
    <row r="2047" spans="1:18" x14ac:dyDescent="0.25">
      <c r="A2047" s="166">
        <v>45016</v>
      </c>
      <c r="B2047" s="116">
        <v>195</v>
      </c>
      <c r="C2047" s="116">
        <v>190.95</v>
      </c>
      <c r="D2047" s="116">
        <v>188.9</v>
      </c>
      <c r="E2047" s="116">
        <v>188.9</v>
      </c>
      <c r="F2047" s="116">
        <v>381.9</v>
      </c>
      <c r="G2047">
        <v>21482</v>
      </c>
      <c r="H2047" s="116"/>
      <c r="I2047" s="116"/>
      <c r="L2047" s="166">
        <v>45016</v>
      </c>
      <c r="M2047" s="116">
        <v>191.07499999999999</v>
      </c>
      <c r="N2047" s="116">
        <v>195.07499999999999</v>
      </c>
      <c r="O2047" s="116">
        <v>189.05</v>
      </c>
      <c r="P2047" s="116">
        <v>189.9</v>
      </c>
      <c r="Q2047" s="116">
        <v>382.15</v>
      </c>
      <c r="R2047">
        <v>166511</v>
      </c>
    </row>
    <row r="2048" spans="1:18" x14ac:dyDescent="0.25">
      <c r="A2048" s="166">
        <v>45019</v>
      </c>
      <c r="B2048" s="116">
        <v>197.4</v>
      </c>
      <c r="C2048" s="116">
        <v>196</v>
      </c>
      <c r="D2048" s="116">
        <v>190.02500000000001</v>
      </c>
      <c r="E2048" s="116">
        <v>190.02500000000001</v>
      </c>
      <c r="F2048" s="116">
        <v>392</v>
      </c>
      <c r="G2048">
        <v>37276</v>
      </c>
      <c r="H2048" s="116"/>
      <c r="I2048" s="116"/>
      <c r="L2048" s="166">
        <v>45019</v>
      </c>
      <c r="M2048" s="116">
        <v>195.75</v>
      </c>
      <c r="N2048" s="116">
        <v>197.5</v>
      </c>
      <c r="O2048" s="116">
        <v>190.42500000000001</v>
      </c>
      <c r="P2048" s="116">
        <v>191.75</v>
      </c>
      <c r="Q2048" s="116">
        <v>391.5</v>
      </c>
      <c r="R2048">
        <v>312611</v>
      </c>
    </row>
    <row r="2049" spans="1:18" x14ac:dyDescent="0.25">
      <c r="A2049" s="166">
        <v>45021</v>
      </c>
      <c r="B2049" s="116">
        <v>201.5</v>
      </c>
      <c r="C2049" s="116">
        <v>198.375</v>
      </c>
      <c r="D2049" s="116">
        <v>194.47499999999999</v>
      </c>
      <c r="E2049" s="116">
        <v>194.47499999999999</v>
      </c>
      <c r="F2049" s="116">
        <v>396.75</v>
      </c>
      <c r="G2049">
        <v>60839</v>
      </c>
      <c r="H2049" s="116"/>
      <c r="I2049" s="116"/>
      <c r="L2049" s="166">
        <v>45021</v>
      </c>
      <c r="M2049" s="116">
        <v>198.82499999999999</v>
      </c>
      <c r="N2049" s="116">
        <v>201.45</v>
      </c>
      <c r="O2049" s="116">
        <v>195.8</v>
      </c>
      <c r="P2049" s="116">
        <v>196.5</v>
      </c>
      <c r="Q2049" s="116">
        <v>397.65</v>
      </c>
      <c r="R2049">
        <v>304315</v>
      </c>
    </row>
    <row r="2050" spans="1:18" x14ac:dyDescent="0.25">
      <c r="A2050" s="166">
        <v>45022</v>
      </c>
      <c r="B2050" s="116">
        <v>202.65</v>
      </c>
      <c r="C2050" s="116">
        <v>201.1</v>
      </c>
      <c r="D2050" s="116">
        <v>196.67500000000001</v>
      </c>
      <c r="E2050" s="116">
        <v>196.67500000000001</v>
      </c>
      <c r="F2050" s="116">
        <v>402.2</v>
      </c>
      <c r="G2050">
        <v>12672</v>
      </c>
      <c r="H2050" s="116"/>
      <c r="I2050" s="116"/>
      <c r="L2050" s="166">
        <v>45022</v>
      </c>
      <c r="M2050" s="116">
        <v>201.47499999999999</v>
      </c>
      <c r="N2050" s="116">
        <v>202.95</v>
      </c>
      <c r="O2050" s="116">
        <v>197.5</v>
      </c>
      <c r="P2050" s="116">
        <v>199.42500000000001</v>
      </c>
      <c r="Q2050" s="116">
        <v>402.95</v>
      </c>
      <c r="R2050">
        <v>292323</v>
      </c>
    </row>
    <row r="2051" spans="1:18" x14ac:dyDescent="0.25">
      <c r="A2051" s="166">
        <v>45026</v>
      </c>
      <c r="B2051" s="116">
        <v>203.22499999999999</v>
      </c>
      <c r="C2051" s="116">
        <v>199.85</v>
      </c>
      <c r="D2051" s="116">
        <v>197.875</v>
      </c>
      <c r="E2051" s="116">
        <v>199.35</v>
      </c>
      <c r="F2051" s="116">
        <v>399.7</v>
      </c>
      <c r="G2051">
        <v>23941</v>
      </c>
      <c r="H2051" s="116"/>
      <c r="I2051" s="116"/>
      <c r="L2051" s="166">
        <v>45026</v>
      </c>
      <c r="M2051" s="116">
        <v>199.67500000000001</v>
      </c>
      <c r="N2051" s="116">
        <v>203.47499999999999</v>
      </c>
      <c r="O2051" s="116">
        <v>197.8</v>
      </c>
      <c r="P2051" s="116">
        <v>202.5</v>
      </c>
      <c r="Q2051" s="116">
        <v>399.35</v>
      </c>
      <c r="R2051">
        <v>111582</v>
      </c>
    </row>
    <row r="2052" spans="1:18" x14ac:dyDescent="0.25">
      <c r="A2052" s="166">
        <v>45027</v>
      </c>
      <c r="B2052" s="116">
        <v>218</v>
      </c>
      <c r="C2052" s="116">
        <v>216.45</v>
      </c>
      <c r="D2052" s="116">
        <v>200.77500000000001</v>
      </c>
      <c r="E2052" s="116">
        <v>201.375</v>
      </c>
      <c r="F2052" s="116">
        <v>432.9</v>
      </c>
      <c r="G2052">
        <v>155321</v>
      </c>
      <c r="H2052" s="116"/>
      <c r="I2052" s="116"/>
      <c r="L2052" s="166">
        <v>45027</v>
      </c>
      <c r="M2052" s="116">
        <v>216.35</v>
      </c>
      <c r="N2052" s="116">
        <v>218.125</v>
      </c>
      <c r="O2052" s="116">
        <v>200.75</v>
      </c>
      <c r="P2052" s="116">
        <v>201.5</v>
      </c>
      <c r="Q2052" s="116">
        <v>432.7</v>
      </c>
      <c r="R2052">
        <v>1251103</v>
      </c>
    </row>
    <row r="2053" spans="1:18" x14ac:dyDescent="0.25">
      <c r="A2053" s="166">
        <v>45028</v>
      </c>
      <c r="B2053" s="116">
        <v>223</v>
      </c>
      <c r="C2053" s="116">
        <v>215.77500000000001</v>
      </c>
      <c r="D2053" s="116">
        <v>213</v>
      </c>
      <c r="E2053" s="116">
        <v>216.3</v>
      </c>
      <c r="F2053" s="116">
        <v>431.55</v>
      </c>
      <c r="G2053">
        <v>109596</v>
      </c>
      <c r="H2053" s="116"/>
      <c r="I2053" s="116"/>
      <c r="L2053" s="166">
        <v>45028</v>
      </c>
      <c r="M2053" s="116">
        <v>216.75</v>
      </c>
      <c r="N2053" s="116">
        <v>223.2</v>
      </c>
      <c r="O2053" s="116">
        <v>213.97499999999999</v>
      </c>
      <c r="P2053" s="116">
        <v>217.72499999999999</v>
      </c>
      <c r="Q2053" s="116">
        <v>433.5</v>
      </c>
      <c r="R2053">
        <v>901288</v>
      </c>
    </row>
    <row r="2054" spans="1:18" x14ac:dyDescent="0.25">
      <c r="A2054" s="166">
        <v>45029</v>
      </c>
      <c r="B2054" s="116">
        <v>226.7</v>
      </c>
      <c r="C2054" s="116">
        <v>225.42500000000001</v>
      </c>
      <c r="D2054" s="116">
        <v>215.27500000000001</v>
      </c>
      <c r="E2054" s="116">
        <v>215.77500000000001</v>
      </c>
      <c r="F2054" s="116">
        <v>450.85</v>
      </c>
      <c r="G2054">
        <v>55362</v>
      </c>
      <c r="H2054" s="116"/>
      <c r="I2054" s="116"/>
      <c r="L2054" s="166">
        <v>45029</v>
      </c>
      <c r="M2054" s="116">
        <v>224.97499999999999</v>
      </c>
      <c r="N2054" s="116">
        <v>226.7</v>
      </c>
      <c r="O2054" s="116">
        <v>214.97499999999999</v>
      </c>
      <c r="P2054" s="116">
        <v>215.75</v>
      </c>
      <c r="Q2054" s="116">
        <v>449.95</v>
      </c>
      <c r="R2054">
        <v>724259</v>
      </c>
    </row>
    <row r="2055" spans="1:18" x14ac:dyDescent="0.25">
      <c r="A2055" s="166">
        <v>45033</v>
      </c>
      <c r="B2055" s="116">
        <v>226.67500000000001</v>
      </c>
      <c r="C2055" s="116">
        <v>221.17500000000001</v>
      </c>
      <c r="D2055" s="116">
        <v>219.07499999999999</v>
      </c>
      <c r="E2055" s="116">
        <v>222.625</v>
      </c>
      <c r="F2055" s="116">
        <v>442.35</v>
      </c>
      <c r="G2055">
        <v>40982</v>
      </c>
      <c r="H2055" s="116"/>
      <c r="I2055" s="116"/>
      <c r="L2055" s="166">
        <v>45033</v>
      </c>
      <c r="M2055" s="116">
        <v>221.47499999999999</v>
      </c>
      <c r="N2055" s="116">
        <v>226.7</v>
      </c>
      <c r="O2055" s="116">
        <v>218.97499999999999</v>
      </c>
      <c r="P2055" s="116">
        <v>225.17500000000001</v>
      </c>
      <c r="Q2055" s="116">
        <v>442.95</v>
      </c>
      <c r="R2055">
        <v>278394</v>
      </c>
    </row>
    <row r="2056" spans="1:18" x14ac:dyDescent="0.25">
      <c r="A2056" s="166">
        <v>45034</v>
      </c>
      <c r="B2056" s="116">
        <v>224.47499999999999</v>
      </c>
      <c r="C2056" s="116">
        <v>218.15</v>
      </c>
      <c r="D2056" s="116">
        <v>216.07499999999999</v>
      </c>
      <c r="E2056" s="116">
        <v>221.5</v>
      </c>
      <c r="F2056" s="116">
        <v>436.3</v>
      </c>
      <c r="G2056">
        <v>23254</v>
      </c>
      <c r="H2056" s="116"/>
      <c r="I2056" s="116"/>
      <c r="L2056" s="166">
        <v>45034</v>
      </c>
      <c r="M2056" s="116">
        <v>218.125</v>
      </c>
      <c r="N2056" s="116">
        <v>224.5</v>
      </c>
      <c r="O2056" s="116">
        <v>216.15</v>
      </c>
      <c r="P2056" s="116">
        <v>222.6</v>
      </c>
      <c r="Q2056" s="116">
        <v>436.25</v>
      </c>
      <c r="R2056">
        <v>194086</v>
      </c>
    </row>
    <row r="2057" spans="1:18" x14ac:dyDescent="0.25">
      <c r="A2057" s="166">
        <v>45035</v>
      </c>
      <c r="B2057" s="116">
        <v>227.5</v>
      </c>
      <c r="C2057" s="116">
        <v>222.25</v>
      </c>
      <c r="D2057" s="116">
        <v>217.47499999999999</v>
      </c>
      <c r="E2057" s="116">
        <v>217.47499999999999</v>
      </c>
      <c r="F2057" s="116">
        <v>444.5</v>
      </c>
      <c r="G2057">
        <v>43895</v>
      </c>
      <c r="H2057" s="116"/>
      <c r="I2057" s="116"/>
      <c r="L2057" s="166">
        <v>45035</v>
      </c>
      <c r="M2057" s="116">
        <v>222.22499999999999</v>
      </c>
      <c r="N2057" s="116">
        <v>227.65</v>
      </c>
      <c r="O2057" s="116">
        <v>218.27500000000001</v>
      </c>
      <c r="P2057" s="116">
        <v>219.2</v>
      </c>
      <c r="Q2057" s="116">
        <v>444.45</v>
      </c>
      <c r="R2057">
        <v>428440</v>
      </c>
    </row>
    <row r="2058" spans="1:18" x14ac:dyDescent="0.25">
      <c r="A2058" s="166">
        <v>45036</v>
      </c>
      <c r="B2058" s="116">
        <v>226.45</v>
      </c>
      <c r="C2058" s="116">
        <v>224.47499999999999</v>
      </c>
      <c r="D2058" s="116">
        <v>221.25</v>
      </c>
      <c r="E2058" s="116">
        <v>222.4</v>
      </c>
      <c r="F2058" s="116">
        <v>448.95</v>
      </c>
      <c r="G2058">
        <v>40154</v>
      </c>
      <c r="H2058" s="116"/>
      <c r="I2058" s="116"/>
      <c r="L2058" s="166">
        <v>45036</v>
      </c>
      <c r="M2058" s="116">
        <v>224.07499999999999</v>
      </c>
      <c r="N2058" s="116">
        <v>226.9</v>
      </c>
      <c r="O2058" s="116">
        <v>221.25</v>
      </c>
      <c r="P2058" s="116">
        <v>223.25</v>
      </c>
      <c r="Q2058" s="116">
        <v>448.15</v>
      </c>
      <c r="R2058">
        <v>232195</v>
      </c>
    </row>
    <row r="2059" spans="1:18" x14ac:dyDescent="0.25">
      <c r="A2059" s="166">
        <v>45037</v>
      </c>
      <c r="B2059" s="116">
        <v>227.5</v>
      </c>
      <c r="C2059" s="116">
        <v>222.75</v>
      </c>
      <c r="D2059" s="116">
        <v>219.3</v>
      </c>
      <c r="E2059" s="116">
        <v>224.47499999999999</v>
      </c>
      <c r="F2059" s="116">
        <v>445.5</v>
      </c>
      <c r="G2059">
        <v>40740</v>
      </c>
      <c r="H2059" s="116"/>
      <c r="I2059" s="116"/>
      <c r="L2059" s="166">
        <v>45037</v>
      </c>
      <c r="M2059" s="116">
        <v>222.375</v>
      </c>
      <c r="N2059" s="116">
        <v>227.85</v>
      </c>
      <c r="O2059" s="116">
        <v>219.27500000000001</v>
      </c>
      <c r="P2059" s="116">
        <v>224.82499999999999</v>
      </c>
      <c r="Q2059" s="116">
        <v>444.75</v>
      </c>
      <c r="R2059">
        <v>202192</v>
      </c>
    </row>
    <row r="2060" spans="1:18" x14ac:dyDescent="0.25">
      <c r="A2060" s="166">
        <v>45040</v>
      </c>
      <c r="B2060" s="116">
        <v>230.97499999999999</v>
      </c>
      <c r="C2060" s="116">
        <v>230.05</v>
      </c>
      <c r="D2060" s="116">
        <v>222.5</v>
      </c>
      <c r="E2060" s="116">
        <v>223.97499999999999</v>
      </c>
      <c r="F2060" s="116">
        <v>460.1</v>
      </c>
      <c r="G2060">
        <v>58070</v>
      </c>
      <c r="H2060" s="116"/>
      <c r="I2060" s="116"/>
      <c r="L2060" s="166">
        <v>45040</v>
      </c>
      <c r="M2060" s="116">
        <v>229.9</v>
      </c>
      <c r="N2060" s="116">
        <v>230.75</v>
      </c>
      <c r="O2060" s="116">
        <v>222.5</v>
      </c>
      <c r="P2060" s="116">
        <v>222.52500000000001</v>
      </c>
      <c r="Q2060" s="116">
        <v>459.8</v>
      </c>
      <c r="R2060">
        <v>526418</v>
      </c>
    </row>
    <row r="2061" spans="1:18" x14ac:dyDescent="0.25">
      <c r="A2061" s="166">
        <v>45041</v>
      </c>
      <c r="B2061" s="116">
        <v>236.75</v>
      </c>
      <c r="C2061" s="116">
        <v>211.35</v>
      </c>
      <c r="D2061" s="116">
        <v>203.77500000000001</v>
      </c>
      <c r="E2061" s="116">
        <v>231</v>
      </c>
      <c r="F2061" s="116">
        <v>422.7</v>
      </c>
      <c r="G2061">
        <v>229631</v>
      </c>
      <c r="H2061" s="116"/>
      <c r="I2061" s="116"/>
      <c r="L2061" s="166">
        <v>45041</v>
      </c>
      <c r="M2061" s="116">
        <v>210.57499999999999</v>
      </c>
      <c r="N2061" s="116">
        <v>236.875</v>
      </c>
      <c r="O2061" s="116">
        <v>203.77500000000001</v>
      </c>
      <c r="P2061" s="116">
        <v>231</v>
      </c>
      <c r="Q2061" s="116">
        <v>421.15</v>
      </c>
      <c r="R2061">
        <v>2149468</v>
      </c>
    </row>
    <row r="2062" spans="1:18" x14ac:dyDescent="0.25">
      <c r="A2062" s="166">
        <v>45042</v>
      </c>
      <c r="B2062" s="116">
        <v>222.4</v>
      </c>
      <c r="C2062" s="116">
        <v>209.52500000000001</v>
      </c>
      <c r="D2062" s="116">
        <v>206.55</v>
      </c>
      <c r="E2062" s="116">
        <v>212.5</v>
      </c>
      <c r="F2062" s="116">
        <v>419.05</v>
      </c>
      <c r="G2062">
        <v>175749</v>
      </c>
      <c r="H2062" s="116"/>
      <c r="I2062" s="116"/>
      <c r="L2062" s="166">
        <v>45042</v>
      </c>
      <c r="M2062" s="116">
        <v>209.92500000000001</v>
      </c>
      <c r="N2062" s="116">
        <v>222.45</v>
      </c>
      <c r="O2062" s="116">
        <v>206.5</v>
      </c>
      <c r="P2062" s="116">
        <v>212.5</v>
      </c>
      <c r="Q2062" s="116">
        <v>419.85</v>
      </c>
      <c r="R2062">
        <v>1209551</v>
      </c>
    </row>
    <row r="2063" spans="1:18" x14ac:dyDescent="0.25">
      <c r="A2063" s="166">
        <v>45043</v>
      </c>
      <c r="B2063" s="116">
        <v>215.47499999999999</v>
      </c>
      <c r="C2063" s="116">
        <v>213.92500000000001</v>
      </c>
      <c r="D2063" s="116">
        <v>211.17500000000001</v>
      </c>
      <c r="E2063" s="116">
        <v>212.47499999999999</v>
      </c>
      <c r="F2063" s="116">
        <v>427.85</v>
      </c>
      <c r="G2063">
        <v>16949</v>
      </c>
      <c r="H2063" s="116"/>
      <c r="I2063" s="116"/>
      <c r="L2063" s="166">
        <v>45043</v>
      </c>
      <c r="M2063" s="116">
        <v>213.77500000000001</v>
      </c>
      <c r="N2063" s="116">
        <v>215.3</v>
      </c>
      <c r="O2063" s="116">
        <v>211</v>
      </c>
      <c r="P2063" s="116">
        <v>211.4</v>
      </c>
      <c r="Q2063" s="116">
        <v>427.55</v>
      </c>
      <c r="R2063">
        <v>323478</v>
      </c>
    </row>
    <row r="2064" spans="1:18" x14ac:dyDescent="0.25">
      <c r="A2064" s="166">
        <v>45044</v>
      </c>
      <c r="B2064" s="116">
        <v>218.1</v>
      </c>
      <c r="C2064" s="116">
        <v>216.7</v>
      </c>
      <c r="D2064" s="116">
        <v>216</v>
      </c>
      <c r="E2064" s="116">
        <v>217</v>
      </c>
      <c r="F2064" s="116">
        <v>433.4</v>
      </c>
      <c r="G2064">
        <v>38976</v>
      </c>
      <c r="H2064" s="116"/>
      <c r="I2064" s="116"/>
      <c r="L2064" s="166">
        <v>45044</v>
      </c>
      <c r="M2064" s="116">
        <v>217.07499999999999</v>
      </c>
      <c r="N2064" s="116">
        <v>218.5</v>
      </c>
      <c r="O2064" s="116">
        <v>215.77500000000001</v>
      </c>
      <c r="P2064" s="116">
        <v>217.5</v>
      </c>
      <c r="Q2064" s="116">
        <v>434.15</v>
      </c>
      <c r="R2064">
        <v>287647</v>
      </c>
    </row>
    <row r="2065" spans="1:18" x14ac:dyDescent="0.25">
      <c r="A2065" s="166">
        <v>45048</v>
      </c>
      <c r="B2065" s="116">
        <v>221.8</v>
      </c>
      <c r="C2065" s="116">
        <v>216.22499999999999</v>
      </c>
      <c r="D2065" s="116">
        <v>215.5</v>
      </c>
      <c r="E2065" s="116">
        <v>221.8</v>
      </c>
      <c r="F2065" s="116">
        <v>432.45</v>
      </c>
      <c r="G2065">
        <v>12984</v>
      </c>
      <c r="H2065" s="116"/>
      <c r="I2065" s="116"/>
      <c r="L2065" s="166">
        <v>45048</v>
      </c>
      <c r="M2065" s="116">
        <v>216.2</v>
      </c>
      <c r="N2065" s="116">
        <v>221.875</v>
      </c>
      <c r="O2065" s="116">
        <v>215.1</v>
      </c>
      <c r="P2065" s="116">
        <v>218.5</v>
      </c>
      <c r="Q2065" s="116">
        <v>432.4</v>
      </c>
      <c r="R2065">
        <v>274771</v>
      </c>
    </row>
    <row r="2066" spans="1:18" x14ac:dyDescent="0.25">
      <c r="A2066" s="166">
        <v>45049</v>
      </c>
      <c r="B2066" s="116">
        <v>217.82499999999999</v>
      </c>
      <c r="C2066" s="116">
        <v>215.17500000000001</v>
      </c>
      <c r="D2066" s="116">
        <v>214.65</v>
      </c>
      <c r="E2066" s="116">
        <v>216.6</v>
      </c>
      <c r="F2066" s="116">
        <v>430.35</v>
      </c>
      <c r="G2066">
        <v>22182</v>
      </c>
      <c r="H2066" s="116"/>
      <c r="I2066" s="116"/>
      <c r="L2066" s="166">
        <v>45049</v>
      </c>
      <c r="M2066" s="116">
        <v>215.25</v>
      </c>
      <c r="N2066" s="116">
        <v>217.85</v>
      </c>
      <c r="O2066" s="116">
        <v>214.5</v>
      </c>
      <c r="P2066" s="116">
        <v>215.22499999999999</v>
      </c>
      <c r="Q2066" s="116">
        <v>430.5</v>
      </c>
      <c r="R2066">
        <v>199600</v>
      </c>
    </row>
    <row r="2067" spans="1:18" x14ac:dyDescent="0.25">
      <c r="A2067" s="166">
        <v>45050</v>
      </c>
      <c r="B2067" s="116">
        <v>220.125</v>
      </c>
      <c r="C2067" s="116">
        <v>219.7</v>
      </c>
      <c r="D2067" s="116">
        <v>216</v>
      </c>
      <c r="E2067" s="116">
        <v>216</v>
      </c>
      <c r="F2067" s="116">
        <v>439.4</v>
      </c>
      <c r="G2067">
        <v>14180</v>
      </c>
      <c r="H2067" s="116"/>
      <c r="I2067" s="116"/>
      <c r="L2067" s="166">
        <v>45050</v>
      </c>
      <c r="M2067" s="116">
        <v>219.82499999999999</v>
      </c>
      <c r="N2067" s="116">
        <v>220.1</v>
      </c>
      <c r="O2067" s="116">
        <v>215.27500000000001</v>
      </c>
      <c r="P2067" s="116">
        <v>216.25</v>
      </c>
      <c r="Q2067" s="116">
        <v>439.65</v>
      </c>
      <c r="R2067">
        <v>235159</v>
      </c>
    </row>
    <row r="2068" spans="1:18" x14ac:dyDescent="0.25">
      <c r="A2068" s="166">
        <v>45051</v>
      </c>
      <c r="B2068" s="116">
        <v>224</v>
      </c>
      <c r="C2068" s="116">
        <v>221.97499999999999</v>
      </c>
      <c r="D2068" s="116">
        <v>219.5</v>
      </c>
      <c r="E2068" s="116">
        <v>219.5</v>
      </c>
      <c r="F2068" s="116">
        <v>443.95</v>
      </c>
      <c r="G2068">
        <v>16927</v>
      </c>
      <c r="H2068" s="116"/>
      <c r="I2068" s="116"/>
      <c r="L2068" s="166">
        <v>45051</v>
      </c>
      <c r="M2068" s="116">
        <v>222.125</v>
      </c>
      <c r="N2068" s="116">
        <v>224.125</v>
      </c>
      <c r="O2068" s="116">
        <v>219.875</v>
      </c>
      <c r="P2068" s="116">
        <v>220.52500000000001</v>
      </c>
      <c r="Q2068" s="116">
        <v>444.25</v>
      </c>
      <c r="R2068">
        <v>258035</v>
      </c>
    </row>
    <row r="2069" spans="1:18" x14ac:dyDescent="0.25">
      <c r="A2069" s="166">
        <v>45054</v>
      </c>
      <c r="B2069" s="116">
        <v>227</v>
      </c>
      <c r="C2069" s="116">
        <v>224.375</v>
      </c>
      <c r="D2069" s="116">
        <v>222.125</v>
      </c>
      <c r="E2069" s="116">
        <v>222.125</v>
      </c>
      <c r="F2069" s="116">
        <v>448.75</v>
      </c>
      <c r="G2069">
        <v>17602</v>
      </c>
      <c r="H2069" s="116"/>
      <c r="I2069" s="116"/>
      <c r="L2069" s="166">
        <v>45054</v>
      </c>
      <c r="M2069" s="116">
        <v>224.32499999999999</v>
      </c>
      <c r="N2069" s="116">
        <v>227.05</v>
      </c>
      <c r="O2069" s="116">
        <v>222.65</v>
      </c>
      <c r="P2069" s="116">
        <v>223.32499999999999</v>
      </c>
      <c r="Q2069" s="116">
        <v>448.65</v>
      </c>
      <c r="R2069">
        <v>241228</v>
      </c>
    </row>
    <row r="2070" spans="1:18" x14ac:dyDescent="0.25">
      <c r="A2070" s="166">
        <v>45055</v>
      </c>
      <c r="B2070" s="116">
        <v>228</v>
      </c>
      <c r="C2070" s="116">
        <v>221.1</v>
      </c>
      <c r="D2070" s="116">
        <v>220.25</v>
      </c>
      <c r="E2070" s="116">
        <v>224.4</v>
      </c>
      <c r="F2070" s="116">
        <v>442.2</v>
      </c>
      <c r="G2070">
        <v>36834</v>
      </c>
      <c r="H2070" s="116"/>
      <c r="I2070" s="116"/>
      <c r="L2070" s="166">
        <v>45055</v>
      </c>
      <c r="M2070" s="116">
        <v>220.9</v>
      </c>
      <c r="N2070" s="116">
        <v>227.95</v>
      </c>
      <c r="O2070" s="116">
        <v>220.15</v>
      </c>
      <c r="P2070" s="116">
        <v>225.1</v>
      </c>
      <c r="Q2070" s="116">
        <v>441.8</v>
      </c>
      <c r="R2070">
        <v>321543</v>
      </c>
    </row>
    <row r="2071" spans="1:18" x14ac:dyDescent="0.25">
      <c r="A2071" s="166">
        <v>45056</v>
      </c>
      <c r="B2071" s="116">
        <v>221.875</v>
      </c>
      <c r="C2071" s="116">
        <v>218.125</v>
      </c>
      <c r="D2071" s="116">
        <v>217.45</v>
      </c>
      <c r="E2071" s="116">
        <v>219.52500000000001</v>
      </c>
      <c r="F2071" s="116">
        <v>436.25</v>
      </c>
      <c r="G2071">
        <v>13802</v>
      </c>
      <c r="H2071" s="116"/>
      <c r="I2071" s="116"/>
      <c r="L2071" s="166">
        <v>45056</v>
      </c>
      <c r="M2071" s="116">
        <v>218.5</v>
      </c>
      <c r="N2071" s="116">
        <v>222</v>
      </c>
      <c r="O2071" s="116">
        <v>217.5</v>
      </c>
      <c r="P2071" s="116">
        <v>222</v>
      </c>
      <c r="Q2071" s="116">
        <v>437</v>
      </c>
      <c r="R2071">
        <v>131177</v>
      </c>
    </row>
    <row r="2072" spans="1:18" x14ac:dyDescent="0.25">
      <c r="A2072" s="166">
        <v>45057</v>
      </c>
      <c r="B2072" s="116">
        <v>229.5</v>
      </c>
      <c r="C2072" s="116">
        <v>228.375</v>
      </c>
      <c r="D2072" s="116">
        <v>217.625</v>
      </c>
      <c r="E2072" s="116">
        <v>217.625</v>
      </c>
      <c r="F2072" s="116">
        <v>456.75</v>
      </c>
      <c r="G2072">
        <v>25796</v>
      </c>
      <c r="H2072" s="116"/>
      <c r="I2072" s="116"/>
      <c r="L2072" s="166">
        <v>45057</v>
      </c>
      <c r="M2072" s="116">
        <v>228.05</v>
      </c>
      <c r="N2072" s="116">
        <v>229.5</v>
      </c>
      <c r="O2072" s="116">
        <v>218.52500000000001</v>
      </c>
      <c r="P2072" s="116">
        <v>220.47499999999999</v>
      </c>
      <c r="Q2072" s="116">
        <v>456.1</v>
      </c>
      <c r="R2072">
        <v>308619</v>
      </c>
    </row>
    <row r="2073" spans="1:18" x14ac:dyDescent="0.25">
      <c r="A2073" s="166">
        <v>45058</v>
      </c>
      <c r="B2073" s="116">
        <v>257.5</v>
      </c>
      <c r="C2073" s="116">
        <v>252.92500000000001</v>
      </c>
      <c r="D2073" s="116">
        <v>228.375</v>
      </c>
      <c r="E2073" s="116">
        <v>228.5</v>
      </c>
      <c r="F2073" s="116">
        <v>505.85</v>
      </c>
      <c r="G2073">
        <v>337537</v>
      </c>
      <c r="H2073" s="116"/>
      <c r="I2073" s="116"/>
      <c r="L2073" s="166">
        <v>45058</v>
      </c>
      <c r="M2073" s="116">
        <v>252.2</v>
      </c>
      <c r="N2073" s="116">
        <v>255.9</v>
      </c>
      <c r="O2073" s="116">
        <v>228</v>
      </c>
      <c r="P2073" s="116">
        <v>228</v>
      </c>
      <c r="Q2073" s="116">
        <v>504.4</v>
      </c>
      <c r="R2073">
        <v>2919693</v>
      </c>
    </row>
    <row r="2074" spans="1:18" x14ac:dyDescent="0.25">
      <c r="A2074" s="166">
        <v>45061</v>
      </c>
      <c r="B2074" s="116">
        <v>262.60000000000002</v>
      </c>
      <c r="C2074" s="116">
        <v>259.17500000000001</v>
      </c>
      <c r="D2074" s="116">
        <v>254.7</v>
      </c>
      <c r="E2074" s="116">
        <v>258</v>
      </c>
      <c r="F2074" s="116">
        <v>518.35</v>
      </c>
      <c r="G2074">
        <v>156096</v>
      </c>
      <c r="H2074" s="116"/>
      <c r="I2074" s="116"/>
      <c r="L2074" s="166">
        <v>45061</v>
      </c>
      <c r="M2074" s="116">
        <v>259.39999999999998</v>
      </c>
      <c r="N2074" s="116">
        <v>262.97500000000002</v>
      </c>
      <c r="O2074" s="116">
        <v>254.85</v>
      </c>
      <c r="P2074" s="116">
        <v>260</v>
      </c>
      <c r="Q2074" s="116">
        <v>518.79999999999995</v>
      </c>
      <c r="R2074">
        <v>1296280</v>
      </c>
    </row>
    <row r="2075" spans="1:18" x14ac:dyDescent="0.25">
      <c r="A2075" s="166">
        <v>45062</v>
      </c>
      <c r="B2075" s="116">
        <v>268</v>
      </c>
      <c r="C2075" s="116">
        <v>267.02499999999998</v>
      </c>
      <c r="D2075" s="116">
        <v>254.97499999999999</v>
      </c>
      <c r="E2075" s="116">
        <v>263.92500000000001</v>
      </c>
      <c r="F2075" s="116">
        <v>534.04999999999995</v>
      </c>
      <c r="G2075">
        <v>71293</v>
      </c>
      <c r="H2075" s="116"/>
      <c r="I2075" s="116"/>
      <c r="L2075" s="166">
        <v>45062</v>
      </c>
      <c r="M2075" s="116">
        <v>266.875</v>
      </c>
      <c r="N2075" s="116">
        <v>267.97500000000002</v>
      </c>
      <c r="O2075" s="116">
        <v>255.25</v>
      </c>
      <c r="P2075" s="116">
        <v>261</v>
      </c>
      <c r="Q2075" s="116">
        <v>533.75</v>
      </c>
      <c r="R2075">
        <v>875773</v>
      </c>
    </row>
    <row r="2076" spans="1:18" x14ac:dyDescent="0.25">
      <c r="A2076" s="166">
        <v>45063</v>
      </c>
      <c r="B2076" s="116">
        <v>271.02499999999998</v>
      </c>
      <c r="C2076" s="116">
        <v>269.42500000000001</v>
      </c>
      <c r="D2076" s="116">
        <v>263.05</v>
      </c>
      <c r="E2076" s="116">
        <v>265.72500000000002</v>
      </c>
      <c r="F2076" s="116">
        <v>538.85</v>
      </c>
      <c r="G2076">
        <v>106137</v>
      </c>
      <c r="H2076" s="116"/>
      <c r="I2076" s="116"/>
      <c r="L2076" s="166">
        <v>45063</v>
      </c>
      <c r="M2076" s="116">
        <v>269.35000000000002</v>
      </c>
      <c r="N2076" s="116">
        <v>270.97500000000002</v>
      </c>
      <c r="O2076" s="116">
        <v>263.25</v>
      </c>
      <c r="P2076" s="116">
        <v>265.02499999999998</v>
      </c>
      <c r="Q2076" s="116">
        <v>538.70000000000005</v>
      </c>
      <c r="R2076">
        <v>572002</v>
      </c>
    </row>
    <row r="2077" spans="1:18" x14ac:dyDescent="0.25">
      <c r="A2077" s="166">
        <v>45064</v>
      </c>
      <c r="B2077" s="116">
        <v>277.47500000000002</v>
      </c>
      <c r="C2077" s="116">
        <v>275.77499999999998</v>
      </c>
      <c r="D2077" s="116">
        <v>269.97500000000002</v>
      </c>
      <c r="E2077" s="116">
        <v>271.97500000000002</v>
      </c>
      <c r="F2077" s="116">
        <v>551.54999999999995</v>
      </c>
      <c r="G2077">
        <v>67923</v>
      </c>
      <c r="H2077" s="116"/>
      <c r="I2077" s="116"/>
      <c r="L2077" s="166">
        <v>45064</v>
      </c>
      <c r="M2077" s="116">
        <v>276.2</v>
      </c>
      <c r="N2077" s="116">
        <v>277.5</v>
      </c>
      <c r="O2077" s="116">
        <v>270</v>
      </c>
      <c r="P2077" s="116">
        <v>271</v>
      </c>
      <c r="Q2077" s="116">
        <v>552.4</v>
      </c>
      <c r="R2077">
        <v>759995</v>
      </c>
    </row>
    <row r="2078" spans="1:18" x14ac:dyDescent="0.25">
      <c r="A2078" s="166">
        <v>45065</v>
      </c>
      <c r="B2078" s="116">
        <v>282.875</v>
      </c>
      <c r="C2078" s="116">
        <v>281.75</v>
      </c>
      <c r="D2078" s="116">
        <v>263.8</v>
      </c>
      <c r="E2078" s="116">
        <v>278.47500000000002</v>
      </c>
      <c r="F2078" s="116">
        <v>563.5</v>
      </c>
      <c r="G2078">
        <v>59762</v>
      </c>
      <c r="H2078" s="116"/>
      <c r="I2078" s="116"/>
      <c r="L2078" s="166">
        <v>45065</v>
      </c>
      <c r="M2078" s="116">
        <v>281.55</v>
      </c>
      <c r="N2078" s="116">
        <v>282.875</v>
      </c>
      <c r="O2078" s="116">
        <v>263.55</v>
      </c>
      <c r="P2078" s="116">
        <v>276.5</v>
      </c>
      <c r="Q2078" s="116">
        <v>563.1</v>
      </c>
      <c r="R2078">
        <v>831121</v>
      </c>
    </row>
    <row r="2079" spans="1:18" x14ac:dyDescent="0.25">
      <c r="A2079" s="166">
        <v>45068</v>
      </c>
      <c r="B2079" s="116">
        <v>281.75</v>
      </c>
      <c r="C2079" s="116">
        <v>276.75</v>
      </c>
      <c r="D2079" s="116">
        <v>275.125</v>
      </c>
      <c r="E2079" s="116">
        <v>281.75</v>
      </c>
      <c r="F2079" s="116">
        <v>553.5</v>
      </c>
      <c r="G2079">
        <v>49587</v>
      </c>
      <c r="H2079" s="116"/>
      <c r="I2079" s="116"/>
      <c r="L2079" s="166">
        <v>45068</v>
      </c>
      <c r="M2079" s="116">
        <v>276.67500000000001</v>
      </c>
      <c r="N2079" s="116">
        <v>281.55</v>
      </c>
      <c r="O2079" s="116">
        <v>275</v>
      </c>
      <c r="P2079" s="116">
        <v>281.5</v>
      </c>
      <c r="Q2079" s="116">
        <v>553.35</v>
      </c>
      <c r="R2079">
        <v>356156</v>
      </c>
    </row>
    <row r="2080" spans="1:18" x14ac:dyDescent="0.25">
      <c r="A2080" s="166">
        <v>45069</v>
      </c>
      <c r="B2080" s="116">
        <v>281.35000000000002</v>
      </c>
      <c r="C2080" s="116">
        <v>278.57499999999999</v>
      </c>
      <c r="D2080" s="116">
        <v>271.60000000000002</v>
      </c>
      <c r="E2080" s="116">
        <v>276.67500000000001</v>
      </c>
      <c r="F2080" s="116">
        <v>557.15</v>
      </c>
      <c r="G2080">
        <v>34361</v>
      </c>
      <c r="H2080" s="116"/>
      <c r="I2080" s="116"/>
      <c r="L2080" s="166">
        <v>45069</v>
      </c>
      <c r="M2080" s="116">
        <v>278.52499999999998</v>
      </c>
      <c r="N2080" s="116">
        <v>281.5</v>
      </c>
      <c r="O2080" s="116">
        <v>271.67500000000001</v>
      </c>
      <c r="P2080" s="116">
        <v>276</v>
      </c>
      <c r="Q2080" s="116">
        <v>557.04999999999995</v>
      </c>
      <c r="R2080">
        <v>364627</v>
      </c>
    </row>
    <row r="2081" spans="1:18" x14ac:dyDescent="0.25">
      <c r="A2081" s="166">
        <v>45070</v>
      </c>
      <c r="B2081" s="116">
        <v>284.52499999999998</v>
      </c>
      <c r="C2081" s="116">
        <v>279.7</v>
      </c>
      <c r="D2081" s="116">
        <v>275.75</v>
      </c>
      <c r="E2081" s="116">
        <v>275.75</v>
      </c>
      <c r="F2081" s="116">
        <v>559.4</v>
      </c>
      <c r="G2081">
        <v>37454</v>
      </c>
      <c r="H2081" s="116"/>
      <c r="I2081" s="116"/>
      <c r="L2081" s="166">
        <v>45070</v>
      </c>
      <c r="M2081" s="116">
        <v>279.60000000000002</v>
      </c>
      <c r="N2081" s="116">
        <v>284.7</v>
      </c>
      <c r="O2081" s="116">
        <v>275</v>
      </c>
      <c r="P2081" s="116">
        <v>275</v>
      </c>
      <c r="Q2081" s="116">
        <v>559.20000000000005</v>
      </c>
      <c r="R2081">
        <v>301664</v>
      </c>
    </row>
    <row r="2082" spans="1:18" x14ac:dyDescent="0.25">
      <c r="A2082" s="166">
        <v>45071</v>
      </c>
      <c r="B2082" s="116">
        <v>297.42500000000001</v>
      </c>
      <c r="C2082" s="116">
        <v>296.39999999999998</v>
      </c>
      <c r="D2082" s="116">
        <v>278.5</v>
      </c>
      <c r="E2082" s="116">
        <v>279.57499999999999</v>
      </c>
      <c r="F2082" s="116">
        <v>592.79999999999995</v>
      </c>
      <c r="G2082">
        <v>86878</v>
      </c>
      <c r="H2082" s="116"/>
      <c r="I2082" s="116"/>
      <c r="L2082" s="166">
        <v>45071</v>
      </c>
      <c r="M2082" s="116">
        <v>296.25</v>
      </c>
      <c r="N2082" s="116">
        <v>297.5</v>
      </c>
      <c r="O2082" s="116">
        <v>278.75</v>
      </c>
      <c r="P2082" s="116">
        <v>279.72500000000002</v>
      </c>
      <c r="Q2082" s="116">
        <v>592.5</v>
      </c>
      <c r="R2082">
        <v>891649</v>
      </c>
    </row>
    <row r="2083" spans="1:18" x14ac:dyDescent="0.25">
      <c r="A2083" s="166">
        <v>45072</v>
      </c>
      <c r="B2083" s="116">
        <v>299.97500000000002</v>
      </c>
      <c r="C2083" s="116">
        <v>290.7</v>
      </c>
      <c r="D2083" s="116">
        <v>286.7</v>
      </c>
      <c r="E2083" s="116">
        <v>297</v>
      </c>
      <c r="F2083" s="116">
        <v>581.4</v>
      </c>
      <c r="G2083">
        <v>66807</v>
      </c>
      <c r="H2083" s="116"/>
      <c r="I2083" s="116"/>
      <c r="L2083" s="166">
        <v>45072</v>
      </c>
      <c r="M2083" s="116">
        <v>290.42500000000001</v>
      </c>
      <c r="N2083" s="116">
        <v>299.95</v>
      </c>
      <c r="O2083" s="116">
        <v>286</v>
      </c>
      <c r="P2083" s="116">
        <v>297</v>
      </c>
      <c r="Q2083" s="116">
        <v>580.85</v>
      </c>
      <c r="R2083">
        <v>582406</v>
      </c>
    </row>
    <row r="2084" spans="1:18" x14ac:dyDescent="0.25">
      <c r="A2084" s="166">
        <v>45075</v>
      </c>
      <c r="B2084" s="116">
        <v>293.82499999999999</v>
      </c>
      <c r="C2084" s="116">
        <v>269.60000000000002</v>
      </c>
      <c r="D2084" s="116">
        <v>266.82499999999999</v>
      </c>
      <c r="E2084" s="116">
        <v>288.52499999999998</v>
      </c>
      <c r="F2084" s="116">
        <v>539.20000000000005</v>
      </c>
      <c r="G2084">
        <v>76659</v>
      </c>
      <c r="H2084" s="116"/>
      <c r="I2084" s="116"/>
      <c r="L2084" s="166">
        <v>45075</v>
      </c>
      <c r="M2084" s="116">
        <v>269.67500000000001</v>
      </c>
      <c r="N2084" s="116">
        <v>293.57499999999999</v>
      </c>
      <c r="O2084" s="116">
        <v>267.5</v>
      </c>
      <c r="P2084" s="116">
        <v>291</v>
      </c>
      <c r="Q2084" s="116">
        <v>539.35</v>
      </c>
      <c r="R2084">
        <v>671975</v>
      </c>
    </row>
    <row r="2085" spans="1:18" x14ac:dyDescent="0.25">
      <c r="A2085" s="166">
        <v>45076</v>
      </c>
      <c r="B2085" s="116">
        <v>274</v>
      </c>
      <c r="C2085" s="116">
        <v>262.42500000000001</v>
      </c>
      <c r="D2085" s="116">
        <v>261.5</v>
      </c>
      <c r="E2085" s="116">
        <v>268</v>
      </c>
      <c r="F2085" s="116">
        <v>524.85</v>
      </c>
      <c r="G2085">
        <v>36493</v>
      </c>
      <c r="H2085" s="116"/>
      <c r="I2085" s="116"/>
      <c r="L2085" s="166">
        <v>45076</v>
      </c>
      <c r="M2085" s="116">
        <v>262.22500000000002</v>
      </c>
      <c r="N2085" s="116">
        <v>273.97500000000002</v>
      </c>
      <c r="O2085" s="116">
        <v>261.02499999999998</v>
      </c>
      <c r="P2085" s="116">
        <v>268.7</v>
      </c>
      <c r="Q2085" s="116">
        <v>524.45000000000005</v>
      </c>
      <c r="R2085">
        <v>715634</v>
      </c>
    </row>
    <row r="2086" spans="1:18" x14ac:dyDescent="0.25">
      <c r="A2086" s="166">
        <v>45077</v>
      </c>
      <c r="B2086" s="116">
        <v>269</v>
      </c>
      <c r="C2086" s="116">
        <v>264.82499999999999</v>
      </c>
      <c r="D2086" s="116">
        <v>258.77499999999998</v>
      </c>
      <c r="E2086" s="116">
        <v>262.82499999999999</v>
      </c>
      <c r="F2086" s="116">
        <v>529.65</v>
      </c>
      <c r="G2086">
        <v>79221</v>
      </c>
      <c r="H2086" s="116"/>
      <c r="I2086" s="116"/>
      <c r="L2086" s="166">
        <v>45077</v>
      </c>
      <c r="M2086" s="116">
        <v>264.39999999999998</v>
      </c>
      <c r="N2086" s="116">
        <v>268.97500000000002</v>
      </c>
      <c r="O2086" s="116">
        <v>259</v>
      </c>
      <c r="P2086" s="116">
        <v>263.22500000000002</v>
      </c>
      <c r="Q2086" s="116">
        <v>528.79999999999995</v>
      </c>
      <c r="R2086">
        <v>403108</v>
      </c>
    </row>
    <row r="2087" spans="1:18" x14ac:dyDescent="0.25">
      <c r="A2087" s="166">
        <v>45078</v>
      </c>
      <c r="B2087" s="116">
        <v>273.57499999999999</v>
      </c>
      <c r="C2087" s="116">
        <v>271.27499999999998</v>
      </c>
      <c r="D2087" s="116">
        <v>261.89999999999998</v>
      </c>
      <c r="E2087" s="116">
        <v>265.47500000000002</v>
      </c>
      <c r="F2087" s="116">
        <v>542.54999999999995</v>
      </c>
      <c r="G2087">
        <v>48203</v>
      </c>
      <c r="H2087" s="116"/>
      <c r="I2087" s="116"/>
      <c r="L2087" s="166">
        <v>45078</v>
      </c>
      <c r="M2087" s="116">
        <v>271.52499999999998</v>
      </c>
      <c r="N2087" s="116">
        <v>273.7</v>
      </c>
      <c r="O2087" s="116">
        <v>264.5</v>
      </c>
      <c r="P2087" s="116">
        <v>264.5</v>
      </c>
      <c r="Q2087" s="116">
        <v>543.04999999999995</v>
      </c>
      <c r="R2087">
        <v>385681</v>
      </c>
    </row>
    <row r="2088" spans="1:18" x14ac:dyDescent="0.25">
      <c r="A2088" s="166">
        <v>45079</v>
      </c>
      <c r="B2088" s="116">
        <v>272.75</v>
      </c>
      <c r="C2088" s="116">
        <v>268.67500000000001</v>
      </c>
      <c r="D2088" s="116">
        <v>267.05</v>
      </c>
      <c r="E2088" s="116">
        <v>268.60000000000002</v>
      </c>
      <c r="F2088" s="116">
        <v>537.35</v>
      </c>
      <c r="G2088">
        <v>19296</v>
      </c>
      <c r="H2088" s="116"/>
      <c r="I2088" s="116"/>
      <c r="L2088" s="166">
        <v>45079</v>
      </c>
      <c r="M2088" s="116">
        <v>268.77499999999998</v>
      </c>
      <c r="N2088" s="116">
        <v>273.10000000000002</v>
      </c>
      <c r="O2088" s="116">
        <v>267.02499999999998</v>
      </c>
      <c r="P2088" s="116">
        <v>271.92500000000001</v>
      </c>
      <c r="Q2088" s="116">
        <v>537.54999999999995</v>
      </c>
      <c r="R2088">
        <v>289340</v>
      </c>
    </row>
    <row r="2089" spans="1:18" x14ac:dyDescent="0.25">
      <c r="A2089" s="166">
        <v>45082</v>
      </c>
      <c r="B2089" s="116">
        <v>279.875</v>
      </c>
      <c r="C2089" s="116">
        <v>275.95</v>
      </c>
      <c r="D2089" s="116">
        <v>267.625</v>
      </c>
      <c r="E2089" s="116">
        <v>267.625</v>
      </c>
      <c r="F2089" s="116">
        <v>551.9</v>
      </c>
      <c r="G2089">
        <v>29156</v>
      </c>
      <c r="H2089" s="116"/>
      <c r="I2089" s="116"/>
      <c r="L2089" s="166">
        <v>45082</v>
      </c>
      <c r="M2089" s="116">
        <v>276.35000000000002</v>
      </c>
      <c r="N2089" s="116">
        <v>279.89999999999998</v>
      </c>
      <c r="O2089" s="116">
        <v>270.02499999999998</v>
      </c>
      <c r="P2089" s="116">
        <v>271.07499999999999</v>
      </c>
      <c r="Q2089" s="116">
        <v>552.70000000000005</v>
      </c>
      <c r="R2089">
        <v>410725</v>
      </c>
    </row>
    <row r="2090" spans="1:18" x14ac:dyDescent="0.25">
      <c r="A2090" s="166">
        <v>45083</v>
      </c>
      <c r="B2090" s="116">
        <v>282.125</v>
      </c>
      <c r="C2090" s="116">
        <v>275.5</v>
      </c>
      <c r="D2090" s="116">
        <v>272.52499999999998</v>
      </c>
      <c r="E2090" s="116">
        <v>282.125</v>
      </c>
      <c r="F2090" s="116">
        <v>551</v>
      </c>
      <c r="G2090">
        <v>14809</v>
      </c>
      <c r="H2090" s="116"/>
      <c r="I2090" s="116"/>
      <c r="L2090" s="166">
        <v>45083</v>
      </c>
      <c r="M2090" s="116">
        <v>275.35000000000002</v>
      </c>
      <c r="N2090" s="116">
        <v>279.47500000000002</v>
      </c>
      <c r="O2090" s="116">
        <v>272.72500000000002</v>
      </c>
      <c r="P2090" s="116">
        <v>278</v>
      </c>
      <c r="Q2090" s="116">
        <v>550.70000000000005</v>
      </c>
      <c r="R2090">
        <v>196727</v>
      </c>
    </row>
    <row r="2091" spans="1:18" x14ac:dyDescent="0.25">
      <c r="A2091" s="166">
        <v>45084</v>
      </c>
      <c r="B2091" s="116">
        <v>282.125</v>
      </c>
      <c r="C2091" s="116">
        <v>280.82499999999999</v>
      </c>
      <c r="D2091" s="116">
        <v>275.32499999999999</v>
      </c>
      <c r="E2091" s="116">
        <v>278.47500000000002</v>
      </c>
      <c r="F2091" s="116">
        <v>561.65</v>
      </c>
      <c r="G2091">
        <v>65543</v>
      </c>
      <c r="H2091" s="116"/>
      <c r="I2091" s="116"/>
      <c r="L2091" s="166">
        <v>45084</v>
      </c>
      <c r="M2091" s="116">
        <v>280.75</v>
      </c>
      <c r="N2091" s="116">
        <v>282.3</v>
      </c>
      <c r="O2091" s="116">
        <v>275.35000000000002</v>
      </c>
      <c r="P2091" s="116">
        <v>276.02499999999998</v>
      </c>
      <c r="Q2091" s="116">
        <v>561.5</v>
      </c>
      <c r="R2091">
        <v>487147</v>
      </c>
    </row>
    <row r="2092" spans="1:18" x14ac:dyDescent="0.25">
      <c r="A2092" s="166">
        <v>45085</v>
      </c>
      <c r="B2092" s="116">
        <v>284</v>
      </c>
      <c r="C2092" s="116">
        <v>282.35000000000002</v>
      </c>
      <c r="D2092" s="116">
        <v>273.60000000000002</v>
      </c>
      <c r="E2092" s="116">
        <v>280.5</v>
      </c>
      <c r="F2092" s="116">
        <v>564.70000000000005</v>
      </c>
      <c r="G2092">
        <v>40796</v>
      </c>
      <c r="H2092" s="116"/>
      <c r="I2092" s="116"/>
      <c r="L2092" s="166">
        <v>45085</v>
      </c>
      <c r="M2092" s="116">
        <v>282.375</v>
      </c>
      <c r="N2092" s="116">
        <v>283.5</v>
      </c>
      <c r="O2092" s="116">
        <v>273.02499999999998</v>
      </c>
      <c r="P2092" s="116">
        <v>282.47500000000002</v>
      </c>
      <c r="Q2092" s="116">
        <v>564.75</v>
      </c>
      <c r="R2092">
        <v>262971</v>
      </c>
    </row>
    <row r="2093" spans="1:18" x14ac:dyDescent="0.25">
      <c r="A2093" s="166">
        <v>45086</v>
      </c>
      <c r="B2093" s="116">
        <v>286.97500000000002</v>
      </c>
      <c r="C2093" s="116">
        <v>282.72500000000002</v>
      </c>
      <c r="D2093" s="116">
        <v>280.02499999999998</v>
      </c>
      <c r="E2093" s="116">
        <v>280.05</v>
      </c>
      <c r="F2093" s="116">
        <v>565.45000000000005</v>
      </c>
      <c r="G2093">
        <v>8935</v>
      </c>
      <c r="H2093" s="116"/>
      <c r="I2093" s="116"/>
      <c r="L2093" s="166">
        <v>45086</v>
      </c>
      <c r="M2093" s="116">
        <v>282.52499999999998</v>
      </c>
      <c r="N2093" s="116">
        <v>287</v>
      </c>
      <c r="O2093" s="116">
        <v>280.02499999999998</v>
      </c>
      <c r="P2093" s="116">
        <v>281.5</v>
      </c>
      <c r="Q2093" s="116">
        <v>565.04999999999995</v>
      </c>
      <c r="R2093">
        <v>202671</v>
      </c>
    </row>
    <row r="2094" spans="1:18" x14ac:dyDescent="0.25">
      <c r="A2094" s="166">
        <v>45089</v>
      </c>
      <c r="B2094" s="116">
        <v>286.5</v>
      </c>
      <c r="C2094" s="116">
        <v>283.95</v>
      </c>
      <c r="D2094" s="116">
        <v>278.55</v>
      </c>
      <c r="E2094" s="116">
        <v>279.07499999999999</v>
      </c>
      <c r="F2094" s="116">
        <v>567.9</v>
      </c>
      <c r="G2094">
        <v>34088</v>
      </c>
      <c r="H2094" s="116"/>
      <c r="I2094" s="116"/>
      <c r="L2094" s="166">
        <v>45089</v>
      </c>
      <c r="M2094" s="116">
        <v>283.97500000000002</v>
      </c>
      <c r="N2094" s="116">
        <v>286.64999999999998</v>
      </c>
      <c r="O2094" s="116">
        <v>278.5</v>
      </c>
      <c r="P2094" s="116">
        <v>283</v>
      </c>
      <c r="Q2094" s="116">
        <v>567.95000000000005</v>
      </c>
      <c r="R2094">
        <v>240436</v>
      </c>
    </row>
    <row r="2095" spans="1:18" x14ac:dyDescent="0.25">
      <c r="A2095" s="166">
        <v>45090</v>
      </c>
      <c r="B2095" s="116">
        <v>290.52499999999998</v>
      </c>
      <c r="C2095" s="116">
        <v>287.52499999999998</v>
      </c>
      <c r="D2095" s="116">
        <v>283.95</v>
      </c>
      <c r="E2095" s="116">
        <v>285.82499999999999</v>
      </c>
      <c r="F2095" s="116">
        <v>575.04999999999995</v>
      </c>
      <c r="G2095">
        <v>12989</v>
      </c>
      <c r="H2095" s="116"/>
      <c r="I2095" s="116"/>
      <c r="L2095" s="166">
        <v>45090</v>
      </c>
      <c r="M2095" s="116">
        <v>287.625</v>
      </c>
      <c r="N2095" s="116">
        <v>290.64999999999998</v>
      </c>
      <c r="O2095" s="116">
        <v>283.97500000000002</v>
      </c>
      <c r="P2095" s="116">
        <v>283.97500000000002</v>
      </c>
      <c r="Q2095" s="116">
        <v>575.25</v>
      </c>
      <c r="R2095">
        <v>219857</v>
      </c>
    </row>
    <row r="2096" spans="1:18" x14ac:dyDescent="0.25">
      <c r="A2096" s="166">
        <v>45091</v>
      </c>
      <c r="B2096" s="116">
        <v>293.07499999999999</v>
      </c>
      <c r="C2096" s="116">
        <v>288.10000000000002</v>
      </c>
      <c r="D2096" s="116">
        <v>285.82499999999999</v>
      </c>
      <c r="E2096" s="116">
        <v>287.77499999999998</v>
      </c>
      <c r="F2096" s="116">
        <v>576.20000000000005</v>
      </c>
      <c r="G2096">
        <v>17289</v>
      </c>
      <c r="H2096" s="116"/>
      <c r="I2096" s="116"/>
      <c r="L2096" s="166">
        <v>45091</v>
      </c>
      <c r="M2096" s="116">
        <v>287.64999999999998</v>
      </c>
      <c r="N2096" s="116">
        <v>293.14999999999998</v>
      </c>
      <c r="O2096" s="116">
        <v>285.625</v>
      </c>
      <c r="P2096" s="116">
        <v>288.82499999999999</v>
      </c>
      <c r="Q2096" s="116">
        <v>575.29999999999995</v>
      </c>
      <c r="R2096">
        <v>195488</v>
      </c>
    </row>
    <row r="2097" spans="1:18" x14ac:dyDescent="0.25">
      <c r="A2097" s="166">
        <v>45092</v>
      </c>
      <c r="B2097" s="116">
        <v>293.25</v>
      </c>
      <c r="C2097" s="116">
        <v>291.25</v>
      </c>
      <c r="D2097" s="116">
        <v>285.875</v>
      </c>
      <c r="E2097" s="116">
        <v>285.875</v>
      </c>
      <c r="F2097" s="116">
        <v>582.5</v>
      </c>
      <c r="G2097">
        <v>25392</v>
      </c>
      <c r="H2097" s="116"/>
      <c r="I2097" s="116"/>
      <c r="L2097" s="166">
        <v>45092</v>
      </c>
      <c r="M2097" s="116">
        <v>291.5</v>
      </c>
      <c r="N2097" s="116">
        <v>293.32499999999999</v>
      </c>
      <c r="O2097" s="116">
        <v>287.5</v>
      </c>
      <c r="P2097" s="116">
        <v>287.64999999999998</v>
      </c>
      <c r="Q2097" s="116">
        <v>583</v>
      </c>
      <c r="R2097">
        <v>184559</v>
      </c>
    </row>
    <row r="2098" spans="1:18" x14ac:dyDescent="0.25">
      <c r="A2098" s="166">
        <v>45093</v>
      </c>
      <c r="B2098" s="116">
        <v>297.92500000000001</v>
      </c>
      <c r="C2098" s="116">
        <v>291.10000000000002</v>
      </c>
      <c r="D2098" s="116">
        <v>289.02499999999998</v>
      </c>
      <c r="E2098" s="116">
        <v>292.47500000000002</v>
      </c>
      <c r="F2098" s="116">
        <v>582.20000000000005</v>
      </c>
      <c r="G2098">
        <v>12053</v>
      </c>
      <c r="H2098" s="116"/>
      <c r="I2098" s="116"/>
      <c r="L2098" s="166">
        <v>45093</v>
      </c>
      <c r="M2098" s="116">
        <v>290.75</v>
      </c>
      <c r="N2098" s="116">
        <v>297.95</v>
      </c>
      <c r="O2098" s="116">
        <v>289</v>
      </c>
      <c r="P2098" s="116">
        <v>291.95</v>
      </c>
      <c r="Q2098" s="116">
        <v>581.5</v>
      </c>
      <c r="R2098">
        <v>256916</v>
      </c>
    </row>
    <row r="2099" spans="1:18" x14ac:dyDescent="0.25">
      <c r="A2099" s="166">
        <v>45096</v>
      </c>
      <c r="B2099" s="116">
        <v>298.17500000000001</v>
      </c>
      <c r="C2099" s="116">
        <v>294.42500000000001</v>
      </c>
      <c r="D2099" s="116">
        <v>291.10000000000002</v>
      </c>
      <c r="E2099" s="116">
        <v>291.10000000000002</v>
      </c>
      <c r="F2099" s="116">
        <v>588.85</v>
      </c>
      <c r="G2099">
        <v>46246</v>
      </c>
      <c r="H2099" s="116"/>
      <c r="I2099" s="116"/>
      <c r="L2099" s="166">
        <v>45096</v>
      </c>
      <c r="M2099" s="116">
        <v>294.2</v>
      </c>
      <c r="N2099" s="116">
        <v>298.47500000000002</v>
      </c>
      <c r="O2099" s="116">
        <v>290.75</v>
      </c>
      <c r="P2099" s="116">
        <v>290.75</v>
      </c>
      <c r="Q2099" s="116">
        <v>588.4</v>
      </c>
      <c r="R2099">
        <v>349155</v>
      </c>
    </row>
    <row r="2100" spans="1:18" x14ac:dyDescent="0.25">
      <c r="A2100" s="166">
        <v>45097</v>
      </c>
      <c r="B2100" s="116">
        <v>295.97500000000002</v>
      </c>
      <c r="C2100" s="116">
        <v>293.32499999999999</v>
      </c>
      <c r="D2100" s="116">
        <v>290</v>
      </c>
      <c r="E2100" s="116">
        <v>290.35000000000002</v>
      </c>
      <c r="F2100" s="116">
        <v>586.65</v>
      </c>
      <c r="G2100">
        <v>23596</v>
      </c>
      <c r="H2100" s="116"/>
      <c r="I2100" s="116"/>
      <c r="L2100" s="166">
        <v>45097</v>
      </c>
      <c r="M2100" s="116">
        <v>293.375</v>
      </c>
      <c r="N2100" s="116">
        <v>296</v>
      </c>
      <c r="O2100" s="116">
        <v>290.45</v>
      </c>
      <c r="P2100" s="116">
        <v>294.89999999999998</v>
      </c>
      <c r="Q2100" s="116">
        <v>586.75</v>
      </c>
      <c r="R2100">
        <v>183549</v>
      </c>
    </row>
    <row r="2101" spans="1:18" x14ac:dyDescent="0.25">
      <c r="A2101" s="166">
        <v>45098</v>
      </c>
      <c r="B2101" s="116">
        <v>294.8</v>
      </c>
      <c r="C2101" s="116">
        <v>284.32499999999999</v>
      </c>
      <c r="D2101" s="116">
        <v>282.95</v>
      </c>
      <c r="E2101" s="116">
        <v>294.375</v>
      </c>
      <c r="F2101" s="116">
        <v>568.65</v>
      </c>
      <c r="G2101">
        <v>15756</v>
      </c>
      <c r="H2101" s="116"/>
      <c r="I2101" s="116"/>
      <c r="L2101" s="166">
        <v>45098</v>
      </c>
      <c r="M2101" s="116">
        <v>284.52499999999998</v>
      </c>
      <c r="N2101" s="116">
        <v>294.95</v>
      </c>
      <c r="O2101" s="116">
        <v>282.75</v>
      </c>
      <c r="P2101" s="116">
        <v>293.47500000000002</v>
      </c>
      <c r="Q2101" s="116">
        <v>569.04999999999995</v>
      </c>
      <c r="R2101">
        <v>291171</v>
      </c>
    </row>
    <row r="2102" spans="1:18" x14ac:dyDescent="0.25">
      <c r="A2102" s="166">
        <v>45099</v>
      </c>
      <c r="B2102" s="116">
        <v>286.02499999999998</v>
      </c>
      <c r="C2102" s="116">
        <v>281.27499999999998</v>
      </c>
      <c r="D2102" s="116">
        <v>280.2</v>
      </c>
      <c r="E2102" s="116">
        <v>285.27499999999998</v>
      </c>
      <c r="F2102" s="116">
        <v>562.54999999999995</v>
      </c>
      <c r="G2102">
        <v>8823</v>
      </c>
      <c r="H2102" s="116"/>
      <c r="I2102" s="116"/>
      <c r="L2102" s="166">
        <v>45099</v>
      </c>
      <c r="M2102" s="116">
        <v>281.17500000000001</v>
      </c>
      <c r="N2102" s="116">
        <v>286.5</v>
      </c>
      <c r="O2102" s="116">
        <v>280</v>
      </c>
      <c r="P2102" s="116">
        <v>285.5</v>
      </c>
      <c r="Q2102" s="116">
        <v>562.35</v>
      </c>
      <c r="R2102">
        <v>157221</v>
      </c>
    </row>
    <row r="2103" spans="1:18" x14ac:dyDescent="0.25">
      <c r="A2103" s="166">
        <v>45100</v>
      </c>
      <c r="B2103" s="116">
        <v>281.92500000000001</v>
      </c>
      <c r="C2103" s="116">
        <v>275.89999999999998</v>
      </c>
      <c r="D2103" s="116">
        <v>272.92500000000001</v>
      </c>
      <c r="E2103" s="116">
        <v>279.02499999999998</v>
      </c>
      <c r="F2103" s="116">
        <v>551.79999999999995</v>
      </c>
      <c r="G2103">
        <v>24018</v>
      </c>
      <c r="H2103" s="116"/>
      <c r="I2103" s="116"/>
      <c r="L2103" s="166">
        <v>45100</v>
      </c>
      <c r="M2103" s="116">
        <v>275.875</v>
      </c>
      <c r="N2103" s="116">
        <v>282.8</v>
      </c>
      <c r="O2103" s="116">
        <v>272.625</v>
      </c>
      <c r="P2103" s="116">
        <v>282.8</v>
      </c>
      <c r="Q2103" s="116">
        <v>551.75</v>
      </c>
      <c r="R2103">
        <v>250053</v>
      </c>
    </row>
    <row r="2104" spans="1:18" x14ac:dyDescent="0.25">
      <c r="A2104" s="166">
        <v>45103</v>
      </c>
      <c r="B2104" s="116">
        <v>280.625</v>
      </c>
      <c r="C2104" s="116">
        <v>274.64999999999998</v>
      </c>
      <c r="D2104" s="116">
        <v>271.52499999999998</v>
      </c>
      <c r="E2104" s="116">
        <v>271.52499999999998</v>
      </c>
      <c r="F2104" s="116">
        <v>549.29999999999995</v>
      </c>
      <c r="G2104">
        <v>23347</v>
      </c>
      <c r="H2104" s="116"/>
      <c r="I2104" s="116"/>
      <c r="L2104" s="166">
        <v>45103</v>
      </c>
      <c r="M2104" s="116">
        <v>274.67500000000001</v>
      </c>
      <c r="N2104" s="116">
        <v>280.5</v>
      </c>
      <c r="O2104" s="116">
        <v>272</v>
      </c>
      <c r="P2104" s="116">
        <v>273.5</v>
      </c>
      <c r="Q2104" s="116">
        <v>549.35</v>
      </c>
      <c r="R2104">
        <v>164320</v>
      </c>
    </row>
    <row r="2105" spans="1:18" x14ac:dyDescent="0.25">
      <c r="A2105" s="166">
        <v>45104</v>
      </c>
      <c r="B2105" s="116">
        <v>297</v>
      </c>
      <c r="C2105" s="116">
        <v>294.92500000000001</v>
      </c>
      <c r="D2105" s="116">
        <v>276.14999999999998</v>
      </c>
      <c r="E2105" s="116">
        <v>278.97500000000002</v>
      </c>
      <c r="F2105" s="116">
        <v>589.85</v>
      </c>
      <c r="G2105">
        <v>47369</v>
      </c>
      <c r="H2105" s="116"/>
      <c r="I2105" s="116"/>
      <c r="L2105" s="166">
        <v>45104</v>
      </c>
      <c r="M2105" s="116">
        <v>294.57499999999999</v>
      </c>
      <c r="N2105" s="116">
        <v>297.14999999999998</v>
      </c>
      <c r="O2105" s="116">
        <v>275.52499999999998</v>
      </c>
      <c r="P2105" s="116">
        <v>277.25</v>
      </c>
      <c r="Q2105" s="116">
        <v>589.15</v>
      </c>
      <c r="R2105">
        <v>858062</v>
      </c>
    </row>
    <row r="2106" spans="1:18" x14ac:dyDescent="0.25">
      <c r="A2106" s="166">
        <v>45105</v>
      </c>
      <c r="B2106" s="116">
        <v>297.35000000000002</v>
      </c>
      <c r="C2106" s="116">
        <v>287.25</v>
      </c>
      <c r="D2106" s="116">
        <v>285.625</v>
      </c>
      <c r="E2106" s="116">
        <v>297.35000000000002</v>
      </c>
      <c r="F2106" s="116">
        <v>574.5</v>
      </c>
      <c r="G2106">
        <v>33672</v>
      </c>
      <c r="H2106" s="116"/>
      <c r="I2106" s="116"/>
      <c r="L2106" s="166">
        <v>45105</v>
      </c>
      <c r="M2106" s="116">
        <v>287.22500000000002</v>
      </c>
      <c r="N2106" s="116">
        <v>297</v>
      </c>
      <c r="O2106" s="116">
        <v>286.02499999999998</v>
      </c>
      <c r="P2106" s="116">
        <v>297</v>
      </c>
      <c r="Q2106" s="116">
        <v>574.45000000000005</v>
      </c>
      <c r="R2106">
        <v>252402</v>
      </c>
    </row>
    <row r="2107" spans="1:18" x14ac:dyDescent="0.25">
      <c r="A2107" s="166">
        <v>45107</v>
      </c>
      <c r="B2107" s="116">
        <v>294.2</v>
      </c>
      <c r="C2107" s="116">
        <v>292.3</v>
      </c>
      <c r="D2107" s="116">
        <v>284.39999999999998</v>
      </c>
      <c r="E2107" s="116">
        <v>285</v>
      </c>
      <c r="F2107" s="116">
        <v>584.6</v>
      </c>
      <c r="G2107">
        <v>27285</v>
      </c>
      <c r="H2107" s="116"/>
      <c r="I2107" s="116"/>
      <c r="L2107" s="166">
        <v>45107</v>
      </c>
      <c r="M2107" s="116">
        <v>292.17500000000001</v>
      </c>
      <c r="N2107" s="116">
        <v>294.125</v>
      </c>
      <c r="O2107" s="116">
        <v>284.7</v>
      </c>
      <c r="P2107" s="116">
        <v>287.35000000000002</v>
      </c>
      <c r="Q2107" s="116">
        <v>584.35</v>
      </c>
      <c r="R2107">
        <v>225586</v>
      </c>
    </row>
    <row r="2108" spans="1:18" x14ac:dyDescent="0.25">
      <c r="A2108" s="166">
        <v>45110</v>
      </c>
      <c r="B2108" s="116">
        <v>318.64999999999998</v>
      </c>
      <c r="C2108" s="116">
        <v>312.55</v>
      </c>
      <c r="D2108" s="116">
        <v>293.52499999999998</v>
      </c>
      <c r="E2108" s="116">
        <v>293.52499999999998</v>
      </c>
      <c r="F2108" s="116">
        <v>625.1</v>
      </c>
      <c r="G2108">
        <v>147109</v>
      </c>
      <c r="H2108" s="116"/>
      <c r="I2108" s="116"/>
      <c r="L2108" s="166">
        <v>45110</v>
      </c>
      <c r="M2108" s="116">
        <v>312.17500000000001</v>
      </c>
      <c r="N2108" s="116">
        <v>318.60000000000002</v>
      </c>
      <c r="O2108" s="116">
        <v>293.67500000000001</v>
      </c>
      <c r="P2108" s="116">
        <v>294.17500000000001</v>
      </c>
      <c r="Q2108" s="116">
        <v>624.35</v>
      </c>
      <c r="R2108">
        <v>1407233</v>
      </c>
    </row>
    <row r="2109" spans="1:18" x14ac:dyDescent="0.25">
      <c r="A2109" s="166">
        <v>45111</v>
      </c>
      <c r="B2109" s="116">
        <v>316.57499999999999</v>
      </c>
      <c r="C2109" s="116">
        <v>307.52499999999998</v>
      </c>
      <c r="D2109" s="116">
        <v>305.7</v>
      </c>
      <c r="E2109" s="116">
        <v>315.27499999999998</v>
      </c>
      <c r="F2109" s="116">
        <v>615.04999999999995</v>
      </c>
      <c r="G2109">
        <v>44294</v>
      </c>
      <c r="H2109" s="116"/>
      <c r="I2109" s="116"/>
      <c r="L2109" s="166">
        <v>45111</v>
      </c>
      <c r="M2109" s="116">
        <v>307.25</v>
      </c>
      <c r="N2109" s="116">
        <v>315.95</v>
      </c>
      <c r="O2109" s="116">
        <v>305.64999999999998</v>
      </c>
      <c r="P2109" s="116">
        <v>314.45</v>
      </c>
      <c r="Q2109" s="116">
        <v>614.5</v>
      </c>
      <c r="R2109">
        <v>334305</v>
      </c>
    </row>
    <row r="2110" spans="1:18" x14ac:dyDescent="0.25">
      <c r="A2110" s="166">
        <v>45112</v>
      </c>
      <c r="B2110" s="116">
        <v>322.5</v>
      </c>
      <c r="C2110" s="116">
        <v>318.17500000000001</v>
      </c>
      <c r="D2110" s="116">
        <v>309.07499999999999</v>
      </c>
      <c r="E2110" s="116">
        <v>310.5</v>
      </c>
      <c r="F2110" s="116">
        <v>636.35</v>
      </c>
      <c r="G2110">
        <v>76772</v>
      </c>
      <c r="H2110" s="116"/>
      <c r="I2110" s="116"/>
      <c r="L2110" s="166">
        <v>45112</v>
      </c>
      <c r="M2110" s="116">
        <v>318.47500000000002</v>
      </c>
      <c r="N2110" s="116">
        <v>322.35000000000002</v>
      </c>
      <c r="O2110" s="116">
        <v>308.375</v>
      </c>
      <c r="P2110" s="116">
        <v>308.5</v>
      </c>
      <c r="Q2110" s="116">
        <v>636.95000000000005</v>
      </c>
      <c r="R2110">
        <v>588440</v>
      </c>
    </row>
    <row r="2111" spans="1:18" x14ac:dyDescent="0.25">
      <c r="A2111" s="166">
        <v>45113</v>
      </c>
      <c r="B2111" s="116">
        <v>325</v>
      </c>
      <c r="C2111" s="116">
        <v>319.47500000000002</v>
      </c>
      <c r="D2111" s="116">
        <v>313.375</v>
      </c>
      <c r="E2111" s="116">
        <v>320.97500000000002</v>
      </c>
      <c r="F2111" s="116">
        <v>638.95000000000005</v>
      </c>
      <c r="G2111">
        <v>23151</v>
      </c>
      <c r="H2111" s="116"/>
      <c r="I2111" s="116"/>
      <c r="L2111" s="166">
        <v>45113</v>
      </c>
      <c r="M2111" s="116">
        <v>319.7</v>
      </c>
      <c r="N2111" s="116">
        <v>325.125</v>
      </c>
      <c r="O2111" s="116">
        <v>313.3</v>
      </c>
      <c r="P2111" s="116">
        <v>319.39999999999998</v>
      </c>
      <c r="Q2111" s="116">
        <v>639.4</v>
      </c>
      <c r="R2111">
        <v>466464</v>
      </c>
    </row>
    <row r="2112" spans="1:18" x14ac:dyDescent="0.25">
      <c r="A2112" s="166">
        <v>45114</v>
      </c>
      <c r="B2112" s="116">
        <v>323.72500000000002</v>
      </c>
      <c r="C2112" s="116">
        <v>321.3</v>
      </c>
      <c r="D2112" s="116">
        <v>315.67500000000001</v>
      </c>
      <c r="E2112" s="116">
        <v>319.32499999999999</v>
      </c>
      <c r="F2112" s="116">
        <v>642.6</v>
      </c>
      <c r="G2112">
        <v>20297</v>
      </c>
      <c r="H2112" s="116"/>
      <c r="I2112" s="116"/>
      <c r="L2112" s="166">
        <v>45114</v>
      </c>
      <c r="M2112" s="116">
        <v>321.67500000000001</v>
      </c>
      <c r="N2112" s="116">
        <v>323.97500000000002</v>
      </c>
      <c r="O2112" s="116">
        <v>315.5</v>
      </c>
      <c r="P2112" s="116">
        <v>318.75</v>
      </c>
      <c r="Q2112" s="116">
        <v>643.35</v>
      </c>
      <c r="R2112">
        <v>278052</v>
      </c>
    </row>
    <row r="2113" spans="1:18" x14ac:dyDescent="0.25">
      <c r="A2113" s="166">
        <v>45117</v>
      </c>
      <c r="B2113" s="116">
        <v>323.75</v>
      </c>
      <c r="C2113" s="116">
        <v>315.89999999999998</v>
      </c>
      <c r="D2113" s="116">
        <v>313.60000000000002</v>
      </c>
      <c r="E2113" s="116">
        <v>315.25</v>
      </c>
      <c r="F2113" s="116">
        <v>631.79999999999995</v>
      </c>
      <c r="G2113">
        <v>13640</v>
      </c>
      <c r="H2113" s="116"/>
      <c r="I2113" s="116"/>
      <c r="L2113" s="166">
        <v>45117</v>
      </c>
      <c r="M2113" s="116">
        <v>316.64999999999998</v>
      </c>
      <c r="N2113" s="116">
        <v>324.39999999999998</v>
      </c>
      <c r="O2113" s="116">
        <v>313.5</v>
      </c>
      <c r="P2113" s="116">
        <v>321.67500000000001</v>
      </c>
      <c r="Q2113" s="116">
        <v>633.29999999999995</v>
      </c>
      <c r="R2113">
        <v>258752</v>
      </c>
    </row>
    <row r="2114" spans="1:18" x14ac:dyDescent="0.25">
      <c r="A2114" s="166">
        <v>45118</v>
      </c>
      <c r="B2114" s="116">
        <v>374</v>
      </c>
      <c r="C2114" s="116">
        <v>361.17500000000001</v>
      </c>
      <c r="D2114" s="116">
        <v>317</v>
      </c>
      <c r="E2114" s="116">
        <v>317</v>
      </c>
      <c r="F2114" s="116">
        <v>722.35</v>
      </c>
      <c r="G2114">
        <v>276351</v>
      </c>
      <c r="H2114" s="116"/>
      <c r="I2114" s="116"/>
      <c r="L2114" s="166">
        <v>45118</v>
      </c>
      <c r="M2114" s="116">
        <v>361.05</v>
      </c>
      <c r="N2114" s="116">
        <v>374.45</v>
      </c>
      <c r="O2114" s="116">
        <v>316.95</v>
      </c>
      <c r="P2114" s="116">
        <v>317.5</v>
      </c>
      <c r="Q2114" s="116">
        <v>722.1</v>
      </c>
      <c r="R2114">
        <v>5201043</v>
      </c>
    </row>
    <row r="2115" spans="1:18" x14ac:dyDescent="0.25">
      <c r="A2115" s="166">
        <v>45119</v>
      </c>
      <c r="B2115" s="116">
        <v>373.2</v>
      </c>
      <c r="C2115" s="116">
        <v>364.75</v>
      </c>
      <c r="D2115" s="116">
        <v>361.75</v>
      </c>
      <c r="E2115" s="116">
        <v>363.95</v>
      </c>
      <c r="F2115" s="116">
        <v>729.5</v>
      </c>
      <c r="G2115">
        <v>93743</v>
      </c>
      <c r="H2115" s="116"/>
      <c r="I2115" s="116"/>
      <c r="L2115" s="166">
        <v>45119</v>
      </c>
      <c r="M2115" s="116">
        <v>364.92500000000001</v>
      </c>
      <c r="N2115" s="116">
        <v>373.5</v>
      </c>
      <c r="O2115" s="116">
        <v>361.9</v>
      </c>
      <c r="P2115" s="116">
        <v>363</v>
      </c>
      <c r="Q2115" s="116">
        <v>729.85</v>
      </c>
      <c r="R2115">
        <v>1130795</v>
      </c>
    </row>
    <row r="2116" spans="1:18" x14ac:dyDescent="0.25">
      <c r="A2116" s="166">
        <v>45120</v>
      </c>
      <c r="B2116" s="116">
        <v>371.8</v>
      </c>
      <c r="C2116" s="116">
        <v>359.4</v>
      </c>
      <c r="D2116" s="116">
        <v>357</v>
      </c>
      <c r="E2116" s="116">
        <v>368.22500000000002</v>
      </c>
      <c r="F2116" s="116">
        <v>718.8</v>
      </c>
      <c r="G2116">
        <v>42081</v>
      </c>
      <c r="H2116" s="116"/>
      <c r="I2116" s="116"/>
      <c r="L2116" s="166">
        <v>45120</v>
      </c>
      <c r="M2116" s="116">
        <v>359.07499999999999</v>
      </c>
      <c r="N2116" s="116">
        <v>372.47500000000002</v>
      </c>
      <c r="O2116" s="116">
        <v>356.75</v>
      </c>
      <c r="P2116" s="116">
        <v>368.45</v>
      </c>
      <c r="Q2116" s="116">
        <v>718.15</v>
      </c>
      <c r="R2116">
        <v>489614</v>
      </c>
    </row>
    <row r="2117" spans="1:18" x14ac:dyDescent="0.25">
      <c r="A2117" s="166">
        <v>45121</v>
      </c>
      <c r="B2117" s="116">
        <v>386.625</v>
      </c>
      <c r="C2117" s="116">
        <v>361.07499999999999</v>
      </c>
      <c r="D2117" s="116">
        <v>358.3</v>
      </c>
      <c r="E2117" s="116">
        <v>359.5</v>
      </c>
      <c r="F2117" s="116">
        <v>722.15</v>
      </c>
      <c r="G2117">
        <v>99175</v>
      </c>
      <c r="H2117" s="116"/>
      <c r="I2117" s="116"/>
      <c r="L2117" s="166">
        <v>45121</v>
      </c>
      <c r="M2117" s="116">
        <v>360.875</v>
      </c>
      <c r="N2117" s="116">
        <v>386.97500000000002</v>
      </c>
      <c r="O2117" s="116">
        <v>355.17500000000001</v>
      </c>
      <c r="P2117" s="116">
        <v>360</v>
      </c>
      <c r="Q2117" s="116">
        <v>721.75</v>
      </c>
      <c r="R2117">
        <v>1080767</v>
      </c>
    </row>
    <row r="2118" spans="1:18" x14ac:dyDescent="0.25">
      <c r="A2118" s="166">
        <v>45124</v>
      </c>
      <c r="B2118" s="116">
        <v>372.52499999999998</v>
      </c>
      <c r="C2118" s="116">
        <v>363.95</v>
      </c>
      <c r="D2118" s="116">
        <v>361.625</v>
      </c>
      <c r="E2118" s="116">
        <v>362.52499999999998</v>
      </c>
      <c r="F2118" s="116">
        <v>727.9</v>
      </c>
      <c r="G2118">
        <v>37442</v>
      </c>
      <c r="H2118" s="116"/>
      <c r="I2118" s="116"/>
      <c r="L2118" s="166">
        <v>45124</v>
      </c>
      <c r="M2118" s="116">
        <v>363.57499999999999</v>
      </c>
      <c r="N2118" s="116">
        <v>372.5</v>
      </c>
      <c r="O2118" s="116">
        <v>361.75</v>
      </c>
      <c r="P2118" s="116">
        <v>363.95</v>
      </c>
      <c r="Q2118" s="116">
        <v>727.15</v>
      </c>
      <c r="R2118">
        <v>500210</v>
      </c>
    </row>
    <row r="2119" spans="1:18" x14ac:dyDescent="0.25">
      <c r="A2119" s="166">
        <v>45125</v>
      </c>
      <c r="B2119" s="116">
        <v>368</v>
      </c>
      <c r="C2119" s="116">
        <v>361.05</v>
      </c>
      <c r="D2119" s="116">
        <v>358.55</v>
      </c>
      <c r="E2119" s="116">
        <v>363.95</v>
      </c>
      <c r="F2119" s="116">
        <v>722.1</v>
      </c>
      <c r="G2119">
        <v>31322</v>
      </c>
      <c r="H2119" s="116"/>
      <c r="I2119" s="116"/>
      <c r="L2119" s="166">
        <v>45125</v>
      </c>
      <c r="M2119" s="116">
        <v>360.9</v>
      </c>
      <c r="N2119" s="116">
        <v>367.6</v>
      </c>
      <c r="O2119" s="116">
        <v>358.02499999999998</v>
      </c>
      <c r="P2119" s="116">
        <v>366.32499999999999</v>
      </c>
      <c r="Q2119" s="116">
        <v>721.8</v>
      </c>
      <c r="R2119">
        <v>242686</v>
      </c>
    </row>
    <row r="2120" spans="1:18" x14ac:dyDescent="0.25">
      <c r="A2120" s="166">
        <v>45126</v>
      </c>
      <c r="B2120" s="116">
        <v>380.92500000000001</v>
      </c>
      <c r="C2120" s="116">
        <v>377.5</v>
      </c>
      <c r="D2120" s="116">
        <v>358.6</v>
      </c>
      <c r="E2120" s="116">
        <v>361.05</v>
      </c>
      <c r="F2120" s="116">
        <v>755</v>
      </c>
      <c r="G2120">
        <v>71842</v>
      </c>
      <c r="H2120" s="116"/>
      <c r="I2120" s="116"/>
      <c r="L2120" s="166">
        <v>45126</v>
      </c>
      <c r="M2120" s="116">
        <v>377.3</v>
      </c>
      <c r="N2120" s="116">
        <v>380.95</v>
      </c>
      <c r="O2120" s="116">
        <v>358.6</v>
      </c>
      <c r="P2120" s="116">
        <v>361.97500000000002</v>
      </c>
      <c r="Q2120" s="116">
        <v>754.6</v>
      </c>
      <c r="R2120">
        <v>625665</v>
      </c>
    </row>
    <row r="2121" spans="1:18" x14ac:dyDescent="0.25">
      <c r="A2121" s="166">
        <v>45127</v>
      </c>
      <c r="B2121" s="116">
        <v>382.5</v>
      </c>
      <c r="C2121" s="116">
        <v>369.6</v>
      </c>
      <c r="D2121" s="116">
        <v>365.4</v>
      </c>
      <c r="E2121" s="116">
        <v>378.47500000000002</v>
      </c>
      <c r="F2121" s="116">
        <v>739.2</v>
      </c>
      <c r="G2121">
        <v>65015</v>
      </c>
      <c r="H2121" s="116"/>
      <c r="I2121" s="116"/>
      <c r="L2121" s="166">
        <v>45127</v>
      </c>
      <c r="M2121" s="116">
        <v>369.625</v>
      </c>
      <c r="N2121" s="116">
        <v>382.5</v>
      </c>
      <c r="O2121" s="116">
        <v>365.5</v>
      </c>
      <c r="P2121" s="116">
        <v>377.22500000000002</v>
      </c>
      <c r="Q2121" s="116">
        <v>739.25</v>
      </c>
      <c r="R2121">
        <v>664222</v>
      </c>
    </row>
    <row r="2122" spans="1:18" x14ac:dyDescent="0.25">
      <c r="A2122" s="166">
        <v>45128</v>
      </c>
      <c r="B2122" s="116">
        <v>372.92500000000001</v>
      </c>
      <c r="C2122" s="116">
        <v>369.8</v>
      </c>
      <c r="D2122" s="116">
        <v>363.95</v>
      </c>
      <c r="E2122" s="116">
        <v>366.52499999999998</v>
      </c>
      <c r="F2122" s="116">
        <v>739.6</v>
      </c>
      <c r="G2122">
        <v>18056</v>
      </c>
      <c r="H2122" s="116"/>
      <c r="I2122" s="116"/>
      <c r="L2122" s="166">
        <v>45128</v>
      </c>
      <c r="M2122" s="116">
        <v>368.9</v>
      </c>
      <c r="N2122" s="116">
        <v>371</v>
      </c>
      <c r="O2122" s="116">
        <v>363.27499999999998</v>
      </c>
      <c r="P2122" s="116">
        <v>369.5</v>
      </c>
      <c r="Q2122" s="116">
        <v>737.8</v>
      </c>
      <c r="R2122">
        <v>217917</v>
      </c>
    </row>
    <row r="2123" spans="1:18" x14ac:dyDescent="0.25">
      <c r="A2123" s="166">
        <v>45131</v>
      </c>
      <c r="B2123" s="116">
        <v>373.42500000000001</v>
      </c>
      <c r="C2123" s="116">
        <v>367.35</v>
      </c>
      <c r="D2123" s="116">
        <v>363.4</v>
      </c>
      <c r="E2123" s="116">
        <v>371.47500000000002</v>
      </c>
      <c r="F2123" s="116">
        <v>734.7</v>
      </c>
      <c r="G2123">
        <v>28748</v>
      </c>
      <c r="H2123" s="116"/>
      <c r="I2123" s="116"/>
      <c r="L2123" s="166">
        <v>45131</v>
      </c>
      <c r="M2123" s="116">
        <v>367.375</v>
      </c>
      <c r="N2123" s="116">
        <v>372.5</v>
      </c>
      <c r="O2123" s="116">
        <v>363.5</v>
      </c>
      <c r="P2123" s="116">
        <v>370.35</v>
      </c>
      <c r="Q2123" s="116">
        <v>734.75</v>
      </c>
      <c r="R2123">
        <v>214542</v>
      </c>
    </row>
    <row r="2124" spans="1:18" x14ac:dyDescent="0.25">
      <c r="A2124" s="166">
        <v>45132</v>
      </c>
      <c r="B2124" s="116">
        <v>379.32499999999999</v>
      </c>
      <c r="C2124" s="116">
        <v>375.2</v>
      </c>
      <c r="D2124" s="116">
        <v>368.5</v>
      </c>
      <c r="E2124" s="116">
        <v>369.5</v>
      </c>
      <c r="F2124" s="116">
        <v>750.4</v>
      </c>
      <c r="G2124">
        <v>19781</v>
      </c>
      <c r="H2124" s="116"/>
      <c r="I2124" s="116"/>
      <c r="L2124" s="166">
        <v>45132</v>
      </c>
      <c r="M2124" s="116">
        <v>375.17500000000001</v>
      </c>
      <c r="N2124" s="116">
        <v>379.85</v>
      </c>
      <c r="O2124" s="116">
        <v>367.82499999999999</v>
      </c>
      <c r="P2124" s="116">
        <v>369.47500000000002</v>
      </c>
      <c r="Q2124" s="116">
        <v>750.35</v>
      </c>
      <c r="R2124">
        <v>359718</v>
      </c>
    </row>
    <row r="2125" spans="1:18" x14ac:dyDescent="0.25">
      <c r="A2125" s="166">
        <v>45133</v>
      </c>
      <c r="B2125" s="116">
        <v>386</v>
      </c>
      <c r="C2125" s="116">
        <v>377.97500000000002</v>
      </c>
      <c r="D2125" s="116">
        <v>376</v>
      </c>
      <c r="E2125" s="116">
        <v>378.15</v>
      </c>
      <c r="F2125" s="116">
        <v>755.95</v>
      </c>
      <c r="G2125">
        <v>32927</v>
      </c>
      <c r="H2125" s="116"/>
      <c r="I2125" s="116"/>
      <c r="L2125" s="166">
        <v>45133</v>
      </c>
      <c r="M2125" s="116">
        <v>377.85</v>
      </c>
      <c r="N2125" s="116">
        <v>386.1</v>
      </c>
      <c r="O2125" s="116">
        <v>375.55</v>
      </c>
      <c r="P2125" s="116">
        <v>377.5</v>
      </c>
      <c r="Q2125" s="116">
        <v>755.7</v>
      </c>
      <c r="R2125">
        <v>391076</v>
      </c>
    </row>
    <row r="2126" spans="1:18" x14ac:dyDescent="0.25">
      <c r="A2126" s="166">
        <v>45134</v>
      </c>
      <c r="B2126" s="116">
        <v>380.82499999999999</v>
      </c>
      <c r="C2126" s="116">
        <v>375.27499999999998</v>
      </c>
      <c r="D2126" s="116">
        <v>373.5</v>
      </c>
      <c r="E2126" s="116">
        <v>376.97500000000002</v>
      </c>
      <c r="F2126" s="116">
        <v>750.55</v>
      </c>
      <c r="G2126">
        <v>21918</v>
      </c>
      <c r="H2126" s="116"/>
      <c r="I2126" s="116"/>
      <c r="L2126" s="166">
        <v>45134</v>
      </c>
      <c r="M2126" s="116">
        <v>375.375</v>
      </c>
      <c r="N2126" s="116">
        <v>380.72500000000002</v>
      </c>
      <c r="O2126" s="116">
        <v>373.55</v>
      </c>
      <c r="P2126" s="116">
        <v>377.95</v>
      </c>
      <c r="Q2126" s="116">
        <v>750.75</v>
      </c>
      <c r="R2126">
        <v>166353</v>
      </c>
    </row>
    <row r="2127" spans="1:18" x14ac:dyDescent="0.25">
      <c r="A2127" s="166">
        <v>45135</v>
      </c>
      <c r="B2127" s="116">
        <v>378.5</v>
      </c>
      <c r="C2127" s="116">
        <v>367.125</v>
      </c>
      <c r="D2127" s="116">
        <v>363.875</v>
      </c>
      <c r="E2127" s="116">
        <v>375.97500000000002</v>
      </c>
      <c r="F2127" s="116">
        <v>734.25</v>
      </c>
      <c r="G2127">
        <v>14477</v>
      </c>
      <c r="H2127" s="116"/>
      <c r="I2127" s="116"/>
      <c r="L2127" s="166">
        <v>45135</v>
      </c>
      <c r="M2127" s="116">
        <v>367.125</v>
      </c>
      <c r="N2127" s="116">
        <v>378.5</v>
      </c>
      <c r="O2127" s="116">
        <v>363.52499999999998</v>
      </c>
      <c r="P2127" s="116">
        <v>375</v>
      </c>
      <c r="Q2127" s="116">
        <v>734.25</v>
      </c>
      <c r="R2127">
        <v>216668</v>
      </c>
    </row>
    <row r="2128" spans="1:18" x14ac:dyDescent="0.25">
      <c r="A2128" s="166">
        <v>45138</v>
      </c>
      <c r="B2128" s="116">
        <v>390.85</v>
      </c>
      <c r="C2128" s="116">
        <v>378.9</v>
      </c>
      <c r="D2128" s="116">
        <v>368.3</v>
      </c>
      <c r="E2128" s="116">
        <v>368.3</v>
      </c>
      <c r="F2128" s="116">
        <v>757.8</v>
      </c>
      <c r="G2128">
        <v>51912</v>
      </c>
      <c r="H2128" s="116"/>
      <c r="I2128" s="116"/>
      <c r="L2128" s="166">
        <v>45138</v>
      </c>
      <c r="M2128" s="116">
        <v>378.8</v>
      </c>
      <c r="N2128" s="116">
        <v>390.95</v>
      </c>
      <c r="O2128" s="116">
        <v>368.25</v>
      </c>
      <c r="P2128" s="116">
        <v>368.92500000000001</v>
      </c>
      <c r="Q2128" s="116">
        <v>757.6</v>
      </c>
      <c r="R2128">
        <v>596155</v>
      </c>
    </row>
    <row r="2129" spans="1:18" x14ac:dyDescent="0.25">
      <c r="A2129" s="166">
        <v>45139</v>
      </c>
      <c r="B2129" s="116">
        <v>394.15</v>
      </c>
      <c r="C2129" s="116">
        <v>390.67500000000001</v>
      </c>
      <c r="D2129" s="116">
        <v>378.72500000000002</v>
      </c>
      <c r="E2129" s="116">
        <v>380.47500000000002</v>
      </c>
      <c r="F2129" s="116">
        <v>781.35</v>
      </c>
      <c r="G2129">
        <v>42867</v>
      </c>
      <c r="H2129" s="116"/>
      <c r="I2129" s="116"/>
      <c r="L2129" s="166">
        <v>45139</v>
      </c>
      <c r="M2129" s="116">
        <v>391.3</v>
      </c>
      <c r="N2129" s="116">
        <v>394.2</v>
      </c>
      <c r="O2129" s="116">
        <v>378</v>
      </c>
      <c r="P2129" s="116">
        <v>378.92500000000001</v>
      </c>
      <c r="Q2129" s="116">
        <v>782.6</v>
      </c>
      <c r="R2129">
        <v>543261</v>
      </c>
    </row>
    <row r="2130" spans="1:18" x14ac:dyDescent="0.25">
      <c r="A2130" s="166">
        <v>45140</v>
      </c>
      <c r="B2130" s="116">
        <v>399.05</v>
      </c>
      <c r="C2130" s="116">
        <v>396.85</v>
      </c>
      <c r="D2130" s="116">
        <v>388</v>
      </c>
      <c r="E2130" s="116">
        <v>391.2</v>
      </c>
      <c r="F2130" s="116">
        <v>793.7</v>
      </c>
      <c r="G2130">
        <v>21085</v>
      </c>
      <c r="H2130" s="116"/>
      <c r="I2130" s="116"/>
      <c r="L2130" s="166">
        <v>45140</v>
      </c>
      <c r="M2130" s="116">
        <v>396.7</v>
      </c>
      <c r="N2130" s="116">
        <v>399</v>
      </c>
      <c r="O2130" s="116">
        <v>387.52499999999998</v>
      </c>
      <c r="P2130" s="116">
        <v>392.47500000000002</v>
      </c>
      <c r="Q2130" s="116">
        <v>793.4</v>
      </c>
      <c r="R2130">
        <v>422053</v>
      </c>
    </row>
    <row r="2131" spans="1:18" x14ac:dyDescent="0.25">
      <c r="A2131" s="166">
        <v>45141</v>
      </c>
      <c r="B2131" s="116">
        <v>410.15</v>
      </c>
      <c r="C2131" s="116">
        <v>409.25</v>
      </c>
      <c r="D2131" s="116">
        <v>394.125</v>
      </c>
      <c r="E2131" s="116">
        <v>398.82499999999999</v>
      </c>
      <c r="F2131" s="116">
        <v>818.5</v>
      </c>
      <c r="G2131">
        <v>58412</v>
      </c>
      <c r="H2131" s="116"/>
      <c r="I2131" s="116"/>
      <c r="L2131" s="166">
        <v>45141</v>
      </c>
      <c r="M2131" s="116">
        <v>409.52499999999998</v>
      </c>
      <c r="N2131" s="116">
        <v>410</v>
      </c>
      <c r="O2131" s="116">
        <v>394.02499999999998</v>
      </c>
      <c r="P2131" s="116">
        <v>398</v>
      </c>
      <c r="Q2131" s="116">
        <v>819.05</v>
      </c>
      <c r="R2131">
        <v>623304</v>
      </c>
    </row>
    <row r="2132" spans="1:18" x14ac:dyDescent="0.25">
      <c r="A2132" s="166">
        <v>45142</v>
      </c>
      <c r="B2132" s="116">
        <v>414</v>
      </c>
      <c r="C2132" s="116">
        <v>399.85</v>
      </c>
      <c r="D2132" s="116">
        <v>395.82499999999999</v>
      </c>
      <c r="E2132" s="116">
        <v>408.02499999999998</v>
      </c>
      <c r="F2132" s="116">
        <v>799.7</v>
      </c>
      <c r="G2132">
        <v>40205</v>
      </c>
      <c r="H2132" s="116"/>
      <c r="I2132" s="116"/>
      <c r="L2132" s="166">
        <v>45142</v>
      </c>
      <c r="M2132" s="116">
        <v>399.52499999999998</v>
      </c>
      <c r="N2132" s="116">
        <v>414.3</v>
      </c>
      <c r="O2132" s="116">
        <v>396</v>
      </c>
      <c r="P2132" s="116">
        <v>411.5</v>
      </c>
      <c r="Q2132" s="116">
        <v>799.05</v>
      </c>
      <c r="R2132">
        <v>948196</v>
      </c>
    </row>
    <row r="2133" spans="1:18" x14ac:dyDescent="0.25">
      <c r="A2133" s="166">
        <v>45145</v>
      </c>
      <c r="B2133" s="116">
        <v>403.77499999999998</v>
      </c>
      <c r="C2133" s="116">
        <v>399.35</v>
      </c>
      <c r="D2133" s="116">
        <v>396</v>
      </c>
      <c r="E2133" s="116">
        <v>399.85</v>
      </c>
      <c r="F2133" s="116">
        <v>798.7</v>
      </c>
      <c r="G2133">
        <v>26475</v>
      </c>
      <c r="H2133" s="116"/>
      <c r="I2133" s="116"/>
      <c r="L2133" s="166">
        <v>45145</v>
      </c>
      <c r="M2133" s="116">
        <v>398.82499999999999</v>
      </c>
      <c r="N2133" s="116">
        <v>403.95</v>
      </c>
      <c r="O2133" s="116">
        <v>396.02499999999998</v>
      </c>
      <c r="P2133" s="116">
        <v>402.45</v>
      </c>
      <c r="Q2133" s="116">
        <v>797.65</v>
      </c>
      <c r="R2133">
        <v>149832</v>
      </c>
    </row>
    <row r="2134" spans="1:18" x14ac:dyDescent="0.25">
      <c r="A2134" s="166">
        <v>45146</v>
      </c>
      <c r="B2134" s="116">
        <v>399.95</v>
      </c>
      <c r="C2134" s="116">
        <v>388.32499999999999</v>
      </c>
      <c r="D2134" s="116">
        <v>383.52499999999998</v>
      </c>
      <c r="E2134" s="116">
        <v>398.07499999999999</v>
      </c>
      <c r="F2134" s="116">
        <v>776.65</v>
      </c>
      <c r="G2134">
        <v>42545</v>
      </c>
      <c r="H2134" s="116"/>
      <c r="I2134" s="116"/>
      <c r="L2134" s="166">
        <v>45146</v>
      </c>
      <c r="M2134" s="116">
        <v>388.57499999999999</v>
      </c>
      <c r="N2134" s="116">
        <v>401.85</v>
      </c>
      <c r="O2134" s="116">
        <v>383.65</v>
      </c>
      <c r="P2134" s="116">
        <v>401.85</v>
      </c>
      <c r="Q2134" s="116">
        <v>777.15</v>
      </c>
      <c r="R2134">
        <v>277214</v>
      </c>
    </row>
    <row r="2135" spans="1:18" x14ac:dyDescent="0.25">
      <c r="A2135" s="166">
        <v>45147</v>
      </c>
      <c r="B2135" s="116">
        <v>397.7</v>
      </c>
      <c r="C2135" s="116">
        <v>396.6</v>
      </c>
      <c r="D2135" s="116">
        <v>387.02499999999998</v>
      </c>
      <c r="E2135" s="116">
        <v>388.35</v>
      </c>
      <c r="F2135" s="116">
        <v>793.2</v>
      </c>
      <c r="G2135">
        <v>11617</v>
      </c>
      <c r="H2135" s="116"/>
      <c r="I2135" s="116"/>
      <c r="L2135" s="166">
        <v>45147</v>
      </c>
      <c r="M2135" s="116">
        <v>396.17500000000001</v>
      </c>
      <c r="N2135" s="116">
        <v>397.97500000000002</v>
      </c>
      <c r="O2135" s="116">
        <v>386.7</v>
      </c>
      <c r="P2135" s="116">
        <v>391</v>
      </c>
      <c r="Q2135" s="116">
        <v>792.35</v>
      </c>
      <c r="R2135">
        <v>233489</v>
      </c>
    </row>
    <row r="2136" spans="1:18" x14ac:dyDescent="0.25">
      <c r="A2136" s="166">
        <v>45148</v>
      </c>
      <c r="B2136" s="116">
        <v>397.77499999999998</v>
      </c>
      <c r="C2136" s="116">
        <v>395.65</v>
      </c>
      <c r="D2136" s="116">
        <v>390.05</v>
      </c>
      <c r="E2136" s="116">
        <v>396.65</v>
      </c>
      <c r="F2136" s="116">
        <v>791.3</v>
      </c>
      <c r="G2136">
        <v>17682</v>
      </c>
      <c r="H2136" s="116"/>
      <c r="I2136" s="116"/>
      <c r="L2136" s="166">
        <v>45148</v>
      </c>
      <c r="M2136" s="116">
        <v>395.9</v>
      </c>
      <c r="N2136" s="116">
        <v>397.8</v>
      </c>
      <c r="O2136" s="116">
        <v>392.6</v>
      </c>
      <c r="P2136" s="116">
        <v>397.2</v>
      </c>
      <c r="Q2136" s="116">
        <v>791.8</v>
      </c>
      <c r="R2136">
        <v>154053</v>
      </c>
    </row>
    <row r="2137" spans="1:18" x14ac:dyDescent="0.25">
      <c r="A2137" s="166">
        <v>45149</v>
      </c>
      <c r="B2137" s="116">
        <v>420</v>
      </c>
      <c r="C2137" s="116">
        <v>418.25</v>
      </c>
      <c r="D2137" s="116">
        <v>389.75</v>
      </c>
      <c r="E2137" s="116">
        <v>389.75</v>
      </c>
      <c r="F2137" s="116">
        <v>836.5</v>
      </c>
      <c r="G2137">
        <v>35900</v>
      </c>
      <c r="H2137" s="116"/>
      <c r="I2137" s="116"/>
      <c r="L2137" s="166">
        <v>45149</v>
      </c>
      <c r="M2137" s="116">
        <v>417.97500000000002</v>
      </c>
      <c r="N2137" s="116">
        <v>419.97500000000002</v>
      </c>
      <c r="O2137" s="116">
        <v>394.25</v>
      </c>
      <c r="P2137" s="116">
        <v>395</v>
      </c>
      <c r="Q2137" s="116">
        <v>835.95</v>
      </c>
      <c r="R2137">
        <v>775612</v>
      </c>
    </row>
    <row r="2138" spans="1:18" x14ac:dyDescent="0.25">
      <c r="A2138" s="166">
        <v>45152</v>
      </c>
      <c r="B2138" s="116">
        <v>420</v>
      </c>
      <c r="C2138" s="116">
        <v>415.17500000000001</v>
      </c>
      <c r="D2138" s="116">
        <v>403.32499999999999</v>
      </c>
      <c r="E2138" s="116">
        <v>420</v>
      </c>
      <c r="F2138" s="116">
        <v>830.35</v>
      </c>
      <c r="G2138">
        <v>33072</v>
      </c>
      <c r="H2138" s="116"/>
      <c r="I2138" s="116"/>
      <c r="L2138" s="166">
        <v>45152</v>
      </c>
      <c r="M2138" s="116">
        <v>415.32499999999999</v>
      </c>
      <c r="N2138" s="116">
        <v>419.97500000000002</v>
      </c>
      <c r="O2138" s="116">
        <v>410.5</v>
      </c>
      <c r="P2138" s="116">
        <v>419.5</v>
      </c>
      <c r="Q2138" s="116">
        <v>830.65</v>
      </c>
      <c r="R2138">
        <v>386604</v>
      </c>
    </row>
    <row r="2139" spans="1:18" x14ac:dyDescent="0.25">
      <c r="A2139" s="166">
        <v>45154</v>
      </c>
      <c r="B2139" s="116">
        <v>418.47500000000002</v>
      </c>
      <c r="C2139" s="116">
        <v>414.02499999999998</v>
      </c>
      <c r="D2139" s="116">
        <v>410.17500000000001</v>
      </c>
      <c r="E2139" s="116">
        <v>415.45</v>
      </c>
      <c r="F2139" s="116">
        <v>828.05</v>
      </c>
      <c r="G2139">
        <v>9756</v>
      </c>
      <c r="H2139" s="116"/>
      <c r="I2139" s="116"/>
      <c r="L2139" s="166">
        <v>45154</v>
      </c>
      <c r="M2139" s="116">
        <v>414.125</v>
      </c>
      <c r="N2139" s="116">
        <v>418.5</v>
      </c>
      <c r="O2139" s="116">
        <v>410.17500000000001</v>
      </c>
      <c r="P2139" s="116">
        <v>414.97500000000002</v>
      </c>
      <c r="Q2139" s="116">
        <v>828.25</v>
      </c>
      <c r="R2139">
        <v>172696</v>
      </c>
    </row>
    <row r="2140" spans="1:18" x14ac:dyDescent="0.25">
      <c r="A2140" s="166">
        <v>45155</v>
      </c>
      <c r="B2140" s="116">
        <v>427.75</v>
      </c>
      <c r="C2140" s="116">
        <v>408.125</v>
      </c>
      <c r="D2140" s="116">
        <v>401.4</v>
      </c>
      <c r="E2140" s="116">
        <v>417.47500000000002</v>
      </c>
      <c r="F2140" s="116">
        <v>816.25</v>
      </c>
      <c r="G2140">
        <v>35030</v>
      </c>
      <c r="H2140" s="116"/>
      <c r="I2140" s="116"/>
      <c r="L2140" s="166">
        <v>45155</v>
      </c>
      <c r="M2140" s="116">
        <v>408.55</v>
      </c>
      <c r="N2140" s="116">
        <v>427.5</v>
      </c>
      <c r="O2140" s="116">
        <v>395.6</v>
      </c>
      <c r="P2140" s="116">
        <v>414</v>
      </c>
      <c r="Q2140" s="116">
        <v>817.1</v>
      </c>
      <c r="R2140">
        <v>680214</v>
      </c>
    </row>
    <row r="2141" spans="1:18" x14ac:dyDescent="0.25">
      <c r="A2141" s="166">
        <v>45156</v>
      </c>
      <c r="B2141" s="116">
        <v>425.77499999999998</v>
      </c>
      <c r="C2141" s="116">
        <v>414.25</v>
      </c>
      <c r="D2141" s="116">
        <v>408.35</v>
      </c>
      <c r="E2141" s="116">
        <v>411.97500000000002</v>
      </c>
      <c r="F2141" s="116">
        <v>828.5</v>
      </c>
      <c r="G2141">
        <v>34999</v>
      </c>
      <c r="H2141" s="116"/>
      <c r="I2141" s="116"/>
      <c r="L2141" s="166">
        <v>45156</v>
      </c>
      <c r="M2141" s="116">
        <v>415.1</v>
      </c>
      <c r="N2141" s="116">
        <v>425.95</v>
      </c>
      <c r="O2141" s="116">
        <v>406.85</v>
      </c>
      <c r="P2141" s="116">
        <v>408.5</v>
      </c>
      <c r="Q2141" s="116">
        <v>830.2</v>
      </c>
      <c r="R2141">
        <v>514034</v>
      </c>
    </row>
    <row r="2142" spans="1:18" x14ac:dyDescent="0.25">
      <c r="A2142" s="166">
        <v>45159</v>
      </c>
      <c r="B2142" s="116">
        <v>428.72500000000002</v>
      </c>
      <c r="C2142" s="116">
        <v>421.92500000000001</v>
      </c>
      <c r="D2142" s="116">
        <v>417.5</v>
      </c>
      <c r="E2142" s="116">
        <v>418.4</v>
      </c>
      <c r="F2142" s="116">
        <v>843.85</v>
      </c>
      <c r="G2142">
        <v>20110</v>
      </c>
      <c r="H2142" s="116"/>
      <c r="I2142" s="116"/>
      <c r="L2142" s="166">
        <v>45159</v>
      </c>
      <c r="M2142" s="116">
        <v>422.15</v>
      </c>
      <c r="N2142" s="116">
        <v>428.375</v>
      </c>
      <c r="O2142" s="116">
        <v>417.25</v>
      </c>
      <c r="P2142" s="116">
        <v>417.25</v>
      </c>
      <c r="Q2142" s="116">
        <v>844.3</v>
      </c>
      <c r="R2142">
        <v>404267</v>
      </c>
    </row>
    <row r="2143" spans="1:18" x14ac:dyDescent="0.25">
      <c r="A2143" s="166">
        <v>45160</v>
      </c>
      <c r="B2143" s="116">
        <v>427.27499999999998</v>
      </c>
      <c r="C2143" s="116">
        <v>425.25</v>
      </c>
      <c r="D2143" s="116">
        <v>418.92500000000001</v>
      </c>
      <c r="E2143" s="116">
        <v>426.57499999999999</v>
      </c>
      <c r="F2143" s="116">
        <v>850.5</v>
      </c>
      <c r="G2143">
        <v>11150</v>
      </c>
      <c r="H2143" s="116"/>
      <c r="I2143" s="116"/>
      <c r="L2143" s="166">
        <v>45160</v>
      </c>
      <c r="M2143" s="116">
        <v>424.95</v>
      </c>
      <c r="N2143" s="116">
        <v>427.5</v>
      </c>
      <c r="O2143" s="116">
        <v>418.72500000000002</v>
      </c>
      <c r="P2143" s="116">
        <v>422.5</v>
      </c>
      <c r="Q2143" s="116">
        <v>849.9</v>
      </c>
      <c r="R2143">
        <v>307208</v>
      </c>
    </row>
    <row r="2144" spans="1:18" x14ac:dyDescent="0.25">
      <c r="A2144" s="166">
        <v>45161</v>
      </c>
      <c r="B2144" s="116">
        <v>432.2</v>
      </c>
      <c r="C2144" s="116">
        <v>424.05</v>
      </c>
      <c r="D2144" s="116">
        <v>422.77499999999998</v>
      </c>
      <c r="E2144" s="116">
        <v>424.97500000000002</v>
      </c>
      <c r="F2144" s="116">
        <v>848.1</v>
      </c>
      <c r="G2144">
        <v>21481</v>
      </c>
      <c r="H2144" s="116"/>
      <c r="I2144" s="116"/>
      <c r="L2144" s="166">
        <v>45161</v>
      </c>
      <c r="M2144" s="116">
        <v>424.27499999999998</v>
      </c>
      <c r="N2144" s="116">
        <v>432.15</v>
      </c>
      <c r="O2144" s="116">
        <v>421.5</v>
      </c>
      <c r="P2144" s="116">
        <v>421.5</v>
      </c>
      <c r="Q2144" s="116">
        <v>848.55</v>
      </c>
      <c r="R2144">
        <v>235900</v>
      </c>
    </row>
    <row r="2145" spans="1:18" x14ac:dyDescent="0.25">
      <c r="A2145" s="166">
        <v>45162</v>
      </c>
      <c r="B2145" s="116">
        <v>428.65</v>
      </c>
      <c r="C2145" s="116">
        <v>424.42500000000001</v>
      </c>
      <c r="D2145" s="116">
        <v>422.42500000000001</v>
      </c>
      <c r="E2145" s="116">
        <v>426</v>
      </c>
      <c r="F2145" s="116">
        <v>848.85</v>
      </c>
      <c r="G2145">
        <v>12583</v>
      </c>
      <c r="H2145" s="116"/>
      <c r="I2145" s="116"/>
      <c r="L2145" s="166">
        <v>45162</v>
      </c>
      <c r="M2145" s="116">
        <v>424.45</v>
      </c>
      <c r="N2145" s="116">
        <v>430</v>
      </c>
      <c r="O2145" s="116">
        <v>422</v>
      </c>
      <c r="P2145" s="116">
        <v>425.52499999999998</v>
      </c>
      <c r="Q2145" s="116">
        <v>848.9</v>
      </c>
      <c r="R2145">
        <v>158345</v>
      </c>
    </row>
    <row r="2146" spans="1:18" x14ac:dyDescent="0.25">
      <c r="A2146" s="166">
        <v>45163</v>
      </c>
      <c r="B2146" s="116">
        <v>425.7</v>
      </c>
      <c r="C2146" s="116">
        <v>424.8</v>
      </c>
      <c r="D2146" s="116">
        <v>415.52499999999998</v>
      </c>
      <c r="E2146" s="116">
        <v>416.77499999999998</v>
      </c>
      <c r="F2146" s="116">
        <v>849.6</v>
      </c>
      <c r="G2146">
        <v>6483</v>
      </c>
      <c r="H2146" s="116"/>
      <c r="I2146" s="116"/>
      <c r="L2146" s="166">
        <v>45163</v>
      </c>
      <c r="M2146" s="116">
        <v>424.75</v>
      </c>
      <c r="N2146" s="116">
        <v>426</v>
      </c>
      <c r="O2146" s="116">
        <v>415.3</v>
      </c>
      <c r="P2146" s="116">
        <v>424.45</v>
      </c>
      <c r="Q2146" s="116">
        <v>849.5</v>
      </c>
      <c r="R2146">
        <v>165053</v>
      </c>
    </row>
    <row r="2147" spans="1:18" x14ac:dyDescent="0.25">
      <c r="A2147" s="166">
        <v>45166</v>
      </c>
      <c r="B2147" s="116">
        <v>429.97500000000002</v>
      </c>
      <c r="C2147" s="116">
        <v>423.1</v>
      </c>
      <c r="D2147" s="116">
        <v>421.5</v>
      </c>
      <c r="E2147" s="116">
        <v>423.52499999999998</v>
      </c>
      <c r="F2147" s="116">
        <v>846.2</v>
      </c>
      <c r="G2147">
        <v>15540</v>
      </c>
      <c r="H2147" s="116"/>
      <c r="I2147" s="116"/>
      <c r="L2147" s="166">
        <v>45166</v>
      </c>
      <c r="M2147" s="116">
        <v>423.42500000000001</v>
      </c>
      <c r="N2147" s="116">
        <v>430</v>
      </c>
      <c r="O2147" s="116">
        <v>421</v>
      </c>
      <c r="P2147" s="116">
        <v>426</v>
      </c>
      <c r="Q2147" s="116">
        <v>846.85</v>
      </c>
      <c r="R2147">
        <v>251140</v>
      </c>
    </row>
    <row r="2148" spans="1:18" x14ac:dyDescent="0.25">
      <c r="A2148" s="166">
        <v>45167</v>
      </c>
      <c r="B2148" s="116">
        <v>426.75</v>
      </c>
      <c r="C2148" s="116">
        <v>423.45</v>
      </c>
      <c r="D2148" s="116">
        <v>420</v>
      </c>
      <c r="E2148" s="116">
        <v>423.125</v>
      </c>
      <c r="F2148" s="116">
        <v>846.9</v>
      </c>
      <c r="G2148">
        <v>5092</v>
      </c>
      <c r="H2148" s="116"/>
      <c r="I2148" s="116"/>
      <c r="L2148" s="166">
        <v>45167</v>
      </c>
      <c r="M2148" s="116">
        <v>424.15</v>
      </c>
      <c r="N2148" s="116">
        <v>427.5</v>
      </c>
      <c r="O2148" s="116">
        <v>417.77499999999998</v>
      </c>
      <c r="P2148" s="116">
        <v>423.97500000000002</v>
      </c>
      <c r="Q2148" s="116">
        <v>848.3</v>
      </c>
      <c r="R2148">
        <v>175740</v>
      </c>
    </row>
    <row r="2149" spans="1:18" x14ac:dyDescent="0.25">
      <c r="A2149" s="166">
        <v>45168</v>
      </c>
      <c r="B2149" s="116">
        <v>434.15</v>
      </c>
      <c r="C2149" s="116">
        <v>427.85</v>
      </c>
      <c r="D2149" s="116">
        <v>415</v>
      </c>
      <c r="E2149" s="116">
        <v>415</v>
      </c>
      <c r="F2149" s="116">
        <v>855.7</v>
      </c>
      <c r="G2149">
        <v>16446</v>
      </c>
      <c r="H2149" s="116"/>
      <c r="I2149" s="116"/>
      <c r="L2149" s="166">
        <v>45168</v>
      </c>
      <c r="M2149" s="116">
        <v>426.92500000000001</v>
      </c>
      <c r="N2149" s="116">
        <v>434.95</v>
      </c>
      <c r="O2149" s="116">
        <v>422.5</v>
      </c>
      <c r="P2149" s="116">
        <v>425</v>
      </c>
      <c r="Q2149" s="116">
        <v>853.85</v>
      </c>
      <c r="R2149">
        <v>383029</v>
      </c>
    </row>
    <row r="2150" spans="1:18" x14ac:dyDescent="0.25">
      <c r="A2150" s="166">
        <v>45169</v>
      </c>
      <c r="B2150" s="116">
        <v>443</v>
      </c>
      <c r="C2150" s="116">
        <v>441.97500000000002</v>
      </c>
      <c r="D2150" s="116">
        <v>427.85</v>
      </c>
      <c r="E2150" s="116">
        <v>429.97500000000002</v>
      </c>
      <c r="F2150" s="116">
        <v>883.95</v>
      </c>
      <c r="G2150">
        <v>42597</v>
      </c>
      <c r="H2150" s="116"/>
      <c r="I2150" s="116"/>
      <c r="L2150" s="166">
        <v>45169</v>
      </c>
      <c r="M2150" s="116">
        <v>441.5</v>
      </c>
      <c r="N2150" s="116">
        <v>443.02499999999998</v>
      </c>
      <c r="O2150" s="116">
        <v>425.92500000000001</v>
      </c>
      <c r="P2150" s="116">
        <v>428.9</v>
      </c>
      <c r="Q2150" s="116">
        <v>883</v>
      </c>
      <c r="R2150">
        <v>569827</v>
      </c>
    </row>
    <row r="2151" spans="1:18" x14ac:dyDescent="0.25">
      <c r="A2151" s="166">
        <v>45170</v>
      </c>
      <c r="B2151" s="116">
        <v>453.75</v>
      </c>
      <c r="C2151" s="116">
        <v>449.82499999999999</v>
      </c>
      <c r="D2151" s="116">
        <v>442.97500000000002</v>
      </c>
      <c r="E2151" s="116">
        <v>442.97500000000002</v>
      </c>
      <c r="F2151" s="116">
        <v>899.65</v>
      </c>
      <c r="G2151">
        <v>44180</v>
      </c>
      <c r="H2151" s="116"/>
      <c r="I2151" s="116"/>
      <c r="L2151" s="166">
        <v>45170</v>
      </c>
      <c r="M2151" s="116">
        <v>450.22500000000002</v>
      </c>
      <c r="N2151" s="116">
        <v>453.5</v>
      </c>
      <c r="O2151" s="116">
        <v>442.5</v>
      </c>
      <c r="P2151" s="116">
        <v>442.5</v>
      </c>
      <c r="Q2151" s="116">
        <v>900.45</v>
      </c>
      <c r="R2151">
        <v>319724</v>
      </c>
    </row>
    <row r="2152" spans="1:18" x14ac:dyDescent="0.25">
      <c r="A2152" s="166">
        <v>45173</v>
      </c>
      <c r="B2152" s="116">
        <v>466.92500000000001</v>
      </c>
      <c r="C2152" s="116">
        <v>463.57499999999999</v>
      </c>
      <c r="D2152" s="116">
        <v>450.52499999999998</v>
      </c>
      <c r="E2152" s="116">
        <v>450.52499999999998</v>
      </c>
      <c r="F2152" s="116">
        <v>927.15</v>
      </c>
      <c r="G2152">
        <v>16771</v>
      </c>
      <c r="H2152" s="116"/>
      <c r="I2152" s="116"/>
      <c r="L2152" s="166">
        <v>45173</v>
      </c>
      <c r="M2152" s="116">
        <v>464.55</v>
      </c>
      <c r="N2152" s="116">
        <v>467.5</v>
      </c>
      <c r="O2152" s="116">
        <v>452.5</v>
      </c>
      <c r="P2152" s="116">
        <v>453.375</v>
      </c>
      <c r="Q2152" s="116">
        <v>929.1</v>
      </c>
      <c r="R2152">
        <v>319051</v>
      </c>
    </row>
    <row r="2153" spans="1:18" x14ac:dyDescent="0.25">
      <c r="A2153" s="166">
        <v>45174</v>
      </c>
      <c r="B2153" s="116">
        <v>491.7</v>
      </c>
      <c r="C2153" s="116">
        <v>472.65</v>
      </c>
      <c r="D2153" s="116">
        <v>463.5</v>
      </c>
      <c r="E2153" s="116">
        <v>463.5</v>
      </c>
      <c r="F2153" s="116">
        <v>945.3</v>
      </c>
      <c r="G2153">
        <v>29664</v>
      </c>
      <c r="H2153" s="116"/>
      <c r="I2153" s="116"/>
      <c r="L2153" s="166">
        <v>45174</v>
      </c>
      <c r="M2153" s="116">
        <v>473</v>
      </c>
      <c r="N2153" s="116">
        <v>491.5</v>
      </c>
      <c r="O2153" s="116">
        <v>462.55</v>
      </c>
      <c r="P2153" s="116">
        <v>464.55</v>
      </c>
      <c r="Q2153" s="116">
        <v>946</v>
      </c>
      <c r="R2153">
        <v>689278</v>
      </c>
    </row>
    <row r="2154" spans="1:18" x14ac:dyDescent="0.25">
      <c r="A2154" s="166">
        <v>45175</v>
      </c>
      <c r="B2154" s="116">
        <v>478.47500000000002</v>
      </c>
      <c r="C2154" s="116">
        <v>451.57499999999999</v>
      </c>
      <c r="D2154" s="116">
        <v>444.42500000000001</v>
      </c>
      <c r="E2154" s="116">
        <v>474.07499999999999</v>
      </c>
      <c r="F2154" s="116">
        <v>903.15</v>
      </c>
      <c r="G2154">
        <v>41063</v>
      </c>
      <c r="H2154" s="116"/>
      <c r="I2154" s="116"/>
      <c r="L2154" s="166">
        <v>45175</v>
      </c>
      <c r="M2154" s="116">
        <v>451.4</v>
      </c>
      <c r="N2154" s="116">
        <v>480.25</v>
      </c>
      <c r="O2154" s="116">
        <v>443.82499999999999</v>
      </c>
      <c r="P2154" s="116">
        <v>476.75</v>
      </c>
      <c r="Q2154" s="116">
        <v>902.8</v>
      </c>
      <c r="R2154">
        <v>554454</v>
      </c>
    </row>
    <row r="2155" spans="1:18" x14ac:dyDescent="0.25">
      <c r="A2155" s="166">
        <v>45176</v>
      </c>
      <c r="B2155" s="116">
        <v>454.92500000000001</v>
      </c>
      <c r="C2155" s="116">
        <v>442.22500000000002</v>
      </c>
      <c r="D2155" s="116">
        <v>440</v>
      </c>
      <c r="E2155" s="116">
        <v>449.97500000000002</v>
      </c>
      <c r="F2155" s="116">
        <v>884.45</v>
      </c>
      <c r="G2155">
        <v>39694</v>
      </c>
      <c r="H2155" s="116"/>
      <c r="I2155" s="116"/>
      <c r="L2155" s="166">
        <v>45176</v>
      </c>
      <c r="M2155" s="116">
        <v>442.02499999999998</v>
      </c>
      <c r="N2155" s="116">
        <v>455</v>
      </c>
      <c r="O2155" s="116">
        <v>439.1</v>
      </c>
      <c r="P2155" s="116">
        <v>448.8</v>
      </c>
      <c r="Q2155" s="116">
        <v>884.05</v>
      </c>
      <c r="R2155">
        <v>262026</v>
      </c>
    </row>
    <row r="2156" spans="1:18" x14ac:dyDescent="0.25">
      <c r="A2156" s="166">
        <v>45177</v>
      </c>
      <c r="B2156" s="116">
        <v>446.05</v>
      </c>
      <c r="C2156" s="116">
        <v>426.15</v>
      </c>
      <c r="D2156" s="116">
        <v>421.82499999999999</v>
      </c>
      <c r="E2156" s="116">
        <v>442.5</v>
      </c>
      <c r="F2156" s="116">
        <v>852.3</v>
      </c>
      <c r="G2156">
        <v>75694</v>
      </c>
      <c r="H2156" s="116"/>
      <c r="I2156" s="116"/>
      <c r="L2156" s="166">
        <v>45177</v>
      </c>
      <c r="M2156" s="116">
        <v>425.75</v>
      </c>
      <c r="N2156" s="116">
        <v>446.02499999999998</v>
      </c>
      <c r="O2156" s="116">
        <v>421.15</v>
      </c>
      <c r="P2156" s="116">
        <v>442.5</v>
      </c>
      <c r="Q2156" s="116">
        <v>851.5</v>
      </c>
      <c r="R2156">
        <v>380359</v>
      </c>
    </row>
    <row r="2157" spans="1:18" x14ac:dyDescent="0.25">
      <c r="A2157" s="166">
        <v>45180</v>
      </c>
      <c r="B2157" s="116">
        <v>425.5</v>
      </c>
      <c r="C2157" s="116">
        <v>404.47500000000002</v>
      </c>
      <c r="D2157" s="116">
        <v>398.72500000000002</v>
      </c>
      <c r="E2157" s="116">
        <v>417.625</v>
      </c>
      <c r="F2157" s="116">
        <v>808.95</v>
      </c>
      <c r="G2157">
        <v>185537</v>
      </c>
      <c r="H2157" s="116"/>
      <c r="I2157" s="116"/>
      <c r="L2157" s="166">
        <v>45180</v>
      </c>
      <c r="M2157" s="116">
        <v>404.35</v>
      </c>
      <c r="N2157" s="116">
        <v>427.3</v>
      </c>
      <c r="O2157" s="116">
        <v>401</v>
      </c>
      <c r="P2157" s="116">
        <v>425.75</v>
      </c>
      <c r="Q2157" s="116">
        <v>808.7</v>
      </c>
      <c r="R2157">
        <v>810881</v>
      </c>
    </row>
    <row r="2158" spans="1:18" x14ac:dyDescent="0.25">
      <c r="A2158" s="166">
        <v>45181</v>
      </c>
      <c r="B2158" s="116">
        <v>416.47500000000002</v>
      </c>
      <c r="C2158" s="116">
        <v>396.2</v>
      </c>
      <c r="D2158" s="116">
        <v>376</v>
      </c>
      <c r="E2158" s="116">
        <v>404.52499999999998</v>
      </c>
      <c r="F2158" s="116">
        <v>792.4</v>
      </c>
      <c r="G2158">
        <v>133859</v>
      </c>
      <c r="H2158" s="116"/>
      <c r="I2158" s="116"/>
      <c r="L2158" s="166">
        <v>45181</v>
      </c>
      <c r="M2158" s="116">
        <v>395.95</v>
      </c>
      <c r="N2158" s="116">
        <v>416.95</v>
      </c>
      <c r="O2158" s="116">
        <v>376.02499999999998</v>
      </c>
      <c r="P2158" s="116">
        <v>404.97500000000002</v>
      </c>
      <c r="Q2158" s="116">
        <v>791.9</v>
      </c>
      <c r="R2158">
        <v>772717</v>
      </c>
    </row>
    <row r="2159" spans="1:18" x14ac:dyDescent="0.25">
      <c r="A2159" s="166">
        <v>45182</v>
      </c>
      <c r="B2159" s="116">
        <v>404</v>
      </c>
      <c r="C2159" s="116">
        <v>391.57499999999999</v>
      </c>
      <c r="D2159" s="116">
        <v>378</v>
      </c>
      <c r="E2159" s="116">
        <v>391.52499999999998</v>
      </c>
      <c r="F2159" s="116">
        <v>783.15</v>
      </c>
      <c r="G2159">
        <v>118878</v>
      </c>
      <c r="H2159" s="116"/>
      <c r="I2159" s="116"/>
      <c r="L2159" s="166">
        <v>45182</v>
      </c>
      <c r="M2159" s="116">
        <v>391.67500000000001</v>
      </c>
      <c r="N2159" s="116">
        <v>404</v>
      </c>
      <c r="O2159" s="116">
        <v>377.55</v>
      </c>
      <c r="P2159" s="116">
        <v>393.5</v>
      </c>
      <c r="Q2159" s="116">
        <v>783.35</v>
      </c>
      <c r="R2159">
        <v>555421</v>
      </c>
    </row>
    <row r="2160" spans="1:18" x14ac:dyDescent="0.25">
      <c r="A2160" s="166">
        <v>45183</v>
      </c>
      <c r="B2160" s="116">
        <v>399.67500000000001</v>
      </c>
      <c r="C2160" s="116">
        <v>390.875</v>
      </c>
      <c r="D2160" s="116">
        <v>389.75</v>
      </c>
      <c r="E2160" s="116">
        <v>394.45</v>
      </c>
      <c r="F2160" s="116">
        <v>781.75</v>
      </c>
      <c r="G2160">
        <v>22102</v>
      </c>
      <c r="H2160" s="116"/>
      <c r="I2160" s="116"/>
      <c r="L2160" s="166">
        <v>45183</v>
      </c>
      <c r="M2160" s="116">
        <v>391.02499999999998</v>
      </c>
      <c r="N2160" s="116">
        <v>399.67500000000001</v>
      </c>
      <c r="O2160" s="116">
        <v>389.5</v>
      </c>
      <c r="P2160" s="116">
        <v>391.5</v>
      </c>
      <c r="Q2160" s="116">
        <v>782.05</v>
      </c>
      <c r="R2160">
        <v>340718</v>
      </c>
    </row>
    <row r="2161" spans="1:18" x14ac:dyDescent="0.25">
      <c r="A2161" s="166">
        <v>45184</v>
      </c>
      <c r="B2161" s="116">
        <v>394.97500000000002</v>
      </c>
      <c r="C2161" s="116">
        <v>380.57499999999999</v>
      </c>
      <c r="D2161" s="116">
        <v>376.5</v>
      </c>
      <c r="E2161" s="116">
        <v>391.57499999999999</v>
      </c>
      <c r="F2161" s="116">
        <v>761.15</v>
      </c>
      <c r="G2161">
        <v>20109</v>
      </c>
      <c r="H2161" s="116"/>
      <c r="I2161" s="116"/>
      <c r="L2161" s="166">
        <v>45184</v>
      </c>
      <c r="M2161" s="116">
        <v>380.625</v>
      </c>
      <c r="N2161" s="116">
        <v>394.95</v>
      </c>
      <c r="O2161" s="116">
        <v>376.1</v>
      </c>
      <c r="P2161" s="116">
        <v>393</v>
      </c>
      <c r="Q2161" s="116">
        <v>761.25</v>
      </c>
      <c r="R2161">
        <v>389565</v>
      </c>
    </row>
    <row r="2162" spans="1:18" x14ac:dyDescent="0.25">
      <c r="A2162" s="166">
        <v>45187</v>
      </c>
      <c r="B2162" s="116">
        <v>393.8</v>
      </c>
      <c r="C2162" s="116">
        <v>372.22500000000002</v>
      </c>
      <c r="D2162" s="116">
        <v>368.82499999999999</v>
      </c>
      <c r="E2162" s="116">
        <v>380.97500000000002</v>
      </c>
      <c r="F2162" s="116">
        <v>744.45</v>
      </c>
      <c r="G2162">
        <v>27036</v>
      </c>
      <c r="H2162" s="116"/>
      <c r="I2162" s="116"/>
      <c r="L2162" s="166">
        <v>45187</v>
      </c>
      <c r="M2162" s="116">
        <v>372.35</v>
      </c>
      <c r="N2162" s="116">
        <v>393.75</v>
      </c>
      <c r="O2162" s="116">
        <v>368.52499999999998</v>
      </c>
      <c r="P2162" s="116">
        <v>380.625</v>
      </c>
      <c r="Q2162" s="116">
        <v>744.7</v>
      </c>
      <c r="R2162">
        <v>775909</v>
      </c>
    </row>
    <row r="2163" spans="1:18" x14ac:dyDescent="0.25">
      <c r="A2163" s="166">
        <v>45189</v>
      </c>
      <c r="B2163" s="116">
        <v>389.7</v>
      </c>
      <c r="C2163" s="116">
        <v>365.27499999999998</v>
      </c>
      <c r="D2163" s="116">
        <v>363.52499999999998</v>
      </c>
      <c r="E2163" s="116">
        <v>372</v>
      </c>
      <c r="F2163" s="116">
        <v>730.55</v>
      </c>
      <c r="G2163">
        <v>28136</v>
      </c>
      <c r="H2163" s="116"/>
      <c r="I2163" s="116"/>
      <c r="L2163" s="166">
        <v>45189</v>
      </c>
      <c r="M2163" s="116">
        <v>365.17500000000001</v>
      </c>
      <c r="N2163" s="116">
        <v>389.9</v>
      </c>
      <c r="O2163" s="116">
        <v>362.82499999999999</v>
      </c>
      <c r="P2163" s="116">
        <v>372.35</v>
      </c>
      <c r="Q2163" s="116">
        <v>730.35</v>
      </c>
      <c r="R2163">
        <v>880505</v>
      </c>
    </row>
    <row r="2164" spans="1:18" x14ac:dyDescent="0.25">
      <c r="A2164" s="166">
        <v>45190</v>
      </c>
      <c r="B2164" s="116">
        <v>375.7</v>
      </c>
      <c r="C2164" s="116">
        <v>352.47500000000002</v>
      </c>
      <c r="D2164" s="116">
        <v>350</v>
      </c>
      <c r="E2164" s="116">
        <v>366.02499999999998</v>
      </c>
      <c r="F2164" s="116">
        <v>704.95</v>
      </c>
      <c r="G2164">
        <v>84353</v>
      </c>
      <c r="H2164" s="116"/>
      <c r="I2164" s="116"/>
      <c r="L2164" s="166">
        <v>45190</v>
      </c>
      <c r="M2164" s="116">
        <v>352.55</v>
      </c>
      <c r="N2164" s="116">
        <v>373.85</v>
      </c>
      <c r="O2164" s="116">
        <v>351</v>
      </c>
      <c r="P2164" s="116">
        <v>367.47500000000002</v>
      </c>
      <c r="Q2164" s="116">
        <v>705.1</v>
      </c>
      <c r="R2164">
        <v>802262</v>
      </c>
    </row>
    <row r="2165" spans="1:18" x14ac:dyDescent="0.25">
      <c r="A2165" s="166">
        <v>45191</v>
      </c>
      <c r="B2165" s="116">
        <v>369.92500000000001</v>
      </c>
      <c r="C2165" s="116">
        <v>357.8</v>
      </c>
      <c r="D2165" s="116">
        <v>346.67500000000001</v>
      </c>
      <c r="E2165" s="116">
        <v>354.55</v>
      </c>
      <c r="F2165" s="116">
        <v>715.6</v>
      </c>
      <c r="G2165">
        <v>93246</v>
      </c>
      <c r="H2165" s="116"/>
      <c r="I2165" s="116"/>
      <c r="L2165" s="166">
        <v>45191</v>
      </c>
      <c r="M2165" s="116">
        <v>359.625</v>
      </c>
      <c r="N2165" s="116">
        <v>370</v>
      </c>
      <c r="O2165" s="116">
        <v>346.07499999999999</v>
      </c>
      <c r="P2165" s="116">
        <v>352.5</v>
      </c>
      <c r="Q2165" s="116">
        <v>719.25</v>
      </c>
      <c r="R2165">
        <v>1246795</v>
      </c>
    </row>
    <row r="2166" spans="1:18" x14ac:dyDescent="0.25">
      <c r="A2166" s="166">
        <v>45194</v>
      </c>
      <c r="B2166" s="116">
        <v>386.25</v>
      </c>
      <c r="C2166" s="116">
        <v>379.57499999999999</v>
      </c>
      <c r="D2166" s="116">
        <v>363.75</v>
      </c>
      <c r="E2166" s="116">
        <v>369.72500000000002</v>
      </c>
      <c r="F2166" s="116">
        <v>759.15</v>
      </c>
      <c r="G2166">
        <v>58911</v>
      </c>
      <c r="H2166" s="116"/>
      <c r="I2166" s="116"/>
      <c r="L2166" s="166">
        <v>45194</v>
      </c>
      <c r="M2166" s="116">
        <v>379.22500000000002</v>
      </c>
      <c r="N2166" s="116">
        <v>386.45</v>
      </c>
      <c r="O2166" s="116">
        <v>362.72500000000002</v>
      </c>
      <c r="P2166" s="116">
        <v>362.75</v>
      </c>
      <c r="Q2166" s="116">
        <v>758.45</v>
      </c>
      <c r="R2166">
        <v>993600</v>
      </c>
    </row>
    <row r="2167" spans="1:18" x14ac:dyDescent="0.25">
      <c r="A2167" s="166">
        <v>45195</v>
      </c>
      <c r="B2167" s="116">
        <v>384</v>
      </c>
      <c r="C2167" s="116">
        <v>366.77499999999998</v>
      </c>
      <c r="D2167" s="116">
        <v>365.27499999999998</v>
      </c>
      <c r="E2167" s="116">
        <v>381</v>
      </c>
      <c r="F2167" s="116">
        <v>733.55</v>
      </c>
      <c r="G2167">
        <v>72158</v>
      </c>
      <c r="H2167" s="116"/>
      <c r="I2167" s="116"/>
      <c r="L2167" s="166">
        <v>45195</v>
      </c>
      <c r="M2167" s="116">
        <v>366.75</v>
      </c>
      <c r="N2167" s="116">
        <v>384.375</v>
      </c>
      <c r="O2167" s="116">
        <v>365.25</v>
      </c>
      <c r="P2167" s="116">
        <v>380.25</v>
      </c>
      <c r="Q2167" s="116">
        <v>733.5</v>
      </c>
      <c r="R2167">
        <v>448558</v>
      </c>
    </row>
    <row r="2168" spans="1:18" x14ac:dyDescent="0.25">
      <c r="A2168" s="166">
        <v>45196</v>
      </c>
      <c r="B2168" s="116">
        <v>384.125</v>
      </c>
      <c r="C2168" s="116">
        <v>381</v>
      </c>
      <c r="D2168" s="116">
        <v>365.42500000000001</v>
      </c>
      <c r="E2168" s="116">
        <v>369</v>
      </c>
      <c r="F2168" s="116">
        <v>762</v>
      </c>
      <c r="G2168">
        <v>65152</v>
      </c>
      <c r="H2168" s="116"/>
      <c r="I2168" s="116"/>
      <c r="L2168" s="166">
        <v>45196</v>
      </c>
      <c r="M2168" s="116">
        <v>381.15</v>
      </c>
      <c r="N2168" s="116">
        <v>387</v>
      </c>
      <c r="O2168" s="116">
        <v>365.5</v>
      </c>
      <c r="P2168" s="116">
        <v>369</v>
      </c>
      <c r="Q2168" s="116">
        <v>762.3</v>
      </c>
      <c r="R2168">
        <v>457488</v>
      </c>
    </row>
    <row r="2169" spans="1:18" x14ac:dyDescent="0.25">
      <c r="A2169" s="166">
        <v>45197</v>
      </c>
      <c r="B2169" s="116">
        <v>389.5</v>
      </c>
      <c r="C2169" s="116">
        <v>384.95</v>
      </c>
      <c r="D2169" s="116">
        <v>375.52499999999998</v>
      </c>
      <c r="E2169" s="116">
        <v>375.52499999999998</v>
      </c>
      <c r="F2169" s="116">
        <v>769.9</v>
      </c>
      <c r="G2169">
        <v>23834</v>
      </c>
      <c r="H2169" s="116"/>
      <c r="I2169" s="116"/>
      <c r="L2169" s="166">
        <v>45197</v>
      </c>
      <c r="M2169" s="116">
        <v>384.8</v>
      </c>
      <c r="N2169" s="116">
        <v>389.47500000000002</v>
      </c>
      <c r="O2169" s="116">
        <v>377.92500000000001</v>
      </c>
      <c r="P2169" s="116">
        <v>379.5</v>
      </c>
      <c r="Q2169" s="116">
        <v>769.6</v>
      </c>
      <c r="R2169">
        <v>343586</v>
      </c>
    </row>
    <row r="2170" spans="1:18" x14ac:dyDescent="0.25">
      <c r="A2170" s="166">
        <v>45198</v>
      </c>
      <c r="B2170" s="116">
        <v>389.8</v>
      </c>
      <c r="C2170" s="116">
        <v>387.25</v>
      </c>
      <c r="D2170" s="116">
        <v>381.6</v>
      </c>
      <c r="E2170" s="116">
        <v>387.875</v>
      </c>
      <c r="F2170" s="116">
        <v>774.5</v>
      </c>
      <c r="G2170">
        <v>58422</v>
      </c>
      <c r="H2170" s="116"/>
      <c r="I2170" s="116"/>
      <c r="L2170" s="166">
        <v>45198</v>
      </c>
      <c r="M2170" s="116">
        <v>386.67500000000001</v>
      </c>
      <c r="N2170" s="116">
        <v>389.25</v>
      </c>
      <c r="O2170" s="116">
        <v>381.25</v>
      </c>
      <c r="P2170" s="116">
        <v>386.52499999999998</v>
      </c>
      <c r="Q2170" s="116">
        <v>773.35</v>
      </c>
      <c r="R2170">
        <v>378703</v>
      </c>
    </row>
    <row r="2171" spans="1:18" x14ac:dyDescent="0.25">
      <c r="A2171" s="166">
        <v>45202</v>
      </c>
      <c r="B2171" s="116">
        <v>403.22500000000002</v>
      </c>
      <c r="C2171" s="116">
        <v>397.1</v>
      </c>
      <c r="D2171" s="116">
        <v>386.5</v>
      </c>
      <c r="E2171" s="116">
        <v>387.25</v>
      </c>
      <c r="F2171" s="116">
        <v>794.2</v>
      </c>
      <c r="G2171">
        <v>74422</v>
      </c>
      <c r="H2171" s="116"/>
      <c r="I2171" s="116"/>
      <c r="L2171" s="166">
        <v>45202</v>
      </c>
      <c r="M2171" s="116">
        <v>396.77499999999998</v>
      </c>
      <c r="N2171" s="116">
        <v>403.55</v>
      </c>
      <c r="O2171" s="116">
        <v>387</v>
      </c>
      <c r="P2171" s="116">
        <v>387</v>
      </c>
      <c r="Q2171" s="116">
        <v>793.55</v>
      </c>
      <c r="R2171">
        <v>521020</v>
      </c>
    </row>
    <row r="2172" spans="1:18" x14ac:dyDescent="0.25">
      <c r="A2172" s="166">
        <v>45203</v>
      </c>
      <c r="B2172" s="116">
        <v>403.52499999999998</v>
      </c>
      <c r="C2172" s="116">
        <v>399.32499999999999</v>
      </c>
      <c r="D2172" s="116">
        <v>388</v>
      </c>
      <c r="E2172" s="116">
        <v>398.17500000000001</v>
      </c>
      <c r="F2172" s="116">
        <v>798.65</v>
      </c>
      <c r="G2172">
        <v>57746</v>
      </c>
      <c r="H2172" s="116"/>
      <c r="I2172" s="116"/>
      <c r="L2172" s="166">
        <v>45203</v>
      </c>
      <c r="M2172" s="116">
        <v>399.55</v>
      </c>
      <c r="N2172" s="116">
        <v>404.2</v>
      </c>
      <c r="O2172" s="116">
        <v>388</v>
      </c>
      <c r="P2172" s="116">
        <v>397.05</v>
      </c>
      <c r="Q2172" s="116">
        <v>799.1</v>
      </c>
      <c r="R2172">
        <v>516943</v>
      </c>
    </row>
    <row r="2173" spans="1:18" x14ac:dyDescent="0.25">
      <c r="A2173" s="166">
        <v>45204</v>
      </c>
      <c r="B2173" s="116">
        <v>403.2</v>
      </c>
      <c r="C2173" s="116">
        <v>398.45</v>
      </c>
      <c r="D2173" s="116">
        <v>396.3</v>
      </c>
      <c r="E2173" s="116">
        <v>402.2</v>
      </c>
      <c r="F2173" s="116">
        <v>796.9</v>
      </c>
      <c r="G2173">
        <v>14951</v>
      </c>
      <c r="H2173" s="116"/>
      <c r="I2173" s="116"/>
      <c r="L2173" s="166">
        <v>45204</v>
      </c>
      <c r="M2173" s="116">
        <v>398.65</v>
      </c>
      <c r="N2173" s="116">
        <v>403.55</v>
      </c>
      <c r="O2173" s="116">
        <v>396.55</v>
      </c>
      <c r="P2173" s="116">
        <v>401.55</v>
      </c>
      <c r="Q2173" s="116">
        <v>797.3</v>
      </c>
      <c r="R2173">
        <v>211500</v>
      </c>
    </row>
    <row r="2174" spans="1:18" x14ac:dyDescent="0.25">
      <c r="A2174" s="166">
        <v>45205</v>
      </c>
      <c r="B2174" s="116">
        <v>402.65</v>
      </c>
      <c r="C2174" s="116">
        <v>385.8</v>
      </c>
      <c r="D2174" s="116">
        <v>382.65</v>
      </c>
      <c r="E2174" s="116">
        <v>401.75</v>
      </c>
      <c r="F2174" s="116">
        <v>771.6</v>
      </c>
      <c r="G2174">
        <v>19220</v>
      </c>
      <c r="H2174" s="116"/>
      <c r="I2174" s="116"/>
      <c r="L2174" s="166">
        <v>45205</v>
      </c>
      <c r="M2174" s="116">
        <v>385.8</v>
      </c>
      <c r="N2174" s="116">
        <v>402.97500000000002</v>
      </c>
      <c r="O2174" s="116">
        <v>382.52499999999998</v>
      </c>
      <c r="P2174" s="116">
        <v>401.15</v>
      </c>
      <c r="Q2174" s="116">
        <v>771.6</v>
      </c>
      <c r="R2174">
        <v>388401</v>
      </c>
    </row>
    <row r="2175" spans="1:18" x14ac:dyDescent="0.25">
      <c r="A2175" s="166">
        <v>45208</v>
      </c>
      <c r="B2175" s="116">
        <v>400.95</v>
      </c>
      <c r="C2175" s="116">
        <v>381.375</v>
      </c>
      <c r="D2175" s="116">
        <v>373.35</v>
      </c>
      <c r="E2175" s="116">
        <v>373.35</v>
      </c>
      <c r="F2175" s="116">
        <v>762.75</v>
      </c>
      <c r="G2175">
        <v>87717</v>
      </c>
      <c r="H2175" s="116"/>
      <c r="I2175" s="116"/>
      <c r="L2175" s="166">
        <v>45208</v>
      </c>
      <c r="M2175" s="116">
        <v>381.32499999999999</v>
      </c>
      <c r="N2175" s="116">
        <v>401</v>
      </c>
      <c r="O2175" s="116">
        <v>379.3</v>
      </c>
      <c r="P2175" s="116">
        <v>382.97500000000002</v>
      </c>
      <c r="Q2175" s="116">
        <v>762.65</v>
      </c>
      <c r="R2175">
        <v>547909</v>
      </c>
    </row>
    <row r="2176" spans="1:18" x14ac:dyDescent="0.25">
      <c r="A2176" s="166">
        <v>45209</v>
      </c>
      <c r="B2176" s="116">
        <v>394</v>
      </c>
      <c r="C2176" s="116">
        <v>391.3</v>
      </c>
      <c r="D2176" s="116">
        <v>382.125</v>
      </c>
      <c r="E2176" s="116">
        <v>382.125</v>
      </c>
      <c r="F2176" s="116">
        <v>782.6</v>
      </c>
      <c r="G2176">
        <v>28978</v>
      </c>
      <c r="H2176" s="116"/>
      <c r="I2176" s="116"/>
      <c r="L2176" s="166">
        <v>45209</v>
      </c>
      <c r="M2176" s="116">
        <v>391.55</v>
      </c>
      <c r="N2176" s="116">
        <v>394.17500000000001</v>
      </c>
      <c r="O2176" s="116">
        <v>382.52499999999998</v>
      </c>
      <c r="P2176" s="116">
        <v>384.52499999999998</v>
      </c>
      <c r="Q2176" s="116">
        <v>783.1</v>
      </c>
      <c r="R2176">
        <v>240200</v>
      </c>
    </row>
    <row r="2177" spans="1:18" x14ac:dyDescent="0.25">
      <c r="A2177" s="166">
        <v>45210</v>
      </c>
      <c r="B2177" s="116">
        <v>403.5</v>
      </c>
      <c r="C2177" s="116">
        <v>400.65</v>
      </c>
      <c r="D2177" s="116">
        <v>393.8</v>
      </c>
      <c r="E2177" s="116">
        <v>398.05</v>
      </c>
      <c r="F2177" s="116">
        <v>801.3</v>
      </c>
      <c r="G2177">
        <v>48081</v>
      </c>
      <c r="H2177" s="116"/>
      <c r="I2177" s="116"/>
      <c r="L2177" s="166">
        <v>45210</v>
      </c>
      <c r="M2177" s="116">
        <v>401.02499999999998</v>
      </c>
      <c r="N2177" s="116">
        <v>403.8</v>
      </c>
      <c r="O2177" s="116">
        <v>394.45</v>
      </c>
      <c r="P2177" s="116">
        <v>394.5</v>
      </c>
      <c r="Q2177" s="116">
        <v>802.05</v>
      </c>
      <c r="R2177">
        <v>302021</v>
      </c>
    </row>
    <row r="2178" spans="1:18" x14ac:dyDescent="0.25">
      <c r="A2178" s="166">
        <v>45211</v>
      </c>
      <c r="B2178" s="116">
        <v>421.17500000000001</v>
      </c>
      <c r="C2178" s="116">
        <v>413.85</v>
      </c>
      <c r="D2178" s="116">
        <v>401.02499999999998</v>
      </c>
      <c r="E2178" s="116">
        <v>401.02499999999998</v>
      </c>
      <c r="F2178" s="116">
        <v>827.7</v>
      </c>
      <c r="G2178">
        <v>21415</v>
      </c>
      <c r="H2178" s="116"/>
      <c r="I2178" s="116"/>
      <c r="L2178" s="166">
        <v>45211</v>
      </c>
      <c r="M2178" s="116">
        <v>413.72500000000002</v>
      </c>
      <c r="N2178" s="116">
        <v>421.4</v>
      </c>
      <c r="O2178" s="116">
        <v>402.97500000000002</v>
      </c>
      <c r="P2178" s="116">
        <v>403</v>
      </c>
      <c r="Q2178" s="116">
        <v>827.45</v>
      </c>
      <c r="R2178">
        <v>549910</v>
      </c>
    </row>
    <row r="2179" spans="1:18" x14ac:dyDescent="0.25">
      <c r="A2179" s="166">
        <v>45212</v>
      </c>
      <c r="B2179" s="116">
        <v>421.57499999999999</v>
      </c>
      <c r="C2179" s="116">
        <v>418.65</v>
      </c>
      <c r="D2179" s="116">
        <v>408.02499999999998</v>
      </c>
      <c r="E2179" s="116">
        <v>408.02499999999998</v>
      </c>
      <c r="F2179" s="116">
        <v>837.3</v>
      </c>
      <c r="G2179">
        <v>37929</v>
      </c>
      <c r="H2179" s="116"/>
      <c r="I2179" s="116"/>
      <c r="L2179" s="166">
        <v>45212</v>
      </c>
      <c r="M2179" s="116">
        <v>418.77499999999998</v>
      </c>
      <c r="N2179" s="116">
        <v>422.45</v>
      </c>
      <c r="O2179" s="116">
        <v>410.07499999999999</v>
      </c>
      <c r="P2179" s="116">
        <v>412.5</v>
      </c>
      <c r="Q2179" s="116">
        <v>837.55</v>
      </c>
      <c r="R2179">
        <v>305761</v>
      </c>
    </row>
    <row r="2180" spans="1:18" x14ac:dyDescent="0.25">
      <c r="A2180" s="166">
        <v>45215</v>
      </c>
      <c r="B2180" s="116">
        <v>424.75</v>
      </c>
      <c r="C2180" s="116">
        <v>406.67500000000001</v>
      </c>
      <c r="D2180" s="116">
        <v>404.1</v>
      </c>
      <c r="E2180" s="116">
        <v>422.47500000000002</v>
      </c>
      <c r="F2180" s="116">
        <v>813.35</v>
      </c>
      <c r="G2180">
        <v>13690</v>
      </c>
      <c r="H2180" s="116"/>
      <c r="I2180" s="116"/>
      <c r="L2180" s="166">
        <v>45215</v>
      </c>
      <c r="M2180" s="116">
        <v>406.45</v>
      </c>
      <c r="N2180" s="116">
        <v>425</v>
      </c>
      <c r="O2180" s="116">
        <v>403.52499999999998</v>
      </c>
      <c r="P2180" s="116">
        <v>421.47500000000002</v>
      </c>
      <c r="Q2180" s="116">
        <v>812.9</v>
      </c>
      <c r="R2180">
        <v>360968</v>
      </c>
    </row>
    <row r="2181" spans="1:18" x14ac:dyDescent="0.25">
      <c r="A2181" s="166">
        <v>45216</v>
      </c>
      <c r="B2181" s="116">
        <v>414.17500000000001</v>
      </c>
      <c r="C2181" s="116">
        <v>405.4</v>
      </c>
      <c r="D2181" s="116">
        <v>398.8</v>
      </c>
      <c r="E2181" s="116">
        <v>413.45</v>
      </c>
      <c r="F2181" s="116">
        <v>810.8</v>
      </c>
      <c r="G2181">
        <v>29573</v>
      </c>
      <c r="H2181" s="116"/>
      <c r="I2181" s="116"/>
      <c r="L2181" s="166">
        <v>45216</v>
      </c>
      <c r="M2181" s="116">
        <v>406.02499999999998</v>
      </c>
      <c r="N2181" s="116">
        <v>413.95</v>
      </c>
      <c r="O2181" s="116">
        <v>398.52499999999998</v>
      </c>
      <c r="P2181" s="116">
        <v>410</v>
      </c>
      <c r="Q2181" s="116">
        <v>812.05</v>
      </c>
      <c r="R2181">
        <v>234907</v>
      </c>
    </row>
    <row r="2182" spans="1:18" x14ac:dyDescent="0.25">
      <c r="A2182" s="166">
        <v>45217</v>
      </c>
      <c r="B2182" s="116">
        <v>412.47500000000002</v>
      </c>
      <c r="C2182" s="116">
        <v>396.6</v>
      </c>
      <c r="D2182" s="116">
        <v>393.25</v>
      </c>
      <c r="E2182" s="116">
        <v>407.5</v>
      </c>
      <c r="F2182" s="116">
        <v>793.2</v>
      </c>
      <c r="G2182">
        <v>15616</v>
      </c>
      <c r="H2182" s="116"/>
      <c r="I2182" s="116"/>
      <c r="L2182" s="166">
        <v>45217</v>
      </c>
      <c r="M2182" s="116">
        <v>396.42500000000001</v>
      </c>
      <c r="N2182" s="116">
        <v>412.5</v>
      </c>
      <c r="O2182" s="116">
        <v>392.97500000000002</v>
      </c>
      <c r="P2182" s="116">
        <v>406.02499999999998</v>
      </c>
      <c r="Q2182" s="116">
        <v>792.85</v>
      </c>
      <c r="R2182">
        <v>306399</v>
      </c>
    </row>
    <row r="2183" spans="1:18" x14ac:dyDescent="0.25">
      <c r="A2183" s="166">
        <v>45218</v>
      </c>
      <c r="B2183" s="116">
        <v>401.5</v>
      </c>
      <c r="C2183" s="116">
        <v>393.95</v>
      </c>
      <c r="D2183" s="116">
        <v>386</v>
      </c>
      <c r="E2183" s="116">
        <v>395.55</v>
      </c>
      <c r="F2183" s="116">
        <v>787.9</v>
      </c>
      <c r="G2183">
        <v>40957</v>
      </c>
      <c r="H2183" s="116"/>
      <c r="I2183" s="116"/>
      <c r="L2183" s="166">
        <v>45218</v>
      </c>
      <c r="M2183" s="116">
        <v>393.47500000000002</v>
      </c>
      <c r="N2183" s="116">
        <v>401.6</v>
      </c>
      <c r="O2183" s="116">
        <v>386.07499999999999</v>
      </c>
      <c r="P2183" s="116">
        <v>393.02499999999998</v>
      </c>
      <c r="Q2183" s="116">
        <v>786.95</v>
      </c>
      <c r="R2183">
        <v>262284</v>
      </c>
    </row>
    <row r="2184" spans="1:18" x14ac:dyDescent="0.25">
      <c r="A2184" s="166">
        <v>45219</v>
      </c>
      <c r="B2184" s="116">
        <v>418.9</v>
      </c>
      <c r="C2184" s="116">
        <v>402.92500000000001</v>
      </c>
      <c r="D2184" s="116">
        <v>395.3</v>
      </c>
      <c r="E2184" s="116">
        <v>395.3</v>
      </c>
      <c r="F2184" s="116">
        <v>805.85</v>
      </c>
      <c r="G2184">
        <v>124043</v>
      </c>
      <c r="H2184" s="116"/>
      <c r="I2184" s="116"/>
      <c r="L2184" s="166">
        <v>45219</v>
      </c>
      <c r="M2184" s="116">
        <v>403.57499999999999</v>
      </c>
      <c r="N2184" s="116">
        <v>419.875</v>
      </c>
      <c r="O2184" s="116">
        <v>396</v>
      </c>
      <c r="P2184" s="116">
        <v>397.95</v>
      </c>
      <c r="Q2184" s="116">
        <v>807.15</v>
      </c>
      <c r="R2184">
        <v>1334670</v>
      </c>
    </row>
    <row r="2185" spans="1:18" x14ac:dyDescent="0.25">
      <c r="A2185" s="166">
        <v>45222</v>
      </c>
      <c r="B2185" s="116">
        <v>414.375</v>
      </c>
      <c r="C2185" s="116">
        <v>388.875</v>
      </c>
      <c r="D2185" s="116">
        <v>386</v>
      </c>
      <c r="E2185" s="116">
        <v>411</v>
      </c>
      <c r="F2185" s="116">
        <v>777.75</v>
      </c>
      <c r="G2185">
        <v>21083</v>
      </c>
      <c r="H2185" s="116"/>
      <c r="I2185" s="116"/>
      <c r="L2185" s="166">
        <v>45222</v>
      </c>
      <c r="M2185" s="116">
        <v>388.7</v>
      </c>
      <c r="N2185" s="116">
        <v>414.95</v>
      </c>
      <c r="O2185" s="116">
        <v>385.57499999999999</v>
      </c>
      <c r="P2185" s="116">
        <v>407.5</v>
      </c>
      <c r="Q2185" s="116">
        <v>777.4</v>
      </c>
      <c r="R2185">
        <v>487826</v>
      </c>
    </row>
    <row r="2186" spans="1:18" x14ac:dyDescent="0.25">
      <c r="A2186" s="166">
        <v>45224</v>
      </c>
      <c r="B2186" s="116">
        <v>396.75</v>
      </c>
      <c r="C2186" s="116">
        <v>374</v>
      </c>
      <c r="D2186" s="116">
        <v>366.3</v>
      </c>
      <c r="E2186" s="116">
        <v>394.97500000000002</v>
      </c>
      <c r="F2186" s="116">
        <v>748</v>
      </c>
      <c r="G2186">
        <v>65011</v>
      </c>
      <c r="H2186" s="116"/>
      <c r="I2186" s="116"/>
      <c r="L2186" s="166">
        <v>45224</v>
      </c>
      <c r="M2186" s="116">
        <v>373.97500000000002</v>
      </c>
      <c r="N2186" s="116">
        <v>399.32499999999999</v>
      </c>
      <c r="O2186" s="116">
        <v>368.5</v>
      </c>
      <c r="P2186" s="116">
        <v>393.92500000000001</v>
      </c>
      <c r="Q2186" s="116">
        <v>747.95</v>
      </c>
      <c r="R2186">
        <v>472128</v>
      </c>
    </row>
    <row r="2187" spans="1:18" x14ac:dyDescent="0.25">
      <c r="A2187" s="166">
        <v>45225</v>
      </c>
      <c r="B2187" s="116">
        <v>389.375</v>
      </c>
      <c r="C2187" s="116">
        <v>387.32499999999999</v>
      </c>
      <c r="D2187" s="116">
        <v>357</v>
      </c>
      <c r="E2187" s="116">
        <v>368.9</v>
      </c>
      <c r="F2187" s="116">
        <v>774.65</v>
      </c>
      <c r="G2187">
        <v>71910</v>
      </c>
      <c r="H2187" s="116"/>
      <c r="I2187" s="116"/>
      <c r="L2187" s="166">
        <v>45225</v>
      </c>
      <c r="M2187" s="116">
        <v>387.4</v>
      </c>
      <c r="N2187" s="116">
        <v>389.75</v>
      </c>
      <c r="O2187" s="116">
        <v>356.625</v>
      </c>
      <c r="P2187" s="116">
        <v>373.95</v>
      </c>
      <c r="Q2187" s="116">
        <v>774.8</v>
      </c>
      <c r="R2187">
        <v>543502</v>
      </c>
    </row>
    <row r="2188" spans="1:18" x14ac:dyDescent="0.25">
      <c r="A2188" s="166">
        <v>45226</v>
      </c>
      <c r="B2188" s="116">
        <v>400.35</v>
      </c>
      <c r="C2188" s="116">
        <v>395.55</v>
      </c>
      <c r="D2188" s="116">
        <v>388.57499999999999</v>
      </c>
      <c r="E2188" s="116">
        <v>389.7</v>
      </c>
      <c r="F2188" s="116">
        <v>791.1</v>
      </c>
      <c r="G2188">
        <v>17054</v>
      </c>
      <c r="H2188" s="116"/>
      <c r="I2188" s="116"/>
      <c r="L2188" s="166">
        <v>45226</v>
      </c>
      <c r="M2188" s="116">
        <v>394.95</v>
      </c>
      <c r="N2188" s="116">
        <v>400.5</v>
      </c>
      <c r="O2188" s="116">
        <v>387.47500000000002</v>
      </c>
      <c r="P2188" s="116">
        <v>387.47500000000002</v>
      </c>
      <c r="Q2188" s="116">
        <v>789.9</v>
      </c>
      <c r="R2188">
        <v>243908</v>
      </c>
    </row>
    <row r="2189" spans="1:18" x14ac:dyDescent="0.25">
      <c r="A2189" s="166">
        <v>45229</v>
      </c>
      <c r="B2189" s="116">
        <v>404.47500000000002</v>
      </c>
      <c r="C2189" s="116">
        <v>402.47500000000002</v>
      </c>
      <c r="D2189" s="116">
        <v>391.5</v>
      </c>
      <c r="E2189" s="116">
        <v>393.4</v>
      </c>
      <c r="F2189" s="116">
        <v>804.95</v>
      </c>
      <c r="G2189">
        <v>29230</v>
      </c>
      <c r="H2189" s="116"/>
      <c r="I2189" s="116"/>
      <c r="L2189" s="166">
        <v>45229</v>
      </c>
      <c r="M2189" s="116">
        <v>402.57499999999999</v>
      </c>
      <c r="N2189" s="116">
        <v>404.5</v>
      </c>
      <c r="O2189" s="116">
        <v>391.5</v>
      </c>
      <c r="P2189" s="116">
        <v>397.5</v>
      </c>
      <c r="Q2189" s="116">
        <v>805.15</v>
      </c>
      <c r="R2189">
        <v>283920</v>
      </c>
    </row>
    <row r="2190" spans="1:18" x14ac:dyDescent="0.25">
      <c r="A2190" s="166">
        <v>45230</v>
      </c>
      <c r="B2190" s="116">
        <v>424.625</v>
      </c>
      <c r="C2190" s="116">
        <v>422.27499999999998</v>
      </c>
      <c r="D2190" s="116">
        <v>404.47500000000002</v>
      </c>
      <c r="E2190" s="116">
        <v>404.5</v>
      </c>
      <c r="F2190" s="116">
        <v>844.55</v>
      </c>
      <c r="G2190">
        <v>26816</v>
      </c>
      <c r="H2190" s="116"/>
      <c r="I2190" s="116"/>
      <c r="L2190" s="166">
        <v>45230</v>
      </c>
      <c r="M2190" s="116">
        <v>422</v>
      </c>
      <c r="N2190" s="116">
        <v>424.75</v>
      </c>
      <c r="O2190" s="116">
        <v>404</v>
      </c>
      <c r="P2190" s="116">
        <v>404</v>
      </c>
      <c r="Q2190" s="116">
        <v>844</v>
      </c>
      <c r="R2190">
        <v>751817</v>
      </c>
    </row>
    <row r="2191" spans="1:18" x14ac:dyDescent="0.25">
      <c r="A2191" s="166">
        <v>45231</v>
      </c>
      <c r="B2191" s="116">
        <v>451.5</v>
      </c>
      <c r="C2191" s="116">
        <v>433.05</v>
      </c>
      <c r="D2191" s="116">
        <v>425</v>
      </c>
      <c r="E2191" s="116">
        <v>425</v>
      </c>
      <c r="F2191" s="116">
        <v>866.1</v>
      </c>
      <c r="G2191">
        <v>156431</v>
      </c>
      <c r="H2191" s="116"/>
      <c r="I2191" s="116"/>
      <c r="L2191" s="166">
        <v>45231</v>
      </c>
      <c r="M2191" s="116">
        <v>433.57499999999999</v>
      </c>
      <c r="N2191" s="116">
        <v>451.92500000000001</v>
      </c>
      <c r="O2191" s="116">
        <v>425.4</v>
      </c>
      <c r="P2191" s="116">
        <v>425.42500000000001</v>
      </c>
      <c r="Q2191" s="116">
        <v>867.15</v>
      </c>
      <c r="R2191">
        <v>1509063</v>
      </c>
    </row>
    <row r="2192" spans="1:18" x14ac:dyDescent="0.25">
      <c r="A2192" s="166">
        <v>45232</v>
      </c>
      <c r="B2192" s="116">
        <v>444</v>
      </c>
      <c r="C2192" s="116">
        <v>439.97500000000002</v>
      </c>
      <c r="D2192" s="116">
        <v>436.42500000000001</v>
      </c>
      <c r="E2192" s="116">
        <v>439.6</v>
      </c>
      <c r="F2192" s="116">
        <v>879.95</v>
      </c>
      <c r="G2192">
        <v>23669</v>
      </c>
      <c r="H2192" s="116"/>
      <c r="I2192" s="116"/>
      <c r="L2192" s="166">
        <v>45232</v>
      </c>
      <c r="M2192" s="116">
        <v>439.8</v>
      </c>
      <c r="N2192" s="116">
        <v>445.3</v>
      </c>
      <c r="O2192" s="116">
        <v>435.82499999999999</v>
      </c>
      <c r="P2192" s="116">
        <v>439.15</v>
      </c>
      <c r="Q2192" s="116">
        <v>879.6</v>
      </c>
      <c r="R2192">
        <v>385543</v>
      </c>
    </row>
    <row r="2193" spans="1:18" x14ac:dyDescent="0.25">
      <c r="A2193" s="166">
        <v>45233</v>
      </c>
      <c r="B2193" s="116">
        <v>449</v>
      </c>
      <c r="C2193" s="116">
        <v>442.35</v>
      </c>
      <c r="D2193" s="116">
        <v>438</v>
      </c>
      <c r="E2193" s="116">
        <v>442.47500000000002</v>
      </c>
      <c r="F2193" s="116">
        <v>884.7</v>
      </c>
      <c r="G2193">
        <v>37823</v>
      </c>
      <c r="H2193" s="116"/>
      <c r="I2193" s="116"/>
      <c r="L2193" s="166">
        <v>45233</v>
      </c>
      <c r="M2193" s="116">
        <v>442.375</v>
      </c>
      <c r="N2193" s="116">
        <v>450</v>
      </c>
      <c r="O2193" s="116">
        <v>438.3</v>
      </c>
      <c r="P2193" s="116">
        <v>442</v>
      </c>
      <c r="Q2193" s="116">
        <v>884.75</v>
      </c>
      <c r="R2193">
        <v>322034</v>
      </c>
    </row>
    <row r="2194" spans="1:18" x14ac:dyDescent="0.25">
      <c r="A2194" s="166">
        <v>45236</v>
      </c>
      <c r="B2194" s="116">
        <v>482.4</v>
      </c>
      <c r="C2194" s="116">
        <v>463.17500000000001</v>
      </c>
      <c r="D2194" s="116">
        <v>445.82499999999999</v>
      </c>
      <c r="E2194" s="116">
        <v>446.47500000000002</v>
      </c>
      <c r="F2194" s="116">
        <v>926.35</v>
      </c>
      <c r="G2194">
        <v>53948</v>
      </c>
      <c r="H2194" s="116"/>
      <c r="I2194" s="116"/>
      <c r="L2194" s="166">
        <v>45236</v>
      </c>
      <c r="M2194" s="116">
        <v>461.42500000000001</v>
      </c>
      <c r="N2194" s="116">
        <v>482.27499999999998</v>
      </c>
      <c r="O2194" s="116">
        <v>444</v>
      </c>
      <c r="P2194" s="116">
        <v>444</v>
      </c>
      <c r="Q2194" s="116">
        <v>922.85</v>
      </c>
      <c r="R2194">
        <v>1414468</v>
      </c>
    </row>
    <row r="2195" spans="1:18" x14ac:dyDescent="0.25">
      <c r="A2195" s="166">
        <v>45237</v>
      </c>
      <c r="B2195" s="116">
        <v>472.4</v>
      </c>
      <c r="C2195" s="116">
        <v>450.4</v>
      </c>
      <c r="D2195" s="116">
        <v>445.05</v>
      </c>
      <c r="E2195" s="116">
        <v>466.97500000000002</v>
      </c>
      <c r="F2195" s="116">
        <v>900.8</v>
      </c>
      <c r="G2195">
        <v>61733</v>
      </c>
      <c r="H2195" s="116"/>
      <c r="I2195" s="116"/>
      <c r="L2195" s="166">
        <v>45237</v>
      </c>
      <c r="M2195" s="116">
        <v>450.92500000000001</v>
      </c>
      <c r="N2195" s="116">
        <v>472</v>
      </c>
      <c r="O2195" s="116">
        <v>448.45</v>
      </c>
      <c r="P2195" s="116">
        <v>465</v>
      </c>
      <c r="Q2195" s="116">
        <v>901.85</v>
      </c>
      <c r="R2195">
        <v>460992</v>
      </c>
    </row>
    <row r="2196" spans="1:18" x14ac:dyDescent="0.25">
      <c r="A2196" s="166">
        <v>45238</v>
      </c>
      <c r="B2196" s="116">
        <v>460</v>
      </c>
      <c r="C2196" s="116">
        <v>438.15</v>
      </c>
      <c r="D2196" s="116">
        <v>434.5</v>
      </c>
      <c r="E2196" s="116">
        <v>451.02499999999998</v>
      </c>
      <c r="F2196" s="116">
        <v>876.3</v>
      </c>
      <c r="G2196">
        <v>26858</v>
      </c>
      <c r="H2196" s="116"/>
      <c r="I2196" s="116"/>
      <c r="L2196" s="166">
        <v>45238</v>
      </c>
      <c r="M2196" s="116">
        <v>437.97500000000002</v>
      </c>
      <c r="N2196" s="116">
        <v>459</v>
      </c>
      <c r="O2196" s="116">
        <v>434.47500000000002</v>
      </c>
      <c r="P2196" s="116">
        <v>453</v>
      </c>
      <c r="Q2196" s="116">
        <v>875.95</v>
      </c>
      <c r="R2196">
        <v>497086</v>
      </c>
    </row>
    <row r="2197" spans="1:18" x14ac:dyDescent="0.25">
      <c r="A2197" s="166">
        <v>45239</v>
      </c>
      <c r="B2197" s="116">
        <v>458.45</v>
      </c>
      <c r="C2197" s="116">
        <v>449.75</v>
      </c>
      <c r="D2197" s="116">
        <v>440.97500000000002</v>
      </c>
      <c r="E2197" s="116">
        <v>445</v>
      </c>
      <c r="F2197" s="116">
        <v>899.5</v>
      </c>
      <c r="G2197">
        <v>39798</v>
      </c>
      <c r="H2197" s="116"/>
      <c r="I2197" s="116"/>
      <c r="L2197" s="166">
        <v>45239</v>
      </c>
      <c r="M2197" s="116">
        <v>450.57499999999999</v>
      </c>
      <c r="N2197" s="116">
        <v>458.45</v>
      </c>
      <c r="O2197" s="116">
        <v>440.5</v>
      </c>
      <c r="P2197" s="116">
        <v>441</v>
      </c>
      <c r="Q2197" s="116">
        <v>901.15</v>
      </c>
      <c r="R2197">
        <v>427424</v>
      </c>
    </row>
    <row r="2198" spans="1:18" x14ac:dyDescent="0.25">
      <c r="A2198" s="166">
        <v>45240</v>
      </c>
      <c r="B2198" s="116">
        <v>460.55</v>
      </c>
      <c r="C2198" s="116">
        <v>452.75</v>
      </c>
      <c r="D2198" s="116">
        <v>448.55</v>
      </c>
      <c r="E2198" s="116">
        <v>448.55</v>
      </c>
      <c r="F2198" s="116">
        <v>905.5</v>
      </c>
      <c r="G2198">
        <v>9191</v>
      </c>
      <c r="H2198" s="116"/>
      <c r="I2198" s="116"/>
      <c r="L2198" s="166">
        <v>45240</v>
      </c>
      <c r="M2198" s="116">
        <v>452.625</v>
      </c>
      <c r="N2198" s="116">
        <v>461.72500000000002</v>
      </c>
      <c r="O2198" s="116">
        <v>450.82499999999999</v>
      </c>
      <c r="P2198" s="116">
        <v>451.17500000000001</v>
      </c>
      <c r="Q2198" s="116">
        <v>905.25</v>
      </c>
      <c r="R2198">
        <v>239075</v>
      </c>
    </row>
    <row r="2199" spans="1:18" x14ac:dyDescent="0.25">
      <c r="A2199" s="166">
        <v>45242</v>
      </c>
      <c r="B2199" s="116">
        <v>459.97500000000002</v>
      </c>
      <c r="C2199" s="116">
        <v>454.25</v>
      </c>
      <c r="D2199" s="116">
        <v>453</v>
      </c>
      <c r="E2199" s="116">
        <v>456.625</v>
      </c>
      <c r="F2199" s="116">
        <v>908.5</v>
      </c>
      <c r="G2199">
        <v>9750</v>
      </c>
      <c r="H2199" s="116"/>
      <c r="I2199" s="116"/>
      <c r="L2199" s="166">
        <v>45242</v>
      </c>
      <c r="M2199" s="116">
        <v>454.25</v>
      </c>
      <c r="N2199" s="116">
        <v>459</v>
      </c>
      <c r="O2199" s="116">
        <v>452.625</v>
      </c>
      <c r="P2199" s="116">
        <v>455.47500000000002</v>
      </c>
      <c r="Q2199" s="116">
        <v>908.5</v>
      </c>
      <c r="R2199">
        <v>76682</v>
      </c>
    </row>
    <row r="2200" spans="1:18" x14ac:dyDescent="0.25">
      <c r="A2200" s="166">
        <v>45243</v>
      </c>
      <c r="B2200" s="116">
        <v>454.52499999999998</v>
      </c>
      <c r="C2200" s="116">
        <v>450.92500000000001</v>
      </c>
      <c r="D2200" s="116">
        <v>447.5</v>
      </c>
      <c r="E2200" s="116">
        <v>454.27499999999998</v>
      </c>
      <c r="F2200" s="116">
        <v>901.85</v>
      </c>
      <c r="G2200">
        <v>19328</v>
      </c>
      <c r="H2200" s="116"/>
      <c r="I2200" s="116"/>
      <c r="L2200" s="166">
        <v>45243</v>
      </c>
      <c r="M2200" s="116">
        <v>451.02499999999998</v>
      </c>
      <c r="N2200" s="116">
        <v>454.22500000000002</v>
      </c>
      <c r="O2200" s="116">
        <v>447.5</v>
      </c>
      <c r="P2200" s="116">
        <v>453.5</v>
      </c>
      <c r="Q2200" s="116">
        <v>902.05</v>
      </c>
      <c r="R2200">
        <v>196289</v>
      </c>
    </row>
    <row r="2201" spans="1:18" x14ac:dyDescent="0.25">
      <c r="A2201" s="166">
        <v>45245</v>
      </c>
      <c r="B2201" s="116">
        <v>455.05</v>
      </c>
      <c r="C2201" s="116">
        <v>445.82499999999999</v>
      </c>
      <c r="D2201" s="116">
        <v>444.5</v>
      </c>
      <c r="E2201" s="116">
        <v>450.05</v>
      </c>
      <c r="F2201" s="116">
        <v>891.65</v>
      </c>
      <c r="G2201">
        <v>8226</v>
      </c>
      <c r="H2201" s="116"/>
      <c r="I2201" s="116"/>
      <c r="L2201" s="166">
        <v>45245</v>
      </c>
      <c r="M2201" s="116">
        <v>445.3</v>
      </c>
      <c r="N2201" s="116">
        <v>457.5</v>
      </c>
      <c r="O2201" s="116">
        <v>444.02499999999998</v>
      </c>
      <c r="P2201" s="116">
        <v>454.5</v>
      </c>
      <c r="Q2201" s="116">
        <v>890.6</v>
      </c>
      <c r="R2201">
        <v>218867</v>
      </c>
    </row>
    <row r="2202" spans="1:18" x14ac:dyDescent="0.25">
      <c r="A2202" s="166">
        <v>45246</v>
      </c>
      <c r="B2202" s="116">
        <v>448.85</v>
      </c>
      <c r="C2202" s="116">
        <v>437.32499999999999</v>
      </c>
      <c r="D2202" s="116">
        <v>435.5</v>
      </c>
      <c r="E2202" s="116">
        <v>448.85</v>
      </c>
      <c r="F2202" s="116">
        <v>874.65</v>
      </c>
      <c r="G2202">
        <v>37499</v>
      </c>
      <c r="H2202" s="116"/>
      <c r="I2202" s="116"/>
      <c r="L2202" s="166">
        <v>45246</v>
      </c>
      <c r="M2202" s="116">
        <v>436.82499999999999</v>
      </c>
      <c r="N2202" s="116">
        <v>448.35</v>
      </c>
      <c r="O2202" s="116">
        <v>435</v>
      </c>
      <c r="P2202" s="116">
        <v>445.95</v>
      </c>
      <c r="Q2202" s="116">
        <v>873.65</v>
      </c>
      <c r="R2202">
        <v>235165</v>
      </c>
    </row>
    <row r="2203" spans="1:18" x14ac:dyDescent="0.25">
      <c r="A2203" s="166">
        <v>45247</v>
      </c>
      <c r="B2203" s="116">
        <v>451.65</v>
      </c>
      <c r="C2203" s="116">
        <v>443.65</v>
      </c>
      <c r="D2203" s="116">
        <v>435.3</v>
      </c>
      <c r="E2203" s="116">
        <v>437</v>
      </c>
      <c r="F2203" s="116">
        <v>887.3</v>
      </c>
      <c r="G2203">
        <v>31139</v>
      </c>
      <c r="H2203" s="116"/>
      <c r="I2203" s="116"/>
      <c r="L2203" s="166">
        <v>45247</v>
      </c>
      <c r="M2203" s="116">
        <v>443.4</v>
      </c>
      <c r="N2203" s="116">
        <v>452.15</v>
      </c>
      <c r="O2203" s="116">
        <v>435</v>
      </c>
      <c r="P2203" s="116">
        <v>436.2</v>
      </c>
      <c r="Q2203" s="116">
        <v>886.8</v>
      </c>
      <c r="R2203">
        <v>326386</v>
      </c>
    </row>
    <row r="2204" spans="1:18" x14ac:dyDescent="0.25">
      <c r="A2204" s="166">
        <v>45250</v>
      </c>
      <c r="B2204" s="116">
        <v>457.47500000000002</v>
      </c>
      <c r="C2204" s="116">
        <v>449.02499999999998</v>
      </c>
      <c r="D2204" s="116">
        <v>444.35</v>
      </c>
      <c r="E2204" s="116">
        <v>447.17500000000001</v>
      </c>
      <c r="F2204" s="116">
        <v>898.05</v>
      </c>
      <c r="G2204">
        <v>38141</v>
      </c>
      <c r="H2204" s="116"/>
      <c r="I2204" s="116"/>
      <c r="L2204" s="166">
        <v>45250</v>
      </c>
      <c r="M2204" s="116">
        <v>449</v>
      </c>
      <c r="N2204" s="116">
        <v>457.45</v>
      </c>
      <c r="O2204" s="116">
        <v>443.5</v>
      </c>
      <c r="P2204" s="116">
        <v>443.65</v>
      </c>
      <c r="Q2204" s="116">
        <v>898</v>
      </c>
      <c r="R2204">
        <v>241189</v>
      </c>
    </row>
    <row r="2205" spans="1:18" x14ac:dyDescent="0.25">
      <c r="A2205" s="166">
        <v>45251</v>
      </c>
      <c r="B2205" s="116">
        <v>456</v>
      </c>
      <c r="C2205" s="116">
        <v>444.6</v>
      </c>
      <c r="D2205" s="116">
        <v>440.1</v>
      </c>
      <c r="E2205" s="116">
        <v>453.82499999999999</v>
      </c>
      <c r="F2205" s="116">
        <v>889.2</v>
      </c>
      <c r="G2205">
        <v>21546</v>
      </c>
      <c r="H2205" s="116"/>
      <c r="I2205" s="116"/>
      <c r="L2205" s="166">
        <v>45251</v>
      </c>
      <c r="M2205" s="116">
        <v>445.125</v>
      </c>
      <c r="N2205" s="116">
        <v>456.5</v>
      </c>
      <c r="O2205" s="116">
        <v>442.5</v>
      </c>
      <c r="P2205" s="116">
        <v>452.25</v>
      </c>
      <c r="Q2205" s="116">
        <v>890.25</v>
      </c>
      <c r="R2205">
        <v>157288</v>
      </c>
    </row>
    <row r="2206" spans="1:18" x14ac:dyDescent="0.25">
      <c r="A2206" s="166">
        <v>45252</v>
      </c>
      <c r="B2206" s="116">
        <v>450.97500000000002</v>
      </c>
      <c r="C2206" s="116">
        <v>441.32499999999999</v>
      </c>
      <c r="D2206" s="116">
        <v>437.5</v>
      </c>
      <c r="E2206" s="116">
        <v>445.07499999999999</v>
      </c>
      <c r="F2206" s="116">
        <v>882.65</v>
      </c>
      <c r="G2206">
        <v>10519</v>
      </c>
      <c r="H2206" s="116"/>
      <c r="I2206" s="116"/>
      <c r="L2206" s="166">
        <v>45252</v>
      </c>
      <c r="M2206" s="116">
        <v>441.4</v>
      </c>
      <c r="N2206" s="116">
        <v>452.5</v>
      </c>
      <c r="O2206" s="116">
        <v>437.65</v>
      </c>
      <c r="P2206" s="116">
        <v>447.5</v>
      </c>
      <c r="Q2206" s="116">
        <v>882.8</v>
      </c>
      <c r="R2206">
        <v>197053</v>
      </c>
    </row>
    <row r="2207" spans="1:18" x14ac:dyDescent="0.25">
      <c r="A2207" s="166">
        <v>45253</v>
      </c>
      <c r="B2207" s="116">
        <v>445.92500000000001</v>
      </c>
      <c r="C2207" s="116">
        <v>442.02499999999998</v>
      </c>
      <c r="D2207" s="116">
        <v>439.45</v>
      </c>
      <c r="E2207" s="116">
        <v>441.55</v>
      </c>
      <c r="F2207" s="116">
        <v>884.05</v>
      </c>
      <c r="G2207">
        <v>7991</v>
      </c>
      <c r="H2207" s="116"/>
      <c r="I2207" s="116"/>
      <c r="L2207" s="166">
        <v>45253</v>
      </c>
      <c r="M2207" s="116">
        <v>441.57499999999999</v>
      </c>
      <c r="N2207" s="116">
        <v>447.5</v>
      </c>
      <c r="O2207" s="116">
        <v>439.25</v>
      </c>
      <c r="P2207" s="116">
        <v>443.47500000000002</v>
      </c>
      <c r="Q2207" s="116">
        <v>883.15</v>
      </c>
      <c r="R2207">
        <v>92557</v>
      </c>
    </row>
    <row r="2208" spans="1:18" x14ac:dyDescent="0.25">
      <c r="A2208" s="166">
        <v>45254</v>
      </c>
      <c r="B2208" s="116">
        <v>493.77499999999998</v>
      </c>
      <c r="C2208" s="116">
        <v>478.375</v>
      </c>
      <c r="D2208" s="116">
        <v>444.97500000000002</v>
      </c>
      <c r="E2208" s="116">
        <v>445</v>
      </c>
      <c r="F2208" s="116">
        <v>956.75</v>
      </c>
      <c r="G2208">
        <v>257284</v>
      </c>
      <c r="H2208" s="116"/>
      <c r="I2208" s="116"/>
      <c r="L2208" s="166">
        <v>45254</v>
      </c>
      <c r="M2208" s="116">
        <v>478.125</v>
      </c>
      <c r="N2208" s="116">
        <v>493.85</v>
      </c>
      <c r="O2208" s="116">
        <v>443</v>
      </c>
      <c r="P2208" s="116">
        <v>445</v>
      </c>
      <c r="Q2208" s="116">
        <v>956.25</v>
      </c>
      <c r="R2208">
        <v>3137133</v>
      </c>
    </row>
    <row r="2209" spans="1:18" x14ac:dyDescent="0.25">
      <c r="A2209" s="166">
        <v>45258</v>
      </c>
      <c r="B2209" s="116">
        <v>493.5</v>
      </c>
      <c r="C2209" s="116">
        <v>465.375</v>
      </c>
      <c r="D2209" s="116">
        <v>462.8</v>
      </c>
      <c r="E2209" s="116">
        <v>490.02499999999998</v>
      </c>
      <c r="F2209" s="116">
        <v>930.75</v>
      </c>
      <c r="G2209">
        <v>62462</v>
      </c>
      <c r="H2209" s="116"/>
      <c r="I2209" s="116"/>
      <c r="L2209" s="166">
        <v>45258</v>
      </c>
      <c r="M2209" s="116">
        <v>465.6</v>
      </c>
      <c r="N2209" s="116">
        <v>494.9</v>
      </c>
      <c r="O2209" s="116">
        <v>462.77499999999998</v>
      </c>
      <c r="P2209" s="116">
        <v>494.5</v>
      </c>
      <c r="Q2209" s="116">
        <v>931.2</v>
      </c>
      <c r="R2209">
        <v>635048</v>
      </c>
    </row>
    <row r="2210" spans="1:18" x14ac:dyDescent="0.25">
      <c r="A2210" s="166">
        <v>45259</v>
      </c>
      <c r="B2210" s="116">
        <v>471.1</v>
      </c>
      <c r="C2210" s="116">
        <v>455.97500000000002</v>
      </c>
      <c r="D2210" s="116">
        <v>453.8</v>
      </c>
      <c r="E2210" s="116">
        <v>471.1</v>
      </c>
      <c r="F2210" s="116">
        <v>911.95</v>
      </c>
      <c r="G2210">
        <v>29386</v>
      </c>
      <c r="H2210" s="116"/>
      <c r="I2210" s="116"/>
      <c r="L2210" s="166">
        <v>45259</v>
      </c>
      <c r="M2210" s="116">
        <v>456.4</v>
      </c>
      <c r="N2210" s="116">
        <v>471</v>
      </c>
      <c r="O2210" s="116">
        <v>453.57499999999999</v>
      </c>
      <c r="P2210" s="116">
        <v>467.52499999999998</v>
      </c>
      <c r="Q2210" s="116">
        <v>912.8</v>
      </c>
      <c r="R2210">
        <v>498928</v>
      </c>
    </row>
    <row r="2211" spans="1:18" x14ac:dyDescent="0.25">
      <c r="A2211" s="166">
        <v>45260</v>
      </c>
      <c r="B2211" s="116">
        <v>474.45</v>
      </c>
      <c r="C2211" s="116">
        <v>471.22500000000002</v>
      </c>
      <c r="D2211" s="116">
        <v>450</v>
      </c>
      <c r="E2211" s="116">
        <v>450</v>
      </c>
      <c r="F2211" s="116">
        <v>942.45</v>
      </c>
      <c r="G2211">
        <v>35433</v>
      </c>
      <c r="H2211" s="116"/>
      <c r="I2211" s="116"/>
      <c r="L2211" s="166">
        <v>45260</v>
      </c>
      <c r="M2211" s="116">
        <v>471.45</v>
      </c>
      <c r="N2211" s="116">
        <v>474.5</v>
      </c>
      <c r="O2211" s="116">
        <v>452.77499999999998</v>
      </c>
      <c r="P2211" s="116">
        <v>458.9</v>
      </c>
      <c r="Q2211" s="116">
        <v>942.9</v>
      </c>
      <c r="R2211">
        <v>775489</v>
      </c>
    </row>
    <row r="2212" spans="1:18" x14ac:dyDescent="0.25">
      <c r="A2212" s="166">
        <v>45261</v>
      </c>
      <c r="B2212" s="116">
        <v>480.35</v>
      </c>
      <c r="C2212" s="116">
        <v>468.55</v>
      </c>
      <c r="D2212" s="116">
        <v>466.35</v>
      </c>
      <c r="E2212" s="116">
        <v>474</v>
      </c>
      <c r="F2212" s="116">
        <v>937.1</v>
      </c>
      <c r="G2212">
        <v>12953</v>
      </c>
      <c r="H2212" s="116"/>
      <c r="I2212" s="116"/>
      <c r="L2212" s="166">
        <v>45261</v>
      </c>
      <c r="M2212" s="116">
        <v>468.42500000000001</v>
      </c>
      <c r="N2212" s="116">
        <v>481.92500000000001</v>
      </c>
      <c r="O2212" s="116">
        <v>466.27499999999998</v>
      </c>
      <c r="P2212" s="116">
        <v>474</v>
      </c>
      <c r="Q2212" s="116">
        <v>936.85</v>
      </c>
      <c r="R2212">
        <v>271707</v>
      </c>
    </row>
    <row r="2213" spans="1:18" x14ac:dyDescent="0.25">
      <c r="A2213" s="166">
        <v>45264</v>
      </c>
      <c r="B2213" s="116">
        <v>492.15</v>
      </c>
      <c r="C2213" s="116">
        <v>475.27499999999998</v>
      </c>
      <c r="D2213" s="116">
        <v>469.52499999999998</v>
      </c>
      <c r="E2213" s="116">
        <v>469.52499999999998</v>
      </c>
      <c r="F2213" s="116">
        <v>950.55</v>
      </c>
      <c r="G2213">
        <v>50324</v>
      </c>
      <c r="H2213" s="116"/>
      <c r="I2213" s="116"/>
      <c r="L2213" s="166">
        <v>45264</v>
      </c>
      <c r="M2213" s="116">
        <v>476.8</v>
      </c>
      <c r="N2213" s="116">
        <v>492</v>
      </c>
      <c r="O2213" s="116">
        <v>475</v>
      </c>
      <c r="P2213" s="116">
        <v>475</v>
      </c>
      <c r="Q2213" s="116">
        <v>953.6</v>
      </c>
      <c r="R2213">
        <v>321459</v>
      </c>
    </row>
    <row r="2214" spans="1:18" x14ac:dyDescent="0.25">
      <c r="A2214" s="166">
        <v>45265</v>
      </c>
      <c r="B2214" s="116">
        <v>482.82499999999999</v>
      </c>
      <c r="C2214" s="116">
        <v>467.25</v>
      </c>
      <c r="D2214" s="116">
        <v>462.5</v>
      </c>
      <c r="E2214" s="116">
        <v>478.97500000000002</v>
      </c>
      <c r="F2214" s="116">
        <v>934.5</v>
      </c>
      <c r="G2214">
        <v>16005</v>
      </c>
      <c r="H2214" s="116"/>
      <c r="I2214" s="116"/>
      <c r="L2214" s="166">
        <v>45265</v>
      </c>
      <c r="M2214" s="116">
        <v>467</v>
      </c>
      <c r="N2214" s="116">
        <v>483</v>
      </c>
      <c r="O2214" s="116">
        <v>462.5</v>
      </c>
      <c r="P2214" s="116">
        <v>477.9</v>
      </c>
      <c r="Q2214" s="116">
        <v>934</v>
      </c>
      <c r="R2214">
        <v>336312</v>
      </c>
    </row>
    <row r="2215" spans="1:18" x14ac:dyDescent="0.25">
      <c r="A2215" s="166">
        <v>45266</v>
      </c>
      <c r="B2215" s="116">
        <v>473.77499999999998</v>
      </c>
      <c r="C2215" s="116">
        <v>465.05</v>
      </c>
      <c r="D2215" s="116">
        <v>458.3</v>
      </c>
      <c r="E2215" s="116">
        <v>467.25</v>
      </c>
      <c r="F2215" s="116">
        <v>930.1</v>
      </c>
      <c r="G2215">
        <v>29981</v>
      </c>
      <c r="H2215" s="116"/>
      <c r="I2215" s="116"/>
      <c r="L2215" s="166">
        <v>45266</v>
      </c>
      <c r="M2215" s="116">
        <v>465.2</v>
      </c>
      <c r="N2215" s="116">
        <v>471.15</v>
      </c>
      <c r="O2215" s="116">
        <v>458.45</v>
      </c>
      <c r="P2215" s="116">
        <v>468</v>
      </c>
      <c r="Q2215" s="116">
        <v>930.4</v>
      </c>
      <c r="R2215">
        <v>205107</v>
      </c>
    </row>
    <row r="2216" spans="1:18" x14ac:dyDescent="0.25">
      <c r="A2216" s="166">
        <v>45267</v>
      </c>
      <c r="B2216" s="116">
        <v>479.1</v>
      </c>
      <c r="C2216" s="116">
        <v>474.57499999999999</v>
      </c>
      <c r="D2216" s="116">
        <v>458.125</v>
      </c>
      <c r="E2216" s="116">
        <v>473.67500000000001</v>
      </c>
      <c r="F2216" s="116">
        <v>949.15</v>
      </c>
      <c r="G2216">
        <v>14448</v>
      </c>
      <c r="H2216" s="116"/>
      <c r="I2216" s="116"/>
      <c r="L2216" s="166">
        <v>45267</v>
      </c>
      <c r="M2216" s="116">
        <v>474.15</v>
      </c>
      <c r="N2216" s="116">
        <v>479.57499999999999</v>
      </c>
      <c r="O2216" s="116">
        <v>458.07499999999999</v>
      </c>
      <c r="P2216" s="116">
        <v>465.5</v>
      </c>
      <c r="Q2216" s="116">
        <v>948.3</v>
      </c>
      <c r="R2216">
        <v>277903</v>
      </c>
    </row>
    <row r="2217" spans="1:18" x14ac:dyDescent="0.25">
      <c r="A2217" s="166">
        <v>45268</v>
      </c>
      <c r="B2217" s="116">
        <v>477.22500000000002</v>
      </c>
      <c r="C2217" s="116">
        <v>467.75</v>
      </c>
      <c r="D2217" s="116">
        <v>462.5</v>
      </c>
      <c r="E2217" s="116">
        <v>475.5</v>
      </c>
      <c r="F2217" s="116">
        <v>935.5</v>
      </c>
      <c r="G2217">
        <v>24227</v>
      </c>
      <c r="H2217" s="116"/>
      <c r="I2217" s="116"/>
      <c r="L2217" s="166">
        <v>45268</v>
      </c>
      <c r="M2217" s="116">
        <v>468.67500000000001</v>
      </c>
      <c r="N2217" s="116">
        <v>477.35</v>
      </c>
      <c r="O2217" s="116">
        <v>462.5</v>
      </c>
      <c r="P2217" s="116">
        <v>475</v>
      </c>
      <c r="Q2217" s="116">
        <v>937.35</v>
      </c>
      <c r="R2217">
        <v>156392</v>
      </c>
    </row>
    <row r="2218" spans="1:18" x14ac:dyDescent="0.25">
      <c r="A2218" s="166">
        <v>45271</v>
      </c>
      <c r="B2218" s="116">
        <v>485.92500000000001</v>
      </c>
      <c r="C2218" s="116">
        <v>467.55</v>
      </c>
      <c r="D2218" s="116">
        <v>463.65</v>
      </c>
      <c r="E2218" s="116">
        <v>472.95</v>
      </c>
      <c r="F2218" s="116">
        <v>935.1</v>
      </c>
      <c r="G2218">
        <v>13270</v>
      </c>
      <c r="H2218" s="116"/>
      <c r="I2218" s="116"/>
      <c r="L2218" s="166">
        <v>45271</v>
      </c>
      <c r="M2218" s="116">
        <v>466.72500000000002</v>
      </c>
      <c r="N2218" s="116">
        <v>486.42500000000001</v>
      </c>
      <c r="O2218" s="116">
        <v>464</v>
      </c>
      <c r="P2218" s="116">
        <v>469</v>
      </c>
      <c r="Q2218" s="116">
        <v>933.45</v>
      </c>
      <c r="R2218">
        <v>347075</v>
      </c>
    </row>
    <row r="2219" spans="1:18" x14ac:dyDescent="0.25">
      <c r="A2219" s="166">
        <v>45272</v>
      </c>
      <c r="B2219" s="116">
        <v>474.1</v>
      </c>
      <c r="C2219" s="116">
        <v>457.05</v>
      </c>
      <c r="D2219" s="116">
        <v>453.25</v>
      </c>
      <c r="E2219" s="116">
        <v>469.4</v>
      </c>
      <c r="F2219" s="116">
        <v>914.1</v>
      </c>
      <c r="G2219">
        <v>43254</v>
      </c>
      <c r="H2219" s="116"/>
      <c r="I2219" s="116"/>
      <c r="L2219" s="166">
        <v>45272</v>
      </c>
      <c r="M2219" s="116">
        <v>456.75</v>
      </c>
      <c r="N2219" s="116">
        <v>474</v>
      </c>
      <c r="O2219" s="116">
        <v>453</v>
      </c>
      <c r="P2219" s="116">
        <v>468.47500000000002</v>
      </c>
      <c r="Q2219" s="116">
        <v>913.5</v>
      </c>
      <c r="R2219">
        <v>249255</v>
      </c>
    </row>
    <row r="2220" spans="1:18" x14ac:dyDescent="0.25">
      <c r="A2220" s="166">
        <v>45273</v>
      </c>
      <c r="B2220" s="116">
        <v>467.47500000000002</v>
      </c>
      <c r="C2220" s="116">
        <v>465.8</v>
      </c>
      <c r="D2220" s="116">
        <v>453.42500000000001</v>
      </c>
      <c r="E2220" s="116">
        <v>459</v>
      </c>
      <c r="F2220" s="116">
        <v>931.6</v>
      </c>
      <c r="G2220">
        <v>33477</v>
      </c>
      <c r="H2220" s="116"/>
      <c r="I2220" s="116"/>
      <c r="L2220" s="166">
        <v>45273</v>
      </c>
      <c r="M2220" s="116">
        <v>465.77499999999998</v>
      </c>
      <c r="N2220" s="116">
        <v>467.8</v>
      </c>
      <c r="O2220" s="116">
        <v>453.25</v>
      </c>
      <c r="P2220" s="116">
        <v>457.5</v>
      </c>
      <c r="Q2220" s="116">
        <v>931.55</v>
      </c>
      <c r="R2220">
        <v>215146</v>
      </c>
    </row>
    <row r="2221" spans="1:18" x14ac:dyDescent="0.25">
      <c r="A2221" s="166">
        <v>45274</v>
      </c>
      <c r="B2221" s="116">
        <v>470.95</v>
      </c>
      <c r="C2221" s="116">
        <v>461.625</v>
      </c>
      <c r="D2221" s="116">
        <v>459.05</v>
      </c>
      <c r="E2221" s="116">
        <v>466.02499999999998</v>
      </c>
      <c r="F2221" s="116">
        <v>923.25</v>
      </c>
      <c r="G2221">
        <v>30376</v>
      </c>
      <c r="H2221" s="116"/>
      <c r="I2221" s="116"/>
      <c r="L2221" s="166">
        <v>45274</v>
      </c>
      <c r="M2221" s="116">
        <v>461.05</v>
      </c>
      <c r="N2221" s="116">
        <v>471.67500000000001</v>
      </c>
      <c r="O2221" s="116">
        <v>459.07499999999999</v>
      </c>
      <c r="P2221" s="116">
        <v>468.75</v>
      </c>
      <c r="Q2221" s="116">
        <v>922.1</v>
      </c>
      <c r="R2221">
        <v>173868</v>
      </c>
    </row>
    <row r="2222" spans="1:18" x14ac:dyDescent="0.25">
      <c r="A2222" s="166">
        <v>45275</v>
      </c>
      <c r="B2222" s="116">
        <v>470</v>
      </c>
      <c r="C2222" s="116">
        <v>457.8</v>
      </c>
      <c r="D2222" s="116">
        <v>456</v>
      </c>
      <c r="E2222" s="116">
        <v>461.52499999999998</v>
      </c>
      <c r="F2222" s="116">
        <v>915.6</v>
      </c>
      <c r="G2222">
        <v>29852</v>
      </c>
      <c r="H2222" s="116"/>
      <c r="I2222" s="116"/>
      <c r="L2222" s="166">
        <v>45275</v>
      </c>
      <c r="M2222" s="116">
        <v>457.82499999999999</v>
      </c>
      <c r="N2222" s="116">
        <v>467.22500000000002</v>
      </c>
      <c r="O2222" s="116">
        <v>455.97500000000002</v>
      </c>
      <c r="P2222" s="116">
        <v>462.625</v>
      </c>
      <c r="Q2222" s="116">
        <v>915.65</v>
      </c>
      <c r="R2222">
        <v>194198</v>
      </c>
    </row>
    <row r="2223" spans="1:18" x14ac:dyDescent="0.25">
      <c r="A2223" s="166">
        <v>45278</v>
      </c>
      <c r="B2223" s="116">
        <v>465.47500000000002</v>
      </c>
      <c r="C2223" s="116">
        <v>456.45</v>
      </c>
      <c r="D2223" s="116">
        <v>454.1</v>
      </c>
      <c r="E2223" s="116">
        <v>465.47500000000002</v>
      </c>
      <c r="F2223" s="116">
        <v>912.9</v>
      </c>
      <c r="G2223">
        <v>9349</v>
      </c>
      <c r="H2223" s="116"/>
      <c r="I2223" s="116"/>
      <c r="L2223" s="166">
        <v>45278</v>
      </c>
      <c r="M2223" s="116">
        <v>456.5</v>
      </c>
      <c r="N2223" s="116">
        <v>461.35</v>
      </c>
      <c r="O2223" s="116">
        <v>454.32499999999999</v>
      </c>
      <c r="P2223" s="116">
        <v>460.47500000000002</v>
      </c>
      <c r="Q2223" s="116">
        <v>913</v>
      </c>
      <c r="R2223">
        <v>203601</v>
      </c>
    </row>
    <row r="2224" spans="1:18" x14ac:dyDescent="0.25">
      <c r="A2224" s="166">
        <v>45279</v>
      </c>
      <c r="B2224" s="116">
        <v>464.82499999999999</v>
      </c>
      <c r="C2224" s="116">
        <v>452.75</v>
      </c>
      <c r="D2224" s="116">
        <v>451.17500000000001</v>
      </c>
      <c r="E2224" s="116">
        <v>464.82499999999999</v>
      </c>
      <c r="F2224" s="116">
        <v>905.5</v>
      </c>
      <c r="G2224">
        <v>9593</v>
      </c>
      <c r="H2224" s="116"/>
      <c r="I2224" s="116"/>
      <c r="L2224" s="166">
        <v>45279</v>
      </c>
      <c r="M2224" s="116">
        <v>453.02499999999998</v>
      </c>
      <c r="N2224" s="116">
        <v>459.35</v>
      </c>
      <c r="O2224" s="116">
        <v>451</v>
      </c>
      <c r="P2224" s="116">
        <v>458.5</v>
      </c>
      <c r="Q2224" s="116">
        <v>906.05</v>
      </c>
      <c r="R2224">
        <v>195929</v>
      </c>
    </row>
    <row r="2225" spans="1:18" x14ac:dyDescent="0.25">
      <c r="A2225" s="166">
        <v>45280</v>
      </c>
      <c r="B2225" s="116">
        <v>467.5</v>
      </c>
      <c r="C2225" s="116">
        <v>441.15</v>
      </c>
      <c r="D2225" s="116">
        <v>433.4</v>
      </c>
      <c r="E2225" s="116">
        <v>450.17500000000001</v>
      </c>
      <c r="F2225" s="116">
        <v>882.3</v>
      </c>
      <c r="G2225">
        <v>32430</v>
      </c>
      <c r="H2225" s="116"/>
      <c r="I2225" s="116"/>
      <c r="L2225" s="166">
        <v>45280</v>
      </c>
      <c r="M2225" s="116">
        <v>440.72500000000002</v>
      </c>
      <c r="N2225" s="116">
        <v>468</v>
      </c>
      <c r="O2225" s="116">
        <v>432.5</v>
      </c>
      <c r="P2225" s="116">
        <v>454.75</v>
      </c>
      <c r="Q2225" s="116">
        <v>881.45</v>
      </c>
      <c r="R2225">
        <v>488488</v>
      </c>
    </row>
    <row r="2226" spans="1:18" x14ac:dyDescent="0.25">
      <c r="A2226" s="166">
        <v>45281</v>
      </c>
      <c r="B2226" s="116">
        <v>448.97500000000002</v>
      </c>
      <c r="C2226" s="116">
        <v>444.67500000000001</v>
      </c>
      <c r="D2226" s="116">
        <v>429.5</v>
      </c>
      <c r="E2226" s="116">
        <v>441.15</v>
      </c>
      <c r="F2226" s="116">
        <v>889.35</v>
      </c>
      <c r="G2226">
        <v>39039</v>
      </c>
      <c r="H2226" s="116"/>
      <c r="I2226" s="116"/>
      <c r="L2226" s="166">
        <v>45281</v>
      </c>
      <c r="M2226" s="116">
        <v>444.97500000000002</v>
      </c>
      <c r="N2226" s="116">
        <v>448.82499999999999</v>
      </c>
      <c r="O2226" s="116">
        <v>428.77499999999998</v>
      </c>
      <c r="P2226" s="116">
        <v>442.5</v>
      </c>
      <c r="Q2226" s="116">
        <v>889.95</v>
      </c>
      <c r="R2226">
        <v>203823</v>
      </c>
    </row>
    <row r="2227" spans="1:18" x14ac:dyDescent="0.25">
      <c r="A2227" s="166">
        <v>45282</v>
      </c>
      <c r="B2227" s="116">
        <v>451</v>
      </c>
      <c r="C2227" s="116">
        <v>447.375</v>
      </c>
      <c r="D2227" s="116">
        <v>442.3</v>
      </c>
      <c r="E2227" s="116">
        <v>447.25</v>
      </c>
      <c r="F2227" s="116">
        <v>894.75</v>
      </c>
      <c r="G2227">
        <v>9821</v>
      </c>
      <c r="H2227" s="116"/>
      <c r="I2227" s="116"/>
      <c r="L2227" s="166">
        <v>45282</v>
      </c>
      <c r="M2227" s="116">
        <v>446.75</v>
      </c>
      <c r="N2227" s="116">
        <v>451.75</v>
      </c>
      <c r="O2227" s="116">
        <v>441.57499999999999</v>
      </c>
      <c r="P2227" s="116">
        <v>448</v>
      </c>
      <c r="Q2227" s="116">
        <v>893.5</v>
      </c>
      <c r="R2227">
        <v>131045</v>
      </c>
    </row>
    <row r="2228" spans="1:18" x14ac:dyDescent="0.25">
      <c r="A2228" s="166">
        <v>45286</v>
      </c>
      <c r="B2228" s="116">
        <v>473.47500000000002</v>
      </c>
      <c r="C2228" s="116">
        <v>470.75</v>
      </c>
      <c r="D2228" s="116">
        <v>439.07499999999999</v>
      </c>
      <c r="E2228" s="116">
        <v>444.9</v>
      </c>
      <c r="F2228" s="116">
        <v>941.5</v>
      </c>
      <c r="G2228">
        <v>111156</v>
      </c>
      <c r="H2228" s="116"/>
      <c r="I2228" s="116"/>
      <c r="L2228" s="166">
        <v>45286</v>
      </c>
      <c r="M2228" s="116">
        <v>470.125</v>
      </c>
      <c r="N2228" s="116">
        <v>473.85</v>
      </c>
      <c r="O2228" s="116">
        <v>441.1</v>
      </c>
      <c r="P2228" s="116">
        <v>445.97500000000002</v>
      </c>
      <c r="Q2228" s="116">
        <v>940.25</v>
      </c>
      <c r="R2228">
        <v>887879</v>
      </c>
    </row>
    <row r="2229" spans="1:18" x14ac:dyDescent="0.25">
      <c r="A2229" s="166">
        <v>45287</v>
      </c>
      <c r="B2229" s="116">
        <v>474</v>
      </c>
      <c r="C2229" s="116">
        <v>469.17500000000001</v>
      </c>
      <c r="D2229" s="116">
        <v>465.45</v>
      </c>
      <c r="E2229" s="116">
        <v>472.875</v>
      </c>
      <c r="F2229" s="116">
        <v>938.35</v>
      </c>
      <c r="G2229">
        <v>37503</v>
      </c>
      <c r="H2229" s="116"/>
      <c r="I2229" s="116"/>
      <c r="L2229" s="166">
        <v>45287</v>
      </c>
      <c r="M2229" s="116">
        <v>469.5</v>
      </c>
      <c r="N2229" s="116">
        <v>475</v>
      </c>
      <c r="O2229" s="116">
        <v>465.65</v>
      </c>
      <c r="P2229" s="116">
        <v>472.5</v>
      </c>
      <c r="Q2229" s="116">
        <v>939</v>
      </c>
      <c r="R2229">
        <v>244322</v>
      </c>
    </row>
    <row r="2230" spans="1:18" x14ac:dyDescent="0.25">
      <c r="A2230" s="166">
        <v>45288</v>
      </c>
      <c r="B2230" s="116">
        <v>474.45</v>
      </c>
      <c r="C2230" s="116">
        <v>468.45</v>
      </c>
      <c r="D2230" s="116">
        <v>466.75</v>
      </c>
      <c r="E2230" s="116">
        <v>473.625</v>
      </c>
      <c r="F2230" s="116">
        <v>936.9</v>
      </c>
      <c r="G2230">
        <v>9578</v>
      </c>
      <c r="H2230" s="116"/>
      <c r="I2230" s="116"/>
      <c r="L2230" s="166">
        <v>45288</v>
      </c>
      <c r="M2230" s="116">
        <v>468.77499999999998</v>
      </c>
      <c r="N2230" s="116">
        <v>474</v>
      </c>
      <c r="O2230" s="116">
        <v>466.02499999999998</v>
      </c>
      <c r="P2230" s="116">
        <v>472.97500000000002</v>
      </c>
      <c r="Q2230" s="116">
        <v>937.55</v>
      </c>
      <c r="R2230">
        <v>171028</v>
      </c>
    </row>
    <row r="2231" spans="1:18" x14ac:dyDescent="0.25">
      <c r="A2231" s="166">
        <v>45289</v>
      </c>
      <c r="B2231" s="116">
        <v>483.92500000000001</v>
      </c>
      <c r="C2231" s="116">
        <v>463.45</v>
      </c>
      <c r="D2231" s="116">
        <v>461.05</v>
      </c>
      <c r="E2231" s="116">
        <v>472.32499999999999</v>
      </c>
      <c r="F2231" s="116">
        <v>926.9</v>
      </c>
      <c r="G2231">
        <v>24430</v>
      </c>
      <c r="H2231" s="116"/>
      <c r="I2231" s="116"/>
      <c r="L2231" s="166">
        <v>45289</v>
      </c>
      <c r="M2231" s="116">
        <v>463.47500000000002</v>
      </c>
      <c r="N2231" s="116">
        <v>484</v>
      </c>
      <c r="O2231" s="116">
        <v>461</v>
      </c>
      <c r="P2231" s="116">
        <v>468.77499999999998</v>
      </c>
      <c r="Q2231" s="116">
        <v>926.95</v>
      </c>
      <c r="R2231">
        <v>514359</v>
      </c>
    </row>
    <row r="2232" spans="1:18" x14ac:dyDescent="0.25">
      <c r="A2232" s="166">
        <v>45292</v>
      </c>
      <c r="B2232" s="116">
        <v>476.47500000000002</v>
      </c>
      <c r="C2232" s="116">
        <v>468.85</v>
      </c>
      <c r="D2232" s="116">
        <v>465</v>
      </c>
      <c r="E2232" s="116">
        <v>476.47500000000002</v>
      </c>
      <c r="F2232" s="116">
        <v>937.7</v>
      </c>
      <c r="G2232">
        <v>7616</v>
      </c>
      <c r="H2232" s="116"/>
      <c r="I2232" s="116"/>
      <c r="L2232" s="166">
        <v>45292</v>
      </c>
      <c r="M2232" s="116">
        <v>468.7</v>
      </c>
      <c r="N2232" s="116">
        <v>472.45</v>
      </c>
      <c r="O2232" s="116">
        <v>464.47500000000002</v>
      </c>
      <c r="P2232" s="116">
        <v>466.47500000000002</v>
      </c>
      <c r="Q2232" s="116">
        <v>937.4</v>
      </c>
      <c r="R2232">
        <v>147484</v>
      </c>
    </row>
    <row r="2233" spans="1:18" x14ac:dyDescent="0.25">
      <c r="A2233" s="166">
        <v>45293</v>
      </c>
      <c r="B2233" s="116">
        <v>472.42500000000001</v>
      </c>
      <c r="C2233" s="116">
        <v>459.25</v>
      </c>
      <c r="D2233" s="116">
        <v>451.9</v>
      </c>
      <c r="E2233" s="116">
        <v>472.42500000000001</v>
      </c>
      <c r="F2233" s="116">
        <v>918.5</v>
      </c>
      <c r="G2233">
        <v>41572</v>
      </c>
      <c r="H2233" s="116"/>
      <c r="I2233" s="116"/>
      <c r="L2233" s="166">
        <v>45293</v>
      </c>
      <c r="M2233" s="116">
        <v>459.625</v>
      </c>
      <c r="N2233" s="116">
        <v>472.47500000000002</v>
      </c>
      <c r="O2233" s="116">
        <v>452.5</v>
      </c>
      <c r="P2233" s="116">
        <v>470.1</v>
      </c>
      <c r="Q2233" s="116">
        <v>919.25</v>
      </c>
      <c r="R2233">
        <v>248544</v>
      </c>
    </row>
    <row r="2234" spans="1:18" x14ac:dyDescent="0.25">
      <c r="A2234" s="166">
        <v>45294</v>
      </c>
      <c r="B2234" s="116">
        <v>464</v>
      </c>
      <c r="C2234" s="116">
        <v>460.67500000000001</v>
      </c>
      <c r="D2234" s="116">
        <v>458.52499999999998</v>
      </c>
      <c r="E2234" s="116">
        <v>458.52499999999998</v>
      </c>
      <c r="F2234" s="116">
        <v>921.35</v>
      </c>
      <c r="G2234">
        <v>9135</v>
      </c>
      <c r="H2234" s="116"/>
      <c r="I2234" s="116"/>
      <c r="L2234" s="166">
        <v>45294</v>
      </c>
      <c r="M2234" s="116">
        <v>460.875</v>
      </c>
      <c r="N2234" s="116">
        <v>464.52499999999998</v>
      </c>
      <c r="O2234" s="116">
        <v>458.42500000000001</v>
      </c>
      <c r="P2234" s="116">
        <v>460</v>
      </c>
      <c r="Q2234" s="116">
        <v>921.75</v>
      </c>
      <c r="R2234">
        <v>119030</v>
      </c>
    </row>
    <row r="2235" spans="1:18" x14ac:dyDescent="0.25">
      <c r="A2235" s="166">
        <v>45295</v>
      </c>
      <c r="B2235" s="116">
        <v>470.5</v>
      </c>
      <c r="C2235" s="116">
        <v>464.32499999999999</v>
      </c>
      <c r="D2235" s="116">
        <v>455.82499999999999</v>
      </c>
      <c r="E2235" s="116">
        <v>455.82499999999999</v>
      </c>
      <c r="F2235" s="116">
        <v>928.65</v>
      </c>
      <c r="G2235">
        <v>6044</v>
      </c>
      <c r="H2235" s="116"/>
      <c r="I2235" s="116"/>
      <c r="L2235" s="166">
        <v>45295</v>
      </c>
      <c r="M2235" s="116">
        <v>464.17500000000001</v>
      </c>
      <c r="N2235" s="116">
        <v>470.625</v>
      </c>
      <c r="O2235" s="116">
        <v>458.5</v>
      </c>
      <c r="P2235" s="116">
        <v>462.95</v>
      </c>
      <c r="Q2235" s="116">
        <v>928.35</v>
      </c>
      <c r="R2235">
        <v>155641</v>
      </c>
    </row>
    <row r="2236" spans="1:18" x14ac:dyDescent="0.25">
      <c r="A2236" s="166">
        <v>45296</v>
      </c>
      <c r="B2236" s="116">
        <v>472.27499999999998</v>
      </c>
      <c r="C2236" s="116">
        <v>467.32499999999999</v>
      </c>
      <c r="D2236" s="116">
        <v>463.375</v>
      </c>
      <c r="E2236" s="116">
        <v>469.25</v>
      </c>
      <c r="F2236" s="116">
        <v>934.65</v>
      </c>
      <c r="G2236">
        <v>31154</v>
      </c>
      <c r="H2236" s="116"/>
      <c r="I2236" s="116"/>
      <c r="L2236" s="166">
        <v>45296</v>
      </c>
      <c r="M2236" s="116">
        <v>467.42500000000001</v>
      </c>
      <c r="N2236" s="116">
        <v>472.375</v>
      </c>
      <c r="O2236" s="116">
        <v>463.27499999999998</v>
      </c>
      <c r="P2236" s="116">
        <v>467.97500000000002</v>
      </c>
      <c r="Q2236" s="116">
        <v>934.85</v>
      </c>
      <c r="R2236">
        <v>188937</v>
      </c>
    </row>
    <row r="2237" spans="1:18" x14ac:dyDescent="0.25">
      <c r="A2237" s="166">
        <v>45299</v>
      </c>
      <c r="B2237" s="116">
        <v>513.875</v>
      </c>
      <c r="C2237" s="116">
        <v>494.95</v>
      </c>
      <c r="D2237" s="116">
        <v>471.92500000000001</v>
      </c>
      <c r="E2237" s="116">
        <v>471.92500000000001</v>
      </c>
      <c r="F2237" s="116">
        <v>989.9</v>
      </c>
      <c r="G2237">
        <v>101558</v>
      </c>
      <c r="H2237" s="116"/>
      <c r="I2237" s="116"/>
      <c r="L2237" s="166">
        <v>45299</v>
      </c>
      <c r="M2237" s="116">
        <v>495.75</v>
      </c>
      <c r="N2237" s="116">
        <v>514</v>
      </c>
      <c r="O2237" s="116">
        <v>471</v>
      </c>
      <c r="P2237" s="116">
        <v>471</v>
      </c>
      <c r="Q2237" s="116">
        <v>991.5</v>
      </c>
      <c r="R2237">
        <v>2590941</v>
      </c>
    </row>
    <row r="2238" spans="1:18" x14ac:dyDescent="0.25">
      <c r="A2238" s="166">
        <v>45300</v>
      </c>
      <c r="B2238" s="116">
        <v>513</v>
      </c>
      <c r="C2238" s="116">
        <v>503.02499999999998</v>
      </c>
      <c r="D2238" s="116">
        <v>498.42500000000001</v>
      </c>
      <c r="E2238" s="116">
        <v>506.625</v>
      </c>
      <c r="F2238" s="116">
        <v>1006.05</v>
      </c>
      <c r="G2238">
        <v>35283</v>
      </c>
      <c r="H2238" s="116"/>
      <c r="I2238" s="116"/>
      <c r="L2238" s="166">
        <v>45300</v>
      </c>
      <c r="M2238" s="116">
        <v>502.47500000000002</v>
      </c>
      <c r="N2238" s="116">
        <v>513.5</v>
      </c>
      <c r="O2238" s="116">
        <v>498.5</v>
      </c>
      <c r="P2238" s="116">
        <v>502.55</v>
      </c>
      <c r="Q2238" s="116">
        <v>1004.95</v>
      </c>
      <c r="R2238">
        <v>752463</v>
      </c>
    </row>
    <row r="2239" spans="1:18" x14ac:dyDescent="0.25">
      <c r="A2239" s="166">
        <v>45301</v>
      </c>
      <c r="B2239" s="116">
        <v>505.07499999999999</v>
      </c>
      <c r="C2239" s="116">
        <v>500.67500000000001</v>
      </c>
      <c r="D2239" s="116">
        <v>492</v>
      </c>
      <c r="E2239" s="116">
        <v>503.1</v>
      </c>
      <c r="F2239" s="116">
        <v>1001.35</v>
      </c>
      <c r="G2239">
        <v>56174</v>
      </c>
      <c r="H2239" s="116"/>
      <c r="I2239" s="116"/>
      <c r="L2239" s="166">
        <v>45301</v>
      </c>
      <c r="M2239" s="116">
        <v>501.45</v>
      </c>
      <c r="N2239" s="116">
        <v>504.67500000000001</v>
      </c>
      <c r="O2239" s="116">
        <v>492.5</v>
      </c>
      <c r="P2239" s="116">
        <v>504.5</v>
      </c>
      <c r="Q2239" s="116">
        <v>1002.9</v>
      </c>
      <c r="R2239">
        <v>319182</v>
      </c>
    </row>
    <row r="2240" spans="1:18" x14ac:dyDescent="0.25">
      <c r="A2240" s="166">
        <v>45302</v>
      </c>
      <c r="B2240" s="116">
        <v>517.17499999999995</v>
      </c>
      <c r="C2240" s="116">
        <v>507.02499999999998</v>
      </c>
      <c r="D2240" s="116">
        <v>499.75</v>
      </c>
      <c r="E2240" s="116">
        <v>504.92500000000001</v>
      </c>
      <c r="F2240" s="116">
        <v>1014.05</v>
      </c>
      <c r="G2240">
        <v>27448</v>
      </c>
      <c r="H2240" s="116"/>
      <c r="I2240" s="116"/>
      <c r="L2240" s="166">
        <v>45302</v>
      </c>
      <c r="M2240" s="116">
        <v>507.02499999999998</v>
      </c>
      <c r="N2240" s="116">
        <v>516.95000000000005</v>
      </c>
      <c r="O2240" s="116">
        <v>500</v>
      </c>
      <c r="P2240" s="116">
        <v>503.55</v>
      </c>
      <c r="Q2240" s="116">
        <v>1014.05</v>
      </c>
      <c r="R2240">
        <v>572297</v>
      </c>
    </row>
    <row r="2241" spans="1:18" x14ac:dyDescent="0.25">
      <c r="A2241" s="166">
        <v>45303</v>
      </c>
      <c r="B2241" s="116">
        <v>513.17499999999995</v>
      </c>
      <c r="C2241" s="116">
        <v>510.22500000000002</v>
      </c>
      <c r="D2241" s="116">
        <v>503.42500000000001</v>
      </c>
      <c r="E2241" s="116">
        <v>510.57499999999999</v>
      </c>
      <c r="F2241" s="116">
        <v>1020.45</v>
      </c>
      <c r="G2241">
        <v>38225</v>
      </c>
      <c r="H2241" s="116"/>
      <c r="I2241" s="116"/>
      <c r="L2241" s="166">
        <v>45303</v>
      </c>
      <c r="M2241" s="116">
        <v>510.32499999999999</v>
      </c>
      <c r="N2241" s="116">
        <v>513.79999999999995</v>
      </c>
      <c r="O2241" s="116">
        <v>503.42500000000001</v>
      </c>
      <c r="P2241" s="116">
        <v>510.05</v>
      </c>
      <c r="Q2241" s="116">
        <v>1020.65</v>
      </c>
      <c r="R2241">
        <v>335798</v>
      </c>
    </row>
    <row r="2242" spans="1:18" x14ac:dyDescent="0.25">
      <c r="A2242" s="166">
        <v>45306</v>
      </c>
      <c r="B2242" s="116">
        <v>546.85</v>
      </c>
      <c r="C2242" s="116">
        <v>536.6</v>
      </c>
      <c r="D2242" s="116">
        <v>512.125</v>
      </c>
      <c r="E2242" s="116">
        <v>512.97500000000002</v>
      </c>
      <c r="F2242" s="116">
        <v>1073.2</v>
      </c>
      <c r="G2242">
        <v>44897</v>
      </c>
      <c r="H2242" s="116"/>
      <c r="I2242" s="116"/>
      <c r="L2242" s="166">
        <v>45306</v>
      </c>
      <c r="M2242" s="116">
        <v>536.77499999999998</v>
      </c>
      <c r="N2242" s="116">
        <v>546.79999999999995</v>
      </c>
      <c r="O2242" s="116">
        <v>511.45</v>
      </c>
      <c r="P2242" s="116">
        <v>513.75</v>
      </c>
      <c r="Q2242" s="116">
        <v>1073.55</v>
      </c>
      <c r="R2242">
        <v>957729</v>
      </c>
    </row>
    <row r="2243" spans="1:18" x14ac:dyDescent="0.25">
      <c r="A2243" s="166">
        <v>45307</v>
      </c>
      <c r="B2243" s="116">
        <v>545</v>
      </c>
      <c r="C2243" s="116">
        <v>516.5</v>
      </c>
      <c r="D2243" s="116">
        <v>505.05</v>
      </c>
      <c r="E2243" s="116">
        <v>538.42499999999995</v>
      </c>
      <c r="F2243" s="116">
        <v>1033</v>
      </c>
      <c r="G2243">
        <v>48397</v>
      </c>
      <c r="H2243" s="116"/>
      <c r="I2243" s="116"/>
      <c r="L2243" s="166">
        <v>45307</v>
      </c>
      <c r="M2243" s="116">
        <v>516.6</v>
      </c>
      <c r="N2243" s="116">
        <v>545</v>
      </c>
      <c r="O2243" s="116">
        <v>502.57499999999999</v>
      </c>
      <c r="P2243" s="116">
        <v>537</v>
      </c>
      <c r="Q2243" s="116">
        <v>1033.2</v>
      </c>
      <c r="R2243">
        <v>510144</v>
      </c>
    </row>
    <row r="2244" spans="1:18" x14ac:dyDescent="0.25">
      <c r="A2244" s="166">
        <v>45308</v>
      </c>
      <c r="B2244" s="116">
        <v>519.67499999999995</v>
      </c>
      <c r="C2244" s="116">
        <v>508.95</v>
      </c>
      <c r="D2244" s="116">
        <v>505.15</v>
      </c>
      <c r="E2244" s="116">
        <v>516.125</v>
      </c>
      <c r="F2244" s="116">
        <v>1017.9</v>
      </c>
      <c r="G2244">
        <v>17737</v>
      </c>
      <c r="H2244" s="116"/>
      <c r="I2244" s="116"/>
      <c r="L2244" s="166">
        <v>45308</v>
      </c>
      <c r="M2244" s="116">
        <v>509.4</v>
      </c>
      <c r="N2244" s="116">
        <v>521.02499999999998</v>
      </c>
      <c r="O2244" s="116">
        <v>505</v>
      </c>
      <c r="P2244" s="116">
        <v>512.5</v>
      </c>
      <c r="Q2244" s="116">
        <v>1018.8</v>
      </c>
      <c r="R2244">
        <v>290190</v>
      </c>
    </row>
    <row r="2245" spans="1:18" x14ac:dyDescent="0.25">
      <c r="A2245" s="166">
        <v>45309</v>
      </c>
      <c r="B2245" s="116">
        <v>513.65</v>
      </c>
      <c r="C2245" s="116">
        <v>507.67500000000001</v>
      </c>
      <c r="D2245" s="116">
        <v>479.5</v>
      </c>
      <c r="E2245" s="116">
        <v>503.17500000000001</v>
      </c>
      <c r="F2245" s="116">
        <v>1015.35</v>
      </c>
      <c r="G2245">
        <v>21782</v>
      </c>
      <c r="H2245" s="116"/>
      <c r="I2245" s="116"/>
      <c r="L2245" s="166">
        <v>45309</v>
      </c>
      <c r="M2245" s="116">
        <v>508.07499999999999</v>
      </c>
      <c r="N2245" s="116">
        <v>514</v>
      </c>
      <c r="O2245" s="116">
        <v>478.77499999999998</v>
      </c>
      <c r="P2245" s="116">
        <v>508.5</v>
      </c>
      <c r="Q2245" s="116">
        <v>1016.15</v>
      </c>
      <c r="R2245">
        <v>444908</v>
      </c>
    </row>
    <row r="2246" spans="1:18" x14ac:dyDescent="0.25">
      <c r="A2246" s="166">
        <v>45310</v>
      </c>
      <c r="B2246" s="116">
        <v>545.875</v>
      </c>
      <c r="C2246" s="116">
        <v>542.95000000000005</v>
      </c>
      <c r="D2246" s="116">
        <v>512.45000000000005</v>
      </c>
      <c r="E2246" s="116">
        <v>512.45000000000005</v>
      </c>
      <c r="F2246" s="116">
        <v>1085.9000000000001</v>
      </c>
      <c r="G2246">
        <v>31314</v>
      </c>
      <c r="H2246" s="116"/>
      <c r="I2246" s="116"/>
      <c r="L2246" s="166">
        <v>45310</v>
      </c>
      <c r="M2246" s="116">
        <v>542.77499999999998</v>
      </c>
      <c r="N2246" s="116">
        <v>545.5</v>
      </c>
      <c r="O2246" s="116">
        <v>511.3</v>
      </c>
      <c r="P2246" s="116">
        <v>512.5</v>
      </c>
      <c r="Q2246" s="116">
        <v>1085.55</v>
      </c>
      <c r="R2246">
        <v>663970</v>
      </c>
    </row>
    <row r="2247" spans="1:18" x14ac:dyDescent="0.25">
      <c r="A2247" s="166">
        <v>45311</v>
      </c>
      <c r="B2247" s="116">
        <v>550</v>
      </c>
      <c r="C2247" s="116">
        <v>537.67499999999995</v>
      </c>
      <c r="D2247" s="116">
        <v>530.625</v>
      </c>
      <c r="E2247" s="116">
        <v>543.04999999999995</v>
      </c>
      <c r="F2247" s="116">
        <v>1075.3499999999999</v>
      </c>
      <c r="G2247">
        <v>29807</v>
      </c>
      <c r="H2247" s="116"/>
      <c r="I2247" s="116"/>
      <c r="L2247" s="166">
        <v>45311</v>
      </c>
      <c r="M2247" s="116">
        <v>537.9</v>
      </c>
      <c r="N2247" s="116">
        <v>549.5</v>
      </c>
      <c r="O2247" s="116">
        <v>531.47500000000002</v>
      </c>
      <c r="P2247" s="116">
        <v>546.5</v>
      </c>
      <c r="Q2247" s="116">
        <v>1075.8</v>
      </c>
      <c r="R2247">
        <v>160740</v>
      </c>
    </row>
    <row r="2248" spans="1:18" x14ac:dyDescent="0.25">
      <c r="A2248" s="166">
        <v>45314</v>
      </c>
      <c r="B2248" s="116">
        <v>550.22500000000002</v>
      </c>
      <c r="C2248" s="116">
        <v>505.5</v>
      </c>
      <c r="D2248" s="116">
        <v>502.85</v>
      </c>
      <c r="E2248" s="116">
        <v>542.625</v>
      </c>
      <c r="F2248" s="116">
        <v>1011</v>
      </c>
      <c r="G2248">
        <v>40265</v>
      </c>
      <c r="H2248" s="116"/>
      <c r="I2248" s="116"/>
      <c r="L2248" s="166">
        <v>45314</v>
      </c>
      <c r="M2248" s="116">
        <v>505.27499999999998</v>
      </c>
      <c r="N2248" s="116">
        <v>550</v>
      </c>
      <c r="O2248" s="116">
        <v>502.5</v>
      </c>
      <c r="P2248" s="116">
        <v>548.17499999999995</v>
      </c>
      <c r="Q2248" s="116">
        <v>1010.55</v>
      </c>
      <c r="R2248">
        <v>485148</v>
      </c>
    </row>
    <row r="2249" spans="1:18" x14ac:dyDescent="0.25">
      <c r="A2249" s="166">
        <v>45315</v>
      </c>
      <c r="B2249" s="116">
        <v>533.82500000000005</v>
      </c>
      <c r="C2249" s="116">
        <v>529.45000000000005</v>
      </c>
      <c r="D2249" s="116">
        <v>500.6</v>
      </c>
      <c r="E2249" s="116">
        <v>500.625</v>
      </c>
      <c r="F2249" s="116">
        <v>1058.9000000000001</v>
      </c>
      <c r="G2249">
        <v>48066</v>
      </c>
      <c r="H2249" s="116"/>
      <c r="I2249" s="116"/>
      <c r="L2249" s="166">
        <v>45315</v>
      </c>
      <c r="M2249" s="116">
        <v>529.54999999999995</v>
      </c>
      <c r="N2249" s="116">
        <v>533.85</v>
      </c>
      <c r="O2249" s="116">
        <v>497.52499999999998</v>
      </c>
      <c r="P2249" s="116">
        <v>500</v>
      </c>
      <c r="Q2249" s="116">
        <v>1059.0999999999999</v>
      </c>
      <c r="R2249">
        <v>428513</v>
      </c>
    </row>
    <row r="2250" spans="1:18" x14ac:dyDescent="0.25">
      <c r="A2250" s="166">
        <v>45316</v>
      </c>
      <c r="B2250" s="116">
        <v>559.77499999999998</v>
      </c>
      <c r="C2250" s="116">
        <v>518</v>
      </c>
      <c r="D2250" s="116">
        <v>514</v>
      </c>
      <c r="E2250" s="116">
        <v>539.79999999999995</v>
      </c>
      <c r="F2250" s="116">
        <v>1036</v>
      </c>
      <c r="G2250">
        <v>70886</v>
      </c>
      <c r="H2250" s="116"/>
      <c r="I2250" s="116"/>
      <c r="L2250" s="166">
        <v>45316</v>
      </c>
      <c r="M2250" s="116">
        <v>518.1</v>
      </c>
      <c r="N2250" s="116">
        <v>559.95000000000005</v>
      </c>
      <c r="O2250" s="116">
        <v>512.92499999999995</v>
      </c>
      <c r="P2250" s="116">
        <v>533.29999999999995</v>
      </c>
      <c r="Q2250" s="116">
        <v>1036.2</v>
      </c>
      <c r="R2250">
        <v>1289928</v>
      </c>
    </row>
    <row r="2251" spans="1:18" x14ac:dyDescent="0.25">
      <c r="A2251" s="166">
        <v>45320</v>
      </c>
      <c r="B2251" s="116">
        <v>541.85</v>
      </c>
      <c r="C2251" s="116">
        <v>532.27499999999998</v>
      </c>
      <c r="D2251" s="116">
        <v>519.875</v>
      </c>
      <c r="E2251" s="116">
        <v>520.02499999999998</v>
      </c>
      <c r="F2251" s="116">
        <v>1064.55</v>
      </c>
      <c r="G2251">
        <v>21305</v>
      </c>
      <c r="H2251" s="116"/>
      <c r="I2251" s="116"/>
      <c r="L2251" s="166">
        <v>45320</v>
      </c>
      <c r="M2251" s="116">
        <v>532.125</v>
      </c>
      <c r="N2251" s="116">
        <v>542</v>
      </c>
      <c r="O2251" s="116">
        <v>519.5</v>
      </c>
      <c r="P2251" s="116">
        <v>525</v>
      </c>
      <c r="Q2251" s="116">
        <v>1064.25</v>
      </c>
      <c r="R2251">
        <v>523089</v>
      </c>
    </row>
    <row r="2252" spans="1:18" x14ac:dyDescent="0.25">
      <c r="A2252" s="166">
        <v>45321</v>
      </c>
      <c r="B2252" s="116">
        <v>560.25</v>
      </c>
      <c r="C2252" s="116">
        <v>542.52499999999998</v>
      </c>
      <c r="D2252" s="116">
        <v>533.85</v>
      </c>
      <c r="E2252" s="116">
        <v>536.15</v>
      </c>
      <c r="F2252" s="116">
        <v>1085.05</v>
      </c>
      <c r="G2252">
        <v>79613</v>
      </c>
      <c r="H2252" s="116"/>
      <c r="I2252" s="116"/>
      <c r="L2252" s="166">
        <v>45321</v>
      </c>
      <c r="M2252" s="116">
        <v>542.9</v>
      </c>
      <c r="N2252" s="116">
        <v>561</v>
      </c>
      <c r="O2252" s="116">
        <v>533.54999999999995</v>
      </c>
      <c r="P2252" s="116">
        <v>535.67499999999995</v>
      </c>
      <c r="Q2252" s="116">
        <v>1085.8</v>
      </c>
      <c r="R2252">
        <v>808447</v>
      </c>
    </row>
    <row r="2253" spans="1:18" x14ac:dyDescent="0.25">
      <c r="A2253" s="166">
        <v>45322</v>
      </c>
      <c r="B2253" s="116">
        <v>554.17499999999995</v>
      </c>
      <c r="C2253" s="116">
        <v>550.4</v>
      </c>
      <c r="D2253" s="116">
        <v>531.79999999999995</v>
      </c>
      <c r="E2253" s="116">
        <v>542.6</v>
      </c>
      <c r="F2253" s="116">
        <v>1100.8</v>
      </c>
      <c r="G2253">
        <v>18746</v>
      </c>
      <c r="H2253" s="116"/>
      <c r="I2253" s="116"/>
      <c r="L2253" s="166">
        <v>45322</v>
      </c>
      <c r="M2253" s="116">
        <v>550.29999999999995</v>
      </c>
      <c r="N2253" s="116">
        <v>554.5</v>
      </c>
      <c r="O2253" s="116">
        <v>531.625</v>
      </c>
      <c r="P2253" s="116">
        <v>545</v>
      </c>
      <c r="Q2253" s="116">
        <v>1100.5999999999999</v>
      </c>
      <c r="R2253">
        <v>468048</v>
      </c>
    </row>
    <row r="2254" spans="1:18" x14ac:dyDescent="0.25">
      <c r="A2254" s="166">
        <v>45323</v>
      </c>
      <c r="B2254" s="116">
        <v>554.125</v>
      </c>
      <c r="C2254" s="116">
        <v>534.72500000000002</v>
      </c>
      <c r="D2254" s="116">
        <v>532.5</v>
      </c>
      <c r="E2254" s="116">
        <v>553.77499999999998</v>
      </c>
      <c r="F2254" s="116">
        <v>1069.45</v>
      </c>
      <c r="G2254">
        <v>37634</v>
      </c>
      <c r="H2254" s="116"/>
      <c r="I2254" s="116"/>
      <c r="L2254" s="166">
        <v>45323</v>
      </c>
      <c r="M2254" s="116">
        <v>534.92499999999995</v>
      </c>
      <c r="N2254" s="116">
        <v>554.6</v>
      </c>
      <c r="O2254" s="116">
        <v>532.375</v>
      </c>
      <c r="P2254" s="116">
        <v>553.07500000000005</v>
      </c>
      <c r="Q2254" s="116">
        <v>1069.8499999999999</v>
      </c>
      <c r="R2254">
        <v>319527</v>
      </c>
    </row>
    <row r="2255" spans="1:18" x14ac:dyDescent="0.25">
      <c r="A2255" s="166">
        <v>45324</v>
      </c>
      <c r="B2255" s="116">
        <v>548.79999999999995</v>
      </c>
      <c r="C2255" s="116">
        <v>533.42499999999995</v>
      </c>
      <c r="D2255" s="116">
        <v>530.42499999999995</v>
      </c>
      <c r="E2255" s="116">
        <v>540.92499999999995</v>
      </c>
      <c r="F2255" s="116">
        <v>1066.8499999999999</v>
      </c>
      <c r="G2255">
        <v>13106</v>
      </c>
      <c r="H2255" s="116"/>
      <c r="I2255" s="116"/>
      <c r="L2255" s="166">
        <v>45324</v>
      </c>
      <c r="M2255" s="116">
        <v>533.65</v>
      </c>
      <c r="N2255" s="116">
        <v>549</v>
      </c>
      <c r="O2255" s="116">
        <v>530</v>
      </c>
      <c r="P2255" s="116">
        <v>537.6</v>
      </c>
      <c r="Q2255" s="116">
        <v>1067.3</v>
      </c>
      <c r="R2255">
        <v>285690</v>
      </c>
    </row>
    <row r="2256" spans="1:18" x14ac:dyDescent="0.25">
      <c r="A2256" s="166">
        <v>45327</v>
      </c>
      <c r="B2256" s="116">
        <v>543.75</v>
      </c>
      <c r="C2256" s="116">
        <v>532.9</v>
      </c>
      <c r="D2256" s="116">
        <v>529.32500000000005</v>
      </c>
      <c r="E2256" s="116">
        <v>533.6</v>
      </c>
      <c r="F2256" s="116">
        <v>1065.8</v>
      </c>
      <c r="G2256">
        <v>14544</v>
      </c>
      <c r="H2256" s="116"/>
      <c r="I2256" s="116"/>
      <c r="L2256" s="166">
        <v>45327</v>
      </c>
      <c r="M2256" s="116">
        <v>533.92499999999995</v>
      </c>
      <c r="N2256" s="116">
        <v>544.5</v>
      </c>
      <c r="O2256" s="116">
        <v>529.1</v>
      </c>
      <c r="P2256" s="116">
        <v>538.29999999999995</v>
      </c>
      <c r="Q2256" s="116">
        <v>1067.8499999999999</v>
      </c>
      <c r="R2256">
        <v>282890</v>
      </c>
    </row>
    <row r="2257" spans="1:18" x14ac:dyDescent="0.25">
      <c r="A2257" s="166">
        <v>45328</v>
      </c>
      <c r="B2257" s="116">
        <v>535.97500000000002</v>
      </c>
      <c r="C2257" s="116">
        <v>523.9</v>
      </c>
      <c r="D2257" s="116">
        <v>521.32500000000005</v>
      </c>
      <c r="E2257" s="116">
        <v>534.35</v>
      </c>
      <c r="F2257" s="116">
        <v>1047.8</v>
      </c>
      <c r="G2257">
        <v>7590</v>
      </c>
      <c r="H2257" s="116"/>
      <c r="I2257" s="116"/>
      <c r="L2257" s="166">
        <v>45328</v>
      </c>
      <c r="M2257" s="116">
        <v>524</v>
      </c>
      <c r="N2257" s="116">
        <v>537.17499999999995</v>
      </c>
      <c r="O2257" s="116">
        <v>521.5</v>
      </c>
      <c r="P2257" s="116">
        <v>535</v>
      </c>
      <c r="Q2257" s="116">
        <v>1048</v>
      </c>
      <c r="R2257">
        <v>156685</v>
      </c>
    </row>
    <row r="2258" spans="1:18" x14ac:dyDescent="0.25">
      <c r="A2258" s="166">
        <v>45329</v>
      </c>
      <c r="B2258" s="116">
        <v>534.95000000000005</v>
      </c>
      <c r="C2258" s="116">
        <v>528.79999999999995</v>
      </c>
      <c r="D2258" s="116">
        <v>522.9</v>
      </c>
      <c r="E2258" s="116">
        <v>534.95000000000005</v>
      </c>
      <c r="F2258" s="116">
        <v>1057.5999999999999</v>
      </c>
      <c r="G2258">
        <v>6647</v>
      </c>
      <c r="H2258" s="116"/>
      <c r="I2258" s="116"/>
      <c r="L2258" s="166">
        <v>45329</v>
      </c>
      <c r="M2258" s="116">
        <v>528.42499999999995</v>
      </c>
      <c r="N2258" s="116">
        <v>534.5</v>
      </c>
      <c r="O2258" s="116">
        <v>522.92499999999995</v>
      </c>
      <c r="P2258" s="116">
        <v>527</v>
      </c>
      <c r="Q2258" s="116">
        <v>1056.8499999999999</v>
      </c>
      <c r="R2258">
        <v>123101</v>
      </c>
    </row>
    <row r="2259" spans="1:18" x14ac:dyDescent="0.25">
      <c r="A2259" s="166">
        <v>45330</v>
      </c>
      <c r="B2259" s="116">
        <v>535.20000000000005</v>
      </c>
      <c r="C2259" s="116">
        <v>521.15</v>
      </c>
      <c r="D2259" s="116">
        <v>520.04999999999995</v>
      </c>
      <c r="E2259" s="116">
        <v>535.20000000000005</v>
      </c>
      <c r="F2259" s="116">
        <v>1042.3</v>
      </c>
      <c r="G2259">
        <v>14422</v>
      </c>
      <c r="H2259" s="116"/>
      <c r="I2259" s="116"/>
      <c r="L2259" s="166">
        <v>45330</v>
      </c>
      <c r="M2259" s="116">
        <v>521.27499999999998</v>
      </c>
      <c r="N2259" s="116">
        <v>530.5</v>
      </c>
      <c r="O2259" s="116">
        <v>520.02499999999998</v>
      </c>
      <c r="P2259" s="116">
        <v>530.5</v>
      </c>
      <c r="Q2259" s="116">
        <v>1042.55</v>
      </c>
      <c r="R2259">
        <v>116396</v>
      </c>
    </row>
    <row r="2260" spans="1:18" x14ac:dyDescent="0.25">
      <c r="A2260" s="166">
        <v>45331</v>
      </c>
      <c r="B2260" s="116">
        <v>523.20000000000005</v>
      </c>
      <c r="C2260" s="116">
        <v>507.1</v>
      </c>
      <c r="D2260" s="116">
        <v>498.5</v>
      </c>
      <c r="E2260" s="116">
        <v>520.5</v>
      </c>
      <c r="F2260" s="116">
        <v>1014.2</v>
      </c>
      <c r="G2260">
        <v>10123</v>
      </c>
      <c r="H2260" s="116"/>
      <c r="I2260" s="116"/>
      <c r="L2260" s="166">
        <v>45331</v>
      </c>
      <c r="M2260" s="116">
        <v>507.07499999999999</v>
      </c>
      <c r="N2260" s="116">
        <v>524.25</v>
      </c>
      <c r="O2260" s="116">
        <v>498.22500000000002</v>
      </c>
      <c r="P2260" s="116">
        <v>521</v>
      </c>
      <c r="Q2260" s="116">
        <v>1014.15</v>
      </c>
      <c r="R2260">
        <v>212848</v>
      </c>
    </row>
    <row r="2261" spans="1:18" x14ac:dyDescent="0.25">
      <c r="A2261" s="166">
        <v>45334</v>
      </c>
      <c r="B2261" s="116">
        <v>506.7</v>
      </c>
      <c r="C2261" s="116">
        <v>492.6</v>
      </c>
      <c r="D2261" s="116">
        <v>490.15</v>
      </c>
      <c r="E2261" s="116">
        <v>496.95</v>
      </c>
      <c r="F2261" s="116">
        <v>985.2</v>
      </c>
      <c r="G2261">
        <v>29715</v>
      </c>
      <c r="H2261" s="116"/>
      <c r="I2261" s="116"/>
      <c r="L2261" s="166">
        <v>45334</v>
      </c>
      <c r="M2261" s="116">
        <v>492.57499999999999</v>
      </c>
      <c r="N2261" s="116">
        <v>507.57499999999999</v>
      </c>
      <c r="O2261" s="116">
        <v>490.5</v>
      </c>
      <c r="P2261" s="116">
        <v>507.07499999999999</v>
      </c>
      <c r="Q2261" s="116">
        <v>985.15</v>
      </c>
      <c r="R2261">
        <v>145307</v>
      </c>
    </row>
    <row r="2262" spans="1:18" x14ac:dyDescent="0.25">
      <c r="A2262" s="166">
        <v>45335</v>
      </c>
      <c r="B2262" s="116">
        <v>506.9</v>
      </c>
      <c r="C2262" s="116">
        <v>502.52499999999998</v>
      </c>
      <c r="D2262" s="116">
        <v>485</v>
      </c>
      <c r="E2262" s="116">
        <v>500.92500000000001</v>
      </c>
      <c r="F2262" s="116">
        <v>1005.05</v>
      </c>
      <c r="G2262">
        <v>23650</v>
      </c>
      <c r="H2262" s="116"/>
      <c r="I2262" s="116"/>
      <c r="L2262" s="166">
        <v>45335</v>
      </c>
      <c r="M2262" s="116">
        <v>502.95</v>
      </c>
      <c r="N2262" s="116">
        <v>507.42500000000001</v>
      </c>
      <c r="O2262" s="116">
        <v>485.67500000000001</v>
      </c>
      <c r="P2262" s="116">
        <v>492.6</v>
      </c>
      <c r="Q2262" s="116">
        <v>1005.9</v>
      </c>
      <c r="R2262">
        <v>114029</v>
      </c>
    </row>
    <row r="2263" spans="1:18" x14ac:dyDescent="0.25">
      <c r="A2263" s="166">
        <v>45336</v>
      </c>
      <c r="B2263" s="116">
        <v>523.9</v>
      </c>
      <c r="C2263" s="116">
        <v>519.07500000000005</v>
      </c>
      <c r="D2263" s="116">
        <v>495.77499999999998</v>
      </c>
      <c r="E2263" s="116">
        <v>502.45</v>
      </c>
      <c r="F2263" s="116">
        <v>1038.1500000000001</v>
      </c>
      <c r="G2263">
        <v>8990</v>
      </c>
      <c r="H2263" s="116"/>
      <c r="I2263" s="116"/>
      <c r="L2263" s="166">
        <v>45336</v>
      </c>
      <c r="M2263" s="116">
        <v>519.20000000000005</v>
      </c>
      <c r="N2263" s="116">
        <v>523.9</v>
      </c>
      <c r="O2263" s="116">
        <v>495.125</v>
      </c>
      <c r="P2263" s="116">
        <v>495.125</v>
      </c>
      <c r="Q2263" s="116">
        <v>1038.4000000000001</v>
      </c>
      <c r="R2263">
        <v>174676</v>
      </c>
    </row>
    <row r="2264" spans="1:18" x14ac:dyDescent="0.25">
      <c r="A2264" s="166">
        <v>45337</v>
      </c>
      <c r="B2264" s="116">
        <v>531.72500000000002</v>
      </c>
      <c r="C2264" s="116">
        <v>513.07500000000005</v>
      </c>
      <c r="D2264" s="116">
        <v>512.20000000000005</v>
      </c>
      <c r="E2264" s="116">
        <v>520.5</v>
      </c>
      <c r="F2264" s="116">
        <v>1026.1500000000001</v>
      </c>
      <c r="G2264">
        <v>6446</v>
      </c>
      <c r="H2264" s="116"/>
      <c r="I2264" s="116"/>
      <c r="L2264" s="166">
        <v>45337</v>
      </c>
      <c r="M2264" s="116">
        <v>513.22500000000002</v>
      </c>
      <c r="N2264" s="116">
        <v>531.97500000000002</v>
      </c>
      <c r="O2264" s="116">
        <v>511.77499999999998</v>
      </c>
      <c r="P2264" s="116">
        <v>522.32500000000005</v>
      </c>
      <c r="Q2264" s="116">
        <v>1026.45</v>
      </c>
      <c r="R2264">
        <v>154230</v>
      </c>
    </row>
    <row r="2265" spans="1:18" x14ac:dyDescent="0.25">
      <c r="A2265" s="166">
        <v>45338</v>
      </c>
      <c r="B2265" s="116">
        <v>524.97500000000002</v>
      </c>
      <c r="C2265" s="116">
        <v>510.4</v>
      </c>
      <c r="D2265" s="116">
        <v>506</v>
      </c>
      <c r="E2265" s="116">
        <v>516.6</v>
      </c>
      <c r="F2265" s="116">
        <v>1020.8</v>
      </c>
      <c r="G2265">
        <v>6456</v>
      </c>
      <c r="H2265" s="116"/>
      <c r="I2265" s="116"/>
      <c r="L2265" s="166">
        <v>45338</v>
      </c>
      <c r="M2265" s="116">
        <v>510.1</v>
      </c>
      <c r="N2265" s="116">
        <v>525</v>
      </c>
      <c r="O2265" s="116">
        <v>505.55</v>
      </c>
      <c r="P2265" s="116">
        <v>517.22500000000002</v>
      </c>
      <c r="Q2265" s="116">
        <v>1020.2</v>
      </c>
      <c r="R2265">
        <v>167112</v>
      </c>
    </row>
    <row r="2266" spans="1:18" x14ac:dyDescent="0.25">
      <c r="A2266" s="166">
        <v>45341</v>
      </c>
      <c r="B2266" s="116">
        <v>529.5</v>
      </c>
      <c r="C2266" s="116">
        <v>521.47500000000002</v>
      </c>
      <c r="D2266" s="116">
        <v>513.67499999999995</v>
      </c>
      <c r="E2266" s="116">
        <v>524.95000000000005</v>
      </c>
      <c r="F2266" s="116">
        <v>1042.95</v>
      </c>
      <c r="G2266">
        <v>28548</v>
      </c>
      <c r="H2266" s="116"/>
      <c r="I2266" s="116"/>
      <c r="L2266" s="166">
        <v>45341</v>
      </c>
      <c r="M2266" s="116">
        <v>521.70000000000005</v>
      </c>
      <c r="N2266" s="116">
        <v>529.95000000000005</v>
      </c>
      <c r="O2266" s="116">
        <v>511</v>
      </c>
      <c r="P2266" s="116">
        <v>515.20000000000005</v>
      </c>
      <c r="Q2266" s="116">
        <v>1043.4000000000001</v>
      </c>
      <c r="R2266">
        <v>189416</v>
      </c>
    </row>
    <row r="2267" spans="1:18" x14ac:dyDescent="0.25">
      <c r="A2267" s="166">
        <v>45342</v>
      </c>
      <c r="B2267" s="116">
        <v>528.95000000000005</v>
      </c>
      <c r="C2267" s="116">
        <v>510.42500000000001</v>
      </c>
      <c r="D2267" s="116">
        <v>508.8</v>
      </c>
      <c r="E2267" s="116">
        <v>528.95000000000005</v>
      </c>
      <c r="F2267" s="116">
        <v>1020.85</v>
      </c>
      <c r="G2267">
        <v>24544</v>
      </c>
      <c r="H2267" s="116"/>
      <c r="I2267" s="116"/>
      <c r="L2267" s="166">
        <v>45342</v>
      </c>
      <c r="M2267" s="116">
        <v>510.77499999999998</v>
      </c>
      <c r="N2267" s="116">
        <v>526.625</v>
      </c>
      <c r="O2267" s="116">
        <v>509</v>
      </c>
      <c r="P2267" s="116">
        <v>522.5</v>
      </c>
      <c r="Q2267" s="116">
        <v>1021.55</v>
      </c>
      <c r="R2267">
        <v>130834</v>
      </c>
    </row>
    <row r="2268" spans="1:18" x14ac:dyDescent="0.25">
      <c r="A2268" s="166">
        <v>45343</v>
      </c>
      <c r="B2268" s="116">
        <v>520.72500000000002</v>
      </c>
      <c r="C2268" s="116">
        <v>500.27499999999998</v>
      </c>
      <c r="D2268" s="116">
        <v>492.67500000000001</v>
      </c>
      <c r="E2268" s="116">
        <v>520.72500000000002</v>
      </c>
      <c r="F2268" s="116">
        <v>1000.55</v>
      </c>
      <c r="G2268">
        <v>10910</v>
      </c>
      <c r="H2268" s="116"/>
      <c r="I2268" s="116"/>
      <c r="L2268" s="166">
        <v>45343</v>
      </c>
      <c r="M2268" s="116">
        <v>499.7</v>
      </c>
      <c r="N2268" s="116">
        <v>518</v>
      </c>
      <c r="O2268" s="116">
        <v>493.02499999999998</v>
      </c>
      <c r="P2268" s="116">
        <v>515.9</v>
      </c>
      <c r="Q2268" s="116">
        <v>999.4</v>
      </c>
      <c r="R2268">
        <v>196276</v>
      </c>
    </row>
    <row r="2269" spans="1:18" x14ac:dyDescent="0.25">
      <c r="A2269" s="166">
        <v>45344</v>
      </c>
      <c r="B2269" s="116">
        <v>504.65</v>
      </c>
      <c r="C2269" s="116">
        <v>498.67500000000001</v>
      </c>
      <c r="D2269" s="116">
        <v>495.27499999999998</v>
      </c>
      <c r="E2269" s="116">
        <v>495.27499999999998</v>
      </c>
      <c r="F2269" s="116">
        <v>997.35</v>
      </c>
      <c r="G2269">
        <v>9732</v>
      </c>
      <c r="H2269" s="116"/>
      <c r="I2269" s="116"/>
      <c r="L2269" s="166">
        <v>45344</v>
      </c>
      <c r="M2269" s="116">
        <v>498.65</v>
      </c>
      <c r="N2269" s="116">
        <v>504.77499999999998</v>
      </c>
      <c r="O2269" s="116">
        <v>495.5</v>
      </c>
      <c r="P2269" s="116">
        <v>498.5</v>
      </c>
      <c r="Q2269" s="116">
        <v>997.3</v>
      </c>
      <c r="R2269">
        <v>125877</v>
      </c>
    </row>
    <row r="2270" spans="1:18" x14ac:dyDescent="0.25">
      <c r="A2270" s="166">
        <v>45345</v>
      </c>
      <c r="B2270" s="116">
        <v>514</v>
      </c>
      <c r="C2270" s="116">
        <v>508.67500000000001</v>
      </c>
      <c r="D2270" s="116">
        <v>499.92500000000001</v>
      </c>
      <c r="E2270" s="116">
        <v>501.27499999999998</v>
      </c>
      <c r="F2270" s="116">
        <v>1017.35</v>
      </c>
      <c r="G2270">
        <v>18787</v>
      </c>
      <c r="H2270" s="116"/>
      <c r="I2270" s="116"/>
      <c r="L2270" s="166">
        <v>45345</v>
      </c>
      <c r="M2270" s="116">
        <v>509.45</v>
      </c>
      <c r="N2270" s="116">
        <v>514.35</v>
      </c>
      <c r="O2270" s="116">
        <v>499.5</v>
      </c>
      <c r="P2270" s="116">
        <v>502.5</v>
      </c>
      <c r="Q2270" s="116">
        <v>1018.9</v>
      </c>
      <c r="R2270">
        <v>157756</v>
      </c>
    </row>
    <row r="2271" spans="1:18" x14ac:dyDescent="0.25">
      <c r="A2271" s="166">
        <v>45348</v>
      </c>
      <c r="B2271" s="116">
        <v>512.72500000000002</v>
      </c>
      <c r="C2271" s="116">
        <v>499.47500000000002</v>
      </c>
      <c r="D2271" s="116">
        <v>497.75</v>
      </c>
      <c r="E2271" s="116">
        <v>508.875</v>
      </c>
      <c r="F2271" s="116">
        <v>998.95</v>
      </c>
      <c r="G2271">
        <v>8227</v>
      </c>
      <c r="H2271" s="116"/>
      <c r="I2271" s="116"/>
      <c r="L2271" s="166">
        <v>45348</v>
      </c>
      <c r="M2271" s="116">
        <v>499.625</v>
      </c>
      <c r="N2271" s="116">
        <v>512.97500000000002</v>
      </c>
      <c r="O2271" s="116">
        <v>497.5</v>
      </c>
      <c r="P2271" s="116">
        <v>512</v>
      </c>
      <c r="Q2271" s="116">
        <v>999.25</v>
      </c>
      <c r="R2271">
        <v>118122</v>
      </c>
    </row>
    <row r="2272" spans="1:18" x14ac:dyDescent="0.25">
      <c r="A2272" s="166">
        <v>45349</v>
      </c>
      <c r="B2272" s="116">
        <v>505</v>
      </c>
      <c r="C2272" s="116">
        <v>475.45</v>
      </c>
      <c r="D2272" s="116">
        <v>467.27499999999998</v>
      </c>
      <c r="E2272" s="116">
        <v>505</v>
      </c>
      <c r="F2272" s="116">
        <v>950.9</v>
      </c>
      <c r="G2272">
        <v>21299</v>
      </c>
      <c r="H2272" s="116"/>
      <c r="I2272" s="116"/>
      <c r="L2272" s="166">
        <v>45349</v>
      </c>
      <c r="M2272" s="116">
        <v>475.5</v>
      </c>
      <c r="N2272" s="116">
        <v>503.45</v>
      </c>
      <c r="O2272" s="116">
        <v>466.5</v>
      </c>
      <c r="P2272" s="116">
        <v>500</v>
      </c>
      <c r="Q2272" s="116">
        <v>951</v>
      </c>
      <c r="R2272">
        <v>329265</v>
      </c>
    </row>
    <row r="2273" spans="1:18" x14ac:dyDescent="0.25">
      <c r="A2273" s="166">
        <v>45350</v>
      </c>
      <c r="B2273" s="116">
        <v>485.32499999999999</v>
      </c>
      <c r="C2273" s="116">
        <v>468.75</v>
      </c>
      <c r="D2273" s="116">
        <v>462</v>
      </c>
      <c r="E2273" s="116">
        <v>477.52499999999998</v>
      </c>
      <c r="F2273" s="116">
        <v>937.5</v>
      </c>
      <c r="G2273">
        <v>5665</v>
      </c>
      <c r="H2273" s="116"/>
      <c r="I2273" s="116"/>
      <c r="L2273" s="166">
        <v>45350</v>
      </c>
      <c r="M2273" s="116">
        <v>469.4</v>
      </c>
      <c r="N2273" s="116">
        <v>485.5</v>
      </c>
      <c r="O2273" s="116">
        <v>462</v>
      </c>
      <c r="P2273" s="116">
        <v>483</v>
      </c>
      <c r="Q2273" s="116">
        <v>938.8</v>
      </c>
      <c r="R2273">
        <v>203984</v>
      </c>
    </row>
    <row r="2274" spans="1:18" x14ac:dyDescent="0.25">
      <c r="A2274" s="166">
        <v>45351</v>
      </c>
      <c r="B2274" s="116">
        <v>506</v>
      </c>
      <c r="C2274" s="116">
        <v>502.7</v>
      </c>
      <c r="D2274" s="116">
        <v>455.5</v>
      </c>
      <c r="E2274" s="116">
        <v>467.5</v>
      </c>
      <c r="F2274" s="116">
        <v>1005.4</v>
      </c>
      <c r="G2274">
        <v>16699</v>
      </c>
      <c r="H2274" s="116"/>
      <c r="I2274" s="116"/>
      <c r="L2274" s="166">
        <v>45351</v>
      </c>
      <c r="M2274" s="116">
        <v>501.07499999999999</v>
      </c>
      <c r="N2274" s="116">
        <v>506.95</v>
      </c>
      <c r="O2274" s="116">
        <v>455.5</v>
      </c>
      <c r="P2274" s="116">
        <v>471.7</v>
      </c>
      <c r="Q2274" s="116">
        <v>1002.15</v>
      </c>
      <c r="R2274">
        <v>554537</v>
      </c>
    </row>
    <row r="2275" spans="1:18" x14ac:dyDescent="0.25">
      <c r="A2275" s="166">
        <v>45352</v>
      </c>
      <c r="B2275" s="116">
        <v>504.875</v>
      </c>
      <c r="C2275" s="116">
        <v>494.77499999999998</v>
      </c>
      <c r="D2275" s="116">
        <v>492.67500000000001</v>
      </c>
      <c r="E2275" s="116">
        <v>498.02499999999998</v>
      </c>
      <c r="F2275" s="116">
        <v>989.55</v>
      </c>
      <c r="G2275">
        <v>12844</v>
      </c>
      <c r="H2275" s="116"/>
      <c r="I2275" s="116"/>
      <c r="L2275" s="166">
        <v>45352</v>
      </c>
      <c r="M2275" s="116">
        <v>494.95</v>
      </c>
      <c r="N2275" s="116">
        <v>504.9</v>
      </c>
      <c r="O2275" s="116">
        <v>493.02499999999998</v>
      </c>
      <c r="P2275" s="116">
        <v>499.45</v>
      </c>
      <c r="Q2275" s="116">
        <v>989.9</v>
      </c>
      <c r="R2275">
        <v>112712</v>
      </c>
    </row>
    <row r="2276" spans="1:18" x14ac:dyDescent="0.25">
      <c r="A2276" s="166">
        <v>45353</v>
      </c>
      <c r="B2276" s="116">
        <v>503.625</v>
      </c>
      <c r="C2276" s="116">
        <v>499.8</v>
      </c>
      <c r="D2276" s="116">
        <v>493.35</v>
      </c>
      <c r="E2276" s="116">
        <v>495.82499999999999</v>
      </c>
      <c r="F2276" s="116">
        <v>999.6</v>
      </c>
      <c r="G2276">
        <v>936</v>
      </c>
      <c r="H2276" s="116"/>
      <c r="I2276" s="116"/>
      <c r="L2276" s="166">
        <v>45353</v>
      </c>
      <c r="M2276" s="116">
        <v>499.45</v>
      </c>
      <c r="N2276" s="116">
        <v>503.5</v>
      </c>
      <c r="O2276" s="116">
        <v>490.02499999999998</v>
      </c>
      <c r="P2276" s="116">
        <v>493.5</v>
      </c>
      <c r="Q2276" s="116">
        <v>998.9</v>
      </c>
      <c r="R2276">
        <v>14736</v>
      </c>
    </row>
    <row r="2277" spans="1:18" x14ac:dyDescent="0.25">
      <c r="A2277" s="166">
        <v>45355</v>
      </c>
      <c r="B2277" s="116">
        <v>500.3</v>
      </c>
      <c r="C2277" s="116">
        <v>495.77499999999998</v>
      </c>
      <c r="D2277" s="116">
        <v>487.75</v>
      </c>
      <c r="E2277" s="116">
        <v>499.8</v>
      </c>
      <c r="F2277" s="116">
        <v>991.55</v>
      </c>
      <c r="G2277">
        <v>14926</v>
      </c>
      <c r="H2277" s="116"/>
      <c r="I2277" s="116"/>
      <c r="L2277" s="166">
        <v>45355</v>
      </c>
      <c r="M2277" s="116">
        <v>495.52499999999998</v>
      </c>
      <c r="N2277" s="116">
        <v>500.77499999999998</v>
      </c>
      <c r="O2277" s="116">
        <v>487.7</v>
      </c>
      <c r="P2277" s="116">
        <v>499.72500000000002</v>
      </c>
      <c r="Q2277" s="116">
        <v>991.05</v>
      </c>
      <c r="R2277">
        <v>111188</v>
      </c>
    </row>
    <row r="2278" spans="1:18" x14ac:dyDescent="0.25">
      <c r="A2278" s="166">
        <v>45356</v>
      </c>
      <c r="B2278" s="116">
        <v>499.8</v>
      </c>
      <c r="C2278" s="116">
        <v>490.05</v>
      </c>
      <c r="D2278" s="116">
        <v>487.32499999999999</v>
      </c>
      <c r="E2278" s="116">
        <v>499.8</v>
      </c>
      <c r="F2278" s="116">
        <v>980.1</v>
      </c>
      <c r="G2278">
        <v>15463</v>
      </c>
      <c r="H2278" s="116"/>
      <c r="I2278" s="116"/>
      <c r="L2278" s="166">
        <v>45356</v>
      </c>
      <c r="M2278" s="116">
        <v>490.85</v>
      </c>
      <c r="N2278" s="116">
        <v>499.5</v>
      </c>
      <c r="O2278" s="116">
        <v>488</v>
      </c>
      <c r="P2278" s="116">
        <v>499</v>
      </c>
      <c r="Q2278" s="116">
        <v>981.7</v>
      </c>
      <c r="R2278">
        <v>133721</v>
      </c>
    </row>
    <row r="2279" spans="1:18" x14ac:dyDescent="0.25">
      <c r="A2279" s="166">
        <v>45357</v>
      </c>
      <c r="B2279" s="116">
        <v>491</v>
      </c>
      <c r="C2279" s="116">
        <v>471.42500000000001</v>
      </c>
      <c r="D2279" s="116">
        <v>467</v>
      </c>
      <c r="E2279" s="116">
        <v>491</v>
      </c>
      <c r="F2279" s="116">
        <v>942.85</v>
      </c>
      <c r="G2279">
        <v>13125</v>
      </c>
      <c r="H2279" s="116"/>
      <c r="I2279" s="116"/>
      <c r="L2279" s="166">
        <v>45357</v>
      </c>
      <c r="M2279" s="116">
        <v>471.3</v>
      </c>
      <c r="N2279" s="116">
        <v>491.125</v>
      </c>
      <c r="O2279" s="116">
        <v>466.5</v>
      </c>
      <c r="P2279" s="116">
        <v>490.55</v>
      </c>
      <c r="Q2279" s="116">
        <v>942.6</v>
      </c>
      <c r="R2279">
        <v>239589</v>
      </c>
    </row>
    <row r="2280" spans="1:18" x14ac:dyDescent="0.25">
      <c r="A2280" s="166">
        <v>45358</v>
      </c>
      <c r="B2280" s="116">
        <v>483.07499999999999</v>
      </c>
      <c r="C2280" s="116">
        <v>480.5</v>
      </c>
      <c r="D2280" s="116">
        <v>465</v>
      </c>
      <c r="E2280" s="116">
        <v>465.02499999999998</v>
      </c>
      <c r="F2280" s="116">
        <v>961</v>
      </c>
      <c r="G2280">
        <v>19136</v>
      </c>
      <c r="H2280" s="116"/>
      <c r="I2280" s="116"/>
      <c r="L2280" s="166">
        <v>45358</v>
      </c>
      <c r="M2280" s="116">
        <v>481.17500000000001</v>
      </c>
      <c r="N2280" s="116">
        <v>482.95</v>
      </c>
      <c r="O2280" s="116">
        <v>465.22500000000002</v>
      </c>
      <c r="P2280" s="116">
        <v>472.875</v>
      </c>
      <c r="Q2280" s="116">
        <v>962.35</v>
      </c>
      <c r="R2280">
        <v>177700</v>
      </c>
    </row>
    <row r="2281" spans="1:18" x14ac:dyDescent="0.25">
      <c r="A2281" s="166">
        <v>45362</v>
      </c>
      <c r="B2281" s="116">
        <v>481.8</v>
      </c>
      <c r="C2281" s="116">
        <v>471.77499999999998</v>
      </c>
      <c r="D2281" s="116">
        <v>460.15</v>
      </c>
      <c r="E2281" s="116">
        <v>481.8</v>
      </c>
      <c r="F2281" s="116">
        <v>943.55</v>
      </c>
      <c r="G2281">
        <v>6287</v>
      </c>
      <c r="H2281" s="116"/>
      <c r="I2281" s="116"/>
      <c r="L2281" s="166">
        <v>45362</v>
      </c>
      <c r="M2281" s="116">
        <v>471.42500000000001</v>
      </c>
      <c r="N2281" s="116">
        <v>481.5</v>
      </c>
      <c r="O2281" s="116">
        <v>460.5</v>
      </c>
      <c r="P2281" s="116">
        <v>481.17500000000001</v>
      </c>
      <c r="Q2281" s="116">
        <v>942.85</v>
      </c>
      <c r="R2281">
        <v>287115</v>
      </c>
    </row>
    <row r="2282" spans="1:18" x14ac:dyDescent="0.25">
      <c r="A2282" s="166">
        <v>45363</v>
      </c>
      <c r="B2282" s="116">
        <v>476.17500000000001</v>
      </c>
      <c r="C2282" s="116">
        <v>435.2</v>
      </c>
      <c r="D2282" s="116">
        <v>429.2</v>
      </c>
      <c r="E2282" s="116">
        <v>474.55</v>
      </c>
      <c r="F2282" s="116">
        <v>870.4</v>
      </c>
      <c r="G2282">
        <v>55400</v>
      </c>
      <c r="H2282" s="116"/>
      <c r="I2282" s="116"/>
      <c r="L2282" s="166">
        <v>45363</v>
      </c>
      <c r="M2282" s="116">
        <v>435.125</v>
      </c>
      <c r="N2282" s="116">
        <v>476</v>
      </c>
      <c r="O2282" s="116">
        <v>429.5</v>
      </c>
      <c r="P2282" s="116">
        <v>465.02499999999998</v>
      </c>
      <c r="Q2282" s="116">
        <v>870.25</v>
      </c>
      <c r="R2282">
        <v>421424</v>
      </c>
    </row>
    <row r="2283" spans="1:18" x14ac:dyDescent="0.25">
      <c r="A2283" s="166">
        <v>45364</v>
      </c>
      <c r="B2283" s="116">
        <v>442.75</v>
      </c>
      <c r="C2283" s="116">
        <v>405.17500000000001</v>
      </c>
      <c r="D2283" s="116">
        <v>397.55</v>
      </c>
      <c r="E2283" s="116">
        <v>435.42500000000001</v>
      </c>
      <c r="F2283" s="116">
        <v>810.35</v>
      </c>
      <c r="G2283">
        <v>84706</v>
      </c>
      <c r="H2283" s="116"/>
      <c r="I2283" s="116"/>
      <c r="L2283" s="166">
        <v>45364</v>
      </c>
      <c r="M2283" s="116">
        <v>404.9</v>
      </c>
      <c r="N2283" s="116">
        <v>442.35</v>
      </c>
      <c r="O2283" s="116">
        <v>397.55</v>
      </c>
      <c r="P2283" s="116">
        <v>439.97500000000002</v>
      </c>
      <c r="Q2283" s="116">
        <v>809.8</v>
      </c>
      <c r="R2283">
        <v>565912</v>
      </c>
    </row>
    <row r="2284" spans="1:18" x14ac:dyDescent="0.25">
      <c r="A2284" s="166">
        <v>45365</v>
      </c>
      <c r="B2284" s="116">
        <v>429.47500000000002</v>
      </c>
      <c r="C2284" s="116">
        <v>424.27499999999998</v>
      </c>
      <c r="D2284" s="116">
        <v>395.05</v>
      </c>
      <c r="E2284" s="116">
        <v>412.47500000000002</v>
      </c>
      <c r="F2284" s="116">
        <v>848.55</v>
      </c>
      <c r="G2284">
        <v>46739</v>
      </c>
      <c r="H2284" s="116"/>
      <c r="I2284" s="116"/>
      <c r="L2284" s="166">
        <v>45365</v>
      </c>
      <c r="M2284" s="116">
        <v>422</v>
      </c>
      <c r="N2284" s="116">
        <v>430</v>
      </c>
      <c r="O2284" s="116">
        <v>395.15</v>
      </c>
      <c r="P2284" s="116">
        <v>411.5</v>
      </c>
      <c r="Q2284" s="116">
        <v>844</v>
      </c>
      <c r="R2284">
        <v>358527</v>
      </c>
    </row>
    <row r="2285" spans="1:18" x14ac:dyDescent="0.25">
      <c r="A2285" s="166">
        <v>45366</v>
      </c>
      <c r="B2285" s="116">
        <v>446.97500000000002</v>
      </c>
      <c r="C2285" s="116">
        <v>436.45</v>
      </c>
      <c r="D2285" s="116">
        <v>420.7</v>
      </c>
      <c r="E2285" s="116">
        <v>424.45</v>
      </c>
      <c r="F2285" s="116">
        <v>872.9</v>
      </c>
      <c r="G2285">
        <v>51026</v>
      </c>
      <c r="H2285" s="116"/>
      <c r="I2285" s="116"/>
      <c r="L2285" s="166">
        <v>45366</v>
      </c>
      <c r="M2285" s="116">
        <v>436.47500000000002</v>
      </c>
      <c r="N2285" s="116">
        <v>446.67500000000001</v>
      </c>
      <c r="O2285" s="116">
        <v>420.5</v>
      </c>
      <c r="P2285" s="116">
        <v>427.65</v>
      </c>
      <c r="Q2285" s="116">
        <v>872.95</v>
      </c>
      <c r="R2285">
        <v>1932239</v>
      </c>
    </row>
    <row r="2286" spans="1:18" x14ac:dyDescent="0.25">
      <c r="A2286" s="166">
        <v>45369</v>
      </c>
      <c r="B2286" s="116">
        <v>440.07499999999999</v>
      </c>
      <c r="C2286" s="116">
        <v>424.05</v>
      </c>
      <c r="D2286" s="116">
        <v>422.42500000000001</v>
      </c>
      <c r="E2286" s="116">
        <v>435.875</v>
      </c>
      <c r="F2286" s="116">
        <v>848.1</v>
      </c>
      <c r="G2286">
        <v>10471</v>
      </c>
      <c r="H2286" s="116"/>
      <c r="I2286" s="116"/>
      <c r="L2286" s="166">
        <v>45369</v>
      </c>
      <c r="M2286" s="116">
        <v>424.22500000000002</v>
      </c>
      <c r="N2286" s="116">
        <v>439.25</v>
      </c>
      <c r="O2286" s="116">
        <v>421.25</v>
      </c>
      <c r="P2286" s="116">
        <v>435</v>
      </c>
      <c r="Q2286" s="116">
        <v>848.45</v>
      </c>
      <c r="R2286">
        <v>221090</v>
      </c>
    </row>
    <row r="2287" spans="1:18" x14ac:dyDescent="0.25">
      <c r="A2287" s="166">
        <v>45370</v>
      </c>
      <c r="B2287" s="116">
        <v>428.97500000000002</v>
      </c>
      <c r="C2287" s="116">
        <v>417.55</v>
      </c>
      <c r="D2287" s="116">
        <v>413.77499999999998</v>
      </c>
      <c r="E2287" s="116">
        <v>428.97500000000002</v>
      </c>
      <c r="F2287" s="116">
        <v>835.1</v>
      </c>
      <c r="G2287">
        <v>5238</v>
      </c>
      <c r="H2287" s="116"/>
      <c r="I2287" s="116"/>
      <c r="L2287" s="166">
        <v>45370</v>
      </c>
      <c r="M2287" s="116">
        <v>419.55</v>
      </c>
      <c r="N2287" s="116">
        <v>428.25</v>
      </c>
      <c r="O2287" s="116">
        <v>416.02499999999998</v>
      </c>
      <c r="P2287" s="116">
        <v>428.25</v>
      </c>
      <c r="Q2287" s="116">
        <v>839.1</v>
      </c>
      <c r="R2287">
        <v>113445</v>
      </c>
    </row>
    <row r="2288" spans="1:18" x14ac:dyDescent="0.25">
      <c r="A2288" s="166">
        <v>45371</v>
      </c>
      <c r="B2288" s="116">
        <v>429.1</v>
      </c>
      <c r="C2288" s="116">
        <v>421.22500000000002</v>
      </c>
      <c r="D2288" s="116">
        <v>412.22500000000002</v>
      </c>
      <c r="E2288" s="116">
        <v>417.72500000000002</v>
      </c>
      <c r="F2288" s="116">
        <v>842.45</v>
      </c>
      <c r="G2288">
        <v>4808</v>
      </c>
      <c r="H2288" s="116"/>
      <c r="I2288" s="116"/>
      <c r="L2288" s="166">
        <v>45371</v>
      </c>
      <c r="M2288" s="116">
        <v>420.42500000000001</v>
      </c>
      <c r="N2288" s="116">
        <v>430</v>
      </c>
      <c r="O2288" s="116">
        <v>412.5</v>
      </c>
      <c r="P2288" s="116">
        <v>423</v>
      </c>
      <c r="Q2288" s="116">
        <v>840.85</v>
      </c>
      <c r="R2288">
        <v>137953</v>
      </c>
    </row>
    <row r="2289" spans="1:18" x14ac:dyDescent="0.25">
      <c r="A2289" s="166">
        <v>45372</v>
      </c>
      <c r="B2289" s="116">
        <v>452.75</v>
      </c>
      <c r="C2289" s="116">
        <v>445.625</v>
      </c>
      <c r="D2289" s="116">
        <v>425.32499999999999</v>
      </c>
      <c r="E2289" s="116">
        <v>425.32499999999999</v>
      </c>
      <c r="F2289" s="116">
        <v>891.25</v>
      </c>
      <c r="G2289">
        <v>22253</v>
      </c>
      <c r="H2289" s="116"/>
      <c r="I2289" s="116"/>
      <c r="L2289" s="166">
        <v>45372</v>
      </c>
      <c r="M2289" s="116">
        <v>444.9</v>
      </c>
      <c r="N2289" s="116">
        <v>452.7</v>
      </c>
      <c r="O2289" s="116">
        <v>427.15</v>
      </c>
      <c r="P2289" s="116">
        <v>427.5</v>
      </c>
      <c r="Q2289" s="116">
        <v>889.8</v>
      </c>
      <c r="R2289">
        <v>234785</v>
      </c>
    </row>
    <row r="2290" spans="1:18" x14ac:dyDescent="0.25">
      <c r="A2290" s="166">
        <v>45373</v>
      </c>
      <c r="B2290" s="116">
        <v>462</v>
      </c>
      <c r="C2290" s="116">
        <v>459.07499999999999</v>
      </c>
      <c r="D2290" s="116">
        <v>442.07499999999999</v>
      </c>
      <c r="E2290" s="116">
        <v>448.42500000000001</v>
      </c>
      <c r="F2290" s="116">
        <v>918.15</v>
      </c>
      <c r="G2290">
        <v>20109</v>
      </c>
      <c r="H2290" s="116"/>
      <c r="I2290" s="116"/>
      <c r="L2290" s="166">
        <v>45373</v>
      </c>
      <c r="M2290" s="116">
        <v>460.125</v>
      </c>
      <c r="N2290" s="116">
        <v>462.35</v>
      </c>
      <c r="O2290" s="116">
        <v>440.57499999999999</v>
      </c>
      <c r="P2290" s="116">
        <v>444.52499999999998</v>
      </c>
      <c r="Q2290" s="116">
        <v>920.25</v>
      </c>
      <c r="R2290">
        <v>273633</v>
      </c>
    </row>
    <row r="2291" spans="1:18" x14ac:dyDescent="0.25">
      <c r="A2291" s="166">
        <v>45377</v>
      </c>
      <c r="B2291" s="116">
        <v>473.85</v>
      </c>
      <c r="C2291" s="116">
        <v>471.9</v>
      </c>
      <c r="D2291" s="116">
        <v>452.52499999999998</v>
      </c>
      <c r="E2291" s="116">
        <v>469.22500000000002</v>
      </c>
      <c r="F2291" s="116">
        <v>943.8</v>
      </c>
      <c r="G2291">
        <v>12352</v>
      </c>
      <c r="H2291" s="116"/>
      <c r="I2291" s="116"/>
      <c r="L2291" s="166">
        <v>45377</v>
      </c>
      <c r="M2291" s="116">
        <v>471.625</v>
      </c>
      <c r="N2291" s="116">
        <v>474.35</v>
      </c>
      <c r="O2291" s="116">
        <v>452.7</v>
      </c>
      <c r="P2291" s="116">
        <v>460.125</v>
      </c>
      <c r="Q2291" s="116">
        <v>943.25</v>
      </c>
      <c r="R2291">
        <v>246240</v>
      </c>
    </row>
    <row r="2292" spans="1:18" x14ac:dyDescent="0.25">
      <c r="A2292" s="166">
        <v>45378</v>
      </c>
      <c r="B2292" s="116">
        <v>485</v>
      </c>
      <c r="C2292" s="116">
        <v>479.25</v>
      </c>
      <c r="D2292" s="116">
        <v>463.2</v>
      </c>
      <c r="E2292" s="116">
        <v>483.97500000000002</v>
      </c>
      <c r="F2292" s="116">
        <v>958.5</v>
      </c>
      <c r="G2292">
        <v>36032</v>
      </c>
      <c r="H2292" s="116"/>
      <c r="I2292" s="116"/>
      <c r="L2292" s="166">
        <v>45378</v>
      </c>
      <c r="M2292" s="116">
        <v>480.07499999999999</v>
      </c>
      <c r="N2292" s="116">
        <v>485.5</v>
      </c>
      <c r="O2292" s="116">
        <v>464.05</v>
      </c>
      <c r="P2292" s="116">
        <v>474.95</v>
      </c>
      <c r="Q2292" s="116">
        <v>960.15</v>
      </c>
      <c r="R2292">
        <v>310626</v>
      </c>
    </row>
    <row r="2293" spans="1:18" x14ac:dyDescent="0.25">
      <c r="A2293" s="166">
        <v>45379</v>
      </c>
      <c r="B2293" s="116">
        <v>487.22500000000002</v>
      </c>
      <c r="C2293" s="116">
        <v>474.92500000000001</v>
      </c>
      <c r="D2293" s="116">
        <v>466.875</v>
      </c>
      <c r="E2293" s="116">
        <v>484.27499999999998</v>
      </c>
      <c r="F2293" s="116">
        <v>949.85</v>
      </c>
      <c r="G2293">
        <v>7203</v>
      </c>
      <c r="H2293" s="116"/>
      <c r="I2293" s="116"/>
      <c r="L2293" s="166">
        <v>45379</v>
      </c>
      <c r="M2293" s="116">
        <v>474.375</v>
      </c>
      <c r="N2293" s="116">
        <v>487.2</v>
      </c>
      <c r="O2293" s="116">
        <v>466.95</v>
      </c>
      <c r="P2293" s="116">
        <v>485</v>
      </c>
      <c r="Q2293" s="116">
        <v>948.75</v>
      </c>
      <c r="R2293">
        <v>123181</v>
      </c>
    </row>
    <row r="2294" spans="1:18" x14ac:dyDescent="0.25">
      <c r="A2294" s="166">
        <v>45383</v>
      </c>
      <c r="B2294" s="116">
        <v>490</v>
      </c>
      <c r="C2294" s="116">
        <v>488.77499999999998</v>
      </c>
      <c r="D2294" s="116">
        <v>476</v>
      </c>
      <c r="E2294" s="116">
        <v>476.27499999999998</v>
      </c>
      <c r="F2294" s="116">
        <v>977.55</v>
      </c>
      <c r="G2294">
        <v>26464</v>
      </c>
      <c r="H2294" s="116"/>
      <c r="I2294" s="116"/>
      <c r="L2294" s="166">
        <v>45383</v>
      </c>
      <c r="M2294" s="116">
        <v>488.77499999999998</v>
      </c>
      <c r="N2294" s="116">
        <v>489.85</v>
      </c>
      <c r="O2294" s="116">
        <v>477.375</v>
      </c>
      <c r="P2294" s="116">
        <v>479.17500000000001</v>
      </c>
      <c r="Q2294" s="116">
        <v>977.55</v>
      </c>
      <c r="R2294">
        <v>105337</v>
      </c>
    </row>
    <row r="2295" spans="1:18" x14ac:dyDescent="0.25">
      <c r="A2295" s="166">
        <v>45384</v>
      </c>
      <c r="B2295" s="116">
        <v>494.97500000000002</v>
      </c>
      <c r="C2295" s="116">
        <v>486.2</v>
      </c>
      <c r="D2295" s="116">
        <v>481.15</v>
      </c>
      <c r="E2295" s="116">
        <v>494.97500000000002</v>
      </c>
      <c r="F2295" s="116">
        <v>972.4</v>
      </c>
      <c r="G2295">
        <v>15345</v>
      </c>
      <c r="H2295" s="116"/>
      <c r="I2295" s="116"/>
      <c r="L2295" s="166">
        <v>45384</v>
      </c>
      <c r="M2295" s="116">
        <v>486.5</v>
      </c>
      <c r="N2295" s="116">
        <v>494.27499999999998</v>
      </c>
      <c r="O2295" s="116">
        <v>481.07499999999999</v>
      </c>
      <c r="P2295" s="116">
        <v>490.75</v>
      </c>
      <c r="Q2295" s="116">
        <v>973</v>
      </c>
      <c r="R2295">
        <v>75065</v>
      </c>
    </row>
    <row r="2296" spans="1:18" x14ac:dyDescent="0.25">
      <c r="A2296" s="166">
        <v>45385</v>
      </c>
      <c r="B2296" s="116">
        <v>490.92500000000001</v>
      </c>
      <c r="C2296" s="116">
        <v>488.6</v>
      </c>
      <c r="D2296" s="116">
        <v>479.5</v>
      </c>
      <c r="E2296" s="116">
        <v>481.17500000000001</v>
      </c>
      <c r="F2296" s="116">
        <v>977.2</v>
      </c>
      <c r="G2296">
        <v>5431</v>
      </c>
      <c r="H2296" s="116"/>
      <c r="I2296" s="116"/>
      <c r="L2296" s="166">
        <v>45385</v>
      </c>
      <c r="M2296" s="116">
        <v>488.875</v>
      </c>
      <c r="N2296" s="116">
        <v>491</v>
      </c>
      <c r="O2296" s="116">
        <v>480</v>
      </c>
      <c r="P2296" s="116">
        <v>488.25</v>
      </c>
      <c r="Q2296" s="116">
        <v>977.75</v>
      </c>
      <c r="R2296">
        <v>100795</v>
      </c>
    </row>
    <row r="2297" spans="1:18" x14ac:dyDescent="0.25">
      <c r="A2297" s="166">
        <v>45386</v>
      </c>
      <c r="B2297" s="116">
        <v>497.5</v>
      </c>
      <c r="C2297" s="116">
        <v>492.25</v>
      </c>
      <c r="D2297" s="116">
        <v>486.8</v>
      </c>
      <c r="E2297" s="116">
        <v>492.5</v>
      </c>
      <c r="F2297" s="116">
        <v>984.5</v>
      </c>
      <c r="G2297">
        <v>8376</v>
      </c>
      <c r="H2297" s="116"/>
      <c r="I2297" s="116"/>
      <c r="L2297" s="166">
        <v>45386</v>
      </c>
      <c r="M2297" s="116">
        <v>491.65</v>
      </c>
      <c r="N2297" s="116">
        <v>497.67500000000001</v>
      </c>
      <c r="O2297" s="116">
        <v>486.625</v>
      </c>
      <c r="P2297" s="116">
        <v>493.77499999999998</v>
      </c>
      <c r="Q2297" s="116">
        <v>983.3</v>
      </c>
      <c r="R2297">
        <v>101229</v>
      </c>
    </row>
    <row r="2298" spans="1:18" x14ac:dyDescent="0.25">
      <c r="A2298" s="166">
        <v>45387</v>
      </c>
      <c r="B2298" s="116">
        <v>507.2</v>
      </c>
      <c r="C2298" s="116">
        <v>502.97500000000002</v>
      </c>
      <c r="D2298" s="116">
        <v>487.67500000000001</v>
      </c>
      <c r="E2298" s="116">
        <v>490.32499999999999</v>
      </c>
      <c r="F2298" s="116">
        <v>1005.95</v>
      </c>
      <c r="G2298">
        <v>17907</v>
      </c>
      <c r="H2298" s="116"/>
      <c r="I2298" s="116"/>
      <c r="L2298" s="166">
        <v>45387</v>
      </c>
      <c r="M2298" s="116">
        <v>502.625</v>
      </c>
      <c r="N2298" s="116">
        <v>507.72500000000002</v>
      </c>
      <c r="O2298" s="116">
        <v>486.5</v>
      </c>
      <c r="P2298" s="116">
        <v>491.65</v>
      </c>
      <c r="Q2298" s="116">
        <v>1005.25</v>
      </c>
      <c r="R2298">
        <v>140148</v>
      </c>
    </row>
    <row r="2299" spans="1:18" x14ac:dyDescent="0.25">
      <c r="A2299" s="166">
        <v>45390</v>
      </c>
      <c r="B2299" s="116">
        <v>516.47500000000002</v>
      </c>
      <c r="C2299" s="116">
        <v>512.1</v>
      </c>
      <c r="D2299" s="116">
        <v>506.375</v>
      </c>
      <c r="E2299" s="116">
        <v>516.47500000000002</v>
      </c>
      <c r="F2299" s="116">
        <v>1024.2</v>
      </c>
      <c r="G2299">
        <v>22635</v>
      </c>
      <c r="H2299" s="116"/>
      <c r="I2299" s="116"/>
      <c r="L2299" s="166">
        <v>45390</v>
      </c>
      <c r="M2299" s="116">
        <v>511.9</v>
      </c>
      <c r="N2299" s="116">
        <v>516.04999999999995</v>
      </c>
      <c r="O2299" s="116">
        <v>505.52499999999998</v>
      </c>
      <c r="P2299" s="116">
        <v>507.55</v>
      </c>
      <c r="Q2299" s="116">
        <v>1023.8</v>
      </c>
      <c r="R2299">
        <v>173715</v>
      </c>
    </row>
    <row r="2300" spans="1:18" x14ac:dyDescent="0.25">
      <c r="A2300" s="166">
        <v>45391</v>
      </c>
      <c r="B2300" s="116">
        <v>515.5</v>
      </c>
      <c r="C2300" s="116">
        <v>501.65</v>
      </c>
      <c r="D2300" s="116">
        <v>497.07499999999999</v>
      </c>
      <c r="E2300" s="116">
        <v>512.97500000000002</v>
      </c>
      <c r="F2300" s="116">
        <v>1003.3</v>
      </c>
      <c r="G2300">
        <v>17420</v>
      </c>
      <c r="H2300" s="116"/>
      <c r="I2300" s="116"/>
      <c r="L2300" s="166">
        <v>45391</v>
      </c>
      <c r="M2300" s="116">
        <v>500.65</v>
      </c>
      <c r="N2300" s="116">
        <v>516</v>
      </c>
      <c r="O2300" s="116">
        <v>497.5</v>
      </c>
      <c r="P2300" s="116">
        <v>513.97500000000002</v>
      </c>
      <c r="Q2300" s="116">
        <v>1001.3</v>
      </c>
      <c r="R2300">
        <v>152772</v>
      </c>
    </row>
    <row r="2301" spans="1:18" x14ac:dyDescent="0.25">
      <c r="A2301" s="166">
        <v>45392</v>
      </c>
      <c r="B2301" s="116">
        <v>509</v>
      </c>
      <c r="C2301" s="116">
        <v>499.52499999999998</v>
      </c>
      <c r="D2301" s="116">
        <v>493.55</v>
      </c>
      <c r="E2301" s="116">
        <v>499.77499999999998</v>
      </c>
      <c r="F2301" s="116">
        <v>999.05</v>
      </c>
      <c r="G2301">
        <v>12505</v>
      </c>
      <c r="H2301" s="116"/>
      <c r="I2301" s="116"/>
      <c r="L2301" s="166">
        <v>45392</v>
      </c>
      <c r="M2301" s="116">
        <v>499.47500000000002</v>
      </c>
      <c r="N2301" s="116">
        <v>509.6</v>
      </c>
      <c r="O2301" s="116">
        <v>494.32499999999999</v>
      </c>
      <c r="P2301" s="116">
        <v>502.75</v>
      </c>
      <c r="Q2301" s="116">
        <v>998.95</v>
      </c>
      <c r="R2301">
        <v>72050</v>
      </c>
    </row>
    <row r="2302" spans="1:18" x14ac:dyDescent="0.25">
      <c r="A2302" s="166">
        <v>45394</v>
      </c>
      <c r="B2302" s="116">
        <v>500.77499999999998</v>
      </c>
      <c r="C2302" s="116">
        <v>485.82499999999999</v>
      </c>
      <c r="D2302" s="116">
        <v>483.17500000000001</v>
      </c>
      <c r="E2302" s="116">
        <v>500.77499999999998</v>
      </c>
      <c r="F2302" s="116">
        <v>971.65</v>
      </c>
      <c r="G2302">
        <v>24815</v>
      </c>
      <c r="H2302" s="116"/>
      <c r="I2302" s="116"/>
      <c r="L2302" s="166">
        <v>45394</v>
      </c>
      <c r="M2302" s="116">
        <v>486</v>
      </c>
      <c r="N2302" s="116">
        <v>504.05</v>
      </c>
      <c r="O2302" s="116">
        <v>485</v>
      </c>
      <c r="P2302" s="116">
        <v>502.17500000000001</v>
      </c>
      <c r="Q2302" s="116">
        <v>972</v>
      </c>
      <c r="R2302">
        <v>146174</v>
      </c>
    </row>
    <row r="2303" spans="1:18" x14ac:dyDescent="0.25">
      <c r="A2303" s="166">
        <v>45397</v>
      </c>
      <c r="B2303" s="116">
        <v>510</v>
      </c>
      <c r="C2303" s="116">
        <v>493.625</v>
      </c>
      <c r="D2303" s="116">
        <v>452.02499999999998</v>
      </c>
      <c r="E2303" s="116">
        <v>452.02499999999998</v>
      </c>
      <c r="F2303" s="116">
        <v>987.25</v>
      </c>
      <c r="G2303">
        <v>21257</v>
      </c>
      <c r="H2303" s="116"/>
      <c r="I2303" s="116"/>
      <c r="L2303" s="166">
        <v>45397</v>
      </c>
      <c r="M2303" s="116">
        <v>494.125</v>
      </c>
      <c r="N2303" s="116">
        <v>511.5</v>
      </c>
      <c r="O2303" s="116">
        <v>484</v>
      </c>
      <c r="P2303" s="116">
        <v>487.95</v>
      </c>
      <c r="Q2303" s="116">
        <v>988.25</v>
      </c>
      <c r="R2303">
        <v>325295</v>
      </c>
    </row>
    <row r="2304" spans="1:18" x14ac:dyDescent="0.25">
      <c r="A2304" s="166">
        <v>45398</v>
      </c>
      <c r="B2304" s="116">
        <v>510.65</v>
      </c>
      <c r="C2304" s="116">
        <v>508.22500000000002</v>
      </c>
      <c r="D2304" s="116">
        <v>494.125</v>
      </c>
      <c r="E2304" s="116">
        <v>494.625</v>
      </c>
      <c r="F2304" s="116">
        <v>1016.45</v>
      </c>
      <c r="G2304">
        <v>9057</v>
      </c>
      <c r="H2304" s="116"/>
      <c r="I2304" s="116"/>
      <c r="L2304" s="166">
        <v>45398</v>
      </c>
      <c r="M2304" s="116">
        <v>507.2</v>
      </c>
      <c r="N2304" s="116">
        <v>510.97500000000002</v>
      </c>
      <c r="O2304" s="116">
        <v>494.125</v>
      </c>
      <c r="P2304" s="116">
        <v>494.125</v>
      </c>
      <c r="Q2304" s="116">
        <v>1014.4</v>
      </c>
      <c r="R2304">
        <v>208098</v>
      </c>
    </row>
    <row r="2305" spans="1:18" x14ac:dyDescent="0.25">
      <c r="A2305" s="166">
        <v>45400</v>
      </c>
      <c r="B2305" s="116">
        <v>535</v>
      </c>
      <c r="C2305" s="116">
        <v>530.82500000000005</v>
      </c>
      <c r="D2305" s="116">
        <v>509.97500000000002</v>
      </c>
      <c r="E2305" s="116">
        <v>509.97500000000002</v>
      </c>
      <c r="F2305" s="116">
        <v>1061.6500000000001</v>
      </c>
      <c r="G2305">
        <v>93924</v>
      </c>
      <c r="H2305" s="116"/>
      <c r="I2305" s="116"/>
      <c r="L2305" s="166">
        <v>45400</v>
      </c>
      <c r="M2305" s="116">
        <v>530.5</v>
      </c>
      <c r="N2305" s="116">
        <v>535</v>
      </c>
      <c r="O2305" s="116">
        <v>512.5</v>
      </c>
      <c r="P2305" s="116">
        <v>513.85</v>
      </c>
      <c r="Q2305" s="116">
        <v>1061</v>
      </c>
      <c r="R2305">
        <v>475344</v>
      </c>
    </row>
    <row r="2306" spans="1:18" x14ac:dyDescent="0.25">
      <c r="A2306" s="166">
        <v>45401</v>
      </c>
      <c r="B2306" s="116">
        <v>598.77499999999998</v>
      </c>
      <c r="C2306" s="116">
        <v>583.29999999999995</v>
      </c>
      <c r="D2306" s="116">
        <v>514.97500000000002</v>
      </c>
      <c r="E2306" s="116">
        <v>520.42499999999995</v>
      </c>
      <c r="F2306" s="116">
        <v>1166.5999999999999</v>
      </c>
      <c r="G2306">
        <v>235729</v>
      </c>
      <c r="H2306" s="116"/>
      <c r="I2306" s="116"/>
      <c r="L2306" s="166">
        <v>45401</v>
      </c>
      <c r="M2306" s="116">
        <v>583.125</v>
      </c>
      <c r="N2306" s="116">
        <v>598.97500000000002</v>
      </c>
      <c r="O2306" s="116">
        <v>515</v>
      </c>
      <c r="P2306" s="116">
        <v>524</v>
      </c>
      <c r="Q2306" s="116">
        <v>1166.25</v>
      </c>
      <c r="R2306">
        <v>2661426</v>
      </c>
    </row>
    <row r="2307" spans="1:18" x14ac:dyDescent="0.25">
      <c r="A2307" s="166">
        <v>45404</v>
      </c>
      <c r="B2307" s="116">
        <v>622.47500000000002</v>
      </c>
      <c r="C2307" s="116">
        <v>577.47500000000002</v>
      </c>
      <c r="D2307" s="116">
        <v>570.5</v>
      </c>
      <c r="E2307" s="116">
        <v>622.47500000000002</v>
      </c>
      <c r="F2307" s="116">
        <v>1154.95</v>
      </c>
      <c r="G2307">
        <v>113293</v>
      </c>
      <c r="H2307" s="116"/>
      <c r="I2307" s="116"/>
      <c r="L2307" s="166">
        <v>45404</v>
      </c>
      <c r="M2307" s="116">
        <v>577.85</v>
      </c>
      <c r="N2307" s="116">
        <v>622.5</v>
      </c>
      <c r="O2307" s="116">
        <v>570.54999999999995</v>
      </c>
      <c r="P2307" s="116">
        <v>617.5</v>
      </c>
      <c r="Q2307" s="116">
        <v>1155.7</v>
      </c>
      <c r="R2307">
        <v>1329578</v>
      </c>
    </row>
    <row r="2308" spans="1:18" x14ac:dyDescent="0.25">
      <c r="A2308" s="166">
        <v>45405</v>
      </c>
      <c r="B2308" s="116">
        <v>590</v>
      </c>
      <c r="C2308" s="116">
        <v>563.04999999999995</v>
      </c>
      <c r="D2308" s="116">
        <v>557.1</v>
      </c>
      <c r="E2308" s="116">
        <v>589.72500000000002</v>
      </c>
      <c r="F2308" s="116">
        <v>1126.0999999999999</v>
      </c>
      <c r="G2308">
        <v>30147</v>
      </c>
      <c r="H2308" s="116"/>
      <c r="I2308" s="116"/>
      <c r="L2308" s="166">
        <v>45405</v>
      </c>
      <c r="M2308" s="116">
        <v>563.22500000000002</v>
      </c>
      <c r="N2308" s="116">
        <v>589</v>
      </c>
      <c r="O2308" s="116">
        <v>556.67499999999995</v>
      </c>
      <c r="P2308" s="116">
        <v>588.85</v>
      </c>
      <c r="Q2308" s="116">
        <v>1126.45</v>
      </c>
      <c r="R2308">
        <v>506258</v>
      </c>
    </row>
    <row r="2309" spans="1:18" x14ac:dyDescent="0.25">
      <c r="A2309" s="166">
        <v>45406</v>
      </c>
      <c r="B2309" s="116">
        <v>585.25</v>
      </c>
      <c r="C2309" s="116">
        <v>574.75</v>
      </c>
      <c r="D2309" s="116">
        <v>565.47500000000002</v>
      </c>
      <c r="E2309" s="116">
        <v>565.47500000000002</v>
      </c>
      <c r="F2309" s="116">
        <v>1149.5</v>
      </c>
      <c r="G2309">
        <v>23768</v>
      </c>
      <c r="H2309" s="116"/>
      <c r="I2309" s="116"/>
      <c r="L2309" s="166">
        <v>45406</v>
      </c>
      <c r="M2309" s="116">
        <v>574.25</v>
      </c>
      <c r="N2309" s="116">
        <v>585</v>
      </c>
      <c r="O2309" s="116">
        <v>566</v>
      </c>
      <c r="P2309" s="116">
        <v>568.5</v>
      </c>
      <c r="Q2309" s="116">
        <v>1148.5</v>
      </c>
      <c r="R2309">
        <v>374331</v>
      </c>
    </row>
    <row r="2310" spans="1:18" x14ac:dyDescent="0.25">
      <c r="A2310" s="166">
        <v>45407</v>
      </c>
      <c r="B2310" s="116">
        <v>582.5</v>
      </c>
      <c r="C2310" s="116">
        <v>570.9</v>
      </c>
      <c r="D2310" s="116">
        <v>564.92499999999995</v>
      </c>
      <c r="E2310" s="116">
        <v>579.70000000000005</v>
      </c>
      <c r="F2310" s="116">
        <v>1141.8</v>
      </c>
      <c r="G2310">
        <v>41260</v>
      </c>
      <c r="H2310" s="116"/>
      <c r="I2310" s="116"/>
      <c r="L2310" s="166">
        <v>45407</v>
      </c>
      <c r="M2310" s="116">
        <v>571</v>
      </c>
      <c r="N2310" s="116">
        <v>579.75</v>
      </c>
      <c r="O2310" s="116">
        <v>565.02499999999998</v>
      </c>
      <c r="P2310" s="116">
        <v>574.95000000000005</v>
      </c>
      <c r="Q2310" s="116">
        <v>1142</v>
      </c>
      <c r="R2310">
        <v>212326</v>
      </c>
    </row>
    <row r="2311" spans="1:18" x14ac:dyDescent="0.25">
      <c r="A2311" s="166">
        <v>45408</v>
      </c>
      <c r="B2311" s="116">
        <v>580.72500000000002</v>
      </c>
      <c r="C2311" s="116">
        <v>564.25</v>
      </c>
      <c r="D2311" s="116">
        <v>560</v>
      </c>
      <c r="E2311" s="116">
        <v>580.72500000000002</v>
      </c>
      <c r="F2311" s="116">
        <v>1128.5</v>
      </c>
      <c r="G2311">
        <v>9660</v>
      </c>
      <c r="H2311" s="116"/>
      <c r="I2311" s="116"/>
      <c r="L2311" s="166">
        <v>45408</v>
      </c>
      <c r="M2311" s="116">
        <v>563.1</v>
      </c>
      <c r="N2311" s="116">
        <v>572.72500000000002</v>
      </c>
      <c r="O2311" s="116">
        <v>560</v>
      </c>
      <c r="P2311" s="116">
        <v>565.5</v>
      </c>
      <c r="Q2311" s="116">
        <v>1126.2</v>
      </c>
      <c r="R2311">
        <v>184590</v>
      </c>
    </row>
    <row r="2312" spans="1:18" x14ac:dyDescent="0.25">
      <c r="A2312" s="166">
        <v>45411</v>
      </c>
      <c r="B2312" s="116">
        <v>589.4</v>
      </c>
      <c r="C2312" s="116">
        <v>580.65</v>
      </c>
      <c r="D2312" s="116">
        <v>561.1</v>
      </c>
      <c r="E2312" s="116">
        <v>561.1</v>
      </c>
      <c r="F2312" s="116">
        <v>1161.3</v>
      </c>
      <c r="G2312">
        <v>46422</v>
      </c>
      <c r="H2312" s="116"/>
      <c r="I2312" s="116"/>
      <c r="L2312" s="166">
        <v>45411</v>
      </c>
      <c r="M2312" s="116">
        <v>579.375</v>
      </c>
      <c r="N2312" s="116">
        <v>589.5</v>
      </c>
      <c r="O2312" s="116">
        <v>560.72500000000002</v>
      </c>
      <c r="P2312" s="116">
        <v>564.45000000000005</v>
      </c>
      <c r="Q2312" s="116">
        <v>1158.75</v>
      </c>
      <c r="R2312">
        <v>240956</v>
      </c>
    </row>
    <row r="2313" spans="1:18" x14ac:dyDescent="0.25">
      <c r="A2313" s="166">
        <v>45412</v>
      </c>
      <c r="B2313" s="116">
        <v>582.85</v>
      </c>
      <c r="C2313" s="116">
        <v>566.72500000000002</v>
      </c>
      <c r="D2313" s="116">
        <v>562.4</v>
      </c>
      <c r="E2313" s="116">
        <v>580.6</v>
      </c>
      <c r="F2313" s="116">
        <v>1133.45</v>
      </c>
      <c r="G2313">
        <v>34386</v>
      </c>
      <c r="H2313" s="116"/>
      <c r="I2313" s="116"/>
      <c r="L2313" s="166">
        <v>45412</v>
      </c>
      <c r="M2313" s="116">
        <v>567.17499999999995</v>
      </c>
      <c r="N2313" s="116">
        <v>582.97500000000002</v>
      </c>
      <c r="O2313" s="116">
        <v>565</v>
      </c>
      <c r="P2313" s="116">
        <v>580</v>
      </c>
      <c r="Q2313" s="116">
        <v>1134.3499999999999</v>
      </c>
      <c r="R2313">
        <v>202062</v>
      </c>
    </row>
    <row r="2314" spans="1:18" x14ac:dyDescent="0.25">
      <c r="A2314" s="166">
        <v>45414</v>
      </c>
      <c r="B2314" s="116">
        <v>581.35</v>
      </c>
      <c r="C2314" s="116">
        <v>569</v>
      </c>
      <c r="D2314" s="116">
        <v>562.5</v>
      </c>
      <c r="E2314" s="116">
        <v>569.625</v>
      </c>
      <c r="F2314" s="116">
        <v>1138</v>
      </c>
      <c r="G2314">
        <v>6066</v>
      </c>
      <c r="H2314" s="116"/>
      <c r="I2314" s="116"/>
      <c r="L2314" s="166">
        <v>45414</v>
      </c>
      <c r="M2314" s="116">
        <v>569.45000000000005</v>
      </c>
      <c r="N2314" s="116">
        <v>581.54999999999995</v>
      </c>
      <c r="O2314" s="116">
        <v>561.67499999999995</v>
      </c>
      <c r="P2314" s="116">
        <v>569.02499999999998</v>
      </c>
      <c r="Q2314" s="116">
        <v>1138.9000000000001</v>
      </c>
      <c r="R2314">
        <v>209531</v>
      </c>
    </row>
    <row r="2315" spans="1:18" x14ac:dyDescent="0.25">
      <c r="A2315" s="166">
        <v>45415</v>
      </c>
      <c r="B2315" s="116">
        <v>573.25</v>
      </c>
      <c r="C2315" s="116">
        <v>550.79999999999995</v>
      </c>
      <c r="D2315" s="116">
        <v>542.54999999999995</v>
      </c>
      <c r="E2315" s="116">
        <v>570.04999999999995</v>
      </c>
      <c r="F2315" s="116">
        <v>1101.5999999999999</v>
      </c>
      <c r="G2315">
        <v>14379</v>
      </c>
      <c r="H2315" s="116"/>
      <c r="I2315" s="116"/>
      <c r="L2315" s="166">
        <v>45415</v>
      </c>
      <c r="M2315" s="116">
        <v>548.72500000000002</v>
      </c>
      <c r="N2315" s="116">
        <v>572.85</v>
      </c>
      <c r="O2315" s="116">
        <v>542.47500000000002</v>
      </c>
      <c r="P2315" s="116">
        <v>569.47500000000002</v>
      </c>
      <c r="Q2315" s="116">
        <v>1097.45</v>
      </c>
      <c r="R2315">
        <v>296732</v>
      </c>
    </row>
    <row r="2316" spans="1:18" x14ac:dyDescent="0.25">
      <c r="A2316" s="166">
        <v>45418</v>
      </c>
      <c r="B2316" s="116">
        <v>554.97500000000002</v>
      </c>
      <c r="C2316" s="116">
        <v>530.20000000000005</v>
      </c>
      <c r="D2316" s="116">
        <v>526.77499999999998</v>
      </c>
      <c r="E2316" s="116">
        <v>554.97500000000002</v>
      </c>
      <c r="F2316" s="116">
        <v>1060.4000000000001</v>
      </c>
      <c r="G2316">
        <v>44653</v>
      </c>
      <c r="H2316" s="116"/>
      <c r="I2316" s="116"/>
      <c r="L2316" s="166">
        <v>45418</v>
      </c>
      <c r="M2316" s="116">
        <v>529.82500000000005</v>
      </c>
      <c r="N2316" s="116">
        <v>554.1</v>
      </c>
      <c r="O2316" s="116">
        <v>526.27499999999998</v>
      </c>
      <c r="P2316" s="116">
        <v>550</v>
      </c>
      <c r="Q2316" s="116">
        <v>1059.6500000000001</v>
      </c>
      <c r="R2316">
        <v>261452</v>
      </c>
    </row>
    <row r="2317" spans="1:18" x14ac:dyDescent="0.25">
      <c r="A2317" s="166">
        <v>45419</v>
      </c>
      <c r="B2317" s="116">
        <v>531.72500000000002</v>
      </c>
      <c r="C2317" s="116">
        <v>520.625</v>
      </c>
      <c r="D2317" s="116">
        <v>512.70000000000005</v>
      </c>
      <c r="E2317" s="116">
        <v>530.20000000000005</v>
      </c>
      <c r="F2317" s="116">
        <v>1041.25</v>
      </c>
      <c r="G2317">
        <v>24234</v>
      </c>
      <c r="H2317" s="116"/>
      <c r="I2317" s="116"/>
      <c r="L2317" s="166">
        <v>45419</v>
      </c>
      <c r="M2317" s="116">
        <v>520.97500000000002</v>
      </c>
      <c r="N2317" s="116">
        <v>531.5</v>
      </c>
      <c r="O2317" s="116">
        <v>513.4</v>
      </c>
      <c r="P2317" s="116">
        <v>530</v>
      </c>
      <c r="Q2317" s="116">
        <v>1041.95</v>
      </c>
      <c r="R2317">
        <v>169511</v>
      </c>
    </row>
    <row r="2318" spans="1:18" x14ac:dyDescent="0.25">
      <c r="A2318" s="166">
        <v>45420</v>
      </c>
      <c r="B2318" s="116">
        <v>535.85</v>
      </c>
      <c r="C2318" s="116">
        <v>532.77499999999998</v>
      </c>
      <c r="D2318" s="116">
        <v>515.67499999999995</v>
      </c>
      <c r="E2318" s="116">
        <v>518.1</v>
      </c>
      <c r="F2318" s="116">
        <v>1065.55</v>
      </c>
      <c r="G2318">
        <v>8611</v>
      </c>
      <c r="H2318" s="116"/>
      <c r="I2318" s="116"/>
      <c r="L2318" s="166">
        <v>45420</v>
      </c>
      <c r="M2318" s="116">
        <v>533.07500000000005</v>
      </c>
      <c r="N2318" s="116">
        <v>535.5</v>
      </c>
      <c r="O2318" s="116">
        <v>514.52499999999998</v>
      </c>
      <c r="P2318" s="116">
        <v>521.17499999999995</v>
      </c>
      <c r="Q2318" s="116">
        <v>1066.1500000000001</v>
      </c>
      <c r="R2318">
        <v>148288</v>
      </c>
    </row>
    <row r="2319" spans="1:18" x14ac:dyDescent="0.25">
      <c r="A2319" s="166">
        <v>45421</v>
      </c>
      <c r="B2319" s="116">
        <v>543.75</v>
      </c>
      <c r="C2319" s="116">
        <v>504.42500000000001</v>
      </c>
      <c r="D2319" s="116">
        <v>500.5</v>
      </c>
      <c r="E2319" s="116">
        <v>543.75</v>
      </c>
      <c r="F2319" s="116">
        <v>1008.85</v>
      </c>
      <c r="G2319">
        <v>12277</v>
      </c>
      <c r="H2319" s="116"/>
      <c r="I2319" s="116"/>
      <c r="L2319" s="166">
        <v>45421</v>
      </c>
      <c r="M2319" s="116">
        <v>504.65</v>
      </c>
      <c r="N2319" s="116">
        <v>535.47500000000002</v>
      </c>
      <c r="O2319" s="116">
        <v>500.5</v>
      </c>
      <c r="P2319" s="116">
        <v>534.5</v>
      </c>
      <c r="Q2319" s="116">
        <v>1009.3</v>
      </c>
      <c r="R2319">
        <v>219917</v>
      </c>
    </row>
    <row r="2320" spans="1:18" x14ac:dyDescent="0.25">
      <c r="A2320" s="166">
        <v>45422</v>
      </c>
      <c r="B2320" s="116">
        <v>517.20000000000005</v>
      </c>
      <c r="C2320" s="116">
        <v>497.9</v>
      </c>
      <c r="D2320" s="116">
        <v>460.22500000000002</v>
      </c>
      <c r="E2320" s="116">
        <v>480.52499999999998</v>
      </c>
      <c r="F2320" s="116">
        <v>995.8</v>
      </c>
      <c r="G2320">
        <v>46194</v>
      </c>
      <c r="H2320" s="116"/>
      <c r="I2320" s="116"/>
      <c r="L2320" s="166">
        <v>45422</v>
      </c>
      <c r="M2320" s="116">
        <v>498.22500000000002</v>
      </c>
      <c r="N2320" s="116">
        <v>517.6</v>
      </c>
      <c r="O2320" s="116">
        <v>460.02499999999998</v>
      </c>
      <c r="P2320" s="116">
        <v>480.2</v>
      </c>
      <c r="Q2320" s="116">
        <v>996.45</v>
      </c>
      <c r="R2320">
        <v>947294</v>
      </c>
    </row>
    <row r="2321" spans="1:18" x14ac:dyDescent="0.25">
      <c r="A2321" s="166">
        <v>45425</v>
      </c>
      <c r="B2321" s="116">
        <v>506.2</v>
      </c>
      <c r="C2321" s="116">
        <v>503.75</v>
      </c>
      <c r="D2321" s="116">
        <v>481.07499999999999</v>
      </c>
      <c r="E2321" s="116">
        <v>499</v>
      </c>
      <c r="F2321" s="116">
        <v>1007.5</v>
      </c>
      <c r="G2321">
        <v>15867</v>
      </c>
      <c r="H2321" s="116"/>
      <c r="I2321" s="116"/>
      <c r="L2321" s="166">
        <v>45425</v>
      </c>
      <c r="M2321" s="116">
        <v>503.8</v>
      </c>
      <c r="N2321" s="116">
        <v>506.6</v>
      </c>
      <c r="O2321" s="116">
        <v>480.77499999999998</v>
      </c>
      <c r="P2321" s="116">
        <v>497.92500000000001</v>
      </c>
      <c r="Q2321" s="116">
        <v>1007.6</v>
      </c>
      <c r="R2321">
        <v>359816</v>
      </c>
    </row>
    <row r="2322" spans="1:18" x14ac:dyDescent="0.25">
      <c r="A2322" s="166">
        <v>45426</v>
      </c>
      <c r="B2322" s="116">
        <v>553</v>
      </c>
      <c r="C2322" s="116">
        <v>547.92499999999995</v>
      </c>
      <c r="D2322" s="116">
        <v>505</v>
      </c>
      <c r="E2322" s="116">
        <v>509.92500000000001</v>
      </c>
      <c r="F2322" s="116">
        <v>1095.8499999999999</v>
      </c>
      <c r="G2322">
        <v>32433</v>
      </c>
      <c r="H2322" s="116"/>
      <c r="I2322" s="116"/>
      <c r="L2322" s="166">
        <v>45426</v>
      </c>
      <c r="M2322" s="116">
        <v>547.4</v>
      </c>
      <c r="N2322" s="116">
        <v>552.875</v>
      </c>
      <c r="O2322" s="116">
        <v>504.45</v>
      </c>
      <c r="P2322" s="116">
        <v>504.5</v>
      </c>
      <c r="Q2322" s="116">
        <v>1094.8</v>
      </c>
      <c r="R2322">
        <v>610423</v>
      </c>
    </row>
    <row r="2323" spans="1:18" x14ac:dyDescent="0.25">
      <c r="A2323" s="166">
        <v>45427</v>
      </c>
      <c r="B2323" s="116">
        <v>556.35</v>
      </c>
      <c r="C2323" s="116">
        <v>548.20000000000005</v>
      </c>
      <c r="D2323" s="116">
        <v>539</v>
      </c>
      <c r="E2323" s="116">
        <v>554.97500000000002</v>
      </c>
      <c r="F2323" s="116">
        <v>1096.4000000000001</v>
      </c>
      <c r="G2323">
        <v>24483</v>
      </c>
      <c r="H2323" s="116"/>
      <c r="I2323" s="116"/>
      <c r="L2323" s="166">
        <v>45427</v>
      </c>
      <c r="M2323" s="116">
        <v>548.875</v>
      </c>
      <c r="N2323" s="116">
        <v>556.32500000000005</v>
      </c>
      <c r="O2323" s="116">
        <v>535.54999999999995</v>
      </c>
      <c r="P2323" s="116">
        <v>555</v>
      </c>
      <c r="Q2323" s="116">
        <v>1097.75</v>
      </c>
      <c r="R2323">
        <v>228174</v>
      </c>
    </row>
    <row r="2324" spans="1:18" x14ac:dyDescent="0.25">
      <c r="A2324" s="166">
        <v>45428</v>
      </c>
      <c r="B2324" s="116">
        <v>574.72500000000002</v>
      </c>
      <c r="C2324" s="116">
        <v>572.57500000000005</v>
      </c>
      <c r="D2324" s="116">
        <v>548.20000000000005</v>
      </c>
      <c r="E2324" s="116">
        <v>549.97500000000002</v>
      </c>
      <c r="F2324" s="116">
        <v>1145.1500000000001</v>
      </c>
      <c r="G2324">
        <v>26215</v>
      </c>
      <c r="H2324" s="116"/>
      <c r="I2324" s="116"/>
      <c r="L2324" s="166">
        <v>45428</v>
      </c>
      <c r="M2324" s="116">
        <v>572.27499999999998</v>
      </c>
      <c r="N2324" s="116">
        <v>574.875</v>
      </c>
      <c r="O2324" s="116">
        <v>548.6</v>
      </c>
      <c r="P2324" s="116">
        <v>548.75</v>
      </c>
      <c r="Q2324" s="116">
        <v>1144.55</v>
      </c>
      <c r="R2324">
        <v>523367</v>
      </c>
    </row>
    <row r="2325" spans="1:18" x14ac:dyDescent="0.25">
      <c r="A2325" s="166">
        <v>45429</v>
      </c>
      <c r="B2325" s="116">
        <v>582.47500000000002</v>
      </c>
      <c r="C2325" s="116">
        <v>572.1</v>
      </c>
      <c r="D2325" s="116">
        <v>566.77499999999998</v>
      </c>
      <c r="E2325" s="116">
        <v>572.52499999999998</v>
      </c>
      <c r="F2325" s="116">
        <v>1144.2</v>
      </c>
      <c r="G2325">
        <v>35923</v>
      </c>
      <c r="H2325" s="116"/>
      <c r="I2325" s="116"/>
      <c r="L2325" s="166">
        <v>45429</v>
      </c>
      <c r="M2325" s="116">
        <v>571.54999999999995</v>
      </c>
      <c r="N2325" s="116">
        <v>583.54999999999995</v>
      </c>
      <c r="O2325" s="116">
        <v>565.25</v>
      </c>
      <c r="P2325" s="116">
        <v>571.95000000000005</v>
      </c>
      <c r="Q2325" s="116">
        <v>1143.0999999999999</v>
      </c>
      <c r="R2325">
        <v>336947</v>
      </c>
    </row>
    <row r="2326" spans="1:18" x14ac:dyDescent="0.25">
      <c r="A2326" s="166">
        <v>45430</v>
      </c>
      <c r="B2326" s="116">
        <v>577.47500000000002</v>
      </c>
      <c r="C2326" s="116">
        <v>571.82500000000005</v>
      </c>
      <c r="D2326" s="116">
        <v>565.57500000000005</v>
      </c>
      <c r="E2326" s="116">
        <v>577.47500000000002</v>
      </c>
      <c r="F2326" s="116">
        <v>1143.6500000000001</v>
      </c>
      <c r="G2326">
        <v>7346</v>
      </c>
      <c r="H2326" s="116"/>
      <c r="I2326" s="116"/>
      <c r="L2326" s="166">
        <v>45430</v>
      </c>
      <c r="M2326" s="116">
        <v>572.35</v>
      </c>
      <c r="N2326" s="116">
        <v>577.25</v>
      </c>
      <c r="O2326" s="116">
        <v>566.02499999999998</v>
      </c>
      <c r="P2326" s="116">
        <v>573.5</v>
      </c>
      <c r="Q2326" s="116">
        <v>1144.7</v>
      </c>
      <c r="R2326">
        <v>24385</v>
      </c>
    </row>
    <row r="2327" spans="1:18" x14ac:dyDescent="0.25">
      <c r="A2327" s="166">
        <v>45433</v>
      </c>
      <c r="B2327" s="116">
        <v>580</v>
      </c>
      <c r="C2327" s="116">
        <v>570.85</v>
      </c>
      <c r="D2327" s="116">
        <v>568.5</v>
      </c>
      <c r="E2327" s="116">
        <v>572.5</v>
      </c>
      <c r="F2327" s="116">
        <v>1141.7</v>
      </c>
      <c r="G2327">
        <v>10696</v>
      </c>
      <c r="H2327" s="116"/>
      <c r="I2327" s="116"/>
      <c r="L2327" s="166">
        <v>45433</v>
      </c>
      <c r="M2327" s="116">
        <v>570.72500000000002</v>
      </c>
      <c r="N2327" s="116">
        <v>581.625</v>
      </c>
      <c r="O2327" s="116">
        <v>568.32500000000005</v>
      </c>
      <c r="P2327" s="116">
        <v>577.85</v>
      </c>
      <c r="Q2327" s="116">
        <v>1141.45</v>
      </c>
      <c r="R2327">
        <v>254152</v>
      </c>
    </row>
    <row r="2328" spans="1:18" x14ac:dyDescent="0.25">
      <c r="A2328" s="166">
        <v>45434</v>
      </c>
      <c r="B2328" s="116">
        <v>584</v>
      </c>
      <c r="C2328" s="116">
        <v>571.22500000000002</v>
      </c>
      <c r="D2328" s="116">
        <v>566.04999999999995</v>
      </c>
      <c r="E2328" s="116">
        <v>570</v>
      </c>
      <c r="F2328" s="116">
        <v>1142.45</v>
      </c>
      <c r="G2328">
        <v>21700</v>
      </c>
      <c r="H2328" s="116"/>
      <c r="I2328" s="116"/>
      <c r="L2328" s="166">
        <v>45434</v>
      </c>
      <c r="M2328" s="116">
        <v>572.02499999999998</v>
      </c>
      <c r="N2328" s="116">
        <v>583.45000000000005</v>
      </c>
      <c r="O2328" s="116">
        <v>568</v>
      </c>
      <c r="P2328" s="116">
        <v>570.97500000000002</v>
      </c>
      <c r="Q2328" s="116">
        <v>1144.05</v>
      </c>
      <c r="R2328">
        <v>374187</v>
      </c>
    </row>
    <row r="2329" spans="1:18" x14ac:dyDescent="0.25">
      <c r="A2329" s="166">
        <v>45435</v>
      </c>
      <c r="B2329" s="116">
        <v>577.02499999999998</v>
      </c>
      <c r="C2329" s="116">
        <v>569.52499999999998</v>
      </c>
      <c r="D2329" s="116">
        <v>566.25</v>
      </c>
      <c r="E2329" s="116">
        <v>571.5</v>
      </c>
      <c r="F2329" s="116">
        <v>1139.05</v>
      </c>
      <c r="G2329">
        <v>8995</v>
      </c>
      <c r="H2329" s="116"/>
      <c r="I2329" s="116"/>
      <c r="L2329" s="166">
        <v>45435</v>
      </c>
      <c r="M2329" s="116">
        <v>571.22500000000002</v>
      </c>
      <c r="N2329" s="116">
        <v>577.5</v>
      </c>
      <c r="O2329" s="116">
        <v>566.5</v>
      </c>
      <c r="P2329" s="116">
        <v>572.02499999999998</v>
      </c>
      <c r="Q2329" s="116">
        <v>1142.45</v>
      </c>
      <c r="R2329">
        <v>234396</v>
      </c>
    </row>
    <row r="2330" spans="1:18" x14ac:dyDescent="0.25">
      <c r="A2330" s="166">
        <v>45436</v>
      </c>
      <c r="B2330" s="116">
        <v>579.97500000000002</v>
      </c>
      <c r="C2330" s="116">
        <v>572.72500000000002</v>
      </c>
      <c r="D2330" s="116">
        <v>563.75</v>
      </c>
      <c r="E2330" s="116">
        <v>579.97500000000002</v>
      </c>
      <c r="F2330" s="116">
        <v>1145.45</v>
      </c>
      <c r="G2330">
        <v>5283</v>
      </c>
      <c r="H2330" s="116"/>
      <c r="I2330" s="116"/>
      <c r="L2330" s="166">
        <v>45436</v>
      </c>
      <c r="M2330" s="116">
        <v>572.95000000000005</v>
      </c>
      <c r="N2330" s="116">
        <v>579.25</v>
      </c>
      <c r="O2330" s="116">
        <v>563.02499999999998</v>
      </c>
      <c r="P2330" s="116">
        <v>569.5</v>
      </c>
      <c r="Q2330" s="116">
        <v>1145.9000000000001</v>
      </c>
      <c r="R2330">
        <v>170652</v>
      </c>
    </row>
    <row r="2331" spans="1:18" x14ac:dyDescent="0.25">
      <c r="A2331" s="166">
        <v>45439</v>
      </c>
      <c r="B2331" s="116">
        <v>594.6</v>
      </c>
      <c r="C2331" s="116">
        <v>581.29999999999995</v>
      </c>
      <c r="D2331" s="116">
        <v>561.27499999999998</v>
      </c>
      <c r="E2331" s="116">
        <v>561.27499999999998</v>
      </c>
      <c r="F2331" s="116">
        <v>1162.5999999999999</v>
      </c>
      <c r="G2331">
        <v>17652</v>
      </c>
      <c r="H2331" s="116"/>
      <c r="I2331" s="116"/>
      <c r="L2331" s="166">
        <v>45439</v>
      </c>
      <c r="M2331" s="116">
        <v>581.79999999999995</v>
      </c>
      <c r="N2331" s="116">
        <v>594.29999999999995</v>
      </c>
      <c r="O2331" s="116">
        <v>573.04999999999995</v>
      </c>
      <c r="P2331" s="116">
        <v>575</v>
      </c>
      <c r="Q2331" s="116">
        <v>1163.5999999999999</v>
      </c>
      <c r="R2331">
        <v>421338</v>
      </c>
    </row>
    <row r="2332" spans="1:18" x14ac:dyDescent="0.25">
      <c r="A2332" s="166">
        <v>45440</v>
      </c>
      <c r="B2332" s="116">
        <v>589.4</v>
      </c>
      <c r="C2332" s="116">
        <v>568.92499999999995</v>
      </c>
      <c r="D2332" s="116">
        <v>558.6</v>
      </c>
      <c r="E2332" s="116">
        <v>558.6</v>
      </c>
      <c r="F2332" s="116">
        <v>1137.8499999999999</v>
      </c>
      <c r="G2332">
        <v>11342</v>
      </c>
      <c r="H2332" s="116"/>
      <c r="I2332" s="116"/>
      <c r="L2332" s="166">
        <v>45440</v>
      </c>
      <c r="M2332" s="116">
        <v>569.72500000000002</v>
      </c>
      <c r="N2332" s="116">
        <v>590</v>
      </c>
      <c r="O2332" s="116">
        <v>564.97500000000002</v>
      </c>
      <c r="P2332" s="116">
        <v>585</v>
      </c>
      <c r="Q2332" s="116">
        <v>1139.45</v>
      </c>
      <c r="R2332">
        <v>239158</v>
      </c>
    </row>
    <row r="2333" spans="1:18" x14ac:dyDescent="0.25">
      <c r="A2333" s="166">
        <v>45441</v>
      </c>
      <c r="B2333" s="116">
        <v>574.15</v>
      </c>
      <c r="C2333" s="116">
        <v>556.22500000000002</v>
      </c>
      <c r="D2333" s="116">
        <v>553.92499999999995</v>
      </c>
      <c r="E2333" s="116">
        <v>568.97500000000002</v>
      </c>
      <c r="F2333" s="116">
        <v>1112.45</v>
      </c>
      <c r="G2333">
        <v>7124</v>
      </c>
      <c r="H2333" s="116"/>
      <c r="I2333" s="116"/>
      <c r="L2333" s="166">
        <v>45441</v>
      </c>
      <c r="M2333" s="116">
        <v>555.79999999999995</v>
      </c>
      <c r="N2333" s="116">
        <v>574.6</v>
      </c>
      <c r="O2333" s="116">
        <v>553.79999999999995</v>
      </c>
      <c r="P2333" s="116">
        <v>565</v>
      </c>
      <c r="Q2333" s="116">
        <v>1111.5999999999999</v>
      </c>
      <c r="R2333">
        <v>112904</v>
      </c>
    </row>
    <row r="2334" spans="1:18" x14ac:dyDescent="0.25">
      <c r="A2334" s="166">
        <v>45442</v>
      </c>
      <c r="B2334" s="116">
        <v>565</v>
      </c>
      <c r="C2334" s="116">
        <v>548.35</v>
      </c>
      <c r="D2334" s="116">
        <v>543.5</v>
      </c>
      <c r="E2334" s="116">
        <v>556.22500000000002</v>
      </c>
      <c r="F2334" s="116">
        <v>1096.7</v>
      </c>
      <c r="G2334">
        <v>16814</v>
      </c>
      <c r="H2334" s="116"/>
      <c r="I2334" s="116"/>
      <c r="L2334" s="166">
        <v>45442</v>
      </c>
      <c r="M2334" s="116">
        <v>547.47500000000002</v>
      </c>
      <c r="N2334" s="116">
        <v>566.75</v>
      </c>
      <c r="O2334" s="116">
        <v>542.54999999999995</v>
      </c>
      <c r="P2334" s="116">
        <v>555.02499999999998</v>
      </c>
      <c r="Q2334" s="116">
        <v>1094.95</v>
      </c>
      <c r="R2334">
        <v>166968</v>
      </c>
    </row>
    <row r="2335" spans="1:18" x14ac:dyDescent="0.25">
      <c r="A2335" s="166">
        <v>45443</v>
      </c>
      <c r="B2335" s="116">
        <v>558.75</v>
      </c>
      <c r="C2335" s="116">
        <v>554.375</v>
      </c>
      <c r="D2335" s="116">
        <v>537.57500000000005</v>
      </c>
      <c r="E2335" s="116">
        <v>548.375</v>
      </c>
      <c r="F2335" s="116">
        <v>1108.75</v>
      </c>
      <c r="G2335">
        <v>28247</v>
      </c>
      <c r="H2335" s="116"/>
      <c r="I2335" s="116"/>
      <c r="L2335" s="166">
        <v>45443</v>
      </c>
      <c r="M2335" s="116">
        <v>554.54999999999995</v>
      </c>
      <c r="N2335" s="116">
        <v>559</v>
      </c>
      <c r="O2335" s="116">
        <v>537.82500000000005</v>
      </c>
      <c r="P2335" s="116">
        <v>549.5</v>
      </c>
      <c r="Q2335" s="116">
        <v>1109.0999999999999</v>
      </c>
      <c r="R2335">
        <v>223953</v>
      </c>
    </row>
    <row r="2336" spans="1:18" x14ac:dyDescent="0.25">
      <c r="A2336" s="166">
        <v>45446</v>
      </c>
      <c r="B2336" s="116">
        <v>586.54999999999995</v>
      </c>
      <c r="C2336" s="116">
        <v>575.47500000000002</v>
      </c>
      <c r="D2336" s="116">
        <v>564.97500000000002</v>
      </c>
      <c r="E2336" s="116">
        <v>583.02499999999998</v>
      </c>
      <c r="F2336" s="116">
        <v>1150.95</v>
      </c>
      <c r="G2336">
        <v>9997</v>
      </c>
      <c r="H2336" s="116"/>
      <c r="I2336" s="116"/>
      <c r="L2336" s="166">
        <v>45446</v>
      </c>
      <c r="M2336" s="116">
        <v>575.22500000000002</v>
      </c>
      <c r="N2336" s="116">
        <v>590</v>
      </c>
      <c r="O2336" s="116">
        <v>564.20000000000005</v>
      </c>
      <c r="P2336" s="116">
        <v>590</v>
      </c>
      <c r="Q2336" s="116">
        <v>1150.45</v>
      </c>
      <c r="R2336">
        <v>399593</v>
      </c>
    </row>
    <row r="2337" spans="1:18" x14ac:dyDescent="0.25">
      <c r="A2337" s="166">
        <v>45447</v>
      </c>
      <c r="B2337" s="116">
        <v>580</v>
      </c>
      <c r="C2337" s="116">
        <v>513.45000000000005</v>
      </c>
      <c r="D2337" s="116">
        <v>478.7</v>
      </c>
      <c r="E2337" s="116">
        <v>580</v>
      </c>
      <c r="F2337" s="116">
        <v>1026.9000000000001</v>
      </c>
      <c r="G2337">
        <v>76217</v>
      </c>
      <c r="H2337" s="116"/>
      <c r="I2337" s="116"/>
      <c r="L2337" s="166">
        <v>45447</v>
      </c>
      <c r="M2337" s="116">
        <v>515.17499999999995</v>
      </c>
      <c r="N2337" s="116">
        <v>570</v>
      </c>
      <c r="O2337" s="116">
        <v>477</v>
      </c>
      <c r="P2337" s="116">
        <v>570</v>
      </c>
      <c r="Q2337" s="116">
        <v>1030.3499999999999</v>
      </c>
      <c r="R2337">
        <v>448578</v>
      </c>
    </row>
    <row r="2338" spans="1:18" x14ac:dyDescent="0.25">
      <c r="A2338" s="166">
        <v>45448</v>
      </c>
      <c r="B2338" s="116">
        <v>532.79999999999995</v>
      </c>
      <c r="C2338" s="116">
        <v>502.65</v>
      </c>
      <c r="D2338" s="116">
        <v>487.6</v>
      </c>
      <c r="E2338" s="116">
        <v>523.72500000000002</v>
      </c>
      <c r="F2338" s="116">
        <v>1005.3</v>
      </c>
      <c r="G2338">
        <v>21773</v>
      </c>
      <c r="H2338" s="116"/>
      <c r="I2338" s="116"/>
      <c r="L2338" s="166">
        <v>45448</v>
      </c>
      <c r="M2338" s="116">
        <v>501.95</v>
      </c>
      <c r="N2338" s="116">
        <v>533.22500000000002</v>
      </c>
      <c r="O2338" s="116">
        <v>487.15</v>
      </c>
      <c r="P2338" s="116">
        <v>516</v>
      </c>
      <c r="Q2338" s="116">
        <v>1003.9</v>
      </c>
      <c r="R2338">
        <v>545774</v>
      </c>
    </row>
    <row r="2339" spans="1:18" x14ac:dyDescent="0.25">
      <c r="A2339" s="166">
        <v>45449</v>
      </c>
      <c r="B2339" s="116">
        <v>534.32500000000005</v>
      </c>
      <c r="C2339" s="116">
        <v>522.77499999999998</v>
      </c>
      <c r="D2339" s="116">
        <v>510.77499999999998</v>
      </c>
      <c r="E2339" s="116">
        <v>515</v>
      </c>
      <c r="F2339" s="116">
        <v>1045.55</v>
      </c>
      <c r="G2339">
        <v>25986</v>
      </c>
      <c r="H2339" s="116"/>
      <c r="I2339" s="116"/>
      <c r="L2339" s="166">
        <v>45449</v>
      </c>
      <c r="M2339" s="116">
        <v>523.125</v>
      </c>
      <c r="N2339" s="116">
        <v>534.1</v>
      </c>
      <c r="O2339" s="116">
        <v>509.7</v>
      </c>
      <c r="P2339" s="116">
        <v>509.7</v>
      </c>
      <c r="Q2339" s="116">
        <v>1046.25</v>
      </c>
      <c r="R2339">
        <v>306367</v>
      </c>
    </row>
    <row r="2340" spans="1:18" x14ac:dyDescent="0.25">
      <c r="A2340" s="166">
        <v>45450</v>
      </c>
      <c r="B2340" s="116">
        <v>559</v>
      </c>
      <c r="C2340" s="116">
        <v>551.54999999999995</v>
      </c>
      <c r="D2340" s="116">
        <v>526.29999999999995</v>
      </c>
      <c r="E2340" s="116">
        <v>531.57500000000005</v>
      </c>
      <c r="F2340" s="116">
        <v>1103.0999999999999</v>
      </c>
      <c r="G2340">
        <v>13362</v>
      </c>
      <c r="H2340" s="116"/>
      <c r="I2340" s="116"/>
      <c r="L2340" s="166">
        <v>45450</v>
      </c>
      <c r="M2340" s="116">
        <v>551.77499999999998</v>
      </c>
      <c r="N2340" s="116">
        <v>560</v>
      </c>
      <c r="O2340" s="116">
        <v>525.02499999999998</v>
      </c>
      <c r="P2340" s="116">
        <v>525.02499999999998</v>
      </c>
      <c r="Q2340" s="116">
        <v>1103.55</v>
      </c>
      <c r="R2340">
        <v>256049</v>
      </c>
    </row>
    <row r="2341" spans="1:18" x14ac:dyDescent="0.25">
      <c r="A2341" s="166">
        <v>45453</v>
      </c>
      <c r="B2341" s="116">
        <v>581.4</v>
      </c>
      <c r="C2341" s="116">
        <v>577.97500000000002</v>
      </c>
      <c r="D2341" s="116">
        <v>552.625</v>
      </c>
      <c r="E2341" s="116">
        <v>560.92499999999995</v>
      </c>
      <c r="F2341" s="116">
        <v>1155.95</v>
      </c>
      <c r="G2341">
        <v>12054</v>
      </c>
      <c r="H2341" s="116"/>
      <c r="I2341" s="116"/>
      <c r="L2341" s="166">
        <v>45453</v>
      </c>
      <c r="M2341" s="116">
        <v>577.9</v>
      </c>
      <c r="N2341" s="116">
        <v>581.47500000000002</v>
      </c>
      <c r="O2341" s="116">
        <v>551.77499999999998</v>
      </c>
      <c r="P2341" s="116">
        <v>555.45000000000005</v>
      </c>
      <c r="Q2341" s="116">
        <v>1155.8</v>
      </c>
      <c r="R2341">
        <v>351566</v>
      </c>
    </row>
    <row r="2342" spans="1:18" x14ac:dyDescent="0.25">
      <c r="A2342" s="166">
        <v>45454</v>
      </c>
      <c r="B2342" s="116">
        <v>592.5</v>
      </c>
      <c r="C2342" s="116">
        <v>589</v>
      </c>
      <c r="D2342" s="116">
        <v>578.47500000000002</v>
      </c>
      <c r="E2342" s="116">
        <v>582.22500000000002</v>
      </c>
      <c r="F2342" s="116">
        <v>1178</v>
      </c>
      <c r="G2342">
        <v>37025</v>
      </c>
      <c r="H2342" s="116"/>
      <c r="I2342" s="116"/>
      <c r="L2342" s="166">
        <v>45454</v>
      </c>
      <c r="M2342" s="116">
        <v>588.77499999999998</v>
      </c>
      <c r="N2342" s="116">
        <v>592.92499999999995</v>
      </c>
      <c r="O2342" s="116">
        <v>578.65</v>
      </c>
      <c r="P2342" s="116">
        <v>581.5</v>
      </c>
      <c r="Q2342" s="116">
        <v>1177.55</v>
      </c>
      <c r="R2342">
        <v>197949</v>
      </c>
    </row>
    <row r="2343" spans="1:18" x14ac:dyDescent="0.25">
      <c r="A2343" s="166">
        <v>45455</v>
      </c>
      <c r="B2343" s="116">
        <v>677.2</v>
      </c>
      <c r="C2343" s="116">
        <v>668.4</v>
      </c>
      <c r="D2343" s="116">
        <v>590.07500000000005</v>
      </c>
      <c r="E2343" s="116">
        <v>590.07500000000005</v>
      </c>
      <c r="F2343" s="116">
        <v>1336.8</v>
      </c>
      <c r="G2343">
        <v>352726</v>
      </c>
      <c r="H2343" s="116"/>
      <c r="I2343" s="116"/>
      <c r="L2343" s="166">
        <v>45455</v>
      </c>
      <c r="M2343" s="116">
        <v>669.2</v>
      </c>
      <c r="N2343" s="116">
        <v>677.75</v>
      </c>
      <c r="O2343" s="116">
        <v>592.35</v>
      </c>
      <c r="P2343" s="116">
        <v>593.25</v>
      </c>
      <c r="Q2343" s="116">
        <v>1338.4</v>
      </c>
      <c r="R2343">
        <v>7360715</v>
      </c>
    </row>
    <row r="2344" spans="1:18" x14ac:dyDescent="0.25">
      <c r="A2344" s="166">
        <v>45456</v>
      </c>
      <c r="B2344" s="116">
        <v>674.95</v>
      </c>
      <c r="C2344" s="116">
        <v>658.67499999999995</v>
      </c>
      <c r="D2344" s="116">
        <v>638.5</v>
      </c>
      <c r="E2344" s="116">
        <v>674.95</v>
      </c>
      <c r="F2344" s="116">
        <v>1317.35</v>
      </c>
      <c r="G2344">
        <v>53874</v>
      </c>
      <c r="H2344" s="116"/>
      <c r="I2344" s="116"/>
      <c r="L2344" s="166">
        <v>45456</v>
      </c>
      <c r="M2344" s="116">
        <v>658.82500000000005</v>
      </c>
      <c r="N2344" s="116">
        <v>675</v>
      </c>
      <c r="O2344" s="116">
        <v>638.5</v>
      </c>
      <c r="P2344" s="116">
        <v>675</v>
      </c>
      <c r="Q2344" s="116">
        <v>1317.65</v>
      </c>
      <c r="R2344">
        <v>1723506</v>
      </c>
    </row>
    <row r="2345" spans="1:18" x14ac:dyDescent="0.25">
      <c r="A2345" s="166">
        <v>45457</v>
      </c>
      <c r="B2345" s="116">
        <v>674.95</v>
      </c>
      <c r="C2345" s="116">
        <v>661.02499999999998</v>
      </c>
      <c r="D2345" s="116">
        <v>649</v>
      </c>
      <c r="E2345" s="116">
        <v>659.625</v>
      </c>
      <c r="F2345" s="116">
        <v>1322.05</v>
      </c>
      <c r="G2345">
        <v>22235</v>
      </c>
      <c r="H2345" s="116"/>
      <c r="I2345" s="116"/>
      <c r="L2345" s="166">
        <v>45457</v>
      </c>
      <c r="M2345" s="116">
        <v>660.82500000000005</v>
      </c>
      <c r="N2345" s="116">
        <v>674</v>
      </c>
      <c r="O2345" s="116">
        <v>645.65</v>
      </c>
      <c r="P2345" s="116">
        <v>661.15</v>
      </c>
      <c r="Q2345" s="116">
        <v>1321.65</v>
      </c>
      <c r="R2345">
        <v>509015</v>
      </c>
    </row>
    <row r="2346" spans="1:18" x14ac:dyDescent="0.25">
      <c r="A2346" s="166">
        <v>45461</v>
      </c>
      <c r="B2346" s="116">
        <v>667.3</v>
      </c>
      <c r="C2346" s="116">
        <v>650.15</v>
      </c>
      <c r="D2346" s="116">
        <v>645.125</v>
      </c>
      <c r="E2346" s="116">
        <v>667</v>
      </c>
      <c r="F2346" s="116">
        <v>1300.3</v>
      </c>
      <c r="G2346">
        <v>26447</v>
      </c>
      <c r="H2346" s="116"/>
      <c r="I2346" s="116"/>
      <c r="L2346" s="166">
        <v>45461</v>
      </c>
      <c r="M2346" s="116">
        <v>650.22500000000002</v>
      </c>
      <c r="N2346" s="116">
        <v>667.42499999999995</v>
      </c>
      <c r="O2346" s="116">
        <v>648.5</v>
      </c>
      <c r="P2346" s="116">
        <v>664.92499999999995</v>
      </c>
      <c r="Q2346" s="116">
        <v>1300.45</v>
      </c>
      <c r="R2346">
        <v>210409</v>
      </c>
    </row>
    <row r="2347" spans="1:18" x14ac:dyDescent="0.25">
      <c r="A2347" s="166">
        <v>45462</v>
      </c>
      <c r="B2347" s="116">
        <v>658.27499999999998</v>
      </c>
      <c r="C2347" s="116">
        <v>651.6</v>
      </c>
      <c r="D2347" s="116">
        <v>635.5</v>
      </c>
      <c r="E2347" s="116">
        <v>654.92499999999995</v>
      </c>
      <c r="F2347" s="116">
        <v>1303.2</v>
      </c>
      <c r="G2347">
        <v>8012</v>
      </c>
      <c r="H2347" s="116"/>
      <c r="I2347" s="116"/>
      <c r="L2347" s="166">
        <v>45462</v>
      </c>
      <c r="M2347" s="116">
        <v>651.29999999999995</v>
      </c>
      <c r="N2347" s="116">
        <v>657.5</v>
      </c>
      <c r="O2347" s="116">
        <v>635</v>
      </c>
      <c r="P2347" s="116">
        <v>654.22500000000002</v>
      </c>
      <c r="Q2347" s="116">
        <v>1302.5999999999999</v>
      </c>
      <c r="R2347">
        <v>167188</v>
      </c>
    </row>
    <row r="2348" spans="1:18" x14ac:dyDescent="0.25">
      <c r="A2348" s="166">
        <v>45463</v>
      </c>
      <c r="B2348" s="116">
        <v>667.5</v>
      </c>
      <c r="C2348" s="116">
        <v>650.97500000000002</v>
      </c>
      <c r="D2348" s="116">
        <v>643.9</v>
      </c>
      <c r="E2348" s="116">
        <v>651</v>
      </c>
      <c r="F2348" s="116">
        <v>1301.95</v>
      </c>
      <c r="G2348">
        <v>25297</v>
      </c>
      <c r="H2348" s="116"/>
      <c r="I2348" s="116"/>
      <c r="L2348" s="166">
        <v>45463</v>
      </c>
      <c r="M2348" s="116">
        <v>651</v>
      </c>
      <c r="N2348" s="116">
        <v>666.57500000000005</v>
      </c>
      <c r="O2348" s="116">
        <v>639.29999999999995</v>
      </c>
      <c r="P2348" s="116">
        <v>651.5</v>
      </c>
      <c r="Q2348" s="116">
        <v>1302</v>
      </c>
      <c r="R2348">
        <v>234680</v>
      </c>
    </row>
    <row r="2349" spans="1:18" x14ac:dyDescent="0.25">
      <c r="A2349" s="166">
        <v>45464</v>
      </c>
      <c r="B2349" s="116">
        <v>661</v>
      </c>
      <c r="C2349" s="116">
        <v>654.67499999999995</v>
      </c>
      <c r="D2349" s="116">
        <v>646.54999999999995</v>
      </c>
      <c r="E2349" s="116">
        <v>650.97500000000002</v>
      </c>
      <c r="F2349" s="116">
        <v>1309.3499999999999</v>
      </c>
      <c r="G2349">
        <v>4933</v>
      </c>
      <c r="H2349" s="116"/>
      <c r="I2349" s="116"/>
      <c r="L2349" s="166">
        <v>45464</v>
      </c>
      <c r="M2349" s="116">
        <v>654.17499999999995</v>
      </c>
      <c r="N2349" s="116">
        <v>660.95</v>
      </c>
      <c r="O2349" s="116">
        <v>646.35</v>
      </c>
      <c r="P2349" s="116">
        <v>656.22500000000002</v>
      </c>
      <c r="Q2349" s="116">
        <v>1308.3499999999999</v>
      </c>
      <c r="R2349">
        <v>322706</v>
      </c>
    </row>
    <row r="2350" spans="1:18" x14ac:dyDescent="0.25">
      <c r="A2350" s="166">
        <v>45467</v>
      </c>
      <c r="B2350" s="116">
        <v>690</v>
      </c>
      <c r="C2350" s="116">
        <v>657.42499999999995</v>
      </c>
      <c r="D2350" s="116">
        <v>643.45000000000005</v>
      </c>
      <c r="E2350" s="116">
        <v>657.8</v>
      </c>
      <c r="F2350" s="116">
        <v>1314.85</v>
      </c>
      <c r="G2350">
        <v>48602</v>
      </c>
      <c r="H2350" s="116"/>
      <c r="I2350" s="116"/>
      <c r="L2350" s="166">
        <v>45467</v>
      </c>
      <c r="M2350" s="116">
        <v>657.25</v>
      </c>
      <c r="N2350" s="116">
        <v>690</v>
      </c>
      <c r="O2350" s="116">
        <v>642.85</v>
      </c>
      <c r="P2350" s="116">
        <v>659.05</v>
      </c>
      <c r="Q2350" s="116">
        <v>1314.5</v>
      </c>
      <c r="R2350">
        <v>748200</v>
      </c>
    </row>
    <row r="2351" spans="1:18" x14ac:dyDescent="0.25">
      <c r="A2351" s="166">
        <v>45468</v>
      </c>
      <c r="B2351" s="116">
        <v>683.65</v>
      </c>
      <c r="C2351" s="116">
        <v>667.15</v>
      </c>
      <c r="D2351" s="116">
        <v>661.07500000000005</v>
      </c>
      <c r="E2351" s="116">
        <v>668.97500000000002</v>
      </c>
      <c r="F2351" s="116">
        <v>1334.3</v>
      </c>
      <c r="G2351">
        <v>46257</v>
      </c>
      <c r="H2351" s="116"/>
      <c r="I2351" s="116"/>
      <c r="L2351" s="166">
        <v>45468</v>
      </c>
      <c r="M2351" s="116">
        <v>666.3</v>
      </c>
      <c r="N2351" s="116">
        <v>683</v>
      </c>
      <c r="O2351" s="116">
        <v>661.52499999999998</v>
      </c>
      <c r="P2351" s="116">
        <v>665</v>
      </c>
      <c r="Q2351" s="116">
        <v>1332.6</v>
      </c>
      <c r="R2351">
        <v>331592</v>
      </c>
    </row>
    <row r="2352" spans="1:18" x14ac:dyDescent="0.25">
      <c r="A2352" s="166">
        <v>45469</v>
      </c>
      <c r="B2352" s="116">
        <v>674.25</v>
      </c>
      <c r="C2352" s="116">
        <v>666.77499999999998</v>
      </c>
      <c r="D2352" s="116">
        <v>662.02499999999998</v>
      </c>
      <c r="E2352" s="116">
        <v>671.75</v>
      </c>
      <c r="F2352" s="116">
        <v>1333.55</v>
      </c>
      <c r="G2352">
        <v>30802</v>
      </c>
      <c r="H2352" s="116"/>
      <c r="I2352" s="116"/>
      <c r="L2352" s="166">
        <v>45469</v>
      </c>
      <c r="M2352" s="116">
        <v>666.7</v>
      </c>
      <c r="N2352" s="116">
        <v>674.4</v>
      </c>
      <c r="O2352" s="116">
        <v>662.05</v>
      </c>
      <c r="P2352" s="116">
        <v>667.2</v>
      </c>
      <c r="Q2352" s="116">
        <v>1333.4</v>
      </c>
      <c r="R2352">
        <v>242380</v>
      </c>
    </row>
    <row r="2353" spans="1:18" x14ac:dyDescent="0.25">
      <c r="A2353" s="166">
        <v>45470</v>
      </c>
      <c r="B2353" s="116">
        <v>669.85</v>
      </c>
      <c r="C2353" s="116">
        <v>662.27499999999998</v>
      </c>
      <c r="D2353" s="116">
        <v>655.02499999999998</v>
      </c>
      <c r="E2353" s="116">
        <v>667.5</v>
      </c>
      <c r="F2353" s="116">
        <v>1324.55</v>
      </c>
      <c r="G2353">
        <v>31347</v>
      </c>
      <c r="H2353" s="116"/>
      <c r="I2353" s="116"/>
      <c r="L2353" s="166">
        <v>45470</v>
      </c>
      <c r="M2353" s="116">
        <v>662.15</v>
      </c>
      <c r="N2353" s="116">
        <v>669.375</v>
      </c>
      <c r="O2353" s="116">
        <v>655.20000000000005</v>
      </c>
      <c r="P2353" s="116">
        <v>664.97500000000002</v>
      </c>
      <c r="Q2353" s="116">
        <v>1324.3</v>
      </c>
      <c r="R2353">
        <v>280109</v>
      </c>
    </row>
    <row r="2354" spans="1:18" x14ac:dyDescent="0.25">
      <c r="A2354" s="166">
        <v>45471</v>
      </c>
      <c r="B2354" s="116">
        <v>668.5</v>
      </c>
      <c r="C2354" s="116">
        <v>660.625</v>
      </c>
      <c r="D2354" s="116">
        <v>655.02499999999998</v>
      </c>
      <c r="E2354" s="116">
        <v>655.02499999999998</v>
      </c>
      <c r="F2354" s="116">
        <v>1321.25</v>
      </c>
      <c r="G2354">
        <v>24094</v>
      </c>
      <c r="H2354" s="116"/>
      <c r="I2354" s="116"/>
      <c r="L2354" s="166">
        <v>45471</v>
      </c>
      <c r="M2354" s="116">
        <v>661.05</v>
      </c>
      <c r="N2354" s="116">
        <v>668.7</v>
      </c>
      <c r="O2354" s="116">
        <v>655</v>
      </c>
      <c r="P2354" s="116">
        <v>656.4</v>
      </c>
      <c r="Q2354" s="116">
        <v>1322.1</v>
      </c>
      <c r="R2354">
        <v>148562</v>
      </c>
    </row>
    <row r="2355" spans="1:18" x14ac:dyDescent="0.25">
      <c r="A2355" s="166">
        <v>45474</v>
      </c>
      <c r="B2355" s="116">
        <v>670.02499999999998</v>
      </c>
      <c r="C2355" s="116">
        <v>664.47500000000002</v>
      </c>
      <c r="D2355" s="116">
        <v>650.17499999999995</v>
      </c>
      <c r="E2355" s="116">
        <v>650.17499999999995</v>
      </c>
      <c r="F2355" s="116">
        <v>1328.95</v>
      </c>
      <c r="G2355">
        <v>9106</v>
      </c>
      <c r="H2355" s="116"/>
      <c r="I2355" s="116"/>
      <c r="L2355" s="166">
        <v>45474</v>
      </c>
      <c r="M2355" s="116">
        <v>664.07500000000005</v>
      </c>
      <c r="N2355" s="116">
        <v>670</v>
      </c>
      <c r="O2355" s="116">
        <v>650.52499999999998</v>
      </c>
      <c r="P2355" s="116">
        <v>651</v>
      </c>
      <c r="Q2355" s="116">
        <v>1328.15</v>
      </c>
      <c r="R2355">
        <v>217577</v>
      </c>
    </row>
    <row r="2356" spans="1:18" x14ac:dyDescent="0.25">
      <c r="A2356" s="166">
        <v>45475</v>
      </c>
      <c r="B2356" s="116">
        <v>699.82500000000005</v>
      </c>
      <c r="C2356" s="116">
        <v>674.8</v>
      </c>
      <c r="D2356" s="116">
        <v>665.57500000000005</v>
      </c>
      <c r="E2356" s="116">
        <v>665.8</v>
      </c>
      <c r="F2356" s="116">
        <v>1349.6</v>
      </c>
      <c r="G2356">
        <v>73877</v>
      </c>
      <c r="H2356" s="116"/>
      <c r="I2356" s="116"/>
      <c r="L2356" s="166">
        <v>45475</v>
      </c>
      <c r="M2356" s="116">
        <v>673.32500000000005</v>
      </c>
      <c r="N2356" s="116">
        <v>700</v>
      </c>
      <c r="O2356" s="116">
        <v>665</v>
      </c>
      <c r="P2356" s="116">
        <v>668.97500000000002</v>
      </c>
      <c r="Q2356" s="116">
        <v>1346.65</v>
      </c>
      <c r="R2356">
        <v>732576</v>
      </c>
    </row>
    <row r="2357" spans="1:18" x14ac:dyDescent="0.25">
      <c r="A2357" s="166">
        <v>45476</v>
      </c>
      <c r="B2357" s="116">
        <v>687.3</v>
      </c>
      <c r="C2357" s="116">
        <v>668.75</v>
      </c>
      <c r="D2357" s="116">
        <v>666.27499999999998</v>
      </c>
      <c r="E2357" s="116">
        <v>684.125</v>
      </c>
      <c r="F2357" s="116">
        <v>1337.5</v>
      </c>
      <c r="G2357">
        <v>30713</v>
      </c>
      <c r="H2357" s="116"/>
      <c r="I2357" s="116"/>
      <c r="L2357" s="166">
        <v>45476</v>
      </c>
      <c r="M2357" s="116">
        <v>668.17499999999995</v>
      </c>
      <c r="N2357" s="116">
        <v>687.47500000000002</v>
      </c>
      <c r="O2357" s="116">
        <v>666.6</v>
      </c>
      <c r="P2357" s="116">
        <v>681.25</v>
      </c>
      <c r="Q2357" s="116">
        <v>1336.35</v>
      </c>
      <c r="R2357">
        <v>267803</v>
      </c>
    </row>
    <row r="2358" spans="1:18" x14ac:dyDescent="0.25">
      <c r="A2358" s="166">
        <v>45477</v>
      </c>
      <c r="B2358" s="116">
        <v>681.57500000000005</v>
      </c>
      <c r="C2358" s="116">
        <v>671.92499999999995</v>
      </c>
      <c r="D2358" s="116">
        <v>669</v>
      </c>
      <c r="E2358" s="116">
        <v>670.02499999999998</v>
      </c>
      <c r="F2358" s="116">
        <v>1343.85</v>
      </c>
      <c r="G2358">
        <v>26338</v>
      </c>
      <c r="H2358" s="116"/>
      <c r="I2358" s="116"/>
      <c r="L2358" s="166">
        <v>45477</v>
      </c>
      <c r="M2358" s="116">
        <v>673.1</v>
      </c>
      <c r="N2358" s="116">
        <v>682</v>
      </c>
      <c r="O2358" s="116">
        <v>669.02499999999998</v>
      </c>
      <c r="P2358" s="116">
        <v>671</v>
      </c>
      <c r="Q2358" s="116">
        <v>1346.2</v>
      </c>
      <c r="R2358">
        <v>165573</v>
      </c>
    </row>
    <row r="2359" spans="1:18" x14ac:dyDescent="0.25">
      <c r="A2359" s="166">
        <v>45478</v>
      </c>
      <c r="B2359" s="116">
        <v>690</v>
      </c>
      <c r="C2359" s="116">
        <v>688.07500000000005</v>
      </c>
      <c r="D2359" s="116">
        <v>675.375</v>
      </c>
      <c r="E2359" s="116">
        <v>679.02499999999998</v>
      </c>
      <c r="F2359" s="116">
        <v>1376.15</v>
      </c>
      <c r="G2359">
        <v>12276</v>
      </c>
      <c r="H2359" s="116"/>
      <c r="I2359" s="116"/>
      <c r="L2359" s="166">
        <v>45478</v>
      </c>
      <c r="M2359" s="116">
        <v>688.35</v>
      </c>
      <c r="N2359" s="116">
        <v>690</v>
      </c>
      <c r="O2359" s="116">
        <v>675.45</v>
      </c>
      <c r="P2359" s="116">
        <v>682.5</v>
      </c>
      <c r="Q2359" s="116">
        <v>1376.7</v>
      </c>
      <c r="R2359">
        <v>304584</v>
      </c>
    </row>
    <row r="2360" spans="1:18" x14ac:dyDescent="0.25">
      <c r="A2360" s="166">
        <v>45481</v>
      </c>
      <c r="B2360" s="116">
        <v>707.47500000000002</v>
      </c>
      <c r="C2360" s="116">
        <v>644.72500000000002</v>
      </c>
      <c r="D2360" s="116">
        <v>627.77499999999998</v>
      </c>
      <c r="E2360" s="116">
        <v>707.47500000000002</v>
      </c>
      <c r="F2360" s="116">
        <v>1289.45</v>
      </c>
      <c r="G2360">
        <v>116619</v>
      </c>
      <c r="H2360" s="116"/>
      <c r="I2360" s="116"/>
      <c r="L2360" s="166">
        <v>45481</v>
      </c>
      <c r="M2360" s="116">
        <v>645.20000000000005</v>
      </c>
      <c r="N2360" s="116">
        <v>704.5</v>
      </c>
      <c r="O2360" s="116">
        <v>626.17499999999995</v>
      </c>
      <c r="P2360" s="116">
        <v>702.5</v>
      </c>
      <c r="Q2360" s="116">
        <v>1290.4000000000001</v>
      </c>
      <c r="R2360">
        <v>2109062</v>
      </c>
    </row>
    <row r="2361" spans="1:18" x14ac:dyDescent="0.25">
      <c r="A2361" s="166">
        <v>45482</v>
      </c>
      <c r="B2361" s="116">
        <v>664.47500000000002</v>
      </c>
      <c r="C2361" s="116">
        <v>646.67499999999995</v>
      </c>
      <c r="D2361" s="116">
        <v>640</v>
      </c>
      <c r="E2361" s="116">
        <v>655</v>
      </c>
      <c r="F2361" s="116">
        <v>1293.3499999999999</v>
      </c>
      <c r="G2361">
        <v>17681</v>
      </c>
      <c r="H2361" s="116"/>
      <c r="I2361" s="116"/>
      <c r="L2361" s="166">
        <v>45482</v>
      </c>
      <c r="M2361" s="116">
        <v>646.47500000000002</v>
      </c>
      <c r="N2361" s="116">
        <v>664.5</v>
      </c>
      <c r="O2361" s="116">
        <v>640</v>
      </c>
      <c r="P2361" s="116">
        <v>652.5</v>
      </c>
      <c r="Q2361" s="116">
        <v>1292.95</v>
      </c>
      <c r="R2361">
        <v>484475</v>
      </c>
    </row>
    <row r="2362" spans="1:18" x14ac:dyDescent="0.25">
      <c r="A2362" s="166">
        <v>45483</v>
      </c>
      <c r="B2362" s="116">
        <v>652.47500000000002</v>
      </c>
      <c r="C2362" s="116">
        <v>631.42499999999995</v>
      </c>
      <c r="D2362" s="116">
        <v>608.22500000000002</v>
      </c>
      <c r="E2362" s="116">
        <v>646.70000000000005</v>
      </c>
      <c r="F2362" s="116">
        <v>1262.8499999999999</v>
      </c>
      <c r="G2362">
        <v>56478</v>
      </c>
      <c r="H2362" s="116"/>
      <c r="I2362" s="116"/>
      <c r="L2362" s="166">
        <v>45483</v>
      </c>
      <c r="M2362" s="116">
        <v>632.32500000000005</v>
      </c>
      <c r="N2362" s="116">
        <v>650.625</v>
      </c>
      <c r="O2362" s="116">
        <v>608.27499999999998</v>
      </c>
      <c r="P2362" s="116">
        <v>650</v>
      </c>
      <c r="Q2362" s="116">
        <v>1264.6500000000001</v>
      </c>
      <c r="R2362">
        <v>469350</v>
      </c>
    </row>
    <row r="2363" spans="1:18" x14ac:dyDescent="0.25">
      <c r="A2363" s="166">
        <v>45484</v>
      </c>
      <c r="B2363" s="116">
        <v>649.9</v>
      </c>
      <c r="C2363" s="116">
        <v>646.70000000000005</v>
      </c>
      <c r="D2363" s="116">
        <v>636.1</v>
      </c>
      <c r="E2363" s="116">
        <v>643.72500000000002</v>
      </c>
      <c r="F2363" s="116">
        <v>1293.4000000000001</v>
      </c>
      <c r="G2363">
        <v>11852</v>
      </c>
      <c r="H2363" s="116"/>
      <c r="I2363" s="116"/>
      <c r="L2363" s="166">
        <v>45484</v>
      </c>
      <c r="M2363" s="116">
        <v>646.25</v>
      </c>
      <c r="N2363" s="116">
        <v>650</v>
      </c>
      <c r="O2363" s="116">
        <v>634.5</v>
      </c>
      <c r="P2363" s="116">
        <v>636.72500000000002</v>
      </c>
      <c r="Q2363" s="116">
        <v>1292.5</v>
      </c>
      <c r="R2363">
        <v>216364</v>
      </c>
    </row>
    <row r="2364" spans="1:18" x14ac:dyDescent="0.25">
      <c r="A2364" s="166">
        <v>45485</v>
      </c>
      <c r="B2364" s="116">
        <v>659.32500000000005</v>
      </c>
      <c r="C2364" s="116">
        <v>643.57500000000005</v>
      </c>
      <c r="D2364" s="116">
        <v>639.75</v>
      </c>
      <c r="E2364" s="116">
        <v>646.57500000000005</v>
      </c>
      <c r="F2364" s="116">
        <v>1287.1500000000001</v>
      </c>
      <c r="G2364">
        <v>28652</v>
      </c>
      <c r="H2364" s="116"/>
      <c r="I2364" s="116"/>
      <c r="L2364" s="166">
        <v>45485</v>
      </c>
      <c r="M2364" s="116">
        <v>643.77499999999998</v>
      </c>
      <c r="N2364" s="116">
        <v>659</v>
      </c>
      <c r="O2364" s="116">
        <v>639.79999999999995</v>
      </c>
      <c r="P2364" s="116">
        <v>640.52499999999998</v>
      </c>
      <c r="Q2364" s="116">
        <v>1287.55</v>
      </c>
      <c r="R2364">
        <v>260192</v>
      </c>
    </row>
    <row r="2365" spans="1:18" x14ac:dyDescent="0.25">
      <c r="A2365" s="166">
        <v>45488</v>
      </c>
      <c r="B2365" s="116">
        <v>663.15</v>
      </c>
      <c r="C2365" s="116">
        <v>660.67499999999995</v>
      </c>
      <c r="D2365" s="116">
        <v>645.72500000000002</v>
      </c>
      <c r="E2365" s="116">
        <v>645.72500000000002</v>
      </c>
      <c r="F2365" s="116">
        <v>1321.35</v>
      </c>
      <c r="G2365">
        <v>27329</v>
      </c>
      <c r="H2365" s="116"/>
      <c r="I2365" s="116"/>
      <c r="L2365" s="166">
        <v>45488</v>
      </c>
      <c r="M2365" s="116">
        <v>660.8</v>
      </c>
      <c r="N2365" s="116">
        <v>663.3</v>
      </c>
      <c r="O2365" s="116">
        <v>645.54999999999995</v>
      </c>
      <c r="P2365" s="116">
        <v>650.47500000000002</v>
      </c>
      <c r="Q2365" s="116">
        <v>1321.6</v>
      </c>
      <c r="R2365">
        <v>293066</v>
      </c>
    </row>
    <row r="2366" spans="1:18" x14ac:dyDescent="0.25">
      <c r="A2366" s="166">
        <v>45489</v>
      </c>
      <c r="B2366" s="116">
        <v>669.92499999999995</v>
      </c>
      <c r="C2366" s="116">
        <v>652.67499999999995</v>
      </c>
      <c r="D2366" s="116">
        <v>635.35</v>
      </c>
      <c r="E2366" s="116">
        <v>669.92499999999995</v>
      </c>
      <c r="F2366" s="116">
        <v>1305.3499999999999</v>
      </c>
      <c r="G2366">
        <v>21510</v>
      </c>
      <c r="H2366" s="116"/>
      <c r="I2366" s="116"/>
      <c r="L2366" s="166">
        <v>45489</v>
      </c>
      <c r="M2366" s="116">
        <v>652.9</v>
      </c>
      <c r="N2366" s="116">
        <v>668.5</v>
      </c>
      <c r="O2366" s="116">
        <v>632.625</v>
      </c>
      <c r="P2366" s="116">
        <v>668.07500000000005</v>
      </c>
      <c r="Q2366" s="116">
        <v>1305.8</v>
      </c>
      <c r="R2366">
        <v>339500</v>
      </c>
    </row>
    <row r="2367" spans="1:18" x14ac:dyDescent="0.25">
      <c r="A2367" s="166">
        <v>45491</v>
      </c>
      <c r="B2367" s="116">
        <v>657.6</v>
      </c>
      <c r="C2367" s="116">
        <v>640.5</v>
      </c>
      <c r="D2367" s="116">
        <v>556.5</v>
      </c>
      <c r="E2367" s="116">
        <v>556.5</v>
      </c>
      <c r="F2367" s="116">
        <v>1281</v>
      </c>
      <c r="G2367">
        <v>99024</v>
      </c>
      <c r="H2367" s="116"/>
      <c r="I2367" s="116"/>
      <c r="L2367" s="166">
        <v>45491</v>
      </c>
      <c r="M2367" s="116">
        <v>640.35</v>
      </c>
      <c r="N2367" s="116">
        <v>659</v>
      </c>
      <c r="O2367" s="116">
        <v>546.02499999999998</v>
      </c>
      <c r="P2367" s="116">
        <v>546.02499999999998</v>
      </c>
      <c r="Q2367" s="116">
        <v>1280.7</v>
      </c>
      <c r="R2367">
        <v>2867273</v>
      </c>
    </row>
    <row r="2368" spans="1:18" x14ac:dyDescent="0.25">
      <c r="A2368" s="166">
        <v>45492</v>
      </c>
      <c r="B2368" s="116">
        <v>715</v>
      </c>
      <c r="C2368" s="116">
        <v>642</v>
      </c>
      <c r="D2368" s="116">
        <v>634.45000000000005</v>
      </c>
      <c r="E2368" s="116">
        <v>665.75</v>
      </c>
      <c r="F2368" s="116">
        <v>642</v>
      </c>
      <c r="G2368">
        <v>286010</v>
      </c>
      <c r="H2368" s="116"/>
      <c r="I2368" s="116"/>
      <c r="L2368" s="166">
        <v>45492</v>
      </c>
      <c r="M2368" s="116">
        <v>641</v>
      </c>
      <c r="N2368" s="116">
        <v>716.75</v>
      </c>
      <c r="O2368" s="116">
        <v>632.79999999999995</v>
      </c>
      <c r="P2368" s="116">
        <v>665</v>
      </c>
      <c r="Q2368" s="116">
        <v>641</v>
      </c>
      <c r="R2368">
        <v>4446248</v>
      </c>
    </row>
    <row r="2369" spans="1:18" x14ac:dyDescent="0.25">
      <c r="A2369" s="166">
        <v>45495</v>
      </c>
      <c r="B2369" s="116">
        <v>642</v>
      </c>
      <c r="C2369" s="116">
        <v>630.20000000000005</v>
      </c>
      <c r="D2369" s="116">
        <v>616.04999999999995</v>
      </c>
      <c r="E2369" s="116">
        <v>620.04999999999995</v>
      </c>
      <c r="F2369" s="116">
        <v>630.20000000000005</v>
      </c>
      <c r="G2369">
        <v>66007</v>
      </c>
      <c r="H2369" s="116"/>
      <c r="I2369" s="116"/>
      <c r="L2369" s="166">
        <v>45495</v>
      </c>
      <c r="M2369" s="116">
        <v>630.9</v>
      </c>
      <c r="N2369" s="116">
        <v>642.85</v>
      </c>
      <c r="O2369" s="116">
        <v>616.6</v>
      </c>
      <c r="P2369" s="116">
        <v>631</v>
      </c>
      <c r="Q2369" s="116">
        <v>630.9</v>
      </c>
      <c r="R2369">
        <v>597910</v>
      </c>
    </row>
    <row r="2370" spans="1:18" x14ac:dyDescent="0.25">
      <c r="A2370" s="166">
        <v>45496</v>
      </c>
      <c r="B2370" s="116">
        <v>634.75</v>
      </c>
      <c r="C2370" s="116">
        <v>629.25</v>
      </c>
      <c r="D2370" s="116">
        <v>583</v>
      </c>
      <c r="E2370" s="116">
        <v>633.85</v>
      </c>
      <c r="F2370" s="116">
        <v>629.25</v>
      </c>
      <c r="G2370">
        <v>58578</v>
      </c>
      <c r="H2370" s="116"/>
      <c r="I2370" s="116"/>
      <c r="L2370" s="166">
        <v>45496</v>
      </c>
      <c r="M2370" s="116">
        <v>629.79999999999995</v>
      </c>
      <c r="N2370" s="116">
        <v>634.75</v>
      </c>
      <c r="O2370" s="116">
        <v>582</v>
      </c>
      <c r="P2370" s="116">
        <v>631.9</v>
      </c>
      <c r="Q2370" s="116">
        <v>629.79999999999995</v>
      </c>
      <c r="R2370">
        <v>1406775</v>
      </c>
    </row>
    <row r="2371" spans="1:18" x14ac:dyDescent="0.25">
      <c r="A2371" s="166">
        <v>45497</v>
      </c>
      <c r="B2371" s="116">
        <v>633.45000000000005</v>
      </c>
      <c r="C2371" s="116">
        <v>616.15</v>
      </c>
      <c r="D2371" s="116">
        <v>612.85</v>
      </c>
      <c r="E2371" s="116">
        <v>633</v>
      </c>
      <c r="F2371" s="116">
        <v>616.15</v>
      </c>
      <c r="G2371">
        <v>26348</v>
      </c>
      <c r="H2371" s="116"/>
      <c r="I2371" s="116"/>
      <c r="L2371" s="166">
        <v>45497</v>
      </c>
      <c r="M2371" s="116">
        <v>615.35</v>
      </c>
      <c r="N2371" s="116">
        <v>633.15</v>
      </c>
      <c r="O2371" s="116">
        <v>611.25</v>
      </c>
      <c r="P2371" s="116">
        <v>629.79999999999995</v>
      </c>
      <c r="Q2371" s="116">
        <v>615.35</v>
      </c>
      <c r="R2371">
        <v>432416</v>
      </c>
    </row>
    <row r="2372" spans="1:18" x14ac:dyDescent="0.25">
      <c r="A2372" s="166">
        <v>45498</v>
      </c>
      <c r="B2372" s="116">
        <v>618.75</v>
      </c>
      <c r="C2372" s="116">
        <v>603.65</v>
      </c>
      <c r="D2372" s="116">
        <v>602</v>
      </c>
      <c r="E2372" s="116">
        <v>614.45000000000005</v>
      </c>
      <c r="F2372" s="116">
        <v>603.65</v>
      </c>
      <c r="G2372">
        <v>55202</v>
      </c>
      <c r="H2372" s="116"/>
      <c r="I2372" s="116"/>
      <c r="L2372" s="166">
        <v>45498</v>
      </c>
      <c r="M2372" s="116">
        <v>603.70000000000005</v>
      </c>
      <c r="N2372" s="116">
        <v>618.35</v>
      </c>
      <c r="O2372" s="116">
        <v>601.1</v>
      </c>
      <c r="P2372" s="116">
        <v>612.95000000000005</v>
      </c>
      <c r="Q2372" s="116">
        <v>603.70000000000005</v>
      </c>
      <c r="R2372">
        <v>325103</v>
      </c>
    </row>
    <row r="2373" spans="1:18" x14ac:dyDescent="0.25">
      <c r="A2373" s="166">
        <v>45499</v>
      </c>
      <c r="B2373" s="116">
        <v>636.25</v>
      </c>
      <c r="C2373" s="116">
        <v>627.29999999999995</v>
      </c>
      <c r="D2373" s="116">
        <v>603.6</v>
      </c>
      <c r="E2373" s="116">
        <v>603.6</v>
      </c>
      <c r="F2373" s="116">
        <v>627.29999999999995</v>
      </c>
      <c r="G2373">
        <v>45699</v>
      </c>
      <c r="H2373" s="116"/>
      <c r="I2373" s="116"/>
      <c r="L2373" s="166">
        <v>45499</v>
      </c>
      <c r="M2373" s="116">
        <v>626.9</v>
      </c>
      <c r="N2373" s="116">
        <v>636.9</v>
      </c>
      <c r="O2373" s="116">
        <v>607</v>
      </c>
      <c r="P2373" s="116">
        <v>607.29999999999995</v>
      </c>
      <c r="Q2373" s="116">
        <v>626.9</v>
      </c>
      <c r="R2373">
        <v>1043768</v>
      </c>
    </row>
    <row r="2374" spans="1:18" x14ac:dyDescent="0.25">
      <c r="A2374" s="166">
        <v>45502</v>
      </c>
      <c r="B2374" s="116">
        <v>643.20000000000005</v>
      </c>
      <c r="C2374" s="116">
        <v>639.5</v>
      </c>
      <c r="D2374" s="116">
        <v>620.1</v>
      </c>
      <c r="E2374" s="116">
        <v>630</v>
      </c>
      <c r="F2374" s="116">
        <v>639.5</v>
      </c>
      <c r="G2374">
        <v>48976</v>
      </c>
      <c r="H2374" s="116"/>
      <c r="I2374" s="116"/>
      <c r="L2374" s="166">
        <v>45502</v>
      </c>
      <c r="M2374" s="116">
        <v>640</v>
      </c>
      <c r="N2374" s="116">
        <v>643.75</v>
      </c>
      <c r="O2374" s="116">
        <v>620.20000000000005</v>
      </c>
      <c r="P2374" s="116">
        <v>631.5</v>
      </c>
      <c r="Q2374" s="116">
        <v>640</v>
      </c>
      <c r="R2374">
        <v>525593</v>
      </c>
    </row>
    <row r="2375" spans="1:18" x14ac:dyDescent="0.25">
      <c r="A2375" s="166">
        <v>45503</v>
      </c>
      <c r="B2375" s="116">
        <v>652.45000000000005</v>
      </c>
      <c r="C2375" s="116">
        <v>632.29999999999995</v>
      </c>
      <c r="D2375" s="116">
        <v>622</v>
      </c>
      <c r="E2375" s="116">
        <v>642.95000000000005</v>
      </c>
      <c r="F2375" s="116">
        <v>632.29999999999995</v>
      </c>
      <c r="G2375">
        <v>23028</v>
      </c>
      <c r="H2375" s="116"/>
      <c r="I2375" s="116"/>
      <c r="L2375" s="166">
        <v>45503</v>
      </c>
      <c r="M2375" s="116">
        <v>632.35</v>
      </c>
      <c r="N2375" s="116">
        <v>652</v>
      </c>
      <c r="O2375" s="116">
        <v>621.65</v>
      </c>
      <c r="P2375" s="116">
        <v>639.45000000000005</v>
      </c>
      <c r="Q2375" s="116">
        <v>632.35</v>
      </c>
      <c r="R2375">
        <v>528873</v>
      </c>
    </row>
    <row r="2376" spans="1:18" x14ac:dyDescent="0.25">
      <c r="A2376" s="166">
        <v>45504</v>
      </c>
      <c r="B2376" s="116">
        <v>640</v>
      </c>
      <c r="C2376" s="116">
        <v>629.65</v>
      </c>
      <c r="D2376" s="116">
        <v>617.79999999999995</v>
      </c>
      <c r="E2376" s="116">
        <v>630.79999999999995</v>
      </c>
      <c r="F2376" s="116">
        <v>629.65</v>
      </c>
      <c r="G2376">
        <v>21344</v>
      </c>
      <c r="H2376" s="116"/>
      <c r="I2376" s="116"/>
      <c r="L2376" s="166">
        <v>45504</v>
      </c>
      <c r="M2376" s="116">
        <v>630.1</v>
      </c>
      <c r="N2376" s="116">
        <v>639.95000000000005</v>
      </c>
      <c r="O2376" s="116">
        <v>617.9</v>
      </c>
      <c r="P2376" s="116">
        <v>627.29999999999995</v>
      </c>
      <c r="Q2376" s="116">
        <v>630.1</v>
      </c>
      <c r="R2376">
        <v>621163</v>
      </c>
    </row>
    <row r="2377" spans="1:18" x14ac:dyDescent="0.25">
      <c r="A2377" s="166">
        <v>45505</v>
      </c>
      <c r="B2377" s="116">
        <v>638.79999999999995</v>
      </c>
      <c r="C2377" s="116">
        <v>637</v>
      </c>
      <c r="D2377" s="116">
        <v>626.85</v>
      </c>
      <c r="E2377" s="116">
        <v>629.5</v>
      </c>
      <c r="F2377" s="116">
        <v>637</v>
      </c>
      <c r="G2377">
        <v>19120</v>
      </c>
      <c r="H2377" s="116"/>
      <c r="I2377" s="116"/>
      <c r="L2377" s="166">
        <v>45505</v>
      </c>
      <c r="M2377" s="116">
        <v>636.5</v>
      </c>
      <c r="N2377" s="116">
        <v>639.5</v>
      </c>
      <c r="O2377" s="116">
        <v>626</v>
      </c>
      <c r="P2377" s="116">
        <v>634.70000000000005</v>
      </c>
      <c r="Q2377" s="116">
        <v>636.5</v>
      </c>
      <c r="R2377">
        <v>273785</v>
      </c>
    </row>
    <row r="2378" spans="1:18" x14ac:dyDescent="0.25">
      <c r="A2378" s="166">
        <v>45506</v>
      </c>
      <c r="B2378" s="116">
        <v>641.85</v>
      </c>
      <c r="C2378" s="116">
        <v>610.04999999999995</v>
      </c>
      <c r="D2378" s="116">
        <v>601.79999999999995</v>
      </c>
      <c r="E2378" s="116">
        <v>630</v>
      </c>
      <c r="F2378" s="116">
        <v>610.04999999999995</v>
      </c>
      <c r="G2378">
        <v>57579</v>
      </c>
      <c r="H2378" s="116"/>
      <c r="I2378" s="116"/>
      <c r="L2378" s="166">
        <v>45506</v>
      </c>
      <c r="M2378" s="116">
        <v>608.4</v>
      </c>
      <c r="N2378" s="116">
        <v>642</v>
      </c>
      <c r="O2378" s="116">
        <v>602.04999999999995</v>
      </c>
      <c r="P2378" s="116">
        <v>636.04999999999995</v>
      </c>
      <c r="Q2378" s="116">
        <v>608.4</v>
      </c>
      <c r="R2378">
        <v>721180</v>
      </c>
    </row>
    <row r="2379" spans="1:18" x14ac:dyDescent="0.25">
      <c r="A2379" s="166">
        <v>45509</v>
      </c>
      <c r="B2379" s="116">
        <v>598.25</v>
      </c>
      <c r="C2379" s="116">
        <v>572.35</v>
      </c>
      <c r="D2379" s="116">
        <v>565.20000000000005</v>
      </c>
      <c r="E2379" s="116">
        <v>565.20000000000005</v>
      </c>
      <c r="F2379" s="116">
        <v>572.35</v>
      </c>
      <c r="G2379">
        <v>127689</v>
      </c>
      <c r="H2379" s="116"/>
      <c r="I2379" s="116"/>
      <c r="L2379" s="166">
        <v>45509</v>
      </c>
      <c r="M2379" s="116">
        <v>572.6</v>
      </c>
      <c r="N2379" s="116">
        <v>598.79999999999995</v>
      </c>
      <c r="O2379" s="116">
        <v>564.75</v>
      </c>
      <c r="P2379" s="116">
        <v>590.1</v>
      </c>
      <c r="Q2379" s="116">
        <v>572.6</v>
      </c>
      <c r="R2379">
        <v>708679</v>
      </c>
    </row>
    <row r="2380" spans="1:18" x14ac:dyDescent="0.25">
      <c r="A2380" s="166">
        <v>45510</v>
      </c>
      <c r="B2380" s="116">
        <v>593.65</v>
      </c>
      <c r="C2380" s="116">
        <v>564.95000000000005</v>
      </c>
      <c r="D2380" s="116">
        <v>562</v>
      </c>
      <c r="E2380" s="116">
        <v>584.6</v>
      </c>
      <c r="F2380" s="116">
        <v>564.95000000000005</v>
      </c>
      <c r="G2380">
        <v>53175</v>
      </c>
      <c r="H2380" s="116"/>
      <c r="I2380" s="116"/>
      <c r="L2380" s="166">
        <v>45510</v>
      </c>
      <c r="M2380" s="116">
        <v>565.04999999999995</v>
      </c>
      <c r="N2380" s="116">
        <v>593.95000000000005</v>
      </c>
      <c r="O2380" s="116">
        <v>562</v>
      </c>
      <c r="P2380" s="116">
        <v>580</v>
      </c>
      <c r="Q2380" s="116">
        <v>565.04999999999995</v>
      </c>
      <c r="R2380">
        <v>922787</v>
      </c>
    </row>
    <row r="2381" spans="1:18" x14ac:dyDescent="0.25">
      <c r="A2381" s="166">
        <v>45511</v>
      </c>
      <c r="B2381" s="116">
        <v>601.25</v>
      </c>
      <c r="C2381" s="116">
        <v>593.45000000000005</v>
      </c>
      <c r="D2381" s="116">
        <v>564.65</v>
      </c>
      <c r="E2381" s="116">
        <v>570.04999999999995</v>
      </c>
      <c r="F2381" s="116">
        <v>593.45000000000005</v>
      </c>
      <c r="G2381">
        <v>36251</v>
      </c>
      <c r="H2381" s="116"/>
      <c r="I2381" s="116"/>
      <c r="L2381" s="166">
        <v>45511</v>
      </c>
      <c r="M2381" s="116">
        <v>593.70000000000005</v>
      </c>
      <c r="N2381" s="116">
        <v>601.9</v>
      </c>
      <c r="O2381" s="116">
        <v>564.04999999999995</v>
      </c>
      <c r="P2381" s="116">
        <v>578.95000000000005</v>
      </c>
      <c r="Q2381" s="116">
        <v>593.70000000000005</v>
      </c>
      <c r="R2381">
        <v>739639</v>
      </c>
    </row>
    <row r="2382" spans="1:18" x14ac:dyDescent="0.25">
      <c r="A2382" s="166">
        <v>45512</v>
      </c>
      <c r="B2382" s="116">
        <v>596.35</v>
      </c>
      <c r="C2382" s="116">
        <v>588.65</v>
      </c>
      <c r="D2382" s="116">
        <v>583.29999999999995</v>
      </c>
      <c r="E2382" s="116">
        <v>594.5</v>
      </c>
      <c r="F2382" s="116">
        <v>588.65</v>
      </c>
      <c r="G2382">
        <v>9754</v>
      </c>
      <c r="H2382" s="116"/>
      <c r="I2382" s="116"/>
      <c r="L2382" s="166">
        <v>45512</v>
      </c>
      <c r="M2382" s="116">
        <v>588.79999999999995</v>
      </c>
      <c r="N2382" s="116">
        <v>596.65</v>
      </c>
      <c r="O2382" s="116">
        <v>582.1</v>
      </c>
      <c r="P2382" s="116">
        <v>596</v>
      </c>
      <c r="Q2382" s="116">
        <v>588.79999999999995</v>
      </c>
      <c r="R2382">
        <v>276266</v>
      </c>
    </row>
    <row r="2383" spans="1:18" x14ac:dyDescent="0.25">
      <c r="A2383" s="166">
        <v>45513</v>
      </c>
      <c r="B2383" s="116">
        <v>600.45000000000005</v>
      </c>
      <c r="C2383" s="116">
        <v>582.25</v>
      </c>
      <c r="D2383" s="116">
        <v>581</v>
      </c>
      <c r="E2383" s="116">
        <v>600.45000000000005</v>
      </c>
      <c r="F2383" s="116">
        <v>582.25</v>
      </c>
      <c r="G2383">
        <v>9585</v>
      </c>
      <c r="H2383" s="116"/>
      <c r="I2383" s="116"/>
      <c r="L2383" s="166">
        <v>45513</v>
      </c>
      <c r="M2383" s="116">
        <v>582</v>
      </c>
      <c r="N2383" s="116">
        <v>594.65</v>
      </c>
      <c r="O2383" s="116">
        <v>581</v>
      </c>
      <c r="P2383" s="116">
        <v>591.35</v>
      </c>
      <c r="Q2383" s="116">
        <v>582</v>
      </c>
      <c r="R2383">
        <v>210327</v>
      </c>
    </row>
    <row r="2384" spans="1:18" x14ac:dyDescent="0.25">
      <c r="A2384" s="166">
        <v>45516</v>
      </c>
      <c r="B2384" s="116">
        <v>597.5</v>
      </c>
      <c r="C2384" s="116">
        <v>595.65</v>
      </c>
      <c r="D2384" s="116">
        <v>565.25</v>
      </c>
      <c r="E2384" s="116">
        <v>578.6</v>
      </c>
      <c r="F2384" s="116">
        <v>595.65</v>
      </c>
      <c r="G2384">
        <v>46796</v>
      </c>
      <c r="H2384" s="116"/>
      <c r="I2384" s="116"/>
      <c r="L2384" s="166">
        <v>45516</v>
      </c>
      <c r="M2384" s="116">
        <v>595.70000000000005</v>
      </c>
      <c r="N2384" s="116">
        <v>598</v>
      </c>
      <c r="O2384" s="116">
        <v>565.70000000000005</v>
      </c>
      <c r="P2384" s="116">
        <v>579.79999999999995</v>
      </c>
      <c r="Q2384" s="116">
        <v>595.70000000000005</v>
      </c>
      <c r="R2384">
        <v>414173</v>
      </c>
    </row>
    <row r="2385" spans="1:18" x14ac:dyDescent="0.25">
      <c r="A2385" s="166">
        <v>45517</v>
      </c>
      <c r="B2385" s="116">
        <v>613.15</v>
      </c>
      <c r="C2385" s="116">
        <v>598.75</v>
      </c>
      <c r="D2385" s="116">
        <v>594.9</v>
      </c>
      <c r="E2385" s="116">
        <v>596</v>
      </c>
      <c r="F2385" s="116">
        <v>598.75</v>
      </c>
      <c r="G2385">
        <v>30921</v>
      </c>
      <c r="H2385" s="116"/>
      <c r="I2385" s="116"/>
      <c r="L2385" s="166">
        <v>45517</v>
      </c>
      <c r="M2385" s="116">
        <v>598.15</v>
      </c>
      <c r="N2385" s="116">
        <v>613.65</v>
      </c>
      <c r="O2385" s="116">
        <v>593.70000000000005</v>
      </c>
      <c r="P2385" s="116">
        <v>599.04999999999995</v>
      </c>
      <c r="Q2385" s="116">
        <v>598.15</v>
      </c>
      <c r="R2385">
        <v>345571</v>
      </c>
    </row>
    <row r="2386" spans="1:18" x14ac:dyDescent="0.25">
      <c r="A2386" s="166">
        <v>45518</v>
      </c>
      <c r="B2386" s="116">
        <v>602.1</v>
      </c>
      <c r="C2386" s="116">
        <v>595.25</v>
      </c>
      <c r="D2386" s="116">
        <v>583.04999999999995</v>
      </c>
      <c r="E2386" s="116">
        <v>597</v>
      </c>
      <c r="F2386" s="116">
        <v>595.25</v>
      </c>
      <c r="G2386">
        <v>22330</v>
      </c>
      <c r="H2386" s="116"/>
      <c r="I2386" s="116"/>
      <c r="L2386" s="166">
        <v>45518</v>
      </c>
      <c r="M2386" s="116">
        <v>596.25</v>
      </c>
      <c r="N2386" s="116">
        <v>601.45000000000005</v>
      </c>
      <c r="O2386" s="116">
        <v>583</v>
      </c>
      <c r="P2386" s="116">
        <v>601.45000000000005</v>
      </c>
      <c r="Q2386" s="116">
        <v>596.25</v>
      </c>
      <c r="R2386">
        <v>223164</v>
      </c>
    </row>
    <row r="2387" spans="1:18" x14ac:dyDescent="0.25">
      <c r="A2387" s="166">
        <v>45520</v>
      </c>
      <c r="B2387" s="116">
        <v>611.20000000000005</v>
      </c>
      <c r="C2387" s="116">
        <v>605.4</v>
      </c>
      <c r="D2387" s="116">
        <v>594.15</v>
      </c>
      <c r="E2387" s="116">
        <v>606.95000000000005</v>
      </c>
      <c r="F2387" s="116">
        <v>605.4</v>
      </c>
      <c r="G2387">
        <v>12837</v>
      </c>
      <c r="H2387" s="116"/>
      <c r="I2387" s="116"/>
      <c r="L2387" s="166">
        <v>45520</v>
      </c>
      <c r="M2387" s="116">
        <v>605.54999999999995</v>
      </c>
      <c r="N2387" s="116">
        <v>611.15</v>
      </c>
      <c r="O2387" s="116">
        <v>593.45000000000005</v>
      </c>
      <c r="P2387" s="116">
        <v>602.95000000000005</v>
      </c>
      <c r="Q2387" s="116">
        <v>605.54999999999995</v>
      </c>
      <c r="R2387">
        <v>266521</v>
      </c>
    </row>
    <row r="2388" spans="1:18" x14ac:dyDescent="0.25">
      <c r="A2388" s="166">
        <v>45523</v>
      </c>
      <c r="B2388" s="116">
        <v>610.35</v>
      </c>
      <c r="C2388" s="116">
        <v>605.15</v>
      </c>
      <c r="D2388" s="116">
        <v>604.4</v>
      </c>
      <c r="E2388" s="116">
        <v>610.35</v>
      </c>
      <c r="F2388" s="116">
        <v>605.15</v>
      </c>
      <c r="G2388">
        <v>7514</v>
      </c>
      <c r="H2388" s="116"/>
      <c r="I2388" s="116"/>
      <c r="L2388" s="166">
        <v>45523</v>
      </c>
      <c r="M2388" s="116">
        <v>605.29999999999995</v>
      </c>
      <c r="N2388" s="116">
        <v>611.1</v>
      </c>
      <c r="O2388" s="116">
        <v>604.75</v>
      </c>
      <c r="P2388" s="116">
        <v>608</v>
      </c>
      <c r="Q2388" s="116">
        <v>605.29999999999995</v>
      </c>
      <c r="R2388">
        <v>281530</v>
      </c>
    </row>
    <row r="2389" spans="1:18" x14ac:dyDescent="0.25">
      <c r="A2389" s="166">
        <v>45524</v>
      </c>
      <c r="B2389" s="116">
        <v>617.25</v>
      </c>
      <c r="C2389" s="116">
        <v>609.70000000000005</v>
      </c>
      <c r="D2389" s="116">
        <v>606.20000000000005</v>
      </c>
      <c r="E2389" s="116">
        <v>615</v>
      </c>
      <c r="F2389" s="116">
        <v>609.70000000000005</v>
      </c>
      <c r="G2389">
        <v>10193</v>
      </c>
      <c r="H2389" s="116"/>
      <c r="I2389" s="116"/>
      <c r="L2389" s="166">
        <v>45524</v>
      </c>
      <c r="M2389" s="116">
        <v>610.4</v>
      </c>
      <c r="N2389" s="116">
        <v>616.54999999999995</v>
      </c>
      <c r="O2389" s="116">
        <v>606</v>
      </c>
      <c r="P2389" s="116">
        <v>608.9</v>
      </c>
      <c r="Q2389" s="116">
        <v>610.4</v>
      </c>
      <c r="R2389">
        <v>202809</v>
      </c>
    </row>
    <row r="2390" spans="1:18" x14ac:dyDescent="0.25">
      <c r="A2390" s="166">
        <v>45525</v>
      </c>
      <c r="B2390" s="116">
        <v>615</v>
      </c>
      <c r="C2390" s="116">
        <v>612.4</v>
      </c>
      <c r="D2390" s="116">
        <v>604.54999999999995</v>
      </c>
      <c r="E2390" s="116">
        <v>610</v>
      </c>
      <c r="F2390" s="116">
        <v>612.4</v>
      </c>
      <c r="G2390">
        <v>8973</v>
      </c>
      <c r="H2390" s="116"/>
      <c r="I2390" s="116"/>
      <c r="L2390" s="166">
        <v>45525</v>
      </c>
      <c r="M2390" s="116">
        <v>612.65</v>
      </c>
      <c r="N2390" s="116">
        <v>615</v>
      </c>
      <c r="O2390" s="116">
        <v>604.79999999999995</v>
      </c>
      <c r="P2390" s="116">
        <v>608.9</v>
      </c>
      <c r="Q2390" s="116">
        <v>612.65</v>
      </c>
      <c r="R2390">
        <v>201525</v>
      </c>
    </row>
    <row r="2391" spans="1:18" x14ac:dyDescent="0.25">
      <c r="A2391" s="166">
        <v>45526</v>
      </c>
      <c r="B2391" s="116">
        <v>620.15</v>
      </c>
      <c r="C2391" s="116">
        <v>606.75</v>
      </c>
      <c r="D2391" s="116">
        <v>601.6</v>
      </c>
      <c r="E2391" s="116">
        <v>620.15</v>
      </c>
      <c r="F2391" s="116">
        <v>606.75</v>
      </c>
      <c r="G2391">
        <v>5954</v>
      </c>
      <c r="H2391" s="116"/>
      <c r="I2391" s="116"/>
      <c r="L2391" s="166">
        <v>45526</v>
      </c>
      <c r="M2391" s="116">
        <v>607</v>
      </c>
      <c r="N2391" s="116">
        <v>613.35</v>
      </c>
      <c r="O2391" s="116">
        <v>600.6</v>
      </c>
      <c r="P2391" s="116">
        <v>611.70000000000005</v>
      </c>
      <c r="Q2391" s="116">
        <v>607</v>
      </c>
      <c r="R2391">
        <v>302876</v>
      </c>
    </row>
    <row r="2392" spans="1:18" x14ac:dyDescent="0.25">
      <c r="A2392" s="166">
        <v>45527</v>
      </c>
      <c r="B2392" s="116">
        <v>614.79999999999995</v>
      </c>
      <c r="C2392" s="116">
        <v>610.35</v>
      </c>
      <c r="D2392" s="116">
        <v>605.95000000000005</v>
      </c>
      <c r="E2392" s="116">
        <v>607.79999999999995</v>
      </c>
      <c r="F2392" s="116">
        <v>610.35</v>
      </c>
      <c r="G2392">
        <v>8741</v>
      </c>
      <c r="H2392" s="116"/>
      <c r="I2392" s="116"/>
      <c r="L2392" s="166">
        <v>45527</v>
      </c>
      <c r="M2392" s="116">
        <v>610.95000000000005</v>
      </c>
      <c r="N2392" s="116">
        <v>614</v>
      </c>
      <c r="O2392" s="116">
        <v>605</v>
      </c>
      <c r="P2392" s="116">
        <v>609.15</v>
      </c>
      <c r="Q2392" s="116">
        <v>610.95000000000005</v>
      </c>
      <c r="R2392">
        <v>180607</v>
      </c>
    </row>
    <row r="2393" spans="1:18" x14ac:dyDescent="0.25">
      <c r="A2393" s="166">
        <v>45530</v>
      </c>
      <c r="B2393" s="116">
        <v>616.85</v>
      </c>
      <c r="C2393" s="116">
        <v>609.79999999999995</v>
      </c>
      <c r="D2393" s="116">
        <v>608</v>
      </c>
      <c r="E2393" s="116">
        <v>615.29999999999995</v>
      </c>
      <c r="F2393" s="116">
        <v>609.79999999999995</v>
      </c>
      <c r="G2393">
        <v>7394</v>
      </c>
      <c r="H2393" s="116"/>
      <c r="I2393" s="116"/>
      <c r="L2393" s="166">
        <v>45530</v>
      </c>
      <c r="M2393" s="116">
        <v>610.20000000000005</v>
      </c>
      <c r="N2393" s="116">
        <v>616.5</v>
      </c>
      <c r="O2393" s="116">
        <v>606.75</v>
      </c>
      <c r="P2393" s="116">
        <v>616.5</v>
      </c>
      <c r="Q2393" s="116">
        <v>610.20000000000005</v>
      </c>
      <c r="R2393">
        <v>220921</v>
      </c>
    </row>
    <row r="2394" spans="1:18" x14ac:dyDescent="0.25">
      <c r="A2394" s="166">
        <v>45531</v>
      </c>
      <c r="B2394" s="116">
        <v>619.5</v>
      </c>
      <c r="C2394" s="116">
        <v>617.04999999999995</v>
      </c>
      <c r="D2394" s="116">
        <v>607.95000000000005</v>
      </c>
      <c r="E2394" s="116">
        <v>610.20000000000005</v>
      </c>
      <c r="F2394" s="116">
        <v>617.04999999999995</v>
      </c>
      <c r="G2394">
        <v>14058</v>
      </c>
      <c r="H2394" s="116"/>
      <c r="I2394" s="116"/>
      <c r="L2394" s="166">
        <v>45531</v>
      </c>
      <c r="M2394" s="116">
        <v>617</v>
      </c>
      <c r="N2394" s="116">
        <v>619.5</v>
      </c>
      <c r="O2394" s="116">
        <v>607.29999999999995</v>
      </c>
      <c r="P2394" s="116">
        <v>610.20000000000005</v>
      </c>
      <c r="Q2394" s="116">
        <v>617</v>
      </c>
      <c r="R2394">
        <v>256392</v>
      </c>
    </row>
    <row r="2395" spans="1:18" x14ac:dyDescent="0.25">
      <c r="A2395" s="166">
        <v>45532</v>
      </c>
      <c r="B2395" s="116">
        <v>620.95000000000005</v>
      </c>
      <c r="C2395" s="116">
        <v>616.04999999999995</v>
      </c>
      <c r="D2395" s="116">
        <v>610.45000000000005</v>
      </c>
      <c r="E2395" s="116">
        <v>619</v>
      </c>
      <c r="F2395" s="116">
        <v>616.04999999999995</v>
      </c>
      <c r="G2395">
        <v>19213</v>
      </c>
      <c r="H2395" s="116"/>
      <c r="I2395" s="116"/>
      <c r="L2395" s="166">
        <v>45532</v>
      </c>
      <c r="M2395" s="116">
        <v>615.85</v>
      </c>
      <c r="N2395" s="116">
        <v>621.1</v>
      </c>
      <c r="O2395" s="116">
        <v>610.95000000000005</v>
      </c>
      <c r="P2395" s="116">
        <v>620.5</v>
      </c>
      <c r="Q2395" s="116">
        <v>615.85</v>
      </c>
      <c r="R2395">
        <v>198671</v>
      </c>
    </row>
    <row r="2396" spans="1:18" x14ac:dyDescent="0.25">
      <c r="A2396" s="166">
        <v>45533</v>
      </c>
      <c r="B2396" s="116">
        <v>618.29999999999995</v>
      </c>
      <c r="C2396" s="116">
        <v>615.1</v>
      </c>
      <c r="D2396" s="116">
        <v>610</v>
      </c>
      <c r="E2396" s="116">
        <v>610</v>
      </c>
      <c r="F2396" s="116">
        <v>615.1</v>
      </c>
      <c r="G2396">
        <v>20382</v>
      </c>
      <c r="H2396" s="116"/>
      <c r="I2396" s="116"/>
      <c r="L2396" s="166">
        <v>45533</v>
      </c>
      <c r="M2396" s="116">
        <v>615.15</v>
      </c>
      <c r="N2396" s="116">
        <v>618.65</v>
      </c>
      <c r="O2396" s="116">
        <v>610.20000000000005</v>
      </c>
      <c r="P2396" s="116">
        <v>610.20000000000005</v>
      </c>
      <c r="Q2396" s="116">
        <v>615.15</v>
      </c>
      <c r="R2396">
        <v>136064</v>
      </c>
    </row>
    <row r="2397" spans="1:18" x14ac:dyDescent="0.25">
      <c r="A2397" s="166">
        <v>45534</v>
      </c>
      <c r="B2397" s="116">
        <v>622.5</v>
      </c>
      <c r="C2397" s="116">
        <v>620.54999999999995</v>
      </c>
      <c r="D2397" s="116">
        <v>612.65</v>
      </c>
      <c r="E2397" s="116">
        <v>612.70000000000005</v>
      </c>
      <c r="F2397" s="116">
        <v>620.54999999999995</v>
      </c>
      <c r="G2397">
        <v>5655</v>
      </c>
      <c r="H2397" s="116"/>
      <c r="I2397" s="116"/>
      <c r="L2397" s="166">
        <v>45534</v>
      </c>
      <c r="M2397" s="116">
        <v>621.45000000000005</v>
      </c>
      <c r="N2397" s="116">
        <v>623</v>
      </c>
      <c r="O2397" s="116">
        <v>612</v>
      </c>
      <c r="P2397" s="116">
        <v>615.1</v>
      </c>
      <c r="Q2397" s="116">
        <v>621.45000000000005</v>
      </c>
      <c r="R2397">
        <v>188602</v>
      </c>
    </row>
    <row r="2398" spans="1:18" x14ac:dyDescent="0.25">
      <c r="A2398" s="166">
        <v>45537</v>
      </c>
      <c r="B2398" s="116">
        <v>633.1</v>
      </c>
      <c r="C2398" s="116">
        <v>620.20000000000005</v>
      </c>
      <c r="D2398" s="116">
        <v>612.70000000000005</v>
      </c>
      <c r="E2398" s="116">
        <v>629.95000000000005</v>
      </c>
      <c r="F2398" s="116">
        <v>620.20000000000005</v>
      </c>
      <c r="G2398">
        <v>21821</v>
      </c>
      <c r="H2398" s="116"/>
      <c r="I2398" s="116"/>
      <c r="L2398" s="166">
        <v>45537</v>
      </c>
      <c r="M2398" s="116">
        <v>620.54999999999995</v>
      </c>
      <c r="N2398" s="116">
        <v>633.95000000000005</v>
      </c>
      <c r="O2398" s="116">
        <v>613</v>
      </c>
      <c r="P2398" s="116">
        <v>627</v>
      </c>
      <c r="Q2398" s="116">
        <v>620.54999999999995</v>
      </c>
      <c r="R2398">
        <v>614435</v>
      </c>
    </row>
    <row r="2399" spans="1:18" x14ac:dyDescent="0.25">
      <c r="A2399" s="166">
        <v>45538</v>
      </c>
      <c r="B2399" s="116">
        <v>630</v>
      </c>
      <c r="C2399" s="116">
        <v>628.15</v>
      </c>
      <c r="D2399" s="116">
        <v>620.54999999999995</v>
      </c>
      <c r="E2399" s="116">
        <v>621.1</v>
      </c>
      <c r="F2399" s="116">
        <v>628.15</v>
      </c>
      <c r="G2399">
        <v>8488</v>
      </c>
      <c r="H2399" s="116"/>
      <c r="I2399" s="116"/>
      <c r="L2399" s="166">
        <v>45538</v>
      </c>
      <c r="M2399" s="116">
        <v>626.79999999999995</v>
      </c>
      <c r="N2399" s="116">
        <v>631.04999999999995</v>
      </c>
      <c r="O2399" s="116">
        <v>620.5</v>
      </c>
      <c r="P2399" s="116">
        <v>622.79999999999995</v>
      </c>
      <c r="Q2399" s="116">
        <v>626.79999999999995</v>
      </c>
      <c r="R2399">
        <v>175780</v>
      </c>
    </row>
    <row r="2400" spans="1:18" x14ac:dyDescent="0.25">
      <c r="A2400" s="166">
        <v>45539</v>
      </c>
      <c r="B2400" s="116">
        <v>636</v>
      </c>
      <c r="C2400" s="116">
        <v>619.65</v>
      </c>
      <c r="D2400" s="116">
        <v>614.4</v>
      </c>
      <c r="E2400" s="116">
        <v>615.6</v>
      </c>
      <c r="F2400" s="116">
        <v>619.65</v>
      </c>
      <c r="G2400">
        <v>23270</v>
      </c>
      <c r="H2400" s="116"/>
      <c r="I2400" s="116"/>
      <c r="L2400" s="166">
        <v>45539</v>
      </c>
      <c r="M2400" s="116">
        <v>620.1</v>
      </c>
      <c r="N2400" s="116">
        <v>636.79999999999995</v>
      </c>
      <c r="O2400" s="116">
        <v>615.15</v>
      </c>
      <c r="P2400" s="116">
        <v>615.15</v>
      </c>
      <c r="Q2400" s="116">
        <v>620.1</v>
      </c>
      <c r="R2400">
        <v>212020</v>
      </c>
    </row>
    <row r="2401" spans="1:18" x14ac:dyDescent="0.25">
      <c r="A2401" s="166">
        <v>45540</v>
      </c>
      <c r="B2401" s="116">
        <v>632.04999999999995</v>
      </c>
      <c r="C2401" s="116">
        <v>626.20000000000005</v>
      </c>
      <c r="D2401" s="116">
        <v>622</v>
      </c>
      <c r="E2401" s="116">
        <v>630</v>
      </c>
      <c r="F2401" s="116">
        <v>626.20000000000005</v>
      </c>
      <c r="G2401">
        <v>9241</v>
      </c>
      <c r="H2401" s="116"/>
      <c r="I2401" s="116"/>
      <c r="L2401" s="166">
        <v>45540</v>
      </c>
      <c r="M2401" s="116">
        <v>627.20000000000005</v>
      </c>
      <c r="N2401" s="116">
        <v>632.9</v>
      </c>
      <c r="O2401" s="116">
        <v>620.54999999999995</v>
      </c>
      <c r="P2401" s="116">
        <v>621.20000000000005</v>
      </c>
      <c r="Q2401" s="116">
        <v>627.20000000000005</v>
      </c>
      <c r="R2401">
        <v>386015</v>
      </c>
    </row>
    <row r="2402" spans="1:18" x14ac:dyDescent="0.25">
      <c r="A2402" s="166">
        <v>45541</v>
      </c>
      <c r="B2402" s="116">
        <v>642.5</v>
      </c>
      <c r="C2402" s="116">
        <v>616.29999999999995</v>
      </c>
      <c r="D2402" s="116">
        <v>613.95000000000005</v>
      </c>
      <c r="E2402" s="116">
        <v>633.70000000000005</v>
      </c>
      <c r="F2402" s="116">
        <v>616.29999999999995</v>
      </c>
      <c r="G2402">
        <v>21019</v>
      </c>
      <c r="H2402" s="116"/>
      <c r="I2402" s="116"/>
      <c r="L2402" s="166">
        <v>45541</v>
      </c>
      <c r="M2402" s="116">
        <v>616.35</v>
      </c>
      <c r="N2402" s="116">
        <v>643</v>
      </c>
      <c r="O2402" s="116">
        <v>613.70000000000005</v>
      </c>
      <c r="P2402" s="116">
        <v>630</v>
      </c>
      <c r="Q2402" s="116">
        <v>616.35</v>
      </c>
      <c r="R2402">
        <v>672204</v>
      </c>
    </row>
    <row r="2403" spans="1:18" x14ac:dyDescent="0.25">
      <c r="A2403" s="166">
        <v>45544</v>
      </c>
      <c r="B2403" s="116">
        <v>626</v>
      </c>
      <c r="C2403" s="116">
        <v>621.29999999999995</v>
      </c>
      <c r="D2403" s="116">
        <v>605.20000000000005</v>
      </c>
      <c r="E2403" s="116">
        <v>616</v>
      </c>
      <c r="F2403" s="116">
        <v>621.29999999999995</v>
      </c>
      <c r="G2403">
        <v>11415</v>
      </c>
      <c r="H2403" s="116"/>
      <c r="I2403" s="116"/>
      <c r="L2403" s="166">
        <v>45544</v>
      </c>
      <c r="M2403" s="116">
        <v>622.65</v>
      </c>
      <c r="N2403" s="116">
        <v>626</v>
      </c>
      <c r="O2403" s="116">
        <v>604.20000000000005</v>
      </c>
      <c r="P2403" s="116">
        <v>616.45000000000005</v>
      </c>
      <c r="Q2403" s="116">
        <v>622.65</v>
      </c>
      <c r="R2403">
        <v>272602</v>
      </c>
    </row>
    <row r="2404" spans="1:18" x14ac:dyDescent="0.25">
      <c r="A2404" s="166">
        <v>45545</v>
      </c>
      <c r="B2404" s="116">
        <v>637.45000000000005</v>
      </c>
      <c r="C2404" s="116">
        <v>635.20000000000005</v>
      </c>
      <c r="D2404" s="116">
        <v>621.29999999999995</v>
      </c>
      <c r="E2404" s="116">
        <v>635</v>
      </c>
      <c r="F2404" s="116">
        <v>635.20000000000005</v>
      </c>
      <c r="G2404">
        <v>5642</v>
      </c>
      <c r="H2404" s="116"/>
      <c r="I2404" s="116"/>
      <c r="L2404" s="166">
        <v>45545</v>
      </c>
      <c r="M2404" s="116">
        <v>633.6</v>
      </c>
      <c r="N2404" s="116">
        <v>637</v>
      </c>
      <c r="O2404" s="116">
        <v>620</v>
      </c>
      <c r="P2404" s="116">
        <v>625.6</v>
      </c>
      <c r="Q2404" s="116">
        <v>633.6</v>
      </c>
      <c r="R2404">
        <v>220426</v>
      </c>
    </row>
    <row r="2405" spans="1:18" x14ac:dyDescent="0.25">
      <c r="A2405" s="166">
        <v>45546</v>
      </c>
      <c r="B2405" s="116">
        <v>650</v>
      </c>
      <c r="C2405" s="116">
        <v>616.4</v>
      </c>
      <c r="D2405" s="116">
        <v>613.85</v>
      </c>
      <c r="E2405" s="116">
        <v>635.29999999999995</v>
      </c>
      <c r="F2405" s="116">
        <v>616.4</v>
      </c>
      <c r="G2405">
        <v>36524</v>
      </c>
      <c r="H2405" s="116"/>
      <c r="I2405" s="116"/>
      <c r="L2405" s="166">
        <v>45546</v>
      </c>
      <c r="M2405" s="116">
        <v>617.29999999999995</v>
      </c>
      <c r="N2405" s="116">
        <v>651.70000000000005</v>
      </c>
      <c r="O2405" s="116">
        <v>614.5</v>
      </c>
      <c r="P2405" s="116">
        <v>637.65</v>
      </c>
      <c r="Q2405" s="116">
        <v>617.29999999999995</v>
      </c>
      <c r="R2405">
        <v>288529</v>
      </c>
    </row>
    <row r="2406" spans="1:18" x14ac:dyDescent="0.25">
      <c r="A2406" s="166">
        <v>45547</v>
      </c>
      <c r="B2406" s="116">
        <v>626.70000000000005</v>
      </c>
      <c r="C2406" s="116">
        <v>621.75</v>
      </c>
      <c r="D2406" s="116">
        <v>612.35</v>
      </c>
      <c r="E2406" s="116">
        <v>612.35</v>
      </c>
      <c r="F2406" s="116">
        <v>621.75</v>
      </c>
      <c r="G2406">
        <v>7068</v>
      </c>
      <c r="H2406" s="116"/>
      <c r="I2406" s="116"/>
      <c r="L2406" s="166">
        <v>45547</v>
      </c>
      <c r="M2406" s="116">
        <v>622.65</v>
      </c>
      <c r="N2406" s="116">
        <v>626.70000000000005</v>
      </c>
      <c r="O2406" s="116">
        <v>614.04999999999995</v>
      </c>
      <c r="P2406" s="116">
        <v>619.6</v>
      </c>
      <c r="Q2406" s="116">
        <v>622.65</v>
      </c>
      <c r="R2406">
        <v>145918</v>
      </c>
    </row>
    <row r="2407" spans="1:18" x14ac:dyDescent="0.25">
      <c r="A2407" s="166">
        <v>45548</v>
      </c>
      <c r="B2407" s="116">
        <v>645</v>
      </c>
      <c r="C2407" s="116">
        <v>636.54999999999995</v>
      </c>
      <c r="D2407" s="116">
        <v>619.85</v>
      </c>
      <c r="E2407" s="116">
        <v>621.75</v>
      </c>
      <c r="F2407" s="116">
        <v>636.54999999999995</v>
      </c>
      <c r="G2407">
        <v>14905</v>
      </c>
      <c r="H2407" s="116"/>
      <c r="I2407" s="116"/>
      <c r="L2407" s="166">
        <v>45548</v>
      </c>
      <c r="M2407" s="116">
        <v>638.04999999999995</v>
      </c>
      <c r="N2407" s="116">
        <v>644.9</v>
      </c>
      <c r="O2407" s="116">
        <v>620.04999999999995</v>
      </c>
      <c r="P2407" s="116">
        <v>622.65</v>
      </c>
      <c r="Q2407" s="116">
        <v>638.04999999999995</v>
      </c>
      <c r="R2407">
        <v>418409</v>
      </c>
    </row>
    <row r="2408" spans="1:18" x14ac:dyDescent="0.25">
      <c r="A2408" s="166">
        <v>45551</v>
      </c>
      <c r="B2408" s="116">
        <v>639.04999999999995</v>
      </c>
      <c r="C2408" s="116">
        <v>622.79999999999995</v>
      </c>
      <c r="D2408" s="116">
        <v>621</v>
      </c>
      <c r="E2408" s="116">
        <v>636.65</v>
      </c>
      <c r="F2408" s="116">
        <v>622.79999999999995</v>
      </c>
      <c r="G2408">
        <v>9957</v>
      </c>
      <c r="H2408" s="116"/>
      <c r="I2408" s="116"/>
      <c r="L2408" s="166">
        <v>45551</v>
      </c>
      <c r="M2408" s="116">
        <v>622.6</v>
      </c>
      <c r="N2408" s="116">
        <v>639.15</v>
      </c>
      <c r="O2408" s="116">
        <v>620.5</v>
      </c>
      <c r="P2408" s="116">
        <v>639.04999999999995</v>
      </c>
      <c r="Q2408" s="116">
        <v>622.6</v>
      </c>
      <c r="R2408">
        <v>159899</v>
      </c>
    </row>
    <row r="2409" spans="1:18" x14ac:dyDescent="0.25">
      <c r="A2409" s="166">
        <v>45552</v>
      </c>
      <c r="B2409" s="116">
        <v>628.9</v>
      </c>
      <c r="C2409" s="116">
        <v>625.95000000000005</v>
      </c>
      <c r="D2409" s="116">
        <v>615.65</v>
      </c>
      <c r="E2409" s="116">
        <v>621.04999999999995</v>
      </c>
      <c r="F2409" s="116">
        <v>625.95000000000005</v>
      </c>
      <c r="G2409">
        <v>23237</v>
      </c>
      <c r="H2409" s="116"/>
      <c r="I2409" s="116"/>
      <c r="L2409" s="166">
        <v>45552</v>
      </c>
      <c r="M2409" s="116">
        <v>626.35</v>
      </c>
      <c r="N2409" s="116">
        <v>628.79999999999995</v>
      </c>
      <c r="O2409" s="116">
        <v>616.4</v>
      </c>
      <c r="P2409" s="116">
        <v>622.45000000000005</v>
      </c>
      <c r="Q2409" s="116">
        <v>626.35</v>
      </c>
      <c r="R2409">
        <v>225622</v>
      </c>
    </row>
    <row r="2410" spans="1:18" x14ac:dyDescent="0.25">
      <c r="A2410" s="166">
        <v>45553</v>
      </c>
      <c r="B2410" s="116">
        <v>640</v>
      </c>
      <c r="C2410" s="116">
        <v>630.35</v>
      </c>
      <c r="D2410" s="116">
        <v>625.20000000000005</v>
      </c>
      <c r="E2410" s="116">
        <v>626.45000000000005</v>
      </c>
      <c r="F2410" s="116">
        <v>630.35</v>
      </c>
      <c r="G2410">
        <v>8243</v>
      </c>
      <c r="H2410" s="116"/>
      <c r="I2410" s="116"/>
      <c r="L2410" s="166">
        <v>45553</v>
      </c>
      <c r="M2410" s="116">
        <v>630.70000000000005</v>
      </c>
      <c r="N2410" s="116">
        <v>640.5</v>
      </c>
      <c r="O2410" s="116">
        <v>623</v>
      </c>
      <c r="P2410" s="116">
        <v>626.35</v>
      </c>
      <c r="Q2410" s="116">
        <v>630.70000000000005</v>
      </c>
      <c r="R2410">
        <v>211303</v>
      </c>
    </row>
    <row r="2411" spans="1:18" x14ac:dyDescent="0.25">
      <c r="A2411" s="166">
        <v>45554</v>
      </c>
      <c r="B2411" s="116">
        <v>633.20000000000005</v>
      </c>
      <c r="C2411" s="116">
        <v>621.35</v>
      </c>
      <c r="D2411" s="116">
        <v>611.45000000000005</v>
      </c>
      <c r="E2411" s="116">
        <v>630</v>
      </c>
      <c r="F2411" s="116">
        <v>621.35</v>
      </c>
      <c r="G2411">
        <v>11701</v>
      </c>
      <c r="H2411" s="116"/>
      <c r="I2411" s="116"/>
      <c r="L2411" s="166">
        <v>45554</v>
      </c>
      <c r="M2411" s="116">
        <v>621.65</v>
      </c>
      <c r="N2411" s="116">
        <v>632.95000000000005</v>
      </c>
      <c r="O2411" s="116">
        <v>611.04999999999995</v>
      </c>
      <c r="P2411" s="116">
        <v>631</v>
      </c>
      <c r="Q2411" s="116">
        <v>621.65</v>
      </c>
      <c r="R2411">
        <v>438228</v>
      </c>
    </row>
    <row r="2412" spans="1:18" x14ac:dyDescent="0.25">
      <c r="A2412" s="166">
        <v>45555</v>
      </c>
      <c r="B2412" s="116">
        <v>640</v>
      </c>
      <c r="C2412" s="116">
        <v>633.65</v>
      </c>
      <c r="D2412" s="116">
        <v>619.6</v>
      </c>
      <c r="E2412" s="116">
        <v>622.65</v>
      </c>
      <c r="F2412" s="116">
        <v>633.65</v>
      </c>
      <c r="G2412">
        <v>19374</v>
      </c>
      <c r="H2412" s="116"/>
      <c r="I2412" s="116"/>
      <c r="L2412" s="166">
        <v>45555</v>
      </c>
      <c r="M2412" s="116">
        <v>636.1</v>
      </c>
      <c r="N2412" s="116">
        <v>640.1</v>
      </c>
      <c r="O2412" s="116">
        <v>619.45000000000005</v>
      </c>
      <c r="P2412" s="116">
        <v>624.4</v>
      </c>
      <c r="Q2412" s="116">
        <v>636.1</v>
      </c>
      <c r="R2412">
        <v>411989</v>
      </c>
    </row>
    <row r="2413" spans="1:18" x14ac:dyDescent="0.25">
      <c r="A2413" s="166">
        <v>45558</v>
      </c>
      <c r="B2413" s="116">
        <v>673.35</v>
      </c>
      <c r="C2413" s="116">
        <v>657.95</v>
      </c>
      <c r="D2413" s="116">
        <v>631.4</v>
      </c>
      <c r="E2413" s="116">
        <v>631.4</v>
      </c>
      <c r="F2413" s="116">
        <v>657.95</v>
      </c>
      <c r="G2413">
        <v>53528</v>
      </c>
      <c r="H2413" s="116"/>
      <c r="I2413" s="116"/>
      <c r="L2413" s="166">
        <v>45558</v>
      </c>
      <c r="M2413" s="116">
        <v>657.85</v>
      </c>
      <c r="N2413" s="116">
        <v>674</v>
      </c>
      <c r="O2413" s="116">
        <v>636.1</v>
      </c>
      <c r="P2413" s="116">
        <v>638</v>
      </c>
      <c r="Q2413" s="116">
        <v>657.85</v>
      </c>
      <c r="R2413">
        <v>1703108</v>
      </c>
    </row>
    <row r="2414" spans="1:18" x14ac:dyDescent="0.25">
      <c r="A2414" s="166">
        <v>45559</v>
      </c>
      <c r="B2414" s="116">
        <v>667</v>
      </c>
      <c r="C2414" s="116">
        <v>661.2</v>
      </c>
      <c r="D2414" s="116">
        <v>656.3</v>
      </c>
      <c r="E2414" s="116">
        <v>664.95</v>
      </c>
      <c r="F2414" s="116">
        <v>661.2</v>
      </c>
      <c r="G2414">
        <v>41098</v>
      </c>
      <c r="H2414" s="116"/>
      <c r="I2414" s="116"/>
      <c r="L2414" s="166">
        <v>45559</v>
      </c>
      <c r="M2414" s="116">
        <v>661.7</v>
      </c>
      <c r="N2414" s="116">
        <v>667</v>
      </c>
      <c r="O2414" s="116">
        <v>656.15</v>
      </c>
      <c r="P2414" s="116">
        <v>663.85</v>
      </c>
      <c r="Q2414" s="116">
        <v>661.7</v>
      </c>
      <c r="R2414">
        <v>432258</v>
      </c>
    </row>
    <row r="2415" spans="1:18" x14ac:dyDescent="0.25">
      <c r="A2415" s="166">
        <v>45560</v>
      </c>
      <c r="B2415" s="116">
        <v>669.95</v>
      </c>
      <c r="C2415" s="116">
        <v>662.95</v>
      </c>
      <c r="D2415" s="116">
        <v>658.5</v>
      </c>
      <c r="E2415" s="116">
        <v>669.95</v>
      </c>
      <c r="F2415" s="116">
        <v>662.95</v>
      </c>
      <c r="G2415">
        <v>15268</v>
      </c>
      <c r="H2415" s="116"/>
      <c r="I2415" s="116"/>
      <c r="L2415" s="166">
        <v>45560</v>
      </c>
      <c r="M2415" s="116">
        <v>663.6</v>
      </c>
      <c r="N2415" s="116">
        <v>669.9</v>
      </c>
      <c r="O2415" s="116">
        <v>659</v>
      </c>
      <c r="P2415" s="116">
        <v>663</v>
      </c>
      <c r="Q2415" s="116">
        <v>663.6</v>
      </c>
      <c r="R2415">
        <v>318954</v>
      </c>
    </row>
    <row r="2416" spans="1:18" x14ac:dyDescent="0.25">
      <c r="A2416" s="166">
        <v>45561</v>
      </c>
      <c r="B2416" s="116">
        <v>710</v>
      </c>
      <c r="C2416" s="116">
        <v>702.4</v>
      </c>
      <c r="D2416" s="116">
        <v>663.6</v>
      </c>
      <c r="E2416" s="116">
        <v>663.6</v>
      </c>
      <c r="F2416" s="116">
        <v>702.4</v>
      </c>
      <c r="G2416">
        <v>145387</v>
      </c>
      <c r="H2416" s="116"/>
      <c r="I2416" s="116"/>
      <c r="L2416" s="166">
        <v>45561</v>
      </c>
      <c r="M2416" s="116">
        <v>702.3</v>
      </c>
      <c r="N2416" s="116">
        <v>710</v>
      </c>
      <c r="O2416" s="116">
        <v>665.8</v>
      </c>
      <c r="P2416" s="116">
        <v>666.35</v>
      </c>
      <c r="Q2416" s="116">
        <v>702.3</v>
      </c>
      <c r="R2416">
        <v>5019535</v>
      </c>
    </row>
    <row r="2417" spans="1:18" x14ac:dyDescent="0.25">
      <c r="A2417" s="166">
        <v>45562</v>
      </c>
      <c r="B2417" s="116">
        <v>708</v>
      </c>
      <c r="C2417" s="116">
        <v>695.25</v>
      </c>
      <c r="D2417" s="116">
        <v>688.5</v>
      </c>
      <c r="E2417" s="116">
        <v>703.1</v>
      </c>
      <c r="F2417" s="116">
        <v>695.25</v>
      </c>
      <c r="G2417">
        <v>67727</v>
      </c>
      <c r="H2417" s="116"/>
      <c r="I2417" s="116"/>
      <c r="L2417" s="166">
        <v>45562</v>
      </c>
      <c r="M2417" s="116">
        <v>695.3</v>
      </c>
      <c r="N2417" s="116">
        <v>708.8</v>
      </c>
      <c r="O2417" s="116">
        <v>688.95</v>
      </c>
      <c r="P2417" s="116">
        <v>703.9</v>
      </c>
      <c r="Q2417" s="116">
        <v>695.3</v>
      </c>
      <c r="R2417">
        <v>712037</v>
      </c>
    </row>
    <row r="2418" spans="1:18" x14ac:dyDescent="0.25">
      <c r="A2418" s="166">
        <v>45565</v>
      </c>
      <c r="B2418" s="116">
        <v>703.25</v>
      </c>
      <c r="C2418" s="116">
        <v>700</v>
      </c>
      <c r="D2418" s="116">
        <v>688</v>
      </c>
      <c r="E2418" s="116">
        <v>699.7</v>
      </c>
      <c r="F2418" s="116">
        <v>700</v>
      </c>
      <c r="G2418">
        <v>18337</v>
      </c>
      <c r="H2418" s="116"/>
      <c r="I2418" s="116"/>
      <c r="L2418" s="166">
        <v>45565</v>
      </c>
      <c r="M2418" s="116">
        <v>700.05</v>
      </c>
      <c r="N2418" s="116">
        <v>704.75</v>
      </c>
      <c r="O2418" s="116">
        <v>685.8</v>
      </c>
      <c r="P2418" s="116">
        <v>696.5</v>
      </c>
      <c r="Q2418" s="116">
        <v>700.05</v>
      </c>
      <c r="R2418">
        <v>415088</v>
      </c>
    </row>
    <row r="2419" spans="1:18" x14ac:dyDescent="0.25">
      <c r="A2419" s="166">
        <v>45566</v>
      </c>
      <c r="B2419" s="116">
        <v>717.9</v>
      </c>
      <c r="C2419" s="116">
        <v>695.4</v>
      </c>
      <c r="D2419" s="116">
        <v>690.75</v>
      </c>
      <c r="E2419" s="116">
        <v>706</v>
      </c>
      <c r="F2419" s="116">
        <v>695.4</v>
      </c>
      <c r="G2419">
        <v>20566</v>
      </c>
      <c r="H2419" s="116"/>
      <c r="I2419" s="116"/>
      <c r="L2419" s="166">
        <v>45566</v>
      </c>
      <c r="M2419" s="116">
        <v>696.45</v>
      </c>
      <c r="N2419" s="116">
        <v>719.8</v>
      </c>
      <c r="O2419" s="116">
        <v>690.3</v>
      </c>
      <c r="P2419" s="116">
        <v>705</v>
      </c>
      <c r="Q2419" s="116">
        <v>696.45</v>
      </c>
      <c r="R2419">
        <v>608290</v>
      </c>
    </row>
    <row r="2420" spans="1:18" x14ac:dyDescent="0.25">
      <c r="A2420" s="166">
        <v>45568</v>
      </c>
      <c r="B2420" s="116">
        <v>708.95</v>
      </c>
      <c r="C2420" s="116">
        <v>689.85</v>
      </c>
      <c r="D2420" s="116">
        <v>673.55</v>
      </c>
      <c r="E2420" s="116">
        <v>685</v>
      </c>
      <c r="F2420" s="116">
        <v>689.85</v>
      </c>
      <c r="G2420">
        <v>20279</v>
      </c>
      <c r="H2420" s="116"/>
      <c r="I2420" s="116"/>
      <c r="L2420" s="166">
        <v>45568</v>
      </c>
      <c r="M2420" s="116">
        <v>689.85</v>
      </c>
      <c r="N2420" s="116">
        <v>706.5</v>
      </c>
      <c r="O2420" s="116">
        <v>671.6</v>
      </c>
      <c r="P2420" s="116">
        <v>684.5</v>
      </c>
      <c r="Q2420" s="116">
        <v>689.85</v>
      </c>
      <c r="R2420">
        <v>611611</v>
      </c>
    </row>
    <row r="2421" spans="1:18" x14ac:dyDescent="0.25">
      <c r="A2421" s="166">
        <v>45569</v>
      </c>
      <c r="B2421" s="116">
        <v>700</v>
      </c>
      <c r="C2421" s="116">
        <v>676.1</v>
      </c>
      <c r="D2421" s="116">
        <v>671.8</v>
      </c>
      <c r="E2421" s="116">
        <v>696.65</v>
      </c>
      <c r="F2421" s="116">
        <v>676.1</v>
      </c>
      <c r="G2421">
        <v>43235</v>
      </c>
      <c r="H2421" s="116"/>
      <c r="I2421" s="116"/>
      <c r="L2421" s="166">
        <v>45569</v>
      </c>
      <c r="M2421" s="116">
        <v>675.8</v>
      </c>
      <c r="N2421" s="116">
        <v>699.9</v>
      </c>
      <c r="O2421" s="116">
        <v>672.1</v>
      </c>
      <c r="P2421" s="116">
        <v>689.05</v>
      </c>
      <c r="Q2421" s="116">
        <v>675.8</v>
      </c>
      <c r="R2421">
        <v>402734</v>
      </c>
    </row>
    <row r="2422" spans="1:18" x14ac:dyDescent="0.25">
      <c r="A2422" s="166">
        <v>45572</v>
      </c>
      <c r="B2422" s="116">
        <v>673.45</v>
      </c>
      <c r="C2422" s="116">
        <v>626.4</v>
      </c>
      <c r="D2422" s="116">
        <v>621</v>
      </c>
      <c r="E2422" s="116">
        <v>672.6</v>
      </c>
      <c r="F2422" s="116">
        <v>626.4</v>
      </c>
      <c r="G2422">
        <v>67310</v>
      </c>
      <c r="H2422" s="116"/>
      <c r="I2422" s="116"/>
      <c r="L2422" s="166">
        <v>45572</v>
      </c>
      <c r="M2422" s="116">
        <v>624.95000000000005</v>
      </c>
      <c r="N2422" s="116">
        <v>675.45</v>
      </c>
      <c r="O2422" s="116">
        <v>621.04999999999995</v>
      </c>
      <c r="P2422" s="116">
        <v>675.45</v>
      </c>
      <c r="Q2422" s="116">
        <v>624.95000000000005</v>
      </c>
      <c r="R2422">
        <v>903088</v>
      </c>
    </row>
    <row r="2423" spans="1:18" x14ac:dyDescent="0.25">
      <c r="A2423" s="166">
        <v>45573</v>
      </c>
      <c r="B2423" s="116">
        <v>642</v>
      </c>
      <c r="C2423" s="116">
        <v>638.54999999999995</v>
      </c>
      <c r="D2423" s="116">
        <v>617.4</v>
      </c>
      <c r="E2423" s="116">
        <v>625</v>
      </c>
      <c r="F2423" s="116">
        <v>638.54999999999995</v>
      </c>
      <c r="G2423">
        <v>29449</v>
      </c>
      <c r="H2423" s="116"/>
      <c r="I2423" s="116"/>
      <c r="L2423" s="166">
        <v>45573</v>
      </c>
      <c r="M2423" s="116">
        <v>637.85</v>
      </c>
      <c r="N2423" s="116">
        <v>641</v>
      </c>
      <c r="O2423" s="116">
        <v>618</v>
      </c>
      <c r="P2423" s="116">
        <v>625.95000000000005</v>
      </c>
      <c r="Q2423" s="116">
        <v>637.85</v>
      </c>
      <c r="R2423">
        <v>387849</v>
      </c>
    </row>
    <row r="2424" spans="1:18" x14ac:dyDescent="0.25">
      <c r="A2424" s="166">
        <v>45574</v>
      </c>
      <c r="B2424" s="116">
        <v>659.1</v>
      </c>
      <c r="C2424" s="116">
        <v>655.45</v>
      </c>
      <c r="D2424" s="116">
        <v>633.25</v>
      </c>
      <c r="E2424" s="116">
        <v>639.04999999999995</v>
      </c>
      <c r="F2424" s="116">
        <v>655.45</v>
      </c>
      <c r="G2424">
        <v>27307</v>
      </c>
      <c r="H2424" s="116"/>
      <c r="I2424" s="116"/>
      <c r="L2424" s="166">
        <v>45574</v>
      </c>
      <c r="M2424" s="116">
        <v>655.55</v>
      </c>
      <c r="N2424" s="116">
        <v>658.35</v>
      </c>
      <c r="O2424" s="116">
        <v>634</v>
      </c>
      <c r="P2424" s="116">
        <v>642.95000000000005</v>
      </c>
      <c r="Q2424" s="116">
        <v>655.55</v>
      </c>
      <c r="R2424">
        <v>428209</v>
      </c>
    </row>
    <row r="2425" spans="1:18" x14ac:dyDescent="0.25">
      <c r="A2425" s="166">
        <v>45575</v>
      </c>
      <c r="B2425" s="116">
        <v>709</v>
      </c>
      <c r="C2425" s="116">
        <v>701.6</v>
      </c>
      <c r="D2425" s="116">
        <v>658.7</v>
      </c>
      <c r="E2425" s="116">
        <v>681</v>
      </c>
      <c r="F2425" s="116">
        <v>701.6</v>
      </c>
      <c r="G2425">
        <v>50019</v>
      </c>
      <c r="H2425" s="116"/>
      <c r="I2425" s="116"/>
      <c r="L2425" s="166">
        <v>45575</v>
      </c>
      <c r="M2425" s="116">
        <v>702</v>
      </c>
      <c r="N2425" s="116">
        <v>709.4</v>
      </c>
      <c r="O2425" s="116">
        <v>655.55</v>
      </c>
      <c r="P2425" s="116">
        <v>662.05</v>
      </c>
      <c r="Q2425" s="116">
        <v>702</v>
      </c>
      <c r="R2425">
        <v>1646873</v>
      </c>
    </row>
    <row r="2426" spans="1:18" x14ac:dyDescent="0.25">
      <c r="A2426" s="166">
        <v>45576</v>
      </c>
      <c r="B2426" s="116">
        <v>717</v>
      </c>
      <c r="C2426" s="116">
        <v>689.65</v>
      </c>
      <c r="D2426" s="116">
        <v>681</v>
      </c>
      <c r="E2426" s="116">
        <v>705</v>
      </c>
      <c r="F2426" s="116">
        <v>689.65</v>
      </c>
      <c r="G2426">
        <v>18165</v>
      </c>
      <c r="H2426" s="116"/>
      <c r="I2426" s="116"/>
      <c r="L2426" s="166">
        <v>45576</v>
      </c>
      <c r="M2426" s="116">
        <v>689.7</v>
      </c>
      <c r="N2426" s="116">
        <v>717.85</v>
      </c>
      <c r="O2426" s="116">
        <v>681</v>
      </c>
      <c r="P2426" s="116">
        <v>701.85</v>
      </c>
      <c r="Q2426" s="116">
        <v>689.7</v>
      </c>
      <c r="R2426">
        <v>638351</v>
      </c>
    </row>
    <row r="2427" spans="1:18" x14ac:dyDescent="0.25">
      <c r="A2427" s="166">
        <v>45579</v>
      </c>
      <c r="B2427" s="116">
        <v>710.55</v>
      </c>
      <c r="C2427" s="116">
        <v>696.45</v>
      </c>
      <c r="D2427" s="116">
        <v>687.1</v>
      </c>
      <c r="E2427" s="116">
        <v>697.8</v>
      </c>
      <c r="F2427" s="116">
        <v>696.45</v>
      </c>
      <c r="G2427">
        <v>16429</v>
      </c>
      <c r="H2427" s="116"/>
      <c r="I2427" s="116"/>
      <c r="L2427" s="166">
        <v>45579</v>
      </c>
      <c r="M2427" s="116">
        <v>695.65</v>
      </c>
      <c r="N2427" s="116">
        <v>711.65</v>
      </c>
      <c r="O2427" s="116">
        <v>688.35</v>
      </c>
      <c r="P2427" s="116">
        <v>692.25</v>
      </c>
      <c r="Q2427" s="116">
        <v>695.65</v>
      </c>
      <c r="R2427">
        <v>392809</v>
      </c>
    </row>
    <row r="2428" spans="1:18" x14ac:dyDescent="0.25">
      <c r="A2428" s="166">
        <v>45580</v>
      </c>
      <c r="B2428" s="116">
        <v>712.6</v>
      </c>
      <c r="C2428" s="116">
        <v>707.5</v>
      </c>
      <c r="D2428" s="116">
        <v>687.75</v>
      </c>
      <c r="E2428" s="116">
        <v>707.8</v>
      </c>
      <c r="F2428" s="116">
        <v>707.5</v>
      </c>
      <c r="G2428">
        <v>43466</v>
      </c>
      <c r="H2428" s="116"/>
      <c r="I2428" s="116"/>
      <c r="L2428" s="166">
        <v>45580</v>
      </c>
      <c r="M2428" s="116">
        <v>707.95</v>
      </c>
      <c r="N2428" s="116">
        <v>713.4</v>
      </c>
      <c r="O2428" s="116">
        <v>689</v>
      </c>
      <c r="P2428" s="116">
        <v>697.95</v>
      </c>
      <c r="Q2428" s="116">
        <v>707.95</v>
      </c>
      <c r="R2428">
        <v>447652</v>
      </c>
    </row>
    <row r="2429" spans="1:18" x14ac:dyDescent="0.25">
      <c r="A2429" s="166">
        <v>45581</v>
      </c>
      <c r="B2429" s="116">
        <v>738.85</v>
      </c>
      <c r="C2429" s="116">
        <v>731.75</v>
      </c>
      <c r="D2429" s="116">
        <v>705.95</v>
      </c>
      <c r="E2429" s="116">
        <v>714.95</v>
      </c>
      <c r="F2429" s="116">
        <v>731.75</v>
      </c>
      <c r="G2429">
        <v>58451</v>
      </c>
      <c r="H2429" s="116"/>
      <c r="I2429" s="116"/>
      <c r="L2429" s="166">
        <v>45581</v>
      </c>
      <c r="M2429" s="116">
        <v>731.25</v>
      </c>
      <c r="N2429" s="116">
        <v>739</v>
      </c>
      <c r="O2429" s="116">
        <v>706.05</v>
      </c>
      <c r="P2429" s="116">
        <v>713</v>
      </c>
      <c r="Q2429" s="116">
        <v>731.25</v>
      </c>
      <c r="R2429">
        <v>1318409</v>
      </c>
    </row>
    <row r="2430" spans="1:18" x14ac:dyDescent="0.25">
      <c r="A2430" s="166">
        <v>45582</v>
      </c>
      <c r="B2430" s="116">
        <v>738</v>
      </c>
      <c r="C2430" s="116">
        <v>721.35</v>
      </c>
      <c r="D2430" s="116">
        <v>713.1</v>
      </c>
      <c r="E2430" s="116">
        <v>731.15</v>
      </c>
      <c r="F2430" s="116">
        <v>721.35</v>
      </c>
      <c r="G2430">
        <v>36353</v>
      </c>
      <c r="H2430" s="116"/>
      <c r="I2430" s="116"/>
      <c r="L2430" s="166">
        <v>45582</v>
      </c>
      <c r="M2430" s="116">
        <v>721.45</v>
      </c>
      <c r="N2430" s="116">
        <v>739.1</v>
      </c>
      <c r="O2430" s="116">
        <v>712.95</v>
      </c>
      <c r="P2430" s="116">
        <v>734.5</v>
      </c>
      <c r="Q2430" s="116">
        <v>721.45</v>
      </c>
      <c r="R2430">
        <v>624367</v>
      </c>
    </row>
    <row r="2431" spans="1:18" x14ac:dyDescent="0.25">
      <c r="A2431" s="166">
        <v>45583</v>
      </c>
      <c r="B2431" s="116">
        <v>718.8</v>
      </c>
      <c r="C2431" s="116">
        <v>626.25</v>
      </c>
      <c r="D2431" s="116">
        <v>620.9</v>
      </c>
      <c r="E2431" s="116">
        <v>711.05</v>
      </c>
      <c r="F2431" s="116">
        <v>626.25</v>
      </c>
      <c r="G2431">
        <v>142599</v>
      </c>
      <c r="H2431" s="116"/>
      <c r="I2431" s="116"/>
      <c r="L2431" s="166">
        <v>45583</v>
      </c>
      <c r="M2431" s="116">
        <v>626.4</v>
      </c>
      <c r="N2431" s="116">
        <v>718.7</v>
      </c>
      <c r="O2431" s="116">
        <v>621</v>
      </c>
      <c r="P2431" s="116">
        <v>718.7</v>
      </c>
      <c r="Q2431" s="116">
        <v>626.4</v>
      </c>
      <c r="R2431">
        <v>3580082</v>
      </c>
    </row>
    <row r="2432" spans="1:18" x14ac:dyDescent="0.25">
      <c r="A2432" s="166">
        <v>45586</v>
      </c>
      <c r="B2432" s="116">
        <v>636.79999999999995</v>
      </c>
      <c r="C2432" s="116">
        <v>596.15</v>
      </c>
      <c r="D2432" s="116">
        <v>585.4</v>
      </c>
      <c r="E2432" s="116">
        <v>627.04999999999995</v>
      </c>
      <c r="F2432" s="116">
        <v>596.15</v>
      </c>
      <c r="G2432">
        <v>59309</v>
      </c>
      <c r="H2432" s="116"/>
      <c r="I2432" s="116"/>
      <c r="L2432" s="166">
        <v>45586</v>
      </c>
      <c r="M2432" s="116">
        <v>594.5</v>
      </c>
      <c r="N2432" s="116">
        <v>637.65</v>
      </c>
      <c r="O2432" s="116">
        <v>585.1</v>
      </c>
      <c r="P2432" s="116">
        <v>636.15</v>
      </c>
      <c r="Q2432" s="116">
        <v>594.5</v>
      </c>
      <c r="R2432">
        <v>2365271</v>
      </c>
    </row>
    <row r="2433" spans="1:18" x14ac:dyDescent="0.25">
      <c r="A2433" s="166">
        <v>45587</v>
      </c>
      <c r="B2433" s="116">
        <v>600.95000000000005</v>
      </c>
      <c r="C2433" s="116">
        <v>588.79999999999995</v>
      </c>
      <c r="D2433" s="116">
        <v>571.65</v>
      </c>
      <c r="E2433" s="116">
        <v>596.20000000000005</v>
      </c>
      <c r="F2433" s="116">
        <v>588.79999999999995</v>
      </c>
      <c r="G2433">
        <v>92263</v>
      </c>
      <c r="H2433" s="116"/>
      <c r="I2433" s="116"/>
      <c r="L2433" s="166">
        <v>45587</v>
      </c>
      <c r="M2433" s="116">
        <v>588.95000000000005</v>
      </c>
      <c r="N2433" s="116">
        <v>603.95000000000005</v>
      </c>
      <c r="O2433" s="116">
        <v>571.4</v>
      </c>
      <c r="P2433" s="116">
        <v>603.95000000000005</v>
      </c>
      <c r="Q2433" s="116">
        <v>588.95000000000005</v>
      </c>
      <c r="R2433">
        <v>1608814</v>
      </c>
    </row>
    <row r="2434" spans="1:18" x14ac:dyDescent="0.25">
      <c r="A2434" s="166">
        <v>45588</v>
      </c>
      <c r="B2434" s="116">
        <v>606.25</v>
      </c>
      <c r="C2434" s="116">
        <v>597.5</v>
      </c>
      <c r="D2434" s="116">
        <v>587.5</v>
      </c>
      <c r="E2434" s="116">
        <v>587.5</v>
      </c>
      <c r="F2434" s="116">
        <v>597.5</v>
      </c>
      <c r="G2434">
        <v>20577</v>
      </c>
      <c r="H2434" s="116"/>
      <c r="I2434" s="116"/>
      <c r="L2434" s="166">
        <v>45588</v>
      </c>
      <c r="M2434" s="116">
        <v>599.15</v>
      </c>
      <c r="N2434" s="116">
        <v>606.20000000000005</v>
      </c>
      <c r="O2434" s="116">
        <v>590.29999999999995</v>
      </c>
      <c r="P2434" s="116">
        <v>591.5</v>
      </c>
      <c r="Q2434" s="116">
        <v>599.15</v>
      </c>
      <c r="R2434">
        <v>723826</v>
      </c>
    </row>
    <row r="2435" spans="1:18" x14ac:dyDescent="0.25">
      <c r="A2435" s="166">
        <v>45589</v>
      </c>
      <c r="B2435" s="116">
        <v>603.45000000000005</v>
      </c>
      <c r="C2435" s="116">
        <v>581.95000000000005</v>
      </c>
      <c r="D2435" s="116">
        <v>574.70000000000005</v>
      </c>
      <c r="E2435" s="116">
        <v>603.45000000000005</v>
      </c>
      <c r="F2435" s="116">
        <v>581.95000000000005</v>
      </c>
      <c r="G2435">
        <v>19186</v>
      </c>
      <c r="H2435" s="116"/>
      <c r="I2435" s="116"/>
      <c r="L2435" s="166">
        <v>45589</v>
      </c>
      <c r="M2435" s="116">
        <v>581.1</v>
      </c>
      <c r="N2435" s="116">
        <v>601.29999999999995</v>
      </c>
      <c r="O2435" s="116">
        <v>574.15</v>
      </c>
      <c r="P2435" s="116">
        <v>600.45000000000005</v>
      </c>
      <c r="Q2435" s="116">
        <v>581.1</v>
      </c>
      <c r="R2435">
        <v>539629</v>
      </c>
    </row>
    <row r="2436" spans="1:18" x14ac:dyDescent="0.25">
      <c r="A2436" s="166">
        <v>45590</v>
      </c>
      <c r="B2436" s="116">
        <v>584.4</v>
      </c>
      <c r="C2436" s="116">
        <v>541.75</v>
      </c>
      <c r="D2436" s="116">
        <v>528.85</v>
      </c>
      <c r="E2436" s="116">
        <v>582</v>
      </c>
      <c r="F2436" s="116">
        <v>541.75</v>
      </c>
      <c r="G2436">
        <v>90633</v>
      </c>
      <c r="H2436" s="116"/>
      <c r="I2436" s="116"/>
      <c r="L2436" s="166">
        <v>45590</v>
      </c>
      <c r="M2436" s="116">
        <v>541.54999999999995</v>
      </c>
      <c r="N2436" s="116">
        <v>584.25</v>
      </c>
      <c r="O2436" s="116">
        <v>527.54999999999995</v>
      </c>
      <c r="P2436" s="116">
        <v>581.1</v>
      </c>
      <c r="Q2436" s="116">
        <v>541.54999999999995</v>
      </c>
      <c r="R2436">
        <v>1583593</v>
      </c>
    </row>
    <row r="2437" spans="1:18" x14ac:dyDescent="0.25">
      <c r="A2437" s="166">
        <v>45593</v>
      </c>
      <c r="B2437" s="116">
        <v>568</v>
      </c>
      <c r="C2437" s="116">
        <v>562.6</v>
      </c>
      <c r="D2437" s="116">
        <v>531.35</v>
      </c>
      <c r="E2437" s="116">
        <v>553.95000000000005</v>
      </c>
      <c r="F2437" s="116">
        <v>562.6</v>
      </c>
      <c r="G2437">
        <v>62490</v>
      </c>
      <c r="H2437" s="116"/>
      <c r="I2437" s="116"/>
      <c r="L2437" s="166">
        <v>45593</v>
      </c>
      <c r="M2437" s="116">
        <v>564</v>
      </c>
      <c r="N2437" s="116">
        <v>568.65</v>
      </c>
      <c r="O2437" s="116">
        <v>530.75</v>
      </c>
      <c r="P2437" s="116">
        <v>545.75</v>
      </c>
      <c r="Q2437" s="116">
        <v>564</v>
      </c>
      <c r="R2437">
        <v>851004</v>
      </c>
    </row>
    <row r="2438" spans="1:18" x14ac:dyDescent="0.25">
      <c r="A2438" s="166">
        <v>45594</v>
      </c>
      <c r="B2438" s="116">
        <v>563.85</v>
      </c>
      <c r="C2438" s="116">
        <v>548.65</v>
      </c>
      <c r="D2438" s="116">
        <v>539.20000000000005</v>
      </c>
      <c r="E2438" s="116">
        <v>559.45000000000005</v>
      </c>
      <c r="F2438" s="116">
        <v>548.65</v>
      </c>
      <c r="G2438">
        <v>30130</v>
      </c>
      <c r="H2438" s="116"/>
      <c r="I2438" s="116"/>
      <c r="L2438" s="166">
        <v>45594</v>
      </c>
      <c r="M2438" s="116">
        <v>548.75</v>
      </c>
      <c r="N2438" s="116">
        <v>563.9</v>
      </c>
      <c r="O2438" s="116">
        <v>538.75</v>
      </c>
      <c r="P2438" s="116">
        <v>555.04999999999995</v>
      </c>
      <c r="Q2438" s="116">
        <v>548.75</v>
      </c>
      <c r="R2438">
        <v>509305</v>
      </c>
    </row>
    <row r="2439" spans="1:18" x14ac:dyDescent="0.25">
      <c r="A2439" s="166">
        <v>45595</v>
      </c>
      <c r="B2439" s="116">
        <v>556.35</v>
      </c>
      <c r="C2439" s="116">
        <v>551.4</v>
      </c>
      <c r="D2439" s="116">
        <v>536</v>
      </c>
      <c r="E2439" s="116">
        <v>545</v>
      </c>
      <c r="F2439" s="116">
        <v>551.4</v>
      </c>
      <c r="G2439">
        <v>17687</v>
      </c>
      <c r="H2439" s="116"/>
      <c r="I2439" s="116"/>
      <c r="L2439" s="166">
        <v>45595</v>
      </c>
      <c r="M2439" s="116">
        <v>551.1</v>
      </c>
      <c r="N2439" s="116">
        <v>556.85</v>
      </c>
      <c r="O2439" s="116">
        <v>535.6</v>
      </c>
      <c r="P2439" s="116">
        <v>550.95000000000005</v>
      </c>
      <c r="Q2439" s="116">
        <v>551.1</v>
      </c>
      <c r="R2439">
        <v>701882</v>
      </c>
    </row>
    <row r="2440" spans="1:18" x14ac:dyDescent="0.25">
      <c r="A2440" s="166">
        <v>45596</v>
      </c>
      <c r="B2440" s="116">
        <v>579</v>
      </c>
      <c r="C2440" s="116">
        <v>574.70000000000005</v>
      </c>
      <c r="D2440" s="116">
        <v>547</v>
      </c>
      <c r="E2440" s="116">
        <v>555</v>
      </c>
      <c r="F2440" s="116">
        <v>574.70000000000005</v>
      </c>
      <c r="G2440">
        <v>39719</v>
      </c>
      <c r="H2440" s="116"/>
      <c r="I2440" s="116"/>
      <c r="L2440" s="166">
        <v>45596</v>
      </c>
      <c r="M2440" s="116">
        <v>574.70000000000005</v>
      </c>
      <c r="N2440" s="116">
        <v>579.15</v>
      </c>
      <c r="O2440" s="116">
        <v>547.54999999999995</v>
      </c>
      <c r="P2440" s="116">
        <v>549</v>
      </c>
      <c r="Q2440" s="116">
        <v>574.70000000000005</v>
      </c>
      <c r="R2440">
        <v>534511</v>
      </c>
    </row>
    <row r="2441" spans="1:18" x14ac:dyDescent="0.25">
      <c r="A2441" s="166">
        <v>45597</v>
      </c>
      <c r="B2441" s="116">
        <v>587</v>
      </c>
      <c r="C2441" s="116">
        <v>582.20000000000005</v>
      </c>
      <c r="D2441" s="116">
        <v>576.65</v>
      </c>
      <c r="E2441" s="116">
        <v>586.20000000000005</v>
      </c>
      <c r="F2441" s="116">
        <v>582.20000000000005</v>
      </c>
      <c r="G2441">
        <v>12105</v>
      </c>
      <c r="H2441" s="116"/>
      <c r="I2441" s="116"/>
      <c r="L2441" s="166">
        <v>45597</v>
      </c>
      <c r="M2441" s="116">
        <v>582.20000000000005</v>
      </c>
      <c r="N2441" s="116">
        <v>588</v>
      </c>
      <c r="O2441" s="116">
        <v>577</v>
      </c>
      <c r="P2441" s="116">
        <v>580.45000000000005</v>
      </c>
      <c r="Q2441" s="116">
        <v>582.20000000000005</v>
      </c>
      <c r="R2441">
        <v>75841</v>
      </c>
    </row>
    <row r="2442" spans="1:18" x14ac:dyDescent="0.25">
      <c r="A2442" s="166">
        <v>45600</v>
      </c>
      <c r="B2442" s="116">
        <v>595.45000000000005</v>
      </c>
      <c r="C2442" s="116">
        <v>584.9</v>
      </c>
      <c r="D2442" s="116">
        <v>575.20000000000005</v>
      </c>
      <c r="E2442" s="116">
        <v>582.20000000000005</v>
      </c>
      <c r="F2442" s="116">
        <v>584.9</v>
      </c>
      <c r="G2442">
        <v>55889</v>
      </c>
      <c r="H2442" s="116"/>
      <c r="I2442" s="116"/>
      <c r="L2442" s="166">
        <v>45600</v>
      </c>
      <c r="M2442" s="116">
        <v>585</v>
      </c>
      <c r="N2442" s="116">
        <v>596.45000000000005</v>
      </c>
      <c r="O2442" s="116">
        <v>575.6</v>
      </c>
      <c r="P2442" s="116">
        <v>582.20000000000005</v>
      </c>
      <c r="Q2442" s="116">
        <v>585</v>
      </c>
      <c r="R2442">
        <v>675270</v>
      </c>
    </row>
    <row r="2443" spans="1:18" x14ac:dyDescent="0.25">
      <c r="A2443" s="166">
        <v>45601</v>
      </c>
      <c r="B2443" s="116">
        <v>589.15</v>
      </c>
      <c r="C2443" s="116">
        <v>579.70000000000005</v>
      </c>
      <c r="D2443" s="116">
        <v>575.65</v>
      </c>
      <c r="E2443" s="116">
        <v>584.9</v>
      </c>
      <c r="F2443" s="116">
        <v>579.70000000000005</v>
      </c>
      <c r="G2443">
        <v>7026</v>
      </c>
      <c r="H2443" s="116"/>
      <c r="I2443" s="116"/>
      <c r="L2443" s="166">
        <v>45601</v>
      </c>
      <c r="M2443" s="116">
        <v>579.9</v>
      </c>
      <c r="N2443" s="116">
        <v>590</v>
      </c>
      <c r="O2443" s="116">
        <v>575.6</v>
      </c>
      <c r="P2443" s="116">
        <v>587.70000000000005</v>
      </c>
      <c r="Q2443" s="116">
        <v>579.9</v>
      </c>
      <c r="R2443">
        <v>283832</v>
      </c>
    </row>
    <row r="2444" spans="1:18" x14ac:dyDescent="0.25">
      <c r="A2444" s="166">
        <v>45602</v>
      </c>
      <c r="B2444" s="116">
        <v>613.15</v>
      </c>
      <c r="C2444" s="116">
        <v>610.79999999999995</v>
      </c>
      <c r="D2444" s="116">
        <v>579.70000000000005</v>
      </c>
      <c r="E2444" s="116">
        <v>588.5</v>
      </c>
      <c r="F2444" s="116">
        <v>610.79999999999995</v>
      </c>
      <c r="G2444">
        <v>24599</v>
      </c>
      <c r="H2444" s="116"/>
      <c r="I2444" s="116"/>
      <c r="L2444" s="166">
        <v>45602</v>
      </c>
      <c r="M2444" s="116">
        <v>610.75</v>
      </c>
      <c r="N2444" s="116">
        <v>613</v>
      </c>
      <c r="O2444" s="116">
        <v>579.20000000000005</v>
      </c>
      <c r="P2444" s="116">
        <v>580</v>
      </c>
      <c r="Q2444" s="116">
        <v>610.75</v>
      </c>
      <c r="R2444">
        <v>384308</v>
      </c>
    </row>
    <row r="2445" spans="1:18" x14ac:dyDescent="0.25">
      <c r="A2445" s="166">
        <v>45603</v>
      </c>
      <c r="B2445" s="116">
        <v>613</v>
      </c>
      <c r="C2445" s="116">
        <v>594.04999999999995</v>
      </c>
      <c r="D2445" s="116">
        <v>586</v>
      </c>
      <c r="E2445" s="116">
        <v>613</v>
      </c>
      <c r="F2445" s="116">
        <v>594.04999999999995</v>
      </c>
      <c r="G2445">
        <v>37752</v>
      </c>
      <c r="H2445" s="116"/>
      <c r="I2445" s="116"/>
      <c r="L2445" s="166">
        <v>45603</v>
      </c>
      <c r="M2445" s="116">
        <v>593.70000000000005</v>
      </c>
      <c r="N2445" s="116">
        <v>610.75</v>
      </c>
      <c r="O2445" s="116">
        <v>586.29999999999995</v>
      </c>
      <c r="P2445" s="116">
        <v>610.75</v>
      </c>
      <c r="Q2445" s="116">
        <v>593.70000000000005</v>
      </c>
      <c r="R2445">
        <v>565746</v>
      </c>
    </row>
    <row r="2446" spans="1:18" x14ac:dyDescent="0.25">
      <c r="A2446" s="166">
        <v>45604</v>
      </c>
      <c r="B2446" s="116">
        <v>594.04999999999995</v>
      </c>
      <c r="C2446" s="116">
        <v>571.45000000000005</v>
      </c>
      <c r="D2446" s="116">
        <v>567.4</v>
      </c>
      <c r="E2446" s="116">
        <v>594.04999999999995</v>
      </c>
      <c r="F2446" s="116">
        <v>571.45000000000005</v>
      </c>
      <c r="G2446">
        <v>27100</v>
      </c>
      <c r="H2446" s="116"/>
      <c r="I2446" s="116"/>
      <c r="L2446" s="166">
        <v>45604</v>
      </c>
      <c r="M2446" s="116">
        <v>571.6</v>
      </c>
      <c r="N2446" s="116">
        <v>592.75</v>
      </c>
      <c r="O2446" s="116">
        <v>568</v>
      </c>
      <c r="P2446" s="116">
        <v>587.75</v>
      </c>
      <c r="Q2446" s="116">
        <v>571.6</v>
      </c>
      <c r="R2446">
        <v>262333</v>
      </c>
    </row>
    <row r="2447" spans="1:18" x14ac:dyDescent="0.25">
      <c r="A2447" s="166">
        <v>45607</v>
      </c>
      <c r="B2447" s="116">
        <v>576.15</v>
      </c>
      <c r="C2447" s="116">
        <v>574.20000000000005</v>
      </c>
      <c r="D2447" s="116">
        <v>555.1</v>
      </c>
      <c r="E2447" s="116">
        <v>566.04999999999995</v>
      </c>
      <c r="F2447" s="116">
        <v>574.20000000000005</v>
      </c>
      <c r="G2447">
        <v>20721</v>
      </c>
      <c r="H2447" s="116"/>
      <c r="I2447" s="116"/>
      <c r="L2447" s="166">
        <v>45607</v>
      </c>
      <c r="M2447" s="116">
        <v>573.75</v>
      </c>
      <c r="N2447" s="116">
        <v>576</v>
      </c>
      <c r="O2447" s="116">
        <v>555.04999999999995</v>
      </c>
      <c r="P2447" s="116">
        <v>569</v>
      </c>
      <c r="Q2447" s="116">
        <v>573.75</v>
      </c>
      <c r="R2447">
        <v>292654</v>
      </c>
    </row>
    <row r="2448" spans="1:18" x14ac:dyDescent="0.25">
      <c r="A2448" s="166">
        <v>45608</v>
      </c>
      <c r="B2448" s="116">
        <v>575.4</v>
      </c>
      <c r="C2448" s="116">
        <v>557.6</v>
      </c>
      <c r="D2448" s="116">
        <v>553</v>
      </c>
      <c r="E2448" s="116">
        <v>574.20000000000005</v>
      </c>
      <c r="F2448" s="116">
        <v>557.6</v>
      </c>
      <c r="G2448">
        <v>25117</v>
      </c>
      <c r="H2448" s="116"/>
      <c r="I2448" s="116"/>
      <c r="L2448" s="166">
        <v>45608</v>
      </c>
      <c r="M2448" s="116">
        <v>557.5</v>
      </c>
      <c r="N2448" s="116">
        <v>577</v>
      </c>
      <c r="O2448" s="116">
        <v>552.5</v>
      </c>
      <c r="P2448" s="116">
        <v>568</v>
      </c>
      <c r="Q2448" s="116">
        <v>557.5</v>
      </c>
      <c r="R2448">
        <v>266363</v>
      </c>
    </row>
    <row r="2449" spans="1:18" x14ac:dyDescent="0.25">
      <c r="A2449" s="166">
        <v>45609</v>
      </c>
      <c r="B2449" s="116">
        <v>562</v>
      </c>
      <c r="C2449" s="116">
        <v>545.4</v>
      </c>
      <c r="D2449" s="116">
        <v>535.45000000000005</v>
      </c>
      <c r="E2449" s="116">
        <v>555.35</v>
      </c>
      <c r="F2449" s="116">
        <v>545.4</v>
      </c>
      <c r="G2449">
        <v>43010</v>
      </c>
      <c r="H2449" s="116"/>
      <c r="I2449" s="116"/>
      <c r="L2449" s="166">
        <v>45609</v>
      </c>
      <c r="M2449" s="116">
        <v>543.79999999999995</v>
      </c>
      <c r="N2449" s="116">
        <v>568.65</v>
      </c>
      <c r="O2449" s="116">
        <v>536.95000000000005</v>
      </c>
      <c r="P2449" s="116">
        <v>549.15</v>
      </c>
      <c r="Q2449" s="116">
        <v>543.79999999999995</v>
      </c>
      <c r="R2449">
        <v>556905</v>
      </c>
    </row>
    <row r="2450" spans="1:18" x14ac:dyDescent="0.25">
      <c r="A2450" s="166">
        <v>45610</v>
      </c>
      <c r="B2450" s="116">
        <v>560.29999999999995</v>
      </c>
      <c r="C2450" s="116">
        <v>558.04999999999995</v>
      </c>
      <c r="D2450" s="116">
        <v>530.54999999999995</v>
      </c>
      <c r="E2450" s="116">
        <v>556.35</v>
      </c>
      <c r="F2450" s="116">
        <v>558.04999999999995</v>
      </c>
      <c r="G2450">
        <v>27247</v>
      </c>
      <c r="H2450" s="116"/>
      <c r="I2450" s="116"/>
      <c r="L2450" s="166">
        <v>45610</v>
      </c>
      <c r="M2450" s="116">
        <v>558.5</v>
      </c>
      <c r="N2450" s="116">
        <v>560.4</v>
      </c>
      <c r="O2450" s="116">
        <v>530.15</v>
      </c>
      <c r="P2450" s="116">
        <v>548</v>
      </c>
      <c r="Q2450" s="116">
        <v>558.5</v>
      </c>
      <c r="R2450">
        <v>438406</v>
      </c>
    </row>
    <row r="2451" spans="1:18" x14ac:dyDescent="0.25">
      <c r="A2451" s="166">
        <v>45614</v>
      </c>
      <c r="B2451" s="116">
        <v>558.45000000000005</v>
      </c>
      <c r="C2451" s="116">
        <v>547.79999999999995</v>
      </c>
      <c r="D2451" s="116">
        <v>537.20000000000005</v>
      </c>
      <c r="E2451" s="116">
        <v>558.45000000000005</v>
      </c>
      <c r="F2451" s="116">
        <v>547.79999999999995</v>
      </c>
      <c r="G2451">
        <v>12220</v>
      </c>
      <c r="H2451" s="116"/>
      <c r="I2451" s="116"/>
      <c r="L2451" s="166">
        <v>45614</v>
      </c>
      <c r="M2451" s="116">
        <v>548.04999999999995</v>
      </c>
      <c r="N2451" s="116">
        <v>557</v>
      </c>
      <c r="O2451" s="116">
        <v>537.45000000000005</v>
      </c>
      <c r="P2451" s="116">
        <v>557</v>
      </c>
      <c r="Q2451" s="116">
        <v>548.04999999999995</v>
      </c>
      <c r="R2451">
        <v>331485</v>
      </c>
    </row>
    <row r="2452" spans="1:18" x14ac:dyDescent="0.25">
      <c r="A2452" s="166">
        <v>45615</v>
      </c>
      <c r="B2452" s="116">
        <v>582.35</v>
      </c>
      <c r="C2452" s="116">
        <v>571.45000000000005</v>
      </c>
      <c r="D2452" s="116">
        <v>544.65</v>
      </c>
      <c r="E2452" s="116">
        <v>559</v>
      </c>
      <c r="F2452" s="116">
        <v>571.45000000000005</v>
      </c>
      <c r="G2452">
        <v>30392</v>
      </c>
      <c r="H2452" s="116"/>
      <c r="I2452" s="116"/>
      <c r="L2452" s="166">
        <v>45615</v>
      </c>
      <c r="M2452" s="116">
        <v>573.1</v>
      </c>
      <c r="N2452" s="116">
        <v>581.95000000000005</v>
      </c>
      <c r="O2452" s="116">
        <v>543.79999999999995</v>
      </c>
      <c r="P2452" s="116">
        <v>549.79999999999995</v>
      </c>
      <c r="Q2452" s="116">
        <v>573.1</v>
      </c>
      <c r="R2452">
        <v>473998</v>
      </c>
    </row>
    <row r="2453" spans="1:18" x14ac:dyDescent="0.25">
      <c r="A2453" s="166">
        <v>45617</v>
      </c>
      <c r="B2453" s="116">
        <v>578.95000000000005</v>
      </c>
      <c r="C2453" s="116">
        <v>565.15</v>
      </c>
      <c r="D2453" s="116">
        <v>549.1</v>
      </c>
      <c r="E2453" s="116">
        <v>578.95000000000005</v>
      </c>
      <c r="F2453" s="116">
        <v>565.15</v>
      </c>
      <c r="G2453">
        <v>10478</v>
      </c>
      <c r="H2453" s="116"/>
      <c r="I2453" s="116"/>
      <c r="L2453" s="166">
        <v>45617</v>
      </c>
      <c r="M2453" s="116">
        <v>564.85</v>
      </c>
      <c r="N2453" s="116">
        <v>573.1</v>
      </c>
      <c r="O2453" s="116">
        <v>548.15</v>
      </c>
      <c r="P2453" s="116">
        <v>573.1</v>
      </c>
      <c r="Q2453" s="116">
        <v>564.85</v>
      </c>
      <c r="R2453">
        <v>303099</v>
      </c>
    </row>
    <row r="2454" spans="1:18" x14ac:dyDescent="0.25">
      <c r="A2454" s="166">
        <v>45618</v>
      </c>
      <c r="B2454" s="116">
        <v>570.6</v>
      </c>
      <c r="C2454" s="116">
        <v>560.79999999999995</v>
      </c>
      <c r="D2454" s="116">
        <v>549.9</v>
      </c>
      <c r="E2454" s="116">
        <v>570.6</v>
      </c>
      <c r="F2454" s="116">
        <v>560.79999999999995</v>
      </c>
      <c r="G2454">
        <v>29147</v>
      </c>
      <c r="H2454" s="116"/>
      <c r="I2454" s="116"/>
      <c r="L2454" s="166">
        <v>45618</v>
      </c>
      <c r="M2454" s="116">
        <v>560.95000000000005</v>
      </c>
      <c r="N2454" s="116">
        <v>566.25</v>
      </c>
      <c r="O2454" s="116">
        <v>549.04999999999995</v>
      </c>
      <c r="P2454" s="116">
        <v>562.5</v>
      </c>
      <c r="Q2454" s="116">
        <v>560.95000000000005</v>
      </c>
      <c r="R2454">
        <v>336806</v>
      </c>
    </row>
    <row r="2455" spans="1:18" x14ac:dyDescent="0.25">
      <c r="A2455" s="166">
        <v>45621</v>
      </c>
      <c r="B2455" s="116">
        <v>601.5</v>
      </c>
      <c r="C2455" s="116">
        <v>592.35</v>
      </c>
      <c r="D2455" s="116">
        <v>568</v>
      </c>
      <c r="E2455" s="116">
        <v>568.79999999999995</v>
      </c>
      <c r="F2455" s="116">
        <v>592.35</v>
      </c>
      <c r="G2455">
        <v>23356</v>
      </c>
      <c r="H2455" s="116"/>
      <c r="I2455" s="116"/>
      <c r="L2455" s="166">
        <v>45621</v>
      </c>
      <c r="M2455" s="116">
        <v>595.15</v>
      </c>
      <c r="N2455" s="116">
        <v>602</v>
      </c>
      <c r="O2455" s="116">
        <v>565.9</v>
      </c>
      <c r="P2455" s="116">
        <v>566</v>
      </c>
      <c r="Q2455" s="116">
        <v>595.15</v>
      </c>
      <c r="R2455">
        <v>445751</v>
      </c>
    </row>
    <row r="2456" spans="1:18" x14ac:dyDescent="0.25">
      <c r="A2456" s="166">
        <v>45622</v>
      </c>
      <c r="B2456" s="116">
        <v>575</v>
      </c>
      <c r="C2456" s="116">
        <v>570.54999999999995</v>
      </c>
      <c r="D2456" s="116">
        <v>556</v>
      </c>
      <c r="E2456" s="116">
        <v>574.95000000000005</v>
      </c>
      <c r="F2456" s="116">
        <v>570.54999999999995</v>
      </c>
      <c r="G2456">
        <v>30092</v>
      </c>
      <c r="H2456" s="116"/>
      <c r="I2456" s="116"/>
      <c r="L2456" s="166">
        <v>45622</v>
      </c>
      <c r="M2456" s="116">
        <v>570.4</v>
      </c>
      <c r="N2456" s="116">
        <v>576.29999999999995</v>
      </c>
      <c r="O2456" s="116">
        <v>556</v>
      </c>
      <c r="P2456" s="116">
        <v>561.5</v>
      </c>
      <c r="Q2456" s="116">
        <v>570.4</v>
      </c>
      <c r="R2456">
        <v>994702</v>
      </c>
    </row>
    <row r="2457" spans="1:18" x14ac:dyDescent="0.25">
      <c r="A2457" s="166">
        <v>45623</v>
      </c>
      <c r="B2457" s="116">
        <v>593.9</v>
      </c>
      <c r="C2457" s="116">
        <v>582.29999999999995</v>
      </c>
      <c r="D2457" s="116">
        <v>569.9</v>
      </c>
      <c r="E2457" s="116">
        <v>570.85</v>
      </c>
      <c r="F2457" s="116">
        <v>582.29999999999995</v>
      </c>
      <c r="G2457">
        <v>31021</v>
      </c>
      <c r="H2457" s="116"/>
      <c r="I2457" s="116"/>
      <c r="L2457" s="166">
        <v>45623</v>
      </c>
      <c r="M2457" s="116">
        <v>582.65</v>
      </c>
      <c r="N2457" s="116">
        <v>594.75</v>
      </c>
      <c r="O2457" s="116">
        <v>570</v>
      </c>
      <c r="P2457" s="116">
        <v>572</v>
      </c>
      <c r="Q2457" s="116">
        <v>582.65</v>
      </c>
      <c r="R2457">
        <v>406052</v>
      </c>
    </row>
    <row r="2458" spans="1:18" x14ac:dyDescent="0.25">
      <c r="A2458" s="166">
        <v>45624</v>
      </c>
      <c r="B2458" s="116">
        <v>592.85</v>
      </c>
      <c r="C2458" s="116">
        <v>584.4</v>
      </c>
      <c r="D2458" s="116">
        <v>579</v>
      </c>
      <c r="E2458" s="116">
        <v>592.85</v>
      </c>
      <c r="F2458" s="116">
        <v>584.4</v>
      </c>
      <c r="G2458">
        <v>10289</v>
      </c>
      <c r="H2458" s="116"/>
      <c r="I2458" s="116"/>
      <c r="L2458" s="166">
        <v>45624</v>
      </c>
      <c r="M2458" s="116">
        <v>584.04999999999995</v>
      </c>
      <c r="N2458" s="116">
        <v>591.65</v>
      </c>
      <c r="O2458" s="116">
        <v>578.4</v>
      </c>
      <c r="P2458" s="116">
        <v>582.65</v>
      </c>
      <c r="Q2458" s="116">
        <v>584.04999999999995</v>
      </c>
      <c r="R2458">
        <v>189953</v>
      </c>
    </row>
    <row r="2459" spans="1:18" x14ac:dyDescent="0.25">
      <c r="A2459" s="166">
        <v>45625</v>
      </c>
      <c r="B2459" s="116">
        <v>593.6</v>
      </c>
      <c r="C2459" s="116">
        <v>585.65</v>
      </c>
      <c r="D2459" s="116">
        <v>573.65</v>
      </c>
      <c r="E2459" s="116">
        <v>593.6</v>
      </c>
      <c r="F2459" s="116">
        <v>585.65</v>
      </c>
      <c r="G2459">
        <v>17203</v>
      </c>
      <c r="H2459" s="116"/>
      <c r="I2459" s="116"/>
      <c r="L2459" s="166">
        <v>45625</v>
      </c>
      <c r="M2459" s="116">
        <v>584.75</v>
      </c>
      <c r="N2459" s="116">
        <v>588.65</v>
      </c>
      <c r="O2459" s="116">
        <v>574</v>
      </c>
      <c r="P2459" s="116">
        <v>582.4</v>
      </c>
      <c r="Q2459" s="116">
        <v>584.75</v>
      </c>
      <c r="R2459">
        <v>179143</v>
      </c>
    </row>
    <row r="2460" spans="1:18" x14ac:dyDescent="0.25">
      <c r="A2460" s="166">
        <v>45628</v>
      </c>
      <c r="B2460" s="116">
        <v>591</v>
      </c>
      <c r="C2460" s="116">
        <v>588.4</v>
      </c>
      <c r="D2460" s="116">
        <v>577.79999999999995</v>
      </c>
      <c r="E2460" s="116">
        <v>586.04999999999995</v>
      </c>
      <c r="F2460" s="116">
        <v>588.4</v>
      </c>
      <c r="G2460">
        <v>19463</v>
      </c>
      <c r="H2460" s="116"/>
      <c r="I2460" s="116"/>
      <c r="L2460" s="166">
        <v>45628</v>
      </c>
      <c r="M2460" s="116">
        <v>588.25</v>
      </c>
      <c r="N2460" s="116">
        <v>591.20000000000005</v>
      </c>
      <c r="O2460" s="116">
        <v>578.35</v>
      </c>
      <c r="P2460" s="116">
        <v>590.1</v>
      </c>
      <c r="Q2460" s="116">
        <v>588.25</v>
      </c>
      <c r="R2460">
        <v>182063</v>
      </c>
    </row>
    <row r="2461" spans="1:18" x14ac:dyDescent="0.25">
      <c r="A2461" s="166">
        <v>45629</v>
      </c>
      <c r="B2461" s="116">
        <v>625.54999999999995</v>
      </c>
      <c r="C2461" s="116">
        <v>623.15</v>
      </c>
      <c r="D2461" s="116">
        <v>587.45000000000005</v>
      </c>
      <c r="E2461" s="116">
        <v>587.45000000000005</v>
      </c>
      <c r="F2461" s="116">
        <v>623.15</v>
      </c>
      <c r="G2461">
        <v>88735</v>
      </c>
      <c r="H2461" s="116"/>
      <c r="I2461" s="116"/>
      <c r="L2461" s="166">
        <v>45629</v>
      </c>
      <c r="M2461" s="116">
        <v>622.79999999999995</v>
      </c>
      <c r="N2461" s="116">
        <v>626</v>
      </c>
      <c r="O2461" s="116">
        <v>588.20000000000005</v>
      </c>
      <c r="P2461" s="116">
        <v>588.25</v>
      </c>
      <c r="Q2461" s="116">
        <v>622.79999999999995</v>
      </c>
      <c r="R2461">
        <v>1352704</v>
      </c>
    </row>
    <row r="2462" spans="1:18" x14ac:dyDescent="0.25">
      <c r="A2462" s="166">
        <v>45630</v>
      </c>
      <c r="B2462" s="116">
        <v>651.5</v>
      </c>
      <c r="C2462" s="116">
        <v>638.6</v>
      </c>
      <c r="D2462" s="116">
        <v>626</v>
      </c>
      <c r="E2462" s="116">
        <v>629.6</v>
      </c>
      <c r="F2462" s="116">
        <v>638.6</v>
      </c>
      <c r="G2462">
        <v>110760</v>
      </c>
      <c r="H2462" s="116"/>
      <c r="I2462" s="116"/>
      <c r="L2462" s="166">
        <v>45630</v>
      </c>
      <c r="M2462" s="116">
        <v>638.25</v>
      </c>
      <c r="N2462" s="116">
        <v>652</v>
      </c>
      <c r="O2462" s="116">
        <v>625.45000000000005</v>
      </c>
      <c r="P2462" s="116">
        <v>627</v>
      </c>
      <c r="Q2462" s="116">
        <v>638.25</v>
      </c>
      <c r="R2462">
        <v>1360251</v>
      </c>
    </row>
    <row r="2463" spans="1:18" x14ac:dyDescent="0.25">
      <c r="A2463" s="166">
        <v>45631</v>
      </c>
      <c r="B2463" s="116">
        <v>648</v>
      </c>
      <c r="C2463" s="116">
        <v>629.79999999999995</v>
      </c>
      <c r="D2463" s="116">
        <v>624.04999999999995</v>
      </c>
      <c r="E2463" s="116">
        <v>647</v>
      </c>
      <c r="F2463" s="116">
        <v>629.79999999999995</v>
      </c>
      <c r="G2463">
        <v>51590</v>
      </c>
      <c r="H2463" s="116"/>
      <c r="I2463" s="116"/>
      <c r="L2463" s="166">
        <v>45631</v>
      </c>
      <c r="M2463" s="116">
        <v>630.04999999999995</v>
      </c>
      <c r="N2463" s="116">
        <v>648.6</v>
      </c>
      <c r="O2463" s="116">
        <v>624.1</v>
      </c>
      <c r="P2463" s="116">
        <v>646.5</v>
      </c>
      <c r="Q2463" s="116">
        <v>630.04999999999995</v>
      </c>
      <c r="R2463">
        <v>387066</v>
      </c>
    </row>
    <row r="2464" spans="1:18" x14ac:dyDescent="0.25">
      <c r="A2464" s="166">
        <v>45632</v>
      </c>
      <c r="B2464" s="116">
        <v>640.6</v>
      </c>
      <c r="C2464" s="116">
        <v>630.95000000000005</v>
      </c>
      <c r="D2464" s="116">
        <v>628</v>
      </c>
      <c r="E2464" s="116">
        <v>628.15</v>
      </c>
      <c r="F2464" s="116">
        <v>630.95000000000005</v>
      </c>
      <c r="G2464">
        <v>25962</v>
      </c>
      <c r="H2464" s="116"/>
      <c r="I2464" s="116"/>
      <c r="L2464" s="166">
        <v>45632</v>
      </c>
      <c r="M2464" s="116">
        <v>630.95000000000005</v>
      </c>
      <c r="N2464" s="116">
        <v>641.65</v>
      </c>
      <c r="O2464" s="116">
        <v>628</v>
      </c>
      <c r="P2464" s="116">
        <v>630.4</v>
      </c>
      <c r="Q2464" s="116">
        <v>630.95000000000005</v>
      </c>
      <c r="R2464">
        <v>269451</v>
      </c>
    </row>
    <row r="2465" spans="1:18" x14ac:dyDescent="0.25">
      <c r="A2465" s="166">
        <v>45635</v>
      </c>
      <c r="B2465" s="116">
        <v>640.35</v>
      </c>
      <c r="C2465" s="116">
        <v>625.75</v>
      </c>
      <c r="D2465" s="116">
        <v>620.65</v>
      </c>
      <c r="E2465" s="116">
        <v>635.45000000000005</v>
      </c>
      <c r="F2465" s="116">
        <v>625.75</v>
      </c>
      <c r="G2465">
        <v>20294</v>
      </c>
      <c r="H2465" s="116"/>
      <c r="I2465" s="116"/>
      <c r="L2465" s="166">
        <v>45635</v>
      </c>
      <c r="M2465" s="116">
        <v>625.65</v>
      </c>
      <c r="N2465" s="116">
        <v>640.95000000000005</v>
      </c>
      <c r="O2465" s="116">
        <v>621.1</v>
      </c>
      <c r="P2465" s="116">
        <v>630.95000000000005</v>
      </c>
      <c r="Q2465" s="116">
        <v>625.65</v>
      </c>
      <c r="R2465">
        <v>211034</v>
      </c>
    </row>
    <row r="2466" spans="1:18" x14ac:dyDescent="0.25">
      <c r="A2466" s="166">
        <v>45636</v>
      </c>
      <c r="B2466" s="116">
        <v>664</v>
      </c>
      <c r="C2466" s="116">
        <v>661</v>
      </c>
      <c r="D2466" s="116">
        <v>621.04999999999995</v>
      </c>
      <c r="E2466" s="116">
        <v>621.04999999999995</v>
      </c>
      <c r="F2466" s="116">
        <v>661</v>
      </c>
      <c r="G2466">
        <v>103842</v>
      </c>
      <c r="H2466" s="116"/>
      <c r="I2466" s="116"/>
      <c r="L2466" s="166">
        <v>45636</v>
      </c>
      <c r="M2466" s="116">
        <v>660.6</v>
      </c>
      <c r="N2466" s="116">
        <v>664</v>
      </c>
      <c r="O2466" s="116">
        <v>626</v>
      </c>
      <c r="P2466" s="116">
        <v>626</v>
      </c>
      <c r="Q2466" s="116">
        <v>660.6</v>
      </c>
      <c r="R2466">
        <v>1217031</v>
      </c>
    </row>
    <row r="2467" spans="1:18" x14ac:dyDescent="0.25">
      <c r="A2467" s="166">
        <v>45637</v>
      </c>
      <c r="B2467" s="116">
        <v>672.4</v>
      </c>
      <c r="C2467" s="116">
        <v>657.2</v>
      </c>
      <c r="D2467" s="116">
        <v>654.25</v>
      </c>
      <c r="E2467" s="116">
        <v>668.8</v>
      </c>
      <c r="F2467" s="116">
        <v>657.2</v>
      </c>
      <c r="G2467">
        <v>74715</v>
      </c>
      <c r="H2467" s="116"/>
      <c r="I2467" s="116"/>
      <c r="L2467" s="166">
        <v>45637</v>
      </c>
      <c r="M2467" s="116">
        <v>657.2</v>
      </c>
      <c r="N2467" s="116">
        <v>672.55</v>
      </c>
      <c r="O2467" s="116">
        <v>655</v>
      </c>
      <c r="P2467" s="116">
        <v>664</v>
      </c>
      <c r="Q2467" s="116">
        <v>657.2</v>
      </c>
      <c r="R2467">
        <v>792855</v>
      </c>
    </row>
    <row r="2468" spans="1:18" x14ac:dyDescent="0.25">
      <c r="A2468" s="166">
        <v>45638</v>
      </c>
      <c r="B2468" s="116">
        <v>668.8</v>
      </c>
      <c r="C2468" s="116">
        <v>650.29999999999995</v>
      </c>
      <c r="D2468" s="116">
        <v>641.04999999999995</v>
      </c>
      <c r="E2468" s="116">
        <v>657</v>
      </c>
      <c r="F2468" s="116">
        <v>650.29999999999995</v>
      </c>
      <c r="G2468">
        <v>56312</v>
      </c>
      <c r="H2468" s="116"/>
      <c r="I2468" s="116"/>
      <c r="L2468" s="166">
        <v>45638</v>
      </c>
      <c r="M2468" s="116">
        <v>650.95000000000005</v>
      </c>
      <c r="N2468" s="116">
        <v>669</v>
      </c>
      <c r="O2468" s="116">
        <v>641.35</v>
      </c>
      <c r="P2468" s="116">
        <v>657.65</v>
      </c>
      <c r="Q2468" s="116">
        <v>650.95000000000005</v>
      </c>
      <c r="R2468">
        <v>591783</v>
      </c>
    </row>
    <row r="2469" spans="1:18" x14ac:dyDescent="0.25">
      <c r="A2469" s="166">
        <v>45639</v>
      </c>
      <c r="B2469" s="116">
        <v>655.6</v>
      </c>
      <c r="C2469" s="116">
        <v>650</v>
      </c>
      <c r="D2469" s="116">
        <v>643.54999999999995</v>
      </c>
      <c r="E2469" s="116">
        <v>643.54999999999995</v>
      </c>
      <c r="F2469" s="116">
        <v>650</v>
      </c>
      <c r="G2469">
        <v>10283</v>
      </c>
      <c r="H2469" s="116"/>
      <c r="I2469" s="116"/>
      <c r="L2469" s="166">
        <v>45639</v>
      </c>
      <c r="M2469" s="116">
        <v>648.35</v>
      </c>
      <c r="N2469" s="116">
        <v>656.35</v>
      </c>
      <c r="O2469" s="116">
        <v>643.5</v>
      </c>
      <c r="P2469" s="116">
        <v>651</v>
      </c>
      <c r="Q2469" s="116">
        <v>648.35</v>
      </c>
      <c r="R2469">
        <v>314870</v>
      </c>
    </row>
    <row r="2470" spans="1:18" x14ac:dyDescent="0.25">
      <c r="A2470" s="166">
        <v>45642</v>
      </c>
      <c r="B2470" s="116">
        <v>657.95</v>
      </c>
      <c r="C2470" s="116">
        <v>645.20000000000005</v>
      </c>
      <c r="D2470" s="116">
        <v>643</v>
      </c>
      <c r="E2470" s="116">
        <v>644.75</v>
      </c>
      <c r="F2470" s="116">
        <v>645.20000000000005</v>
      </c>
      <c r="G2470">
        <v>27045</v>
      </c>
      <c r="H2470" s="116"/>
      <c r="I2470" s="116"/>
      <c r="L2470" s="166">
        <v>45642</v>
      </c>
      <c r="M2470" s="116">
        <v>645.4</v>
      </c>
      <c r="N2470" s="116">
        <v>657.9</v>
      </c>
      <c r="O2470" s="116">
        <v>642.4</v>
      </c>
      <c r="P2470" s="116">
        <v>649.29999999999995</v>
      </c>
      <c r="Q2470" s="116">
        <v>645.4</v>
      </c>
      <c r="R2470">
        <v>201496</v>
      </c>
    </row>
    <row r="2471" spans="1:18" x14ac:dyDescent="0.25">
      <c r="A2471" s="166">
        <v>45643</v>
      </c>
      <c r="B2471" s="116">
        <v>650.95000000000005</v>
      </c>
      <c r="C2471" s="116">
        <v>638.1</v>
      </c>
      <c r="D2471" s="116">
        <v>631.5</v>
      </c>
      <c r="E2471" s="116">
        <v>650.1</v>
      </c>
      <c r="F2471" s="116">
        <v>638.1</v>
      </c>
      <c r="G2471">
        <v>14222</v>
      </c>
      <c r="H2471" s="116"/>
      <c r="I2471" s="116"/>
      <c r="L2471" s="166">
        <v>45643</v>
      </c>
      <c r="M2471" s="116">
        <v>638.4</v>
      </c>
      <c r="N2471" s="116">
        <v>652.45000000000005</v>
      </c>
      <c r="O2471" s="116">
        <v>630.35</v>
      </c>
      <c r="P2471" s="116">
        <v>645</v>
      </c>
      <c r="Q2471" s="116">
        <v>638.4</v>
      </c>
      <c r="R2471">
        <v>282482</v>
      </c>
    </row>
    <row r="2472" spans="1:18" x14ac:dyDescent="0.25">
      <c r="A2472" s="166">
        <v>45644</v>
      </c>
      <c r="B2472" s="116">
        <v>636</v>
      </c>
      <c r="C2472" s="116">
        <v>613.5</v>
      </c>
      <c r="D2472" s="116">
        <v>611.75</v>
      </c>
      <c r="E2472" s="116">
        <v>636</v>
      </c>
      <c r="F2472" s="116">
        <v>613.5</v>
      </c>
      <c r="G2472">
        <v>17322</v>
      </c>
      <c r="H2472" s="116"/>
      <c r="I2472" s="116"/>
      <c r="L2472" s="166">
        <v>45644</v>
      </c>
      <c r="M2472" s="116">
        <v>613.04999999999995</v>
      </c>
      <c r="N2472" s="116">
        <v>638.4</v>
      </c>
      <c r="O2472" s="116">
        <v>611.45000000000005</v>
      </c>
      <c r="P2472" s="116">
        <v>635.4</v>
      </c>
      <c r="Q2472" s="116">
        <v>613.04999999999995</v>
      </c>
      <c r="R2472">
        <v>343353</v>
      </c>
    </row>
    <row r="2473" spans="1:18" x14ac:dyDescent="0.25">
      <c r="A2473" s="166">
        <v>45645</v>
      </c>
      <c r="B2473" s="116">
        <v>624.35</v>
      </c>
      <c r="C2473" s="116">
        <v>617.85</v>
      </c>
      <c r="D2473" s="116">
        <v>601.70000000000005</v>
      </c>
      <c r="E2473" s="116">
        <v>605.4</v>
      </c>
      <c r="F2473" s="116">
        <v>617.85</v>
      </c>
      <c r="G2473">
        <v>20815</v>
      </c>
      <c r="H2473" s="116"/>
      <c r="I2473" s="116"/>
      <c r="L2473" s="166">
        <v>45645</v>
      </c>
      <c r="M2473" s="116">
        <v>617.85</v>
      </c>
      <c r="N2473" s="116">
        <v>625</v>
      </c>
      <c r="O2473" s="116">
        <v>602</v>
      </c>
      <c r="P2473" s="116">
        <v>607</v>
      </c>
      <c r="Q2473" s="116">
        <v>617.85</v>
      </c>
      <c r="R2473">
        <v>240765</v>
      </c>
    </row>
    <row r="2474" spans="1:18" x14ac:dyDescent="0.25">
      <c r="A2474" s="166">
        <v>45646</v>
      </c>
      <c r="B2474" s="116">
        <v>624.95000000000005</v>
      </c>
      <c r="C2474" s="116">
        <v>601.45000000000005</v>
      </c>
      <c r="D2474" s="116">
        <v>597.5</v>
      </c>
      <c r="E2474" s="116">
        <v>624.95000000000005</v>
      </c>
      <c r="F2474" s="116">
        <v>601.45000000000005</v>
      </c>
      <c r="G2474">
        <v>28870</v>
      </c>
      <c r="H2474" s="116"/>
      <c r="I2474" s="116"/>
      <c r="L2474" s="166">
        <v>45646</v>
      </c>
      <c r="M2474" s="116">
        <v>601.75</v>
      </c>
      <c r="N2474" s="116">
        <v>623.65</v>
      </c>
      <c r="O2474" s="116">
        <v>597</v>
      </c>
      <c r="P2474" s="116">
        <v>620.4</v>
      </c>
      <c r="Q2474" s="116">
        <v>601.75</v>
      </c>
      <c r="R2474">
        <v>170607</v>
      </c>
    </row>
    <row r="2475" spans="1:18" x14ac:dyDescent="0.25">
      <c r="A2475" s="166">
        <v>45649</v>
      </c>
      <c r="B2475" s="116">
        <v>612.70000000000005</v>
      </c>
      <c r="C2475" s="116">
        <v>602.85</v>
      </c>
      <c r="D2475" s="116">
        <v>592.95000000000005</v>
      </c>
      <c r="E2475" s="116">
        <v>601.35</v>
      </c>
      <c r="F2475" s="116">
        <v>602.85</v>
      </c>
      <c r="G2475">
        <v>15840</v>
      </c>
      <c r="H2475" s="116"/>
      <c r="I2475" s="116"/>
      <c r="L2475" s="166">
        <v>45649</v>
      </c>
      <c r="M2475" s="116">
        <v>602.4</v>
      </c>
      <c r="N2475" s="116">
        <v>619.95000000000005</v>
      </c>
      <c r="O2475" s="116">
        <v>592.20000000000005</v>
      </c>
      <c r="P2475" s="116">
        <v>602</v>
      </c>
      <c r="Q2475" s="116">
        <v>602.4</v>
      </c>
      <c r="R2475">
        <v>262838</v>
      </c>
    </row>
    <row r="2476" spans="1:18" x14ac:dyDescent="0.25">
      <c r="A2476" s="166">
        <v>45650</v>
      </c>
      <c r="B2476" s="116">
        <v>637.35</v>
      </c>
      <c r="C2476" s="116">
        <v>627.70000000000005</v>
      </c>
      <c r="D2476" s="116">
        <v>602.25</v>
      </c>
      <c r="E2476" s="116">
        <v>602.9</v>
      </c>
      <c r="F2476" s="116">
        <v>627.70000000000005</v>
      </c>
      <c r="G2476">
        <v>24399</v>
      </c>
      <c r="H2476" s="116"/>
      <c r="I2476" s="116"/>
      <c r="L2476" s="166">
        <v>45650</v>
      </c>
      <c r="M2476" s="116">
        <v>627.5</v>
      </c>
      <c r="N2476" s="116">
        <v>639.4</v>
      </c>
      <c r="O2476" s="116">
        <v>602</v>
      </c>
      <c r="P2476" s="116">
        <v>604.15</v>
      </c>
      <c r="Q2476" s="116">
        <v>627.5</v>
      </c>
      <c r="R2476">
        <v>395401</v>
      </c>
    </row>
    <row r="2477" spans="1:18" x14ac:dyDescent="0.25">
      <c r="A2477" s="166">
        <v>45652</v>
      </c>
      <c r="B2477" s="116">
        <v>645.9</v>
      </c>
      <c r="C2477" s="116">
        <v>641.79999999999995</v>
      </c>
      <c r="D2477" s="116">
        <v>622.04999999999995</v>
      </c>
      <c r="E2477" s="116">
        <v>630.15</v>
      </c>
      <c r="F2477" s="116">
        <v>641.79999999999995</v>
      </c>
      <c r="G2477">
        <v>58771</v>
      </c>
      <c r="H2477" s="116"/>
      <c r="I2477" s="116"/>
      <c r="L2477" s="166">
        <v>45652</v>
      </c>
      <c r="M2477" s="116">
        <v>641.70000000000005</v>
      </c>
      <c r="N2477" s="116">
        <v>646.5</v>
      </c>
      <c r="O2477" s="116">
        <v>621.5</v>
      </c>
      <c r="P2477" s="116">
        <v>628</v>
      </c>
      <c r="Q2477" s="116">
        <v>641.70000000000005</v>
      </c>
      <c r="R2477">
        <v>1005258</v>
      </c>
    </row>
    <row r="2478" spans="1:18" x14ac:dyDescent="0.25">
      <c r="A2478" s="166">
        <v>45653</v>
      </c>
      <c r="B2478" s="116">
        <v>648.70000000000005</v>
      </c>
      <c r="C2478" s="116">
        <v>642.04999999999995</v>
      </c>
      <c r="D2478" s="116">
        <v>625</v>
      </c>
      <c r="E2478" s="116">
        <v>642.15</v>
      </c>
      <c r="F2478" s="116">
        <v>642.04999999999995</v>
      </c>
      <c r="G2478">
        <v>30927</v>
      </c>
      <c r="H2478" s="116"/>
      <c r="I2478" s="116"/>
      <c r="L2478" s="166">
        <v>45653</v>
      </c>
      <c r="M2478" s="116">
        <v>642.35</v>
      </c>
      <c r="N2478" s="116">
        <v>647.70000000000005</v>
      </c>
      <c r="O2478" s="116">
        <v>625</v>
      </c>
      <c r="P2478" s="116">
        <v>645</v>
      </c>
      <c r="Q2478" s="116">
        <v>642.35</v>
      </c>
      <c r="R2478">
        <v>296607</v>
      </c>
    </row>
    <row r="2479" spans="1:18" x14ac:dyDescent="0.25">
      <c r="A2479" s="166">
        <v>45656</v>
      </c>
      <c r="B2479" s="116">
        <v>644.54999999999995</v>
      </c>
      <c r="C2479" s="116">
        <v>630.4</v>
      </c>
      <c r="D2479" s="116">
        <v>617.45000000000005</v>
      </c>
      <c r="E2479" s="116">
        <v>644.54999999999995</v>
      </c>
      <c r="F2479" s="116">
        <v>630.4</v>
      </c>
      <c r="G2479">
        <v>14885</v>
      </c>
      <c r="H2479" s="116"/>
      <c r="I2479" s="116"/>
      <c r="L2479" s="166">
        <v>45656</v>
      </c>
      <c r="M2479" s="116">
        <v>629.20000000000005</v>
      </c>
      <c r="N2479" s="116">
        <v>646.75</v>
      </c>
      <c r="O2479" s="116">
        <v>616.6</v>
      </c>
      <c r="P2479" s="116">
        <v>642.35</v>
      </c>
      <c r="Q2479" s="116">
        <v>629.20000000000005</v>
      </c>
      <c r="R2479">
        <v>302009</v>
      </c>
    </row>
    <row r="2480" spans="1:18" x14ac:dyDescent="0.25">
      <c r="A2480" s="166">
        <v>45657</v>
      </c>
      <c r="B2480" s="116">
        <v>651</v>
      </c>
      <c r="C2480" s="116">
        <v>634.75</v>
      </c>
      <c r="D2480" s="116">
        <v>632.54999999999995</v>
      </c>
      <c r="E2480" s="116">
        <v>634.85</v>
      </c>
      <c r="F2480" s="116">
        <v>634.75</v>
      </c>
      <c r="G2480">
        <v>45477</v>
      </c>
      <c r="H2480" s="116"/>
      <c r="I2480" s="116"/>
      <c r="L2480" s="166">
        <v>45657</v>
      </c>
      <c r="M2480" s="116">
        <v>634.5</v>
      </c>
      <c r="N2480" s="116">
        <v>651.85</v>
      </c>
      <c r="O2480" s="116">
        <v>630</v>
      </c>
      <c r="P2480" s="116">
        <v>630</v>
      </c>
      <c r="Q2480" s="116">
        <v>634.5</v>
      </c>
      <c r="R2480">
        <v>470303</v>
      </c>
    </row>
    <row r="2481" spans="1:18" x14ac:dyDescent="0.25">
      <c r="A2481" s="166">
        <v>45658</v>
      </c>
      <c r="B2481" s="116">
        <v>643.70000000000005</v>
      </c>
      <c r="C2481" s="116">
        <v>634.9</v>
      </c>
      <c r="D2481" s="116">
        <v>630</v>
      </c>
      <c r="E2481" s="116">
        <v>633.5</v>
      </c>
      <c r="F2481" s="116">
        <v>634.9</v>
      </c>
      <c r="G2481">
        <v>17340</v>
      </c>
      <c r="H2481" s="116"/>
      <c r="I2481" s="116"/>
      <c r="L2481" s="166">
        <v>45658</v>
      </c>
      <c r="M2481" s="116">
        <v>635.5</v>
      </c>
      <c r="N2481" s="116">
        <v>643.5</v>
      </c>
      <c r="O2481" s="116">
        <v>629.79999999999995</v>
      </c>
      <c r="P2481" s="116">
        <v>634.6</v>
      </c>
      <c r="Q2481" s="116">
        <v>635.5</v>
      </c>
      <c r="R2481">
        <v>177415</v>
      </c>
    </row>
    <row r="2482" spans="1:18" x14ac:dyDescent="0.25">
      <c r="A2482" s="166">
        <v>45659</v>
      </c>
      <c r="B2482" s="116">
        <v>641.95000000000005</v>
      </c>
      <c r="C2482" s="116">
        <v>629.9</v>
      </c>
      <c r="D2482" s="116">
        <v>628.85</v>
      </c>
      <c r="E2482" s="116">
        <v>635.04999999999995</v>
      </c>
      <c r="F2482" s="116">
        <v>629.9</v>
      </c>
      <c r="G2482">
        <v>9308</v>
      </c>
      <c r="H2482" s="116"/>
      <c r="I2482" s="116"/>
      <c r="L2482" s="166">
        <v>45659</v>
      </c>
      <c r="M2482" s="116">
        <v>630.29999999999995</v>
      </c>
      <c r="N2482" s="116">
        <v>641.54999999999995</v>
      </c>
      <c r="O2482" s="116">
        <v>628.04999999999995</v>
      </c>
      <c r="P2482" s="116">
        <v>635.95000000000005</v>
      </c>
      <c r="Q2482" s="116">
        <v>630.29999999999995</v>
      </c>
      <c r="R2482">
        <v>158025</v>
      </c>
    </row>
    <row r="2483" spans="1:18" x14ac:dyDescent="0.25">
      <c r="A2483" s="166">
        <v>45660</v>
      </c>
      <c r="B2483" s="116">
        <v>642.9</v>
      </c>
      <c r="C2483" s="116">
        <v>634.15</v>
      </c>
      <c r="D2483" s="116">
        <v>624.20000000000005</v>
      </c>
      <c r="E2483" s="116">
        <v>629.5</v>
      </c>
      <c r="F2483" s="116">
        <v>634.15</v>
      </c>
      <c r="G2483">
        <v>12590</v>
      </c>
      <c r="H2483" s="116"/>
      <c r="I2483" s="116"/>
      <c r="L2483" s="166">
        <v>45660</v>
      </c>
      <c r="M2483" s="116">
        <v>633.85</v>
      </c>
      <c r="N2483" s="116">
        <v>643.45000000000005</v>
      </c>
      <c r="O2483" s="116">
        <v>624.04999999999995</v>
      </c>
      <c r="P2483" s="116">
        <v>630.29999999999995</v>
      </c>
      <c r="Q2483" s="116">
        <v>633.85</v>
      </c>
      <c r="R2483">
        <v>268353</v>
      </c>
    </row>
    <row r="2484" spans="1:18" x14ac:dyDescent="0.25">
      <c r="A2484" s="166">
        <v>45663</v>
      </c>
      <c r="B2484" s="116">
        <v>639.95000000000005</v>
      </c>
      <c r="C2484" s="116">
        <v>605.25</v>
      </c>
      <c r="D2484" s="116">
        <v>600.04999999999995</v>
      </c>
      <c r="E2484" s="116">
        <v>639.95000000000005</v>
      </c>
      <c r="F2484" s="116">
        <v>605.25</v>
      </c>
      <c r="G2484">
        <v>25096</v>
      </c>
      <c r="H2484" s="116"/>
      <c r="I2484" s="116"/>
      <c r="L2484" s="166">
        <v>45663</v>
      </c>
      <c r="M2484" s="116">
        <v>605.29999999999995</v>
      </c>
      <c r="N2484" s="116">
        <v>636.85</v>
      </c>
      <c r="O2484" s="116">
        <v>600.5</v>
      </c>
      <c r="P2484" s="116">
        <v>633.85</v>
      </c>
      <c r="Q2484" s="116">
        <v>605.29999999999995</v>
      </c>
      <c r="R2484">
        <v>465090</v>
      </c>
    </row>
    <row r="2485" spans="1:18" x14ac:dyDescent="0.25">
      <c r="A2485" s="166">
        <v>45664</v>
      </c>
      <c r="B2485" s="116">
        <v>613.20000000000005</v>
      </c>
      <c r="C2485" s="116">
        <v>612.04999999999995</v>
      </c>
      <c r="D2485" s="116">
        <v>603.35</v>
      </c>
      <c r="E2485" s="116">
        <v>609.35</v>
      </c>
      <c r="F2485" s="116">
        <v>612.04999999999995</v>
      </c>
      <c r="G2485">
        <v>8529</v>
      </c>
      <c r="H2485" s="116"/>
      <c r="I2485" s="116"/>
      <c r="L2485" s="166">
        <v>45664</v>
      </c>
      <c r="M2485" s="116">
        <v>611.70000000000005</v>
      </c>
      <c r="N2485" s="116">
        <v>613.20000000000005</v>
      </c>
      <c r="O2485" s="116">
        <v>601</v>
      </c>
      <c r="P2485" s="116">
        <v>611.5</v>
      </c>
      <c r="Q2485" s="116">
        <v>611.70000000000005</v>
      </c>
      <c r="R2485">
        <v>259186</v>
      </c>
    </row>
    <row r="2486" spans="1:18" x14ac:dyDescent="0.25">
      <c r="A2486" s="166">
        <v>45665</v>
      </c>
      <c r="B2486" s="116">
        <v>624.20000000000005</v>
      </c>
      <c r="C2486" s="116">
        <v>606.25</v>
      </c>
      <c r="D2486" s="116">
        <v>594.9</v>
      </c>
      <c r="E2486" s="116">
        <v>617</v>
      </c>
      <c r="F2486" s="116">
        <v>606.25</v>
      </c>
      <c r="G2486">
        <v>28286</v>
      </c>
      <c r="H2486" s="116"/>
      <c r="I2486" s="116"/>
      <c r="L2486" s="166">
        <v>45665</v>
      </c>
      <c r="M2486" s="116">
        <v>605.75</v>
      </c>
      <c r="N2486" s="116">
        <v>623.95000000000005</v>
      </c>
      <c r="O2486" s="116">
        <v>594.54999999999995</v>
      </c>
      <c r="P2486" s="116">
        <v>618.1</v>
      </c>
      <c r="Q2486" s="116">
        <v>605.75</v>
      </c>
      <c r="R2486">
        <v>391241</v>
      </c>
    </row>
    <row r="2487" spans="1:18" x14ac:dyDescent="0.25">
      <c r="A2487" s="166">
        <v>45666</v>
      </c>
      <c r="B2487" s="116">
        <v>612</v>
      </c>
      <c r="C2487" s="116">
        <v>605.15</v>
      </c>
      <c r="D2487" s="116">
        <v>600.79999999999995</v>
      </c>
      <c r="E2487" s="116">
        <v>606.15</v>
      </c>
      <c r="F2487" s="116">
        <v>605.15</v>
      </c>
      <c r="G2487">
        <v>23252</v>
      </c>
      <c r="H2487" s="116"/>
      <c r="I2487" s="116"/>
      <c r="L2487" s="166">
        <v>45666</v>
      </c>
      <c r="M2487" s="116">
        <v>605.29999999999995</v>
      </c>
      <c r="N2487" s="116">
        <v>612.5</v>
      </c>
      <c r="O2487" s="116">
        <v>601.25</v>
      </c>
      <c r="P2487" s="116">
        <v>610.15</v>
      </c>
      <c r="Q2487" s="116">
        <v>605.29999999999995</v>
      </c>
      <c r="R2487">
        <v>181768</v>
      </c>
    </row>
    <row r="2488" spans="1:18" x14ac:dyDescent="0.25">
      <c r="A2488" s="166">
        <v>45667</v>
      </c>
      <c r="B2488" s="116">
        <v>615</v>
      </c>
      <c r="C2488" s="116">
        <v>594.4</v>
      </c>
      <c r="D2488" s="116">
        <v>584.29999999999995</v>
      </c>
      <c r="E2488" s="116">
        <v>615</v>
      </c>
      <c r="F2488" s="116">
        <v>594.4</v>
      </c>
      <c r="G2488">
        <v>13846</v>
      </c>
      <c r="H2488" s="116"/>
      <c r="I2488" s="116"/>
      <c r="L2488" s="166">
        <v>45667</v>
      </c>
      <c r="M2488" s="116">
        <v>594.95000000000005</v>
      </c>
      <c r="N2488" s="116">
        <v>606.75</v>
      </c>
      <c r="O2488" s="116">
        <v>584</v>
      </c>
      <c r="P2488" s="116">
        <v>605</v>
      </c>
      <c r="Q2488" s="116">
        <v>594.95000000000005</v>
      </c>
      <c r="R2488">
        <v>383567</v>
      </c>
    </row>
    <row r="2489" spans="1:18" x14ac:dyDescent="0.25">
      <c r="A2489" s="166">
        <v>45670</v>
      </c>
      <c r="B2489" s="116">
        <v>588.45000000000005</v>
      </c>
      <c r="C2489" s="116">
        <v>551.70000000000005</v>
      </c>
      <c r="D2489" s="116">
        <v>549</v>
      </c>
      <c r="E2489" s="116">
        <v>582.25</v>
      </c>
      <c r="F2489" s="116">
        <v>551.70000000000005</v>
      </c>
      <c r="G2489">
        <v>16695</v>
      </c>
      <c r="H2489" s="116"/>
      <c r="I2489" s="116"/>
      <c r="L2489" s="166">
        <v>45670</v>
      </c>
      <c r="M2489" s="116">
        <v>550.95000000000005</v>
      </c>
      <c r="N2489" s="116">
        <v>588</v>
      </c>
      <c r="O2489" s="116">
        <v>548.04999999999995</v>
      </c>
      <c r="P2489" s="116">
        <v>575</v>
      </c>
      <c r="Q2489" s="116">
        <v>550.95000000000005</v>
      </c>
      <c r="R2489">
        <v>605331</v>
      </c>
    </row>
    <row r="2490" spans="1:18" x14ac:dyDescent="0.25">
      <c r="A2490" s="166">
        <v>45671</v>
      </c>
      <c r="B2490" s="116">
        <v>571.25</v>
      </c>
      <c r="C2490" s="116">
        <v>567.54999999999995</v>
      </c>
      <c r="D2490" s="116">
        <v>534</v>
      </c>
      <c r="E2490" s="116">
        <v>551.70000000000005</v>
      </c>
      <c r="F2490" s="116">
        <v>567.54999999999995</v>
      </c>
      <c r="G2490">
        <v>33208</v>
      </c>
      <c r="H2490" s="116"/>
      <c r="I2490" s="116"/>
      <c r="L2490" s="166">
        <v>45671</v>
      </c>
      <c r="M2490" s="116">
        <v>566.20000000000005</v>
      </c>
      <c r="N2490" s="116">
        <v>570.65</v>
      </c>
      <c r="O2490" s="116">
        <v>533.85</v>
      </c>
      <c r="P2490" s="116">
        <v>551.65</v>
      </c>
      <c r="Q2490" s="116">
        <v>566.20000000000005</v>
      </c>
      <c r="R2490">
        <v>539796</v>
      </c>
    </row>
    <row r="2491" spans="1:18" x14ac:dyDescent="0.25">
      <c r="A2491" s="166">
        <v>45672</v>
      </c>
      <c r="B2491" s="116">
        <v>637.20000000000005</v>
      </c>
      <c r="C2491" s="116">
        <v>616.5</v>
      </c>
      <c r="D2491" s="116">
        <v>562.45000000000005</v>
      </c>
      <c r="E2491" s="116">
        <v>577.54999999999995</v>
      </c>
      <c r="F2491" s="116">
        <v>616.5</v>
      </c>
      <c r="G2491">
        <v>44256</v>
      </c>
      <c r="H2491" s="116"/>
      <c r="I2491" s="116"/>
      <c r="L2491" s="166">
        <v>45672</v>
      </c>
      <c r="M2491" s="116">
        <v>617.29999999999995</v>
      </c>
      <c r="N2491" s="116">
        <v>638.29999999999995</v>
      </c>
      <c r="O2491" s="116">
        <v>563.04999999999995</v>
      </c>
      <c r="P2491" s="116">
        <v>563.65</v>
      </c>
      <c r="Q2491" s="116">
        <v>617.29999999999995</v>
      </c>
      <c r="R2491">
        <v>676226</v>
      </c>
    </row>
    <row r="2492" spans="1:18" x14ac:dyDescent="0.25">
      <c r="A2492" s="166">
        <v>45673</v>
      </c>
      <c r="B2492" s="116">
        <v>617.95000000000005</v>
      </c>
      <c r="C2492" s="116">
        <v>597.9</v>
      </c>
      <c r="D2492" s="116">
        <v>592.5</v>
      </c>
      <c r="E2492" s="116">
        <v>617.95000000000005</v>
      </c>
      <c r="F2492" s="116">
        <v>597.9</v>
      </c>
      <c r="G2492">
        <v>24512</v>
      </c>
      <c r="H2492" s="116"/>
      <c r="I2492" s="116"/>
      <c r="L2492" s="166">
        <v>45673</v>
      </c>
      <c r="M2492" s="116">
        <v>598.15</v>
      </c>
      <c r="N2492" s="116">
        <v>617.29999999999995</v>
      </c>
      <c r="O2492" s="116">
        <v>592.15</v>
      </c>
      <c r="P2492" s="116">
        <v>605</v>
      </c>
      <c r="Q2492" s="116">
        <v>598.15</v>
      </c>
      <c r="R2492">
        <v>524233</v>
      </c>
    </row>
    <row r="2493" spans="1:18" x14ac:dyDescent="0.25">
      <c r="A2493" s="166">
        <v>45674</v>
      </c>
      <c r="B2493" s="116">
        <v>598</v>
      </c>
      <c r="C2493" s="116">
        <v>590.45000000000005</v>
      </c>
      <c r="D2493" s="116">
        <v>589.25</v>
      </c>
      <c r="E2493" s="116">
        <v>597.9</v>
      </c>
      <c r="F2493" s="116">
        <v>590.45000000000005</v>
      </c>
      <c r="G2493">
        <v>6857</v>
      </c>
      <c r="H2493" s="116"/>
      <c r="I2493" s="116"/>
      <c r="L2493" s="166">
        <v>45674</v>
      </c>
      <c r="M2493" s="116">
        <v>590.25</v>
      </c>
      <c r="N2493" s="116">
        <v>599.6</v>
      </c>
      <c r="O2493" s="116">
        <v>588.79999999999995</v>
      </c>
      <c r="P2493" s="116">
        <v>598.15</v>
      </c>
      <c r="Q2493" s="116">
        <v>590.25</v>
      </c>
      <c r="R2493">
        <v>173429</v>
      </c>
    </row>
    <row r="2494" spans="1:18" x14ac:dyDescent="0.25">
      <c r="A2494" s="166">
        <v>45677</v>
      </c>
      <c r="B2494" s="116">
        <v>612</v>
      </c>
      <c r="C2494" s="116">
        <v>604.9</v>
      </c>
      <c r="D2494" s="116">
        <v>589</v>
      </c>
      <c r="E2494" s="116">
        <v>590</v>
      </c>
      <c r="F2494" s="116">
        <v>604.9</v>
      </c>
      <c r="G2494">
        <v>16068</v>
      </c>
      <c r="H2494" s="116"/>
      <c r="I2494" s="116"/>
      <c r="L2494" s="166">
        <v>45677</v>
      </c>
      <c r="M2494" s="116">
        <v>604.25</v>
      </c>
      <c r="N2494" s="116">
        <v>611.95000000000005</v>
      </c>
      <c r="O2494" s="116">
        <v>586.5</v>
      </c>
      <c r="P2494" s="116">
        <v>591</v>
      </c>
      <c r="Q2494" s="116">
        <v>604.25</v>
      </c>
      <c r="R2494">
        <v>232751</v>
      </c>
    </row>
    <row r="2495" spans="1:18" x14ac:dyDescent="0.25">
      <c r="A2495" s="166">
        <v>45678</v>
      </c>
      <c r="B2495" s="116">
        <v>614.20000000000005</v>
      </c>
      <c r="C2495" s="116">
        <v>605.35</v>
      </c>
      <c r="D2495" s="116">
        <v>600.1</v>
      </c>
      <c r="E2495" s="116">
        <v>600.1</v>
      </c>
      <c r="F2495" s="116">
        <v>605.35</v>
      </c>
      <c r="G2495">
        <v>20371</v>
      </c>
      <c r="H2495" s="116"/>
      <c r="I2495" s="116"/>
      <c r="L2495" s="166">
        <v>45678</v>
      </c>
      <c r="M2495" s="116">
        <v>605.6</v>
      </c>
      <c r="N2495" s="116">
        <v>613.79999999999995</v>
      </c>
      <c r="O2495" s="116">
        <v>602.75</v>
      </c>
      <c r="P2495" s="116">
        <v>606</v>
      </c>
      <c r="Q2495" s="116">
        <v>605.6</v>
      </c>
      <c r="R2495">
        <v>264937</v>
      </c>
    </row>
    <row r="2496" spans="1:18" x14ac:dyDescent="0.25">
      <c r="A2496" s="166">
        <v>45679</v>
      </c>
      <c r="B2496" s="116">
        <v>606.5</v>
      </c>
      <c r="C2496" s="116">
        <v>550.95000000000005</v>
      </c>
      <c r="D2496" s="116">
        <v>532.65</v>
      </c>
      <c r="E2496" s="116">
        <v>601.04999999999995</v>
      </c>
      <c r="F2496" s="116">
        <v>550.95000000000005</v>
      </c>
      <c r="G2496">
        <v>69820</v>
      </c>
      <c r="H2496" s="116"/>
      <c r="I2496" s="116"/>
      <c r="L2496" s="166">
        <v>45679</v>
      </c>
      <c r="M2496" s="116">
        <v>550.79999999999995</v>
      </c>
      <c r="N2496" s="116">
        <v>605.20000000000005</v>
      </c>
      <c r="O2496" s="116">
        <v>531.9</v>
      </c>
      <c r="P2496" s="116">
        <v>603.95000000000005</v>
      </c>
      <c r="Q2496" s="116">
        <v>550.79999999999995</v>
      </c>
      <c r="R2496">
        <v>1955019</v>
      </c>
    </row>
    <row r="2497" spans="1:18" x14ac:dyDescent="0.25">
      <c r="A2497" s="166">
        <v>45680</v>
      </c>
      <c r="B2497" s="116">
        <v>585.9</v>
      </c>
      <c r="C2497" s="116">
        <v>568.9</v>
      </c>
      <c r="D2497" s="116">
        <v>538.5</v>
      </c>
      <c r="E2497" s="116">
        <v>561.70000000000005</v>
      </c>
      <c r="F2497" s="116">
        <v>568.9</v>
      </c>
      <c r="G2497">
        <v>45462</v>
      </c>
      <c r="H2497" s="116"/>
      <c r="I2497" s="116"/>
      <c r="L2497" s="166">
        <v>45680</v>
      </c>
      <c r="M2497" s="116">
        <v>568.9</v>
      </c>
      <c r="N2497" s="116">
        <v>586</v>
      </c>
      <c r="O2497" s="116">
        <v>537.5</v>
      </c>
      <c r="P2497" s="116">
        <v>559.1</v>
      </c>
      <c r="Q2497" s="116">
        <v>568.9</v>
      </c>
      <c r="R2497">
        <v>951998</v>
      </c>
    </row>
    <row r="2498" spans="1:18" x14ac:dyDescent="0.25">
      <c r="A2498" s="166">
        <v>45681</v>
      </c>
      <c r="B2498" s="116">
        <v>579.70000000000005</v>
      </c>
      <c r="C2498" s="116">
        <v>543.35</v>
      </c>
      <c r="D2498" s="116">
        <v>540.25</v>
      </c>
      <c r="E2498" s="116">
        <v>579.70000000000005</v>
      </c>
      <c r="F2498" s="116">
        <v>543.35</v>
      </c>
      <c r="G2498">
        <v>37587</v>
      </c>
      <c r="H2498" s="116"/>
      <c r="I2498" s="116"/>
      <c r="L2498" s="166">
        <v>45681</v>
      </c>
      <c r="M2498" s="116">
        <v>544.25</v>
      </c>
      <c r="N2498" s="116">
        <v>569.04999999999995</v>
      </c>
      <c r="O2498" s="116">
        <v>540.29999999999995</v>
      </c>
      <c r="P2498" s="116">
        <v>568.6</v>
      </c>
      <c r="Q2498" s="116">
        <v>544.25</v>
      </c>
      <c r="R2498">
        <v>643378</v>
      </c>
    </row>
    <row r="2499" spans="1:18" x14ac:dyDescent="0.25">
      <c r="A2499" s="166">
        <v>45684</v>
      </c>
      <c r="B2499" s="116">
        <v>540.15</v>
      </c>
      <c r="C2499" s="116">
        <v>526</v>
      </c>
      <c r="D2499" s="116">
        <v>513.29999999999995</v>
      </c>
      <c r="E2499" s="116">
        <v>533.54999999999995</v>
      </c>
      <c r="F2499" s="116">
        <v>526</v>
      </c>
      <c r="G2499">
        <v>28134</v>
      </c>
      <c r="H2499" s="116"/>
      <c r="I2499" s="116"/>
      <c r="L2499" s="166">
        <v>45684</v>
      </c>
      <c r="M2499" s="116">
        <v>526.29999999999995</v>
      </c>
      <c r="N2499" s="116">
        <v>540</v>
      </c>
      <c r="O2499" s="116">
        <v>513.1</v>
      </c>
      <c r="P2499" s="116">
        <v>540</v>
      </c>
      <c r="Q2499" s="116">
        <v>526.29999999999995</v>
      </c>
      <c r="R2499">
        <v>391950</v>
      </c>
    </row>
    <row r="2500" spans="1:18" x14ac:dyDescent="0.25">
      <c r="A2500" s="166">
        <v>45685</v>
      </c>
      <c r="B2500" s="116">
        <v>535</v>
      </c>
      <c r="C2500" s="116">
        <v>519.75</v>
      </c>
      <c r="D2500" s="116">
        <v>503</v>
      </c>
      <c r="E2500" s="116">
        <v>515.79999999999995</v>
      </c>
      <c r="F2500" s="116">
        <v>519.75</v>
      </c>
      <c r="G2500">
        <v>13584</v>
      </c>
      <c r="H2500" s="116"/>
      <c r="I2500" s="116"/>
      <c r="L2500" s="166">
        <v>45685</v>
      </c>
      <c r="M2500" s="116">
        <v>519</v>
      </c>
      <c r="N2500" s="116">
        <v>535</v>
      </c>
      <c r="O2500" s="116">
        <v>502.05</v>
      </c>
      <c r="P2500" s="116">
        <v>527.5</v>
      </c>
      <c r="Q2500" s="116">
        <v>519</v>
      </c>
      <c r="R2500">
        <v>645440</v>
      </c>
    </row>
    <row r="2501" spans="1:18" x14ac:dyDescent="0.25">
      <c r="A2501" s="166">
        <v>45686</v>
      </c>
      <c r="B2501" s="116">
        <v>550</v>
      </c>
      <c r="C2501" s="116">
        <v>517.5</v>
      </c>
      <c r="D2501" s="116">
        <v>512</v>
      </c>
      <c r="E2501" s="116">
        <v>519.75</v>
      </c>
      <c r="F2501" s="116">
        <v>517.5</v>
      </c>
      <c r="G2501">
        <v>41276</v>
      </c>
      <c r="H2501" s="116"/>
      <c r="I2501" s="116"/>
      <c r="L2501" s="166">
        <v>45686</v>
      </c>
      <c r="M2501" s="116">
        <v>517.75</v>
      </c>
      <c r="N2501" s="116">
        <v>549.25</v>
      </c>
      <c r="O2501" s="116">
        <v>511.05</v>
      </c>
      <c r="P2501" s="116">
        <v>516</v>
      </c>
      <c r="Q2501" s="116">
        <v>517.75</v>
      </c>
      <c r="R2501">
        <v>661206</v>
      </c>
    </row>
    <row r="2502" spans="1:18" x14ac:dyDescent="0.25">
      <c r="A2502" s="166">
        <v>45687</v>
      </c>
      <c r="B2502" s="116">
        <v>528.9</v>
      </c>
      <c r="C2502" s="116">
        <v>519.15</v>
      </c>
      <c r="D2502" s="116">
        <v>515.6</v>
      </c>
      <c r="E2502" s="116">
        <v>527.95000000000005</v>
      </c>
      <c r="F2502" s="116">
        <v>519.15</v>
      </c>
      <c r="G2502">
        <v>10581</v>
      </c>
      <c r="H2502" s="116"/>
      <c r="I2502" s="116"/>
      <c r="L2502" s="166">
        <v>45687</v>
      </c>
      <c r="M2502" s="116">
        <v>520.15</v>
      </c>
      <c r="N2502" s="116">
        <v>529.04999999999995</v>
      </c>
      <c r="O2502" s="116">
        <v>515.1</v>
      </c>
      <c r="P2502" s="116">
        <v>525.35</v>
      </c>
      <c r="Q2502" s="116">
        <v>520.15</v>
      </c>
      <c r="R2502">
        <v>328701</v>
      </c>
    </row>
    <row r="2503" spans="1:18" x14ac:dyDescent="0.25">
      <c r="A2503" s="166">
        <v>45688</v>
      </c>
      <c r="B2503" s="116">
        <v>537.4</v>
      </c>
      <c r="C2503" s="116">
        <v>531.79999999999995</v>
      </c>
      <c r="D2503" s="116">
        <v>516.5</v>
      </c>
      <c r="E2503" s="116">
        <v>523.9</v>
      </c>
      <c r="F2503" s="116">
        <v>531.79999999999995</v>
      </c>
      <c r="G2503">
        <v>11589</v>
      </c>
      <c r="H2503" s="116"/>
      <c r="I2503" s="116"/>
      <c r="L2503" s="166">
        <v>45688</v>
      </c>
      <c r="M2503" s="116">
        <v>532.4</v>
      </c>
      <c r="N2503" s="116">
        <v>537.54999999999995</v>
      </c>
      <c r="O2503" s="116">
        <v>516.15</v>
      </c>
      <c r="P2503" s="116">
        <v>521</v>
      </c>
      <c r="Q2503" s="116">
        <v>532.4</v>
      </c>
      <c r="R2503">
        <v>258931</v>
      </c>
    </row>
    <row r="2504" spans="1:18" x14ac:dyDescent="0.25">
      <c r="A2504" s="166">
        <v>45689</v>
      </c>
      <c r="B2504" s="116">
        <v>542.35</v>
      </c>
      <c r="C2504" s="116">
        <v>528.04999999999995</v>
      </c>
      <c r="D2504" s="116">
        <v>523.1</v>
      </c>
      <c r="E2504" s="116">
        <v>533.04999999999995</v>
      </c>
      <c r="F2504" s="116">
        <v>528.04999999999995</v>
      </c>
      <c r="G2504">
        <v>10397</v>
      </c>
      <c r="H2504" s="116"/>
      <c r="I2504" s="116"/>
      <c r="L2504" s="166">
        <v>45689</v>
      </c>
      <c r="M2504" s="116">
        <v>529.5</v>
      </c>
      <c r="N2504" s="116">
        <v>543.45000000000005</v>
      </c>
      <c r="O2504" s="116">
        <v>521.70000000000005</v>
      </c>
      <c r="P2504" s="116">
        <v>537</v>
      </c>
      <c r="Q2504" s="116">
        <v>529.5</v>
      </c>
      <c r="R2504">
        <v>156321</v>
      </c>
    </row>
    <row r="2505" spans="1:18" x14ac:dyDescent="0.25">
      <c r="A2505" s="166">
        <v>45691</v>
      </c>
      <c r="B2505" s="116">
        <v>529.95000000000005</v>
      </c>
      <c r="C2505" s="116">
        <v>480.65</v>
      </c>
      <c r="D2505" s="116">
        <v>478.25</v>
      </c>
      <c r="E2505" s="116">
        <v>529.95000000000005</v>
      </c>
      <c r="F2505" s="116">
        <v>480.65</v>
      </c>
      <c r="G2505">
        <v>49403</v>
      </c>
      <c r="H2505" s="116"/>
      <c r="I2505" s="116"/>
      <c r="L2505" s="166">
        <v>45691</v>
      </c>
      <c r="M2505" s="116">
        <v>480.35</v>
      </c>
      <c r="N2505" s="116">
        <v>529.25</v>
      </c>
      <c r="O2505" s="116">
        <v>477.6</v>
      </c>
      <c r="P2505" s="116">
        <v>529.25</v>
      </c>
      <c r="Q2505" s="116">
        <v>480.35</v>
      </c>
      <c r="R2505">
        <v>1308849</v>
      </c>
    </row>
    <row r="2506" spans="1:18" x14ac:dyDescent="0.25">
      <c r="A2506" s="166">
        <v>45692</v>
      </c>
      <c r="B2506" s="116">
        <v>499.8</v>
      </c>
      <c r="C2506" s="116">
        <v>494.3</v>
      </c>
      <c r="D2506" s="116">
        <v>472.4</v>
      </c>
      <c r="E2506" s="116">
        <v>484.75</v>
      </c>
      <c r="F2506" s="116">
        <v>494.3</v>
      </c>
      <c r="G2506">
        <v>46001</v>
      </c>
      <c r="H2506" s="116"/>
      <c r="I2506" s="116"/>
      <c r="L2506" s="166">
        <v>45692</v>
      </c>
      <c r="M2506" s="116">
        <v>494.95</v>
      </c>
      <c r="N2506" s="116">
        <v>499.95</v>
      </c>
      <c r="O2506" s="116">
        <v>472.65</v>
      </c>
      <c r="P2506" s="116">
        <v>480</v>
      </c>
      <c r="Q2506" s="116">
        <v>494.95</v>
      </c>
      <c r="R2506">
        <v>1004651</v>
      </c>
    </row>
    <row r="2507" spans="1:18" x14ac:dyDescent="0.25">
      <c r="A2507" s="166">
        <v>45693</v>
      </c>
      <c r="B2507" s="116">
        <v>509.15</v>
      </c>
      <c r="C2507" s="116">
        <v>500.15</v>
      </c>
      <c r="D2507" s="116">
        <v>493</v>
      </c>
      <c r="E2507" s="116">
        <v>501.25</v>
      </c>
      <c r="F2507" s="116">
        <v>500.15</v>
      </c>
      <c r="G2507">
        <v>14863</v>
      </c>
      <c r="H2507" s="116"/>
      <c r="I2507" s="116"/>
      <c r="L2507" s="166">
        <v>45693</v>
      </c>
      <c r="M2507" s="116">
        <v>500.4</v>
      </c>
      <c r="N2507" s="116">
        <v>510</v>
      </c>
      <c r="O2507" s="116">
        <v>492.45</v>
      </c>
      <c r="P2507" s="116">
        <v>498.35</v>
      </c>
      <c r="Q2507" s="116">
        <v>500.4</v>
      </c>
      <c r="R2507">
        <v>387415</v>
      </c>
    </row>
    <row r="2508" spans="1:18" x14ac:dyDescent="0.25">
      <c r="A2508" s="166">
        <v>45694</v>
      </c>
      <c r="B2508" s="116">
        <v>518.1</v>
      </c>
      <c r="C2508" s="116">
        <v>515.70000000000005</v>
      </c>
      <c r="D2508" s="116">
        <v>500</v>
      </c>
      <c r="E2508" s="116">
        <v>505.95</v>
      </c>
      <c r="F2508" s="116">
        <v>515.70000000000005</v>
      </c>
      <c r="G2508">
        <v>19516</v>
      </c>
      <c r="H2508" s="116"/>
      <c r="I2508" s="116"/>
      <c r="L2508" s="166">
        <v>45694</v>
      </c>
      <c r="M2508" s="116">
        <v>516.1</v>
      </c>
      <c r="N2508" s="116">
        <v>519</v>
      </c>
      <c r="O2508" s="116">
        <v>498.95</v>
      </c>
      <c r="P2508" s="116">
        <v>502.3</v>
      </c>
      <c r="Q2508" s="116">
        <v>516.1</v>
      </c>
      <c r="R2508">
        <v>321908</v>
      </c>
    </row>
    <row r="2509" spans="1:18" x14ac:dyDescent="0.25">
      <c r="A2509" s="166">
        <v>45695</v>
      </c>
      <c r="B2509" s="116">
        <v>523</v>
      </c>
      <c r="C2509" s="116">
        <v>510.55</v>
      </c>
      <c r="D2509" s="116">
        <v>508.9</v>
      </c>
      <c r="E2509" s="116">
        <v>516.95000000000005</v>
      </c>
      <c r="F2509" s="116">
        <v>510.55</v>
      </c>
      <c r="G2509">
        <v>13303</v>
      </c>
      <c r="H2509" s="116"/>
      <c r="I2509" s="116"/>
      <c r="L2509" s="166">
        <v>45695</v>
      </c>
      <c r="M2509" s="116">
        <v>510.8</v>
      </c>
      <c r="N2509" s="116">
        <v>523.35</v>
      </c>
      <c r="O2509" s="116">
        <v>508</v>
      </c>
      <c r="P2509" s="116">
        <v>516.1</v>
      </c>
      <c r="Q2509" s="116">
        <v>510.8</v>
      </c>
      <c r="R2509">
        <v>232214</v>
      </c>
    </row>
    <row r="2510" spans="1:18" x14ac:dyDescent="0.25">
      <c r="A2510" s="166">
        <v>45698</v>
      </c>
      <c r="B2510" s="116">
        <v>517.95000000000005</v>
      </c>
      <c r="C2510" s="116">
        <v>508.65</v>
      </c>
      <c r="D2510" s="116">
        <v>502.95</v>
      </c>
      <c r="E2510" s="116">
        <v>508</v>
      </c>
      <c r="F2510" s="116">
        <v>508.65</v>
      </c>
      <c r="G2510">
        <v>13900</v>
      </c>
      <c r="H2510" s="116"/>
      <c r="I2510" s="116"/>
      <c r="L2510" s="166">
        <v>45698</v>
      </c>
      <c r="M2510" s="116">
        <v>507.35</v>
      </c>
      <c r="N2510" s="116">
        <v>518.45000000000005</v>
      </c>
      <c r="O2510" s="116">
        <v>503.1</v>
      </c>
      <c r="P2510" s="116">
        <v>515.1</v>
      </c>
      <c r="Q2510" s="116">
        <v>507.35</v>
      </c>
      <c r="R2510">
        <v>285130</v>
      </c>
    </row>
    <row r="2511" spans="1:18" x14ac:dyDescent="0.25">
      <c r="A2511" s="166">
        <v>45699</v>
      </c>
      <c r="B2511" s="116">
        <v>506.95</v>
      </c>
      <c r="C2511" s="116">
        <v>463.7</v>
      </c>
      <c r="D2511" s="116">
        <v>445</v>
      </c>
      <c r="E2511" s="116">
        <v>506.95</v>
      </c>
      <c r="F2511" s="116">
        <v>463.7</v>
      </c>
      <c r="G2511">
        <v>143957</v>
      </c>
      <c r="H2511" s="116"/>
      <c r="I2511" s="116"/>
      <c r="L2511" s="166">
        <v>45699</v>
      </c>
      <c r="M2511" s="116">
        <v>464.3</v>
      </c>
      <c r="N2511" s="116">
        <v>504.05</v>
      </c>
      <c r="O2511" s="116">
        <v>444.85</v>
      </c>
      <c r="P2511" s="116">
        <v>503.25</v>
      </c>
      <c r="Q2511" s="116">
        <v>464.3</v>
      </c>
      <c r="R2511">
        <v>1747910</v>
      </c>
    </row>
    <row r="2512" spans="1:18" x14ac:dyDescent="0.25">
      <c r="A2512" s="166">
        <v>45700</v>
      </c>
      <c r="B2512" s="116">
        <v>472.75</v>
      </c>
      <c r="C2512" s="116">
        <v>464.7</v>
      </c>
      <c r="D2512" s="116">
        <v>444.9</v>
      </c>
      <c r="E2512" s="116">
        <v>463.7</v>
      </c>
      <c r="F2512" s="116">
        <v>464.7</v>
      </c>
      <c r="G2512">
        <v>34617</v>
      </c>
      <c r="H2512" s="116"/>
      <c r="I2512" s="116"/>
      <c r="L2512" s="166">
        <v>45700</v>
      </c>
      <c r="M2512" s="116">
        <v>464.3</v>
      </c>
      <c r="N2512" s="116">
        <v>473.35</v>
      </c>
      <c r="O2512" s="116">
        <v>444.5</v>
      </c>
      <c r="P2512" s="116">
        <v>466.55</v>
      </c>
      <c r="Q2512" s="116">
        <v>464.3</v>
      </c>
      <c r="R2512">
        <v>733905</v>
      </c>
    </row>
    <row r="2513" spans="1:18" x14ac:dyDescent="0.25">
      <c r="A2513" s="166">
        <v>45701</v>
      </c>
      <c r="B2513" s="116">
        <v>490.35</v>
      </c>
      <c r="C2513" s="116">
        <v>484.2</v>
      </c>
      <c r="D2513" s="116">
        <v>465</v>
      </c>
      <c r="E2513" s="116">
        <v>480</v>
      </c>
      <c r="F2513" s="116">
        <v>484.2</v>
      </c>
      <c r="G2513">
        <v>31313</v>
      </c>
      <c r="H2513" s="116"/>
      <c r="I2513" s="116"/>
      <c r="L2513" s="166">
        <v>45701</v>
      </c>
      <c r="M2513" s="116">
        <v>484.4</v>
      </c>
      <c r="N2513" s="116">
        <v>491.2</v>
      </c>
      <c r="O2513" s="116">
        <v>466.1</v>
      </c>
      <c r="P2513" s="116">
        <v>468.95</v>
      </c>
      <c r="Q2513" s="116">
        <v>484.4</v>
      </c>
      <c r="R2513">
        <v>534213</v>
      </c>
    </row>
    <row r="2514" spans="1:18" x14ac:dyDescent="0.25">
      <c r="A2514" s="166">
        <v>45702</v>
      </c>
      <c r="B2514" s="116">
        <v>493.2</v>
      </c>
      <c r="C2514" s="116">
        <v>460.75</v>
      </c>
      <c r="D2514" s="116">
        <v>453.65</v>
      </c>
      <c r="E2514" s="116">
        <v>493.2</v>
      </c>
      <c r="F2514" s="116">
        <v>460.75</v>
      </c>
      <c r="G2514">
        <v>32094</v>
      </c>
      <c r="H2514" s="116"/>
      <c r="I2514" s="116"/>
      <c r="L2514" s="166">
        <v>45702</v>
      </c>
      <c r="M2514" s="116">
        <v>461.05</v>
      </c>
      <c r="N2514" s="116">
        <v>498</v>
      </c>
      <c r="O2514" s="116">
        <v>453.35</v>
      </c>
      <c r="P2514" s="116">
        <v>490.05</v>
      </c>
      <c r="Q2514" s="116">
        <v>461.05</v>
      </c>
      <c r="R2514">
        <v>313183</v>
      </c>
    </row>
    <row r="2515" spans="1:18" x14ac:dyDescent="0.25">
      <c r="A2515" s="166">
        <v>45705</v>
      </c>
      <c r="B2515" s="116">
        <v>470</v>
      </c>
      <c r="C2515" s="116">
        <v>446.35</v>
      </c>
      <c r="D2515" s="116">
        <v>440.65</v>
      </c>
      <c r="E2515" s="116">
        <v>470</v>
      </c>
      <c r="F2515" s="116">
        <v>446.35</v>
      </c>
      <c r="G2515">
        <v>17873</v>
      </c>
      <c r="H2515" s="116"/>
      <c r="I2515" s="116"/>
      <c r="L2515" s="166">
        <v>45705</v>
      </c>
      <c r="M2515" s="116">
        <v>445.85</v>
      </c>
      <c r="N2515" s="116">
        <v>461.05</v>
      </c>
      <c r="O2515" s="116">
        <v>439.55</v>
      </c>
      <c r="P2515" s="116">
        <v>458.1</v>
      </c>
      <c r="Q2515" s="116">
        <v>445.85</v>
      </c>
      <c r="R2515">
        <v>485884</v>
      </c>
    </row>
    <row r="2516" spans="1:18" x14ac:dyDescent="0.25">
      <c r="A2516" s="166">
        <v>45706</v>
      </c>
      <c r="B2516" s="116">
        <v>452.05</v>
      </c>
      <c r="C2516" s="116">
        <v>444.95</v>
      </c>
      <c r="D2516" s="116">
        <v>430.45</v>
      </c>
      <c r="E2516" s="116">
        <v>448.15</v>
      </c>
      <c r="F2516" s="116">
        <v>444.95</v>
      </c>
      <c r="G2516">
        <v>64743</v>
      </c>
      <c r="H2516" s="116"/>
      <c r="I2516" s="116"/>
      <c r="L2516" s="166">
        <v>45706</v>
      </c>
      <c r="M2516" s="116">
        <v>445.3</v>
      </c>
      <c r="N2516" s="116">
        <v>453.95</v>
      </c>
      <c r="O2516" s="116">
        <v>431</v>
      </c>
      <c r="P2516" s="116">
        <v>450.4</v>
      </c>
      <c r="Q2516" s="116">
        <v>445.3</v>
      </c>
      <c r="R2516">
        <v>550333</v>
      </c>
    </row>
    <row r="2517" spans="1:18" x14ac:dyDescent="0.25">
      <c r="A2517" s="166">
        <v>45707</v>
      </c>
      <c r="B2517" s="116">
        <v>473.75</v>
      </c>
      <c r="C2517" s="116">
        <v>466.65</v>
      </c>
      <c r="D2517" s="116">
        <v>436.2</v>
      </c>
      <c r="E2517" s="116">
        <v>436.2</v>
      </c>
      <c r="F2517" s="116">
        <v>466.65</v>
      </c>
      <c r="G2517">
        <v>19211</v>
      </c>
      <c r="H2517" s="116"/>
      <c r="I2517" s="116"/>
      <c r="L2517" s="166">
        <v>45707</v>
      </c>
      <c r="M2517" s="116">
        <v>466.75</v>
      </c>
      <c r="N2517" s="116">
        <v>474</v>
      </c>
      <c r="O2517" s="116">
        <v>440.35</v>
      </c>
      <c r="P2517" s="116">
        <v>445.85</v>
      </c>
      <c r="Q2517" s="116">
        <v>466.75</v>
      </c>
      <c r="R2517">
        <v>396938</v>
      </c>
    </row>
    <row r="2518" spans="1:18" x14ac:dyDescent="0.25">
      <c r="A2518" s="166">
        <v>45708</v>
      </c>
      <c r="B2518" s="116">
        <v>480.4</v>
      </c>
      <c r="C2518" s="116">
        <v>477.6</v>
      </c>
      <c r="D2518" s="116">
        <v>456.55</v>
      </c>
      <c r="E2518" s="116">
        <v>474.8</v>
      </c>
      <c r="F2518" s="116">
        <v>477.6</v>
      </c>
      <c r="G2518">
        <v>21330</v>
      </c>
      <c r="H2518" s="116"/>
      <c r="I2518" s="116"/>
      <c r="L2518" s="166">
        <v>45708</v>
      </c>
      <c r="M2518" s="116">
        <v>477.9</v>
      </c>
      <c r="N2518" s="116">
        <v>480.5</v>
      </c>
      <c r="O2518" s="116">
        <v>456.4</v>
      </c>
      <c r="P2518" s="116">
        <v>466.7</v>
      </c>
      <c r="Q2518" s="116">
        <v>477.9</v>
      </c>
      <c r="R2518">
        <v>421403</v>
      </c>
    </row>
    <row r="2519" spans="1:18" x14ac:dyDescent="0.25">
      <c r="A2519" s="166">
        <v>45709</v>
      </c>
      <c r="B2519" s="116">
        <v>499.4</v>
      </c>
      <c r="C2519" s="116">
        <v>475.3</v>
      </c>
      <c r="D2519" s="116">
        <v>467.7</v>
      </c>
      <c r="E2519" s="116">
        <v>499.4</v>
      </c>
      <c r="F2519" s="116">
        <v>475.3</v>
      </c>
      <c r="G2519">
        <v>13022</v>
      </c>
      <c r="H2519" s="116"/>
      <c r="I2519" s="116"/>
      <c r="L2519" s="166">
        <v>45709</v>
      </c>
      <c r="M2519" s="116">
        <v>475.4</v>
      </c>
      <c r="N2519" s="116">
        <v>486.35</v>
      </c>
      <c r="O2519" s="116">
        <v>466.45</v>
      </c>
      <c r="P2519" s="116">
        <v>481.5</v>
      </c>
      <c r="Q2519" s="116">
        <v>475.4</v>
      </c>
      <c r="R2519">
        <v>220313</v>
      </c>
    </row>
    <row r="2520" spans="1:18" x14ac:dyDescent="0.25">
      <c r="A2520" s="166">
        <v>45712</v>
      </c>
      <c r="B2520" s="116">
        <v>491.6</v>
      </c>
      <c r="C2520" s="116">
        <v>465.4</v>
      </c>
      <c r="D2520" s="116">
        <v>459.15</v>
      </c>
      <c r="E2520" s="116">
        <v>491.6</v>
      </c>
      <c r="F2520" s="116">
        <v>465.4</v>
      </c>
      <c r="G2520">
        <v>7438</v>
      </c>
      <c r="H2520" s="116"/>
      <c r="I2520" s="116"/>
      <c r="L2520" s="166">
        <v>45712</v>
      </c>
      <c r="M2520" s="116">
        <v>464.45</v>
      </c>
      <c r="N2520" s="116">
        <v>475.2</v>
      </c>
      <c r="O2520" s="116">
        <v>458.65</v>
      </c>
      <c r="P2520" s="116">
        <v>466</v>
      </c>
      <c r="Q2520" s="116">
        <v>464.45</v>
      </c>
      <c r="R2520">
        <v>228419</v>
      </c>
    </row>
    <row r="2521" spans="1:18" x14ac:dyDescent="0.25">
      <c r="A2521" s="166">
        <v>45713</v>
      </c>
      <c r="B2521" s="116">
        <v>470</v>
      </c>
      <c r="C2521" s="116">
        <v>447.5</v>
      </c>
      <c r="D2521" s="116">
        <v>445.85</v>
      </c>
      <c r="E2521" s="116">
        <v>465.4</v>
      </c>
      <c r="F2521" s="116">
        <v>447.5</v>
      </c>
      <c r="G2521">
        <v>26333</v>
      </c>
      <c r="H2521" s="116"/>
      <c r="I2521" s="116"/>
      <c r="L2521" s="166">
        <v>45713</v>
      </c>
      <c r="M2521" s="116">
        <v>448.1</v>
      </c>
      <c r="N2521" s="116">
        <v>479.95</v>
      </c>
      <c r="O2521" s="116">
        <v>446</v>
      </c>
      <c r="P2521" s="116">
        <v>468.9</v>
      </c>
      <c r="Q2521" s="116">
        <v>448.1</v>
      </c>
      <c r="R2521">
        <v>324841</v>
      </c>
    </row>
    <row r="2522" spans="1:18" x14ac:dyDescent="0.25">
      <c r="A2522" s="166">
        <v>45715</v>
      </c>
      <c r="B2522" s="116">
        <v>460</v>
      </c>
      <c r="C2522" s="116">
        <v>437.6</v>
      </c>
      <c r="D2522" s="116">
        <v>433.7</v>
      </c>
      <c r="E2522" s="116">
        <v>460</v>
      </c>
      <c r="F2522" s="116">
        <v>437.6</v>
      </c>
      <c r="G2522">
        <v>10975</v>
      </c>
      <c r="H2522" s="116"/>
      <c r="I2522" s="116"/>
      <c r="L2522" s="166">
        <v>45715</v>
      </c>
      <c r="M2522" s="116">
        <v>437.45</v>
      </c>
      <c r="N2522" s="116">
        <v>453.25</v>
      </c>
      <c r="O2522" s="116">
        <v>433.5</v>
      </c>
      <c r="P2522" s="116">
        <v>450</v>
      </c>
      <c r="Q2522" s="116">
        <v>437.45</v>
      </c>
      <c r="R2522">
        <v>370598</v>
      </c>
    </row>
    <row r="2523" spans="1:18" x14ac:dyDescent="0.25">
      <c r="A2523" s="166">
        <v>45716</v>
      </c>
      <c r="B2523" s="116">
        <v>435.1</v>
      </c>
      <c r="C2523" s="116">
        <v>412.45</v>
      </c>
      <c r="D2523" s="116">
        <v>408.4</v>
      </c>
      <c r="E2523" s="116">
        <v>430.6</v>
      </c>
      <c r="F2523" s="116">
        <v>412.45</v>
      </c>
      <c r="G2523">
        <v>39373</v>
      </c>
      <c r="H2523" s="116"/>
      <c r="I2523" s="116"/>
      <c r="L2523" s="166">
        <v>45716</v>
      </c>
      <c r="M2523" s="116">
        <v>414.2</v>
      </c>
      <c r="N2523" s="116">
        <v>437</v>
      </c>
      <c r="O2523" s="116">
        <v>410.95</v>
      </c>
      <c r="P2523" s="116">
        <v>437</v>
      </c>
      <c r="Q2523" s="116">
        <v>414.2</v>
      </c>
      <c r="R2523">
        <v>347956</v>
      </c>
    </row>
    <row r="2524" spans="1:18" x14ac:dyDescent="0.25">
      <c r="A2524" s="166">
        <v>45719</v>
      </c>
      <c r="B2524" s="116">
        <v>424.45</v>
      </c>
      <c r="C2524" s="116">
        <v>387.9</v>
      </c>
      <c r="D2524" s="116">
        <v>386.3</v>
      </c>
      <c r="E2524" s="116">
        <v>424.45</v>
      </c>
      <c r="F2524" s="116">
        <v>387.9</v>
      </c>
      <c r="G2524">
        <v>21711</v>
      </c>
      <c r="H2524" s="116"/>
      <c r="I2524" s="116"/>
      <c r="L2524" s="166">
        <v>45719</v>
      </c>
      <c r="M2524" s="116">
        <v>388.4</v>
      </c>
      <c r="N2524" s="116">
        <v>423.3</v>
      </c>
      <c r="O2524" s="116">
        <v>386.5</v>
      </c>
      <c r="P2524" s="116">
        <v>420.05</v>
      </c>
      <c r="Q2524" s="116">
        <v>388.4</v>
      </c>
      <c r="R2524">
        <v>1529377</v>
      </c>
    </row>
    <row r="2525" spans="1:18" x14ac:dyDescent="0.25">
      <c r="A2525" s="166">
        <v>45720</v>
      </c>
      <c r="B2525" s="116">
        <v>398.6</v>
      </c>
      <c r="C2525" s="116">
        <v>392.4</v>
      </c>
      <c r="D2525" s="116">
        <v>378.35</v>
      </c>
      <c r="E2525" s="116">
        <v>396</v>
      </c>
      <c r="F2525" s="116">
        <v>392.4</v>
      </c>
      <c r="G2525">
        <v>31283</v>
      </c>
      <c r="H2525" s="116"/>
      <c r="I2525" s="116"/>
      <c r="L2525" s="166">
        <v>45720</v>
      </c>
      <c r="M2525" s="116">
        <v>392.25</v>
      </c>
      <c r="N2525" s="116">
        <v>399</v>
      </c>
      <c r="O2525" s="116">
        <v>376.95</v>
      </c>
      <c r="P2525" s="116">
        <v>388.3</v>
      </c>
      <c r="Q2525" s="116">
        <v>392.25</v>
      </c>
      <c r="R2525">
        <v>631892</v>
      </c>
    </row>
    <row r="2526" spans="1:18" x14ac:dyDescent="0.25">
      <c r="A2526" s="166">
        <v>45721</v>
      </c>
      <c r="B2526" s="116">
        <v>422</v>
      </c>
      <c r="C2526" s="116">
        <v>419.8</v>
      </c>
      <c r="D2526" s="116">
        <v>393.05</v>
      </c>
      <c r="E2526" s="116">
        <v>394.95</v>
      </c>
      <c r="F2526" s="116">
        <v>419.8</v>
      </c>
      <c r="G2526">
        <v>48098</v>
      </c>
      <c r="H2526" s="116"/>
      <c r="I2526" s="116"/>
      <c r="L2526" s="166">
        <v>45721</v>
      </c>
      <c r="M2526" s="116">
        <v>419.55</v>
      </c>
      <c r="N2526" s="116">
        <v>422.45</v>
      </c>
      <c r="O2526" s="116">
        <v>392.5</v>
      </c>
      <c r="P2526" s="116">
        <v>392.5</v>
      </c>
      <c r="Q2526" s="116">
        <v>419.55</v>
      </c>
      <c r="R2526">
        <v>1624530</v>
      </c>
    </row>
    <row r="2527" spans="1:18" x14ac:dyDescent="0.25">
      <c r="A2527" s="166">
        <v>45722</v>
      </c>
      <c r="B2527" s="116">
        <v>431.95</v>
      </c>
      <c r="C2527" s="116">
        <v>424.25</v>
      </c>
      <c r="D2527" s="116">
        <v>422</v>
      </c>
      <c r="E2527" s="116">
        <v>431.95</v>
      </c>
      <c r="F2527" s="116">
        <v>424.25</v>
      </c>
      <c r="G2527">
        <v>37754</v>
      </c>
      <c r="H2527" s="116"/>
      <c r="I2527" s="116"/>
      <c r="L2527" s="166">
        <v>45722</v>
      </c>
      <c r="M2527" s="116">
        <v>424.5</v>
      </c>
      <c r="N2527" s="116">
        <v>430</v>
      </c>
      <c r="O2527" s="116">
        <v>422</v>
      </c>
      <c r="P2527" s="116">
        <v>424.55</v>
      </c>
      <c r="Q2527" s="116">
        <v>424.5</v>
      </c>
      <c r="R2527">
        <v>431301</v>
      </c>
    </row>
    <row r="2528" spans="1:18" x14ac:dyDescent="0.25">
      <c r="A2528" s="166">
        <v>45723</v>
      </c>
      <c r="B2528" s="116">
        <v>445</v>
      </c>
      <c r="C2528" s="116">
        <v>437.5</v>
      </c>
      <c r="D2528" s="116">
        <v>423.25</v>
      </c>
      <c r="E2528" s="116">
        <v>443.9</v>
      </c>
      <c r="F2528" s="116">
        <v>437.5</v>
      </c>
      <c r="G2528">
        <v>51744</v>
      </c>
      <c r="H2528" s="116"/>
      <c r="I2528" s="116"/>
      <c r="L2528" s="166">
        <v>45723</v>
      </c>
      <c r="M2528" s="116">
        <v>437.55</v>
      </c>
      <c r="N2528" s="116">
        <v>445.05</v>
      </c>
      <c r="O2528" s="116">
        <v>422.6</v>
      </c>
      <c r="P2528" s="116">
        <v>423.9</v>
      </c>
      <c r="Q2528" s="116">
        <v>437.55</v>
      </c>
      <c r="R2528">
        <v>575270</v>
      </c>
    </row>
    <row r="2529" spans="1:18" x14ac:dyDescent="0.25">
      <c r="A2529" s="166">
        <v>45726</v>
      </c>
      <c r="B2529" s="116">
        <v>452.45</v>
      </c>
      <c r="C2529" s="116">
        <v>415.35</v>
      </c>
      <c r="D2529" s="116">
        <v>413.55</v>
      </c>
      <c r="E2529" s="116">
        <v>452.45</v>
      </c>
      <c r="F2529" s="116">
        <v>415.35</v>
      </c>
      <c r="G2529">
        <v>19592</v>
      </c>
      <c r="H2529" s="116"/>
      <c r="I2529" s="116"/>
      <c r="L2529" s="166">
        <v>45726</v>
      </c>
      <c r="M2529" s="116">
        <v>415.45</v>
      </c>
      <c r="N2529" s="116">
        <v>447.9</v>
      </c>
      <c r="O2529" s="116">
        <v>412.75</v>
      </c>
      <c r="P2529" s="116">
        <v>442</v>
      </c>
      <c r="Q2529" s="116">
        <v>415.45</v>
      </c>
      <c r="R2529">
        <v>321646</v>
      </c>
    </row>
    <row r="2530" spans="1:18" x14ac:dyDescent="0.25">
      <c r="A2530" s="166">
        <v>45727</v>
      </c>
      <c r="B2530" s="116">
        <v>412</v>
      </c>
      <c r="C2530" s="116">
        <v>400.5</v>
      </c>
      <c r="D2530" s="116">
        <v>396.6</v>
      </c>
      <c r="E2530" s="116">
        <v>410</v>
      </c>
      <c r="F2530" s="116">
        <v>400.5</v>
      </c>
      <c r="G2530">
        <v>19627</v>
      </c>
      <c r="H2530" s="116"/>
      <c r="I2530" s="116"/>
      <c r="L2530" s="166">
        <v>45727</v>
      </c>
      <c r="M2530" s="116">
        <v>399.8</v>
      </c>
      <c r="N2530" s="116">
        <v>412.8</v>
      </c>
      <c r="O2530" s="116">
        <v>396.3</v>
      </c>
      <c r="P2530" s="116">
        <v>410</v>
      </c>
      <c r="Q2530" s="116">
        <v>399.8</v>
      </c>
      <c r="R2530">
        <v>454276</v>
      </c>
    </row>
    <row r="2531" spans="1:18" x14ac:dyDescent="0.25">
      <c r="A2531" s="166">
        <v>45728</v>
      </c>
      <c r="B2531" s="116">
        <v>408.3</v>
      </c>
      <c r="C2531" s="116">
        <v>401.95</v>
      </c>
      <c r="D2531" s="116">
        <v>396.9</v>
      </c>
      <c r="E2531" s="116">
        <v>405.65</v>
      </c>
      <c r="F2531" s="116">
        <v>401.95</v>
      </c>
      <c r="G2531">
        <v>31538</v>
      </c>
      <c r="H2531" s="116"/>
      <c r="I2531" s="116"/>
      <c r="L2531" s="166">
        <v>45728</v>
      </c>
      <c r="M2531" s="116">
        <v>401.85</v>
      </c>
      <c r="N2531" s="116">
        <v>408</v>
      </c>
      <c r="O2531" s="116">
        <v>397.25</v>
      </c>
      <c r="P2531" s="116">
        <v>405</v>
      </c>
      <c r="Q2531" s="116">
        <v>401.85</v>
      </c>
      <c r="R2531">
        <v>290467</v>
      </c>
    </row>
    <row r="2532" spans="1:18" x14ac:dyDescent="0.25">
      <c r="A2532" s="166">
        <v>45729</v>
      </c>
      <c r="B2532" s="116">
        <v>409.4</v>
      </c>
      <c r="C2532" s="116">
        <v>391.15</v>
      </c>
      <c r="D2532" s="116">
        <v>389.3</v>
      </c>
      <c r="E2532" s="116">
        <v>409.4</v>
      </c>
      <c r="F2532" s="116">
        <v>391.15</v>
      </c>
      <c r="G2532">
        <v>36738</v>
      </c>
      <c r="H2532" s="116"/>
      <c r="I2532" s="116"/>
      <c r="L2532" s="166">
        <v>45729</v>
      </c>
      <c r="M2532" s="116">
        <v>391.1</v>
      </c>
      <c r="N2532" s="116">
        <v>407.95</v>
      </c>
      <c r="O2532" s="116">
        <v>388.8</v>
      </c>
      <c r="P2532" s="116">
        <v>404.45</v>
      </c>
      <c r="Q2532" s="116">
        <v>391.1</v>
      </c>
      <c r="R2532">
        <v>754898</v>
      </c>
    </row>
    <row r="2533" spans="1:18" x14ac:dyDescent="0.25">
      <c r="A2533" s="166">
        <v>45733</v>
      </c>
      <c r="B2533" s="116">
        <v>398</v>
      </c>
      <c r="C2533" s="116">
        <v>390.25</v>
      </c>
      <c r="D2533" s="116">
        <v>387.6</v>
      </c>
      <c r="E2533" s="116">
        <v>392.9</v>
      </c>
      <c r="F2533" s="116">
        <v>390.25</v>
      </c>
      <c r="G2533">
        <v>48888</v>
      </c>
      <c r="H2533" s="116"/>
      <c r="I2533" s="116"/>
      <c r="L2533" s="166">
        <v>45733</v>
      </c>
      <c r="M2533" s="116">
        <v>390.85</v>
      </c>
      <c r="N2533" s="116">
        <v>398.25</v>
      </c>
      <c r="O2533" s="116">
        <v>385.6</v>
      </c>
      <c r="P2533" s="116">
        <v>395.7</v>
      </c>
      <c r="Q2533" s="116">
        <v>390.85</v>
      </c>
      <c r="R2533">
        <v>445121</v>
      </c>
    </row>
    <row r="2534" spans="1:18" x14ac:dyDescent="0.25">
      <c r="A2534" s="166">
        <v>45734</v>
      </c>
      <c r="B2534" s="116">
        <v>421</v>
      </c>
      <c r="C2534" s="116">
        <v>415.5</v>
      </c>
      <c r="D2534" s="116">
        <v>392.9</v>
      </c>
      <c r="E2534" s="116">
        <v>392.9</v>
      </c>
      <c r="F2534" s="116">
        <v>415.5</v>
      </c>
      <c r="G2534">
        <v>45104</v>
      </c>
      <c r="H2534" s="116"/>
      <c r="I2534" s="116"/>
      <c r="L2534" s="166">
        <v>45734</v>
      </c>
      <c r="M2534" s="116">
        <v>415.3</v>
      </c>
      <c r="N2534" s="116">
        <v>421</v>
      </c>
      <c r="O2534" s="116">
        <v>392</v>
      </c>
      <c r="P2534" s="116">
        <v>392</v>
      </c>
      <c r="Q2534" s="116">
        <v>415.3</v>
      </c>
      <c r="R2534">
        <v>888633</v>
      </c>
    </row>
    <row r="2535" spans="1:18" x14ac:dyDescent="0.25">
      <c r="A2535" s="166">
        <v>45735</v>
      </c>
      <c r="B2535" s="116">
        <v>432.65</v>
      </c>
      <c r="C2535" s="116">
        <v>431.55</v>
      </c>
      <c r="D2535" s="116">
        <v>415.7</v>
      </c>
      <c r="E2535" s="116">
        <v>419.15</v>
      </c>
      <c r="F2535" s="116">
        <v>431.55</v>
      </c>
      <c r="G2535">
        <v>58439</v>
      </c>
      <c r="H2535" s="116"/>
      <c r="I2535" s="116"/>
      <c r="L2535" s="166">
        <v>45735</v>
      </c>
      <c r="M2535" s="116">
        <v>431.25</v>
      </c>
      <c r="N2535" s="116">
        <v>433.1</v>
      </c>
      <c r="O2535" s="116">
        <v>416.1</v>
      </c>
      <c r="P2535" s="116">
        <v>418</v>
      </c>
      <c r="Q2535" s="116">
        <v>431.25</v>
      </c>
      <c r="R2535">
        <v>634908</v>
      </c>
    </row>
    <row r="2536" spans="1:18" x14ac:dyDescent="0.25">
      <c r="A2536" s="166">
        <v>45736</v>
      </c>
      <c r="B2536" s="116">
        <v>443.7</v>
      </c>
      <c r="C2536" s="116">
        <v>425.9</v>
      </c>
      <c r="D2536" s="116">
        <v>421.85</v>
      </c>
      <c r="E2536" s="116">
        <v>439.55</v>
      </c>
      <c r="F2536" s="116">
        <v>425.9</v>
      </c>
      <c r="G2536">
        <v>74046</v>
      </c>
      <c r="H2536" s="116"/>
      <c r="I2536" s="116"/>
      <c r="L2536" s="166">
        <v>45736</v>
      </c>
      <c r="M2536" s="116">
        <v>425.7</v>
      </c>
      <c r="N2536" s="116">
        <v>443.95</v>
      </c>
      <c r="O2536" s="116">
        <v>421.65</v>
      </c>
      <c r="P2536" s="116">
        <v>437.75</v>
      </c>
      <c r="Q2536" s="116">
        <v>425.7</v>
      </c>
      <c r="R2536">
        <v>549896</v>
      </c>
    </row>
    <row r="2537" spans="1:18" x14ac:dyDescent="0.25">
      <c r="A2537" s="166">
        <v>45737</v>
      </c>
      <c r="B2537" s="116">
        <v>459.95</v>
      </c>
      <c r="C2537" s="116">
        <v>440.05</v>
      </c>
      <c r="D2537" s="116">
        <v>420.75</v>
      </c>
      <c r="E2537" s="116">
        <v>420.75</v>
      </c>
      <c r="F2537" s="116">
        <v>440.05</v>
      </c>
      <c r="G2537">
        <v>84642</v>
      </c>
      <c r="H2537" s="116"/>
      <c r="I2537" s="116"/>
      <c r="L2537" s="166">
        <v>45737</v>
      </c>
      <c r="M2537" s="116">
        <v>439.95</v>
      </c>
      <c r="N2537" s="116">
        <v>459.95</v>
      </c>
      <c r="O2537" s="116">
        <v>424.1</v>
      </c>
      <c r="P2537" s="116">
        <v>425</v>
      </c>
      <c r="Q2537" s="116">
        <v>439.95</v>
      </c>
      <c r="R2537">
        <v>1125568</v>
      </c>
    </row>
    <row r="2538" spans="1:18" x14ac:dyDescent="0.25">
      <c r="A2538" s="166">
        <v>45740</v>
      </c>
      <c r="B2538" s="116">
        <v>493.85</v>
      </c>
      <c r="C2538" s="116">
        <v>457.25</v>
      </c>
      <c r="D2538" s="116">
        <v>438.05</v>
      </c>
      <c r="E2538" s="116">
        <v>449.95</v>
      </c>
      <c r="F2538" s="116">
        <v>457.25</v>
      </c>
      <c r="G2538">
        <v>157471</v>
      </c>
      <c r="H2538" s="116"/>
      <c r="I2538" s="116"/>
      <c r="L2538" s="166">
        <v>45740</v>
      </c>
      <c r="M2538" s="116">
        <v>457.15</v>
      </c>
      <c r="N2538" s="116">
        <v>494.4</v>
      </c>
      <c r="O2538" s="116">
        <v>439.6</v>
      </c>
      <c r="P2538" s="116">
        <v>447</v>
      </c>
      <c r="Q2538" s="116">
        <v>457.15</v>
      </c>
      <c r="R2538">
        <v>2789234</v>
      </c>
    </row>
    <row r="2539" spans="1:18" x14ac:dyDescent="0.25">
      <c r="A2539" s="166">
        <v>45741</v>
      </c>
      <c r="B2539" s="116">
        <v>462.05</v>
      </c>
      <c r="C2539" s="116">
        <v>437.55</v>
      </c>
      <c r="D2539" s="116">
        <v>435.3</v>
      </c>
      <c r="E2539" s="116">
        <v>459.9</v>
      </c>
      <c r="F2539" s="116">
        <v>437.55</v>
      </c>
      <c r="G2539">
        <v>48908</v>
      </c>
      <c r="H2539" s="116"/>
      <c r="I2539" s="116"/>
      <c r="L2539" s="166">
        <v>45741</v>
      </c>
      <c r="M2539" s="116">
        <v>437.35</v>
      </c>
      <c r="N2539" s="116">
        <v>462.8</v>
      </c>
      <c r="O2539" s="116">
        <v>435.4</v>
      </c>
      <c r="P2539" s="116">
        <v>459.95</v>
      </c>
      <c r="Q2539" s="116">
        <v>437.35</v>
      </c>
      <c r="R2539">
        <v>643361</v>
      </c>
    </row>
    <row r="2540" spans="1:18" x14ac:dyDescent="0.25">
      <c r="A2540" s="166">
        <v>45742</v>
      </c>
      <c r="B2540" s="116">
        <v>471.45</v>
      </c>
      <c r="C2540" s="116">
        <v>459.2</v>
      </c>
      <c r="D2540" s="116">
        <v>430.55</v>
      </c>
      <c r="E2540" s="116">
        <v>435.9</v>
      </c>
      <c r="F2540" s="116">
        <v>459.2</v>
      </c>
      <c r="G2540">
        <v>122634</v>
      </c>
      <c r="H2540" s="116"/>
      <c r="I2540" s="116"/>
      <c r="L2540" s="166">
        <v>45742</v>
      </c>
      <c r="M2540" s="116">
        <v>460.3</v>
      </c>
      <c r="N2540" s="116">
        <v>471</v>
      </c>
      <c r="O2540" s="116">
        <v>430.6</v>
      </c>
      <c r="P2540" s="116">
        <v>439</v>
      </c>
      <c r="Q2540" s="116">
        <v>460.3</v>
      </c>
      <c r="R2540">
        <v>2094928</v>
      </c>
    </row>
    <row r="2541" spans="1:18" x14ac:dyDescent="0.25">
      <c r="A2541" s="166">
        <v>45743</v>
      </c>
      <c r="B2541" s="116">
        <v>466</v>
      </c>
      <c r="C2541" s="116">
        <v>462.15</v>
      </c>
      <c r="D2541" s="116">
        <v>443.95</v>
      </c>
      <c r="E2541" s="116">
        <v>457.45</v>
      </c>
      <c r="F2541" s="116">
        <v>462.15</v>
      </c>
      <c r="G2541">
        <v>44232</v>
      </c>
      <c r="H2541" s="116"/>
      <c r="I2541" s="116"/>
      <c r="L2541" s="166">
        <v>45743</v>
      </c>
      <c r="M2541" s="116">
        <v>461</v>
      </c>
      <c r="N2541" s="116">
        <v>465.95</v>
      </c>
      <c r="O2541" s="116">
        <v>441.75</v>
      </c>
      <c r="P2541" s="116">
        <v>455</v>
      </c>
      <c r="Q2541" s="116">
        <v>461</v>
      </c>
      <c r="R2541">
        <v>905691</v>
      </c>
    </row>
    <row r="2542" spans="1:18" x14ac:dyDescent="0.25">
      <c r="A2542" s="166">
        <v>45744</v>
      </c>
      <c r="B2542" s="116">
        <v>469.6</v>
      </c>
      <c r="C2542" s="116">
        <v>449.1</v>
      </c>
      <c r="D2542" s="116">
        <v>443.5</v>
      </c>
      <c r="E2542" s="116">
        <v>469.45</v>
      </c>
      <c r="F2542" s="116">
        <v>449.1</v>
      </c>
      <c r="G2542">
        <v>74310</v>
      </c>
      <c r="H2542" s="116"/>
      <c r="I2542" s="116"/>
      <c r="L2542" s="166">
        <v>45744</v>
      </c>
      <c r="M2542" s="116">
        <v>449.15</v>
      </c>
      <c r="N2542" s="116">
        <v>469.95</v>
      </c>
      <c r="O2542" s="116">
        <v>444.05</v>
      </c>
      <c r="P2542" s="116">
        <v>466.95</v>
      </c>
      <c r="Q2542" s="116">
        <v>449.15</v>
      </c>
      <c r="R2542">
        <v>568948</v>
      </c>
    </row>
    <row r="2543" spans="1:18" x14ac:dyDescent="0.25">
      <c r="A2543" s="166">
        <v>45748</v>
      </c>
      <c r="B2543" s="116">
        <v>455.4</v>
      </c>
      <c r="C2543" s="116">
        <v>446.8</v>
      </c>
      <c r="D2543" s="116">
        <v>442.4</v>
      </c>
      <c r="E2543" s="116">
        <v>454.75</v>
      </c>
      <c r="F2543" s="116">
        <v>446.8</v>
      </c>
      <c r="G2543">
        <v>19028</v>
      </c>
      <c r="H2543" s="116"/>
      <c r="I2543" s="116"/>
      <c r="L2543" s="166">
        <v>45748</v>
      </c>
      <c r="M2543" s="116">
        <v>445.95</v>
      </c>
      <c r="N2543" s="116">
        <v>456</v>
      </c>
      <c r="O2543" s="116">
        <v>442.15</v>
      </c>
      <c r="P2543" s="116">
        <v>448</v>
      </c>
      <c r="Q2543" s="116">
        <v>445.95</v>
      </c>
      <c r="R2543">
        <v>307849</v>
      </c>
    </row>
    <row r="2544" spans="1:18" x14ac:dyDescent="0.25">
      <c r="A2544" s="166">
        <v>45749</v>
      </c>
      <c r="B2544" s="116">
        <v>453.65</v>
      </c>
      <c r="C2544" s="116">
        <v>451.35</v>
      </c>
      <c r="D2544" s="116">
        <v>435.15</v>
      </c>
      <c r="E2544" s="116">
        <v>445.3</v>
      </c>
      <c r="F2544" s="116">
        <v>451.35</v>
      </c>
      <c r="G2544">
        <v>18129</v>
      </c>
      <c r="H2544" s="116"/>
      <c r="I2544" s="116"/>
      <c r="L2544" s="166">
        <v>45749</v>
      </c>
      <c r="M2544" s="116">
        <v>451.05</v>
      </c>
      <c r="N2544" s="116">
        <v>454.05</v>
      </c>
      <c r="O2544" s="116">
        <v>435.1</v>
      </c>
      <c r="P2544" s="116">
        <v>450.8</v>
      </c>
      <c r="Q2544" s="116">
        <v>451.05</v>
      </c>
      <c r="R2544">
        <v>302752</v>
      </c>
    </row>
    <row r="2545" spans="1:18" x14ac:dyDescent="0.25">
      <c r="A2545" s="166">
        <v>45750</v>
      </c>
      <c r="B2545" s="116">
        <v>458.5</v>
      </c>
      <c r="C2545" s="116">
        <v>454.6</v>
      </c>
      <c r="D2545" s="116">
        <v>442.4</v>
      </c>
      <c r="E2545" s="116">
        <v>442.4</v>
      </c>
      <c r="F2545" s="116">
        <v>454.6</v>
      </c>
      <c r="G2545">
        <v>51467</v>
      </c>
      <c r="H2545" s="116"/>
      <c r="I2545" s="116"/>
      <c r="L2545" s="166">
        <v>45750</v>
      </c>
      <c r="M2545" s="116">
        <v>455.1</v>
      </c>
      <c r="N2545" s="116">
        <v>458.4</v>
      </c>
      <c r="O2545" s="116">
        <v>446.35</v>
      </c>
      <c r="P2545" s="116">
        <v>447</v>
      </c>
      <c r="Q2545" s="116">
        <v>455.1</v>
      </c>
      <c r="R2545">
        <v>274315</v>
      </c>
    </row>
    <row r="2546" spans="1:18" x14ac:dyDescent="0.25">
      <c r="A2546" s="166">
        <v>45751</v>
      </c>
      <c r="B2546" s="116">
        <v>456.25</v>
      </c>
      <c r="C2546" s="116">
        <v>434.45</v>
      </c>
      <c r="D2546" s="116">
        <v>429.95</v>
      </c>
      <c r="E2546" s="116">
        <v>455</v>
      </c>
      <c r="F2546" s="116">
        <v>434.45</v>
      </c>
      <c r="G2546">
        <v>24188</v>
      </c>
      <c r="H2546" s="116"/>
      <c r="I2546" s="116"/>
      <c r="L2546" s="166">
        <v>45751</v>
      </c>
      <c r="M2546" s="116">
        <v>434.25</v>
      </c>
      <c r="N2546" s="116">
        <v>457.1</v>
      </c>
      <c r="O2546" s="116">
        <v>430.1</v>
      </c>
      <c r="P2546" s="116">
        <v>457</v>
      </c>
      <c r="Q2546" s="116">
        <v>434.25</v>
      </c>
      <c r="R2546">
        <v>363204</v>
      </c>
    </row>
    <row r="2547" spans="1:18" x14ac:dyDescent="0.25">
      <c r="A2547" s="166">
        <v>45754</v>
      </c>
      <c r="B2547" s="116">
        <v>418.9</v>
      </c>
      <c r="C2547" s="116">
        <v>416.85</v>
      </c>
      <c r="D2547" s="116">
        <v>348.05</v>
      </c>
      <c r="E2547" s="116">
        <v>348.05</v>
      </c>
      <c r="F2547" s="116">
        <v>416.85</v>
      </c>
      <c r="G2547">
        <v>88879</v>
      </c>
      <c r="H2547" s="116"/>
      <c r="I2547" s="116"/>
      <c r="L2547" s="166">
        <v>45754</v>
      </c>
      <c r="M2547" s="116">
        <v>415.6</v>
      </c>
      <c r="N2547" s="116">
        <v>418.7</v>
      </c>
      <c r="O2547" s="116">
        <v>387</v>
      </c>
      <c r="P2547" s="116">
        <v>403.8</v>
      </c>
      <c r="Q2547" s="116">
        <v>415.6</v>
      </c>
      <c r="R2547">
        <v>587947</v>
      </c>
    </row>
    <row r="2548" spans="1:18" x14ac:dyDescent="0.25">
      <c r="A2548" s="166">
        <v>45755</v>
      </c>
      <c r="B2548" s="116">
        <v>430.7</v>
      </c>
      <c r="C2548" s="116">
        <v>418.75</v>
      </c>
      <c r="D2548" s="116">
        <v>415.9</v>
      </c>
      <c r="E2548" s="116">
        <v>428.65</v>
      </c>
      <c r="F2548" s="116">
        <v>418.75</v>
      </c>
      <c r="G2548">
        <v>33903</v>
      </c>
      <c r="H2548" s="116"/>
      <c r="I2548" s="116"/>
      <c r="L2548" s="166">
        <v>45755</v>
      </c>
      <c r="M2548" s="116">
        <v>418.4</v>
      </c>
      <c r="N2548" s="116">
        <v>431.8</v>
      </c>
      <c r="O2548" s="116">
        <v>415.7</v>
      </c>
      <c r="P2548" s="116">
        <v>423</v>
      </c>
      <c r="Q2548" s="116">
        <v>418.4</v>
      </c>
      <c r="R2548">
        <v>374217</v>
      </c>
    </row>
    <row r="2549" spans="1:18" x14ac:dyDescent="0.25">
      <c r="A2549" s="166">
        <v>45756</v>
      </c>
      <c r="B2549" s="116">
        <v>417.15</v>
      </c>
      <c r="C2549" s="116">
        <v>414.5</v>
      </c>
      <c r="D2549" s="116">
        <v>405.45</v>
      </c>
      <c r="E2549" s="116">
        <v>411.1</v>
      </c>
      <c r="F2549" s="116">
        <v>414.5</v>
      </c>
      <c r="G2549">
        <v>24326</v>
      </c>
      <c r="H2549" s="116"/>
      <c r="I2549" s="116"/>
      <c r="L2549" s="166">
        <v>45756</v>
      </c>
      <c r="M2549" s="116">
        <v>414.55</v>
      </c>
      <c r="N2549" s="116">
        <v>419.95</v>
      </c>
      <c r="O2549" s="116">
        <v>405.55</v>
      </c>
      <c r="P2549" s="116">
        <v>418.4</v>
      </c>
      <c r="Q2549" s="116">
        <v>414.55</v>
      </c>
      <c r="R2549">
        <v>244617</v>
      </c>
    </row>
    <row r="2550" spans="1:18" x14ac:dyDescent="0.25">
      <c r="A2550" s="166">
        <v>45758</v>
      </c>
      <c r="B2550" s="116">
        <v>438.65</v>
      </c>
      <c r="C2550" s="116">
        <v>436.7</v>
      </c>
      <c r="D2550" s="116">
        <v>418.9</v>
      </c>
      <c r="E2550" s="116">
        <v>438.65</v>
      </c>
      <c r="F2550" s="116">
        <v>436.7</v>
      </c>
      <c r="G2550">
        <v>24506</v>
      </c>
      <c r="H2550" s="116"/>
      <c r="I2550" s="116"/>
      <c r="L2550" s="166">
        <v>45758</v>
      </c>
      <c r="M2550" s="116">
        <v>436.05</v>
      </c>
      <c r="N2550" s="116">
        <v>438</v>
      </c>
      <c r="O2550" s="116">
        <v>418.4</v>
      </c>
      <c r="P2550" s="116">
        <v>430</v>
      </c>
      <c r="Q2550" s="116">
        <v>436.05</v>
      </c>
      <c r="R2550">
        <v>359717</v>
      </c>
    </row>
    <row r="2551" spans="1:18" x14ac:dyDescent="0.25">
      <c r="A2551" s="166">
        <v>45762</v>
      </c>
      <c r="B2551" s="116">
        <v>466</v>
      </c>
      <c r="C2551" s="116">
        <v>462.3</v>
      </c>
      <c r="D2551" s="116">
        <v>444.6</v>
      </c>
      <c r="E2551" s="116">
        <v>450.05</v>
      </c>
      <c r="F2551" s="116">
        <v>462.3</v>
      </c>
      <c r="G2551">
        <v>63467</v>
      </c>
      <c r="H2551" s="116"/>
      <c r="I2551" s="116"/>
      <c r="L2551" s="166">
        <v>45762</v>
      </c>
      <c r="M2551" s="116">
        <v>463.15</v>
      </c>
      <c r="N2551" s="116">
        <v>466</v>
      </c>
      <c r="O2551" s="116">
        <v>442.65</v>
      </c>
      <c r="P2551" s="116">
        <v>450</v>
      </c>
      <c r="Q2551" s="116">
        <v>463.15</v>
      </c>
      <c r="R2551">
        <v>594114</v>
      </c>
    </row>
    <row r="2552" spans="1:18" x14ac:dyDescent="0.25">
      <c r="A2552" s="166">
        <v>45763</v>
      </c>
      <c r="B2552" s="116">
        <v>475.8</v>
      </c>
      <c r="C2552" s="116">
        <v>464.35</v>
      </c>
      <c r="D2552" s="116">
        <v>462.05</v>
      </c>
      <c r="E2552" s="116">
        <v>465</v>
      </c>
      <c r="F2552" s="116">
        <v>464.35</v>
      </c>
      <c r="G2552">
        <v>22429</v>
      </c>
      <c r="H2552" s="116"/>
      <c r="I2552" s="116"/>
      <c r="L2552" s="166">
        <v>45763</v>
      </c>
      <c r="M2552" s="116">
        <v>464.45</v>
      </c>
      <c r="N2552" s="116">
        <v>475.7</v>
      </c>
      <c r="O2552" s="116">
        <v>462.05</v>
      </c>
      <c r="P2552" s="116">
        <v>467.45</v>
      </c>
      <c r="Q2552" s="116">
        <v>464.45</v>
      </c>
      <c r="R2552">
        <v>469602</v>
      </c>
    </row>
    <row r="2553" spans="1:18" x14ac:dyDescent="0.25">
      <c r="A2553" s="166">
        <v>45764</v>
      </c>
      <c r="B2553" s="116">
        <v>476.4</v>
      </c>
      <c r="C2553" s="116">
        <v>470.85</v>
      </c>
      <c r="D2553" s="116">
        <v>462.25</v>
      </c>
      <c r="E2553" s="116">
        <v>462.8</v>
      </c>
      <c r="F2553" s="116">
        <v>470.85</v>
      </c>
      <c r="G2553">
        <v>9327</v>
      </c>
      <c r="H2553" s="116"/>
      <c r="I2553" s="116"/>
      <c r="L2553" s="166">
        <v>45764</v>
      </c>
      <c r="M2553" s="116">
        <v>470.25</v>
      </c>
      <c r="N2553" s="116">
        <v>476</v>
      </c>
      <c r="O2553" s="116">
        <v>461.95</v>
      </c>
      <c r="P2553" s="116">
        <v>464.3</v>
      </c>
      <c r="Q2553" s="116">
        <v>470.25</v>
      </c>
      <c r="R2553">
        <v>577164</v>
      </c>
    </row>
    <row r="2554" spans="1:18" x14ac:dyDescent="0.25">
      <c r="A2554" s="166">
        <v>45768</v>
      </c>
      <c r="B2554" s="116">
        <v>498.95</v>
      </c>
      <c r="C2554" s="116">
        <v>495.9</v>
      </c>
      <c r="D2554" s="116">
        <v>468.7</v>
      </c>
      <c r="E2554" s="116">
        <v>477.55</v>
      </c>
      <c r="F2554" s="116">
        <v>495.9</v>
      </c>
      <c r="G2554">
        <v>50218</v>
      </c>
      <c r="H2554" s="116"/>
      <c r="I2554" s="116"/>
      <c r="L2554" s="166">
        <v>45768</v>
      </c>
      <c r="M2554" s="116">
        <v>496.25</v>
      </c>
      <c r="N2554" s="116">
        <v>498.5</v>
      </c>
      <c r="O2554" s="116">
        <v>468.75</v>
      </c>
      <c r="P2554" s="116">
        <v>473.95</v>
      </c>
      <c r="Q2554" s="116">
        <v>496.25</v>
      </c>
      <c r="R2554">
        <v>798040</v>
      </c>
    </row>
    <row r="2555" spans="1:18" x14ac:dyDescent="0.25">
      <c r="A2555" s="166">
        <v>45769</v>
      </c>
      <c r="B2555" s="116">
        <v>519.70000000000005</v>
      </c>
      <c r="C2555" s="116">
        <v>512.1</v>
      </c>
      <c r="D2555" s="116">
        <v>488.55</v>
      </c>
      <c r="E2555" s="116">
        <v>501.25</v>
      </c>
      <c r="F2555" s="116">
        <v>512.1</v>
      </c>
      <c r="G2555">
        <v>71569</v>
      </c>
      <c r="H2555" s="116"/>
      <c r="I2555" s="116"/>
      <c r="L2555" s="166">
        <v>45769</v>
      </c>
      <c r="M2555" s="116">
        <v>512.35</v>
      </c>
      <c r="N2555" s="116">
        <v>519.85</v>
      </c>
      <c r="O2555" s="116">
        <v>488.6</v>
      </c>
      <c r="P2555" s="116">
        <v>500</v>
      </c>
      <c r="Q2555" s="116">
        <v>512.35</v>
      </c>
      <c r="R2555">
        <v>1424967</v>
      </c>
    </row>
    <row r="2556" spans="1:18" x14ac:dyDescent="0.25">
      <c r="A2556" s="166">
        <v>45770</v>
      </c>
      <c r="B2556" s="116">
        <v>529</v>
      </c>
      <c r="C2556" s="116">
        <v>526.5</v>
      </c>
      <c r="D2556" s="116">
        <v>502</v>
      </c>
      <c r="E2556" s="116">
        <v>513.15</v>
      </c>
      <c r="F2556" s="116">
        <v>526.5</v>
      </c>
      <c r="G2556">
        <v>43199</v>
      </c>
      <c r="H2556" s="116"/>
      <c r="I2556" s="116"/>
      <c r="L2556" s="166">
        <v>45770</v>
      </c>
      <c r="M2556" s="116">
        <v>526.4</v>
      </c>
      <c r="N2556" s="116">
        <v>529</v>
      </c>
      <c r="O2556" s="116">
        <v>502</v>
      </c>
      <c r="P2556" s="116">
        <v>517</v>
      </c>
      <c r="Q2556" s="116">
        <v>526.4</v>
      </c>
      <c r="R2556">
        <v>1436125</v>
      </c>
    </row>
    <row r="2557" spans="1:18" x14ac:dyDescent="0.25">
      <c r="A2557" s="166">
        <v>45771</v>
      </c>
      <c r="B2557" s="116">
        <v>555.29999999999995</v>
      </c>
      <c r="C2557" s="116">
        <v>539.85</v>
      </c>
      <c r="D2557" s="116">
        <v>519.65</v>
      </c>
      <c r="E2557" s="116">
        <v>526.65</v>
      </c>
      <c r="F2557" s="116">
        <v>539.85</v>
      </c>
      <c r="G2557">
        <v>219063</v>
      </c>
      <c r="H2557" s="116"/>
      <c r="I2557" s="116"/>
      <c r="L2557" s="166">
        <v>45771</v>
      </c>
      <c r="M2557" s="116">
        <v>540.29999999999995</v>
      </c>
      <c r="N2557" s="116">
        <v>555.54999999999995</v>
      </c>
      <c r="O2557" s="116">
        <v>519.1</v>
      </c>
      <c r="P2557" s="116">
        <v>527.75</v>
      </c>
      <c r="Q2557" s="116">
        <v>540.29999999999995</v>
      </c>
      <c r="R2557">
        <v>5954157</v>
      </c>
    </row>
    <row r="2558" spans="1:18" x14ac:dyDescent="0.25">
      <c r="A2558" s="166">
        <v>45772</v>
      </c>
      <c r="B2558" s="116">
        <v>552</v>
      </c>
      <c r="C2558" s="116">
        <v>516.85</v>
      </c>
      <c r="D2558" s="116">
        <v>505.7</v>
      </c>
      <c r="E2558" s="116">
        <v>548.04999999999995</v>
      </c>
      <c r="F2558" s="116">
        <v>516.85</v>
      </c>
      <c r="G2558">
        <v>118342</v>
      </c>
      <c r="H2558" s="116"/>
      <c r="I2558" s="116"/>
      <c r="L2558" s="166">
        <v>45772</v>
      </c>
      <c r="M2558" s="116">
        <v>517.75</v>
      </c>
      <c r="N2558" s="116">
        <v>553</v>
      </c>
      <c r="O2558" s="116">
        <v>505.45</v>
      </c>
      <c r="P2558" s="116">
        <v>549</v>
      </c>
      <c r="Q2558" s="116">
        <v>517.75</v>
      </c>
      <c r="R2558">
        <v>2393920</v>
      </c>
    </row>
    <row r="2559" spans="1:18" x14ac:dyDescent="0.25">
      <c r="A2559" s="166">
        <v>45775</v>
      </c>
      <c r="B2559" s="116">
        <v>548</v>
      </c>
      <c r="C2559" s="116">
        <v>541.15</v>
      </c>
      <c r="D2559" s="116">
        <v>512.45000000000005</v>
      </c>
      <c r="E2559" s="116">
        <v>529.95000000000005</v>
      </c>
      <c r="F2559" s="116">
        <v>541.15</v>
      </c>
      <c r="G2559">
        <v>58712</v>
      </c>
      <c r="H2559" s="116"/>
      <c r="I2559" s="116"/>
      <c r="L2559" s="166">
        <v>45775</v>
      </c>
      <c r="M2559" s="116">
        <v>541.1</v>
      </c>
      <c r="N2559" s="116">
        <v>548</v>
      </c>
      <c r="O2559" s="116">
        <v>512.25</v>
      </c>
      <c r="P2559" s="116">
        <v>520</v>
      </c>
      <c r="Q2559" s="116">
        <v>541.1</v>
      </c>
      <c r="R2559">
        <v>1837763</v>
      </c>
    </row>
    <row r="2560" spans="1:18" x14ac:dyDescent="0.25">
      <c r="A2560" s="166">
        <v>45776</v>
      </c>
      <c r="B2560" s="116">
        <v>562.9</v>
      </c>
      <c r="C2560" s="116">
        <v>560.1</v>
      </c>
      <c r="D2560" s="116">
        <v>536.04999999999995</v>
      </c>
      <c r="E2560" s="116">
        <v>536.04999999999995</v>
      </c>
      <c r="F2560" s="116">
        <v>560.1</v>
      </c>
      <c r="G2560">
        <v>118992</v>
      </c>
      <c r="H2560" s="116"/>
      <c r="I2560" s="116"/>
      <c r="L2560" s="166">
        <v>45776</v>
      </c>
      <c r="M2560" s="116">
        <v>560.25</v>
      </c>
      <c r="N2560" s="116">
        <v>563</v>
      </c>
      <c r="O2560" s="116">
        <v>538.35</v>
      </c>
      <c r="P2560" s="116">
        <v>540.9</v>
      </c>
      <c r="Q2560" s="116">
        <v>560.25</v>
      </c>
      <c r="R2560">
        <v>1467933</v>
      </c>
    </row>
    <row r="2561" spans="1:18" x14ac:dyDescent="0.25">
      <c r="A2561" s="166">
        <v>45777</v>
      </c>
      <c r="B2561" s="116">
        <v>572</v>
      </c>
      <c r="C2561" s="116">
        <v>545.1</v>
      </c>
      <c r="D2561" s="116">
        <v>542.29999999999995</v>
      </c>
      <c r="E2561" s="116">
        <v>562.65</v>
      </c>
      <c r="F2561" s="116">
        <v>545.1</v>
      </c>
      <c r="G2561">
        <v>50434</v>
      </c>
      <c r="H2561" s="116"/>
      <c r="I2561" s="116"/>
      <c r="L2561" s="166">
        <v>45777</v>
      </c>
      <c r="M2561" s="116">
        <v>544.85</v>
      </c>
      <c r="N2561" s="116">
        <v>572.54999999999995</v>
      </c>
      <c r="O2561" s="116">
        <v>540.5</v>
      </c>
      <c r="P2561" s="116">
        <v>559</v>
      </c>
      <c r="Q2561" s="116">
        <v>544.85</v>
      </c>
      <c r="R2561">
        <v>1150462</v>
      </c>
    </row>
    <row r="2562" spans="1:18" x14ac:dyDescent="0.25">
      <c r="A2562" s="166">
        <v>45779</v>
      </c>
      <c r="B2562" s="116">
        <v>581.15</v>
      </c>
      <c r="C2562" s="116">
        <v>573.9</v>
      </c>
      <c r="D2562" s="116">
        <v>538</v>
      </c>
      <c r="E2562" s="116">
        <v>538</v>
      </c>
      <c r="F2562" s="116">
        <v>573.9</v>
      </c>
      <c r="G2562">
        <v>169651</v>
      </c>
      <c r="H2562" s="116"/>
      <c r="I2562" s="116"/>
      <c r="L2562" s="166">
        <v>45779</v>
      </c>
      <c r="M2562" s="116">
        <v>574.79999999999995</v>
      </c>
      <c r="N2562" s="116">
        <v>581.45000000000005</v>
      </c>
      <c r="O2562" s="116">
        <v>542.54999999999995</v>
      </c>
      <c r="P2562" s="116">
        <v>544.9</v>
      </c>
      <c r="Q2562" s="116">
        <v>574.79999999999995</v>
      </c>
      <c r="R2562">
        <v>2330185</v>
      </c>
    </row>
    <row r="2563" spans="1:18" x14ac:dyDescent="0.25">
      <c r="A2563" s="166">
        <v>45782</v>
      </c>
      <c r="B2563" s="116">
        <v>585.4</v>
      </c>
      <c r="C2563" s="116">
        <v>579.04999999999995</v>
      </c>
      <c r="D2563" s="116">
        <v>565.85</v>
      </c>
      <c r="E2563" s="116">
        <v>578</v>
      </c>
      <c r="F2563" s="116">
        <v>579.04999999999995</v>
      </c>
      <c r="G2563">
        <v>31868</v>
      </c>
      <c r="H2563" s="116"/>
      <c r="I2563" s="116"/>
      <c r="L2563" s="166">
        <v>45782</v>
      </c>
      <c r="M2563" s="116">
        <v>578.9</v>
      </c>
      <c r="N2563" s="116">
        <v>585.4</v>
      </c>
      <c r="O2563" s="116">
        <v>565.20000000000005</v>
      </c>
      <c r="P2563" s="116">
        <v>577.9</v>
      </c>
      <c r="Q2563" s="116">
        <v>578.9</v>
      </c>
      <c r="R2563">
        <v>743853</v>
      </c>
    </row>
    <row r="2564" spans="1:18" x14ac:dyDescent="0.25">
      <c r="A2564" s="166">
        <v>45783</v>
      </c>
      <c r="B2564" s="116">
        <v>605.25</v>
      </c>
      <c r="C2564" s="116">
        <v>593.70000000000005</v>
      </c>
      <c r="D2564" s="116">
        <v>575.9</v>
      </c>
      <c r="E2564" s="116">
        <v>576.20000000000005</v>
      </c>
      <c r="F2564" s="116">
        <v>593.70000000000005</v>
      </c>
      <c r="G2564">
        <v>134838</v>
      </c>
      <c r="H2564" s="116"/>
      <c r="I2564" s="116"/>
      <c r="L2564" s="166">
        <v>45783</v>
      </c>
      <c r="M2564" s="116">
        <v>593.6</v>
      </c>
      <c r="N2564" s="116">
        <v>605.20000000000005</v>
      </c>
      <c r="O2564" s="116">
        <v>574.5</v>
      </c>
      <c r="P2564" s="116">
        <v>577</v>
      </c>
      <c r="Q2564" s="116">
        <v>593.6</v>
      </c>
      <c r="R2564">
        <v>2069224</v>
      </c>
    </row>
    <row r="2565" spans="1:18" x14ac:dyDescent="0.25">
      <c r="A2565" s="166">
        <v>45784</v>
      </c>
      <c r="B2565" s="116">
        <v>622.79999999999995</v>
      </c>
      <c r="C2565" s="116">
        <v>615.95000000000005</v>
      </c>
      <c r="D2565" s="116">
        <v>580.5</v>
      </c>
      <c r="E2565" s="116">
        <v>586</v>
      </c>
      <c r="F2565" s="116">
        <v>615.95000000000005</v>
      </c>
      <c r="G2565">
        <v>180327</v>
      </c>
      <c r="H2565" s="116"/>
      <c r="I2565" s="116"/>
      <c r="L2565" s="166">
        <v>45784</v>
      </c>
      <c r="M2565" s="116">
        <v>616.1</v>
      </c>
      <c r="N2565" s="116">
        <v>623.65</v>
      </c>
      <c r="O2565" s="116">
        <v>583.29999999999995</v>
      </c>
      <c r="P2565" s="116">
        <v>593</v>
      </c>
      <c r="Q2565" s="116">
        <v>616.1</v>
      </c>
      <c r="R2565">
        <v>1547676</v>
      </c>
    </row>
    <row r="2566" spans="1:18" x14ac:dyDescent="0.25">
      <c r="A2566" s="166">
        <v>45785</v>
      </c>
      <c r="B2566" s="116">
        <v>648.79999999999995</v>
      </c>
      <c r="C2566" s="116">
        <v>618.35</v>
      </c>
      <c r="D2566" s="116">
        <v>606</v>
      </c>
      <c r="E2566" s="116">
        <v>617.04999999999995</v>
      </c>
      <c r="F2566" s="116">
        <v>618.35</v>
      </c>
      <c r="G2566">
        <v>110945</v>
      </c>
      <c r="H2566" s="116"/>
      <c r="I2566" s="116"/>
      <c r="L2566" s="166">
        <v>45785</v>
      </c>
      <c r="M2566" s="116">
        <v>617.79999999999995</v>
      </c>
      <c r="N2566" s="116">
        <v>648.79999999999995</v>
      </c>
      <c r="O2566" s="116">
        <v>606.15</v>
      </c>
      <c r="P2566" s="116">
        <v>616.1</v>
      </c>
      <c r="Q2566" s="116">
        <v>617.79999999999995</v>
      </c>
      <c r="R2566">
        <v>2274818</v>
      </c>
    </row>
    <row r="2567" spans="1:18" x14ac:dyDescent="0.25">
      <c r="A2567" s="166">
        <v>45786</v>
      </c>
      <c r="B2567" s="116">
        <v>630.5</v>
      </c>
      <c r="C2567" s="116">
        <v>621.95000000000005</v>
      </c>
      <c r="D2567" s="116">
        <v>594.75</v>
      </c>
      <c r="E2567" s="116">
        <v>594.75</v>
      </c>
      <c r="F2567" s="116">
        <v>621.95000000000005</v>
      </c>
      <c r="G2567">
        <v>108350</v>
      </c>
      <c r="H2567" s="116"/>
      <c r="I2567" s="116"/>
      <c r="L2567" s="166">
        <v>45786</v>
      </c>
      <c r="M2567" s="116">
        <v>622.1</v>
      </c>
      <c r="N2567" s="116">
        <v>631.04999999999995</v>
      </c>
      <c r="O2567" s="116">
        <v>599.25</v>
      </c>
      <c r="P2567" s="116">
        <v>600</v>
      </c>
      <c r="Q2567" s="116">
        <v>622.1</v>
      </c>
      <c r="R2567">
        <v>978294</v>
      </c>
    </row>
    <row r="2568" spans="1:18" x14ac:dyDescent="0.25">
      <c r="A2568" s="166">
        <v>45789</v>
      </c>
      <c r="B2568" s="116">
        <v>649.1</v>
      </c>
      <c r="C2568" s="116">
        <v>643.75</v>
      </c>
      <c r="D2568" s="116">
        <v>632.85</v>
      </c>
      <c r="E2568" s="116">
        <v>649.1</v>
      </c>
      <c r="F2568" s="116">
        <v>643.75</v>
      </c>
      <c r="G2568">
        <v>29969</v>
      </c>
      <c r="H2568" s="116"/>
      <c r="I2568" s="116"/>
      <c r="L2568" s="166">
        <v>45789</v>
      </c>
      <c r="M2568" s="116">
        <v>643.1</v>
      </c>
      <c r="N2568" s="116">
        <v>646.85</v>
      </c>
      <c r="O2568" s="116">
        <v>632.70000000000005</v>
      </c>
      <c r="P2568" s="116">
        <v>636.65</v>
      </c>
      <c r="Q2568" s="116">
        <v>643.1</v>
      </c>
      <c r="R2568">
        <v>790295</v>
      </c>
    </row>
    <row r="2569" spans="1:18" x14ac:dyDescent="0.25">
      <c r="A2569" s="166">
        <v>45790</v>
      </c>
      <c r="B2569" s="116">
        <v>677.55</v>
      </c>
      <c r="C2569" s="116">
        <v>668.7</v>
      </c>
      <c r="D2569" s="116">
        <v>629.54999999999995</v>
      </c>
      <c r="E2569" s="116">
        <v>645.95000000000005</v>
      </c>
      <c r="F2569" s="116">
        <v>668.7</v>
      </c>
      <c r="G2569">
        <v>107080</v>
      </c>
      <c r="H2569" s="116"/>
      <c r="I2569" s="116"/>
      <c r="L2569" s="166">
        <v>45790</v>
      </c>
      <c r="M2569" s="116">
        <v>668.95</v>
      </c>
      <c r="N2569" s="116">
        <v>677.7</v>
      </c>
      <c r="O2569" s="116">
        <v>630.04999999999995</v>
      </c>
      <c r="P2569" s="116">
        <v>641</v>
      </c>
      <c r="Q2569" s="116">
        <v>668.95</v>
      </c>
      <c r="R2569">
        <v>1353546</v>
      </c>
    </row>
    <row r="2570" spans="1:18" x14ac:dyDescent="0.25">
      <c r="A2570" s="166">
        <v>45791</v>
      </c>
      <c r="B2570" s="116">
        <v>670.5</v>
      </c>
      <c r="C2570" s="116">
        <v>654</v>
      </c>
      <c r="D2570" s="116">
        <v>643.5</v>
      </c>
      <c r="E2570" s="116">
        <v>669</v>
      </c>
      <c r="F2570" s="116">
        <v>654</v>
      </c>
      <c r="G2570">
        <v>31330</v>
      </c>
      <c r="H2570" s="116"/>
      <c r="I2570" s="116"/>
      <c r="L2570" s="166">
        <v>45791</v>
      </c>
      <c r="M2570" s="116">
        <v>655.20000000000005</v>
      </c>
      <c r="N2570" s="116">
        <v>671.95</v>
      </c>
      <c r="O2570" s="116">
        <v>643</v>
      </c>
      <c r="P2570" s="116">
        <v>669</v>
      </c>
      <c r="Q2570" s="116">
        <v>655.20000000000005</v>
      </c>
      <c r="R2570">
        <v>1023864</v>
      </c>
    </row>
    <row r="2571" spans="1:18" x14ac:dyDescent="0.25">
      <c r="A2571" s="166">
        <v>45792</v>
      </c>
      <c r="B2571" s="116">
        <v>683.05</v>
      </c>
      <c r="C2571" s="116">
        <v>680.25</v>
      </c>
      <c r="D2571" s="116">
        <v>643</v>
      </c>
      <c r="E2571" s="116">
        <v>643</v>
      </c>
      <c r="F2571" s="116">
        <v>680.25</v>
      </c>
      <c r="G2571">
        <v>47305</v>
      </c>
      <c r="H2571" s="116"/>
      <c r="I2571" s="116"/>
      <c r="L2571" s="166">
        <v>45792</v>
      </c>
      <c r="M2571" s="116">
        <v>679.8</v>
      </c>
      <c r="N2571" s="116">
        <v>682.85</v>
      </c>
      <c r="O2571" s="116">
        <v>648.65</v>
      </c>
      <c r="P2571" s="116">
        <v>654.95000000000005</v>
      </c>
      <c r="Q2571" s="116">
        <v>679.8</v>
      </c>
      <c r="R2571">
        <v>1100403</v>
      </c>
    </row>
    <row r="2572" spans="1:18" x14ac:dyDescent="0.25">
      <c r="A2572" s="166">
        <v>45793</v>
      </c>
      <c r="B2572" s="116">
        <v>687.95</v>
      </c>
      <c r="C2572" s="116">
        <v>663.45</v>
      </c>
      <c r="D2572" s="116">
        <v>653.04999999999995</v>
      </c>
      <c r="E2572" s="116">
        <v>680</v>
      </c>
      <c r="F2572" s="116">
        <v>663.45</v>
      </c>
      <c r="G2572">
        <v>71049</v>
      </c>
      <c r="H2572" s="116"/>
      <c r="I2572" s="116"/>
      <c r="L2572" s="166">
        <v>45793</v>
      </c>
      <c r="M2572" s="116">
        <v>663.25</v>
      </c>
      <c r="N2572" s="116">
        <v>687</v>
      </c>
      <c r="O2572" s="116">
        <v>653.20000000000005</v>
      </c>
      <c r="P2572" s="116">
        <v>682.75</v>
      </c>
      <c r="Q2572" s="116">
        <v>663.25</v>
      </c>
      <c r="R2572">
        <v>834103</v>
      </c>
    </row>
    <row r="2573" spans="1:18" x14ac:dyDescent="0.25">
      <c r="A2573" s="166">
        <v>45796</v>
      </c>
      <c r="B2573" s="116">
        <v>685.5</v>
      </c>
      <c r="C2573" s="116">
        <v>674.55</v>
      </c>
      <c r="D2573" s="116">
        <v>663.45</v>
      </c>
      <c r="E2573" s="116">
        <v>663.45</v>
      </c>
      <c r="F2573" s="116">
        <v>674.55</v>
      </c>
      <c r="G2573">
        <v>47844</v>
      </c>
      <c r="H2573" s="116"/>
      <c r="I2573" s="116"/>
      <c r="L2573" s="166">
        <v>45796</v>
      </c>
      <c r="M2573" s="116">
        <v>674.2</v>
      </c>
      <c r="N2573" s="116">
        <v>685.8</v>
      </c>
      <c r="O2573" s="116">
        <v>663.7</v>
      </c>
      <c r="P2573" s="116">
        <v>663.7</v>
      </c>
      <c r="Q2573" s="116">
        <v>674.2</v>
      </c>
      <c r="R2573">
        <v>619903</v>
      </c>
    </row>
    <row r="2574" spans="1:18" x14ac:dyDescent="0.25">
      <c r="A2574" s="166">
        <v>45797</v>
      </c>
      <c r="B2574" s="116">
        <v>677</v>
      </c>
      <c r="C2574" s="116">
        <v>656.05</v>
      </c>
      <c r="D2574" s="116">
        <v>655</v>
      </c>
      <c r="E2574" s="116">
        <v>674.55</v>
      </c>
      <c r="F2574" s="116">
        <v>656.05</v>
      </c>
      <c r="G2574">
        <v>45959</v>
      </c>
      <c r="H2574" s="116"/>
      <c r="I2574" s="116"/>
      <c r="L2574" s="166">
        <v>45797</v>
      </c>
      <c r="M2574" s="116">
        <v>655.9</v>
      </c>
      <c r="N2574" s="116">
        <v>678</v>
      </c>
      <c r="O2574" s="116">
        <v>654.04999999999995</v>
      </c>
      <c r="P2574" s="116">
        <v>674</v>
      </c>
      <c r="Q2574" s="116">
        <v>655.9</v>
      </c>
      <c r="R2574">
        <v>328302</v>
      </c>
    </row>
    <row r="2575" spans="1:18" x14ac:dyDescent="0.25">
      <c r="A2575" s="166">
        <v>45798</v>
      </c>
      <c r="B2575" s="116">
        <v>683.9</v>
      </c>
      <c r="C2575" s="116">
        <v>680.25</v>
      </c>
      <c r="D2575" s="116">
        <v>650.65</v>
      </c>
      <c r="E2575" s="116">
        <v>650.65</v>
      </c>
      <c r="F2575" s="116">
        <v>680.25</v>
      </c>
      <c r="G2575">
        <v>91410</v>
      </c>
      <c r="H2575" s="116"/>
      <c r="I2575" s="116"/>
      <c r="L2575" s="166">
        <v>45798</v>
      </c>
      <c r="M2575" s="116">
        <v>680.55</v>
      </c>
      <c r="N2575" s="116">
        <v>683.5</v>
      </c>
      <c r="O2575" s="116">
        <v>654.29999999999995</v>
      </c>
      <c r="P2575" s="116">
        <v>655.9</v>
      </c>
      <c r="Q2575" s="116">
        <v>680.55</v>
      </c>
      <c r="R2575">
        <v>908172</v>
      </c>
    </row>
    <row r="2576" spans="1:18" x14ac:dyDescent="0.25">
      <c r="A2576" s="166">
        <v>45799</v>
      </c>
      <c r="B2576" s="116">
        <v>695.05</v>
      </c>
      <c r="C2576" s="116">
        <v>674.35</v>
      </c>
      <c r="D2576" s="116">
        <v>669.6</v>
      </c>
      <c r="E2576" s="116">
        <v>680.25</v>
      </c>
      <c r="F2576" s="116">
        <v>674.35</v>
      </c>
      <c r="G2576">
        <v>30758</v>
      </c>
      <c r="H2576" s="116"/>
      <c r="I2576" s="116"/>
      <c r="L2576" s="166">
        <v>45799</v>
      </c>
      <c r="M2576" s="116">
        <v>676.75</v>
      </c>
      <c r="N2576" s="116">
        <v>695.3</v>
      </c>
      <c r="O2576" s="116">
        <v>674.5</v>
      </c>
      <c r="P2576" s="116">
        <v>678.95</v>
      </c>
      <c r="Q2576" s="116">
        <v>676.75</v>
      </c>
      <c r="R2576">
        <v>663979</v>
      </c>
    </row>
    <row r="2577" spans="1:18" x14ac:dyDescent="0.25">
      <c r="A2577" s="166">
        <v>45800</v>
      </c>
      <c r="B2577" s="116">
        <v>697.95</v>
      </c>
      <c r="C2577" s="116">
        <v>681.65</v>
      </c>
      <c r="D2577" s="116">
        <v>678.2</v>
      </c>
      <c r="E2577" s="116">
        <v>678.2</v>
      </c>
      <c r="F2577" s="116">
        <v>681.65</v>
      </c>
      <c r="G2577">
        <v>15818</v>
      </c>
      <c r="H2577" s="116"/>
      <c r="I2577" s="116"/>
      <c r="L2577" s="166">
        <v>45800</v>
      </c>
      <c r="M2577" s="116">
        <v>681.15</v>
      </c>
      <c r="N2577" s="116">
        <v>698</v>
      </c>
      <c r="O2577" s="116">
        <v>678.05</v>
      </c>
      <c r="P2577" s="116">
        <v>685</v>
      </c>
      <c r="Q2577" s="116">
        <v>681.15</v>
      </c>
      <c r="R2577">
        <v>518280</v>
      </c>
    </row>
    <row r="2578" spans="1:18" x14ac:dyDescent="0.25">
      <c r="A2578" s="166">
        <v>45803</v>
      </c>
      <c r="B2578" s="116">
        <v>694.95</v>
      </c>
      <c r="C2578" s="116">
        <v>672.75</v>
      </c>
      <c r="D2578" s="116">
        <v>670</v>
      </c>
      <c r="E2578" s="116">
        <v>694.95</v>
      </c>
      <c r="F2578" s="116">
        <v>672.75</v>
      </c>
      <c r="G2578">
        <v>40139</v>
      </c>
      <c r="H2578" s="116"/>
      <c r="I2578" s="116"/>
      <c r="L2578" s="166">
        <v>45803</v>
      </c>
      <c r="M2578" s="116">
        <v>673.3</v>
      </c>
      <c r="N2578" s="116">
        <v>689.4</v>
      </c>
      <c r="O2578" s="116">
        <v>669.1</v>
      </c>
      <c r="P2578" s="116">
        <v>685</v>
      </c>
      <c r="Q2578" s="116">
        <v>673.3</v>
      </c>
      <c r="R2578">
        <v>543404</v>
      </c>
    </row>
    <row r="2579" spans="1:18" x14ac:dyDescent="0.25">
      <c r="A2579" s="166">
        <v>45804</v>
      </c>
      <c r="B2579" s="116">
        <v>691.55</v>
      </c>
      <c r="C2579" s="116">
        <v>686.2</v>
      </c>
      <c r="D2579" s="116">
        <v>672</v>
      </c>
      <c r="E2579" s="116">
        <v>675.95</v>
      </c>
      <c r="F2579" s="116">
        <v>686.2</v>
      </c>
      <c r="G2579">
        <v>23103</v>
      </c>
      <c r="H2579" s="116"/>
      <c r="I2579" s="116"/>
      <c r="L2579" s="166">
        <v>45804</v>
      </c>
      <c r="M2579" s="116">
        <v>685.85</v>
      </c>
      <c r="N2579" s="116">
        <v>691.05</v>
      </c>
      <c r="O2579" s="116">
        <v>670.05</v>
      </c>
      <c r="P2579" s="116">
        <v>673.3</v>
      </c>
      <c r="Q2579" s="116">
        <v>685.85</v>
      </c>
      <c r="R2579">
        <v>405549</v>
      </c>
    </row>
    <row r="2580" spans="1:18" x14ac:dyDescent="0.25">
      <c r="A2580" s="166">
        <v>45805</v>
      </c>
      <c r="B2580" s="116">
        <v>700.9</v>
      </c>
      <c r="C2580" s="116">
        <v>677.55</v>
      </c>
      <c r="D2580" s="116">
        <v>669.35</v>
      </c>
      <c r="E2580" s="116">
        <v>692.55</v>
      </c>
      <c r="F2580" s="116">
        <v>677.55</v>
      </c>
      <c r="G2580">
        <v>44627</v>
      </c>
      <c r="H2580" s="116"/>
      <c r="I2580" s="116"/>
      <c r="L2580" s="166">
        <v>45805</v>
      </c>
      <c r="M2580" s="116">
        <v>677.65</v>
      </c>
      <c r="N2580" s="116">
        <v>701.5</v>
      </c>
      <c r="O2580" s="116">
        <v>669.05</v>
      </c>
      <c r="P2580" s="116">
        <v>689.8</v>
      </c>
      <c r="Q2580" s="116">
        <v>677.65</v>
      </c>
      <c r="R2580">
        <v>815383</v>
      </c>
    </row>
    <row r="2581" spans="1:18" x14ac:dyDescent="0.25">
      <c r="A2581" s="166">
        <v>45806</v>
      </c>
      <c r="B2581" s="116">
        <v>690</v>
      </c>
      <c r="C2581" s="116">
        <v>678.9</v>
      </c>
      <c r="D2581" s="116">
        <v>677.25</v>
      </c>
      <c r="E2581" s="116">
        <v>682.8</v>
      </c>
      <c r="F2581" s="116">
        <v>678.9</v>
      </c>
      <c r="G2581">
        <v>9151</v>
      </c>
      <c r="H2581" s="116"/>
      <c r="I2581" s="116"/>
      <c r="L2581" s="166">
        <v>45806</v>
      </c>
      <c r="M2581" s="116">
        <v>679.15</v>
      </c>
      <c r="N2581" s="116">
        <v>690</v>
      </c>
      <c r="O2581" s="116">
        <v>676.05</v>
      </c>
      <c r="P2581" s="116">
        <v>682</v>
      </c>
      <c r="Q2581" s="116">
        <v>679.15</v>
      </c>
      <c r="R2581">
        <v>381894</v>
      </c>
    </row>
    <row r="2582" spans="1:18" x14ac:dyDescent="0.25">
      <c r="A2582" s="166">
        <v>45807</v>
      </c>
      <c r="B2582" s="116">
        <v>689.95</v>
      </c>
      <c r="C2582" s="116">
        <v>664</v>
      </c>
      <c r="D2582" s="116">
        <v>661.05</v>
      </c>
      <c r="E2582" s="116">
        <v>689.95</v>
      </c>
      <c r="F2582" s="116">
        <v>664</v>
      </c>
      <c r="G2582">
        <v>12399</v>
      </c>
      <c r="H2582" s="116"/>
      <c r="I2582" s="116"/>
      <c r="L2582" s="166">
        <v>45807</v>
      </c>
      <c r="M2582" s="116">
        <v>664</v>
      </c>
      <c r="N2582" s="116">
        <v>689.85</v>
      </c>
      <c r="O2582" s="116">
        <v>661.3</v>
      </c>
      <c r="P2582" s="116">
        <v>685.7</v>
      </c>
      <c r="Q2582" s="116">
        <v>664</v>
      </c>
      <c r="R2582">
        <v>557867</v>
      </c>
    </row>
    <row r="2583" spans="1:18" x14ac:dyDescent="0.25">
      <c r="A2583" s="166">
        <v>45810</v>
      </c>
      <c r="B2583" s="116">
        <v>703</v>
      </c>
      <c r="C2583" s="116">
        <v>699.65</v>
      </c>
      <c r="D2583" s="116">
        <v>662.15</v>
      </c>
      <c r="E2583" s="116">
        <v>662.15</v>
      </c>
      <c r="F2583" s="116">
        <v>699.65</v>
      </c>
      <c r="G2583">
        <v>85265</v>
      </c>
      <c r="H2583" s="116"/>
      <c r="I2583" s="116"/>
      <c r="L2583" s="166">
        <v>45810</v>
      </c>
      <c r="M2583" s="116">
        <v>699.9</v>
      </c>
      <c r="N2583" s="116">
        <v>703</v>
      </c>
      <c r="O2583" s="116">
        <v>664</v>
      </c>
      <c r="P2583" s="116">
        <v>664</v>
      </c>
      <c r="Q2583" s="116">
        <v>699.9</v>
      </c>
      <c r="R2583">
        <v>1030332</v>
      </c>
    </row>
    <row r="2584" spans="1:18" x14ac:dyDescent="0.25">
      <c r="A2584" s="166">
        <v>45811</v>
      </c>
      <c r="B2584" s="116">
        <v>716.55</v>
      </c>
      <c r="C2584" s="116">
        <v>689.5</v>
      </c>
      <c r="D2584" s="116">
        <v>685.7</v>
      </c>
      <c r="E2584" s="116">
        <v>708.15</v>
      </c>
      <c r="F2584" s="116">
        <v>689.5</v>
      </c>
      <c r="G2584">
        <v>35869</v>
      </c>
      <c r="H2584" s="116"/>
      <c r="I2584" s="116"/>
      <c r="L2584" s="166">
        <v>45811</v>
      </c>
      <c r="M2584" s="116">
        <v>689.55</v>
      </c>
      <c r="N2584" s="116">
        <v>716.25</v>
      </c>
      <c r="O2584" s="116">
        <v>686.05</v>
      </c>
      <c r="P2584" s="116">
        <v>705</v>
      </c>
      <c r="Q2584" s="116">
        <v>689.55</v>
      </c>
      <c r="R2584">
        <v>927662</v>
      </c>
    </row>
    <row r="2585" spans="1:18" x14ac:dyDescent="0.25">
      <c r="A2585" s="166">
        <v>45812</v>
      </c>
      <c r="B2585" s="116">
        <v>710</v>
      </c>
      <c r="C2585" s="116">
        <v>705.7</v>
      </c>
      <c r="D2585" s="116">
        <v>687</v>
      </c>
      <c r="E2585" s="116">
        <v>691.2</v>
      </c>
      <c r="F2585" s="116">
        <v>705.7</v>
      </c>
      <c r="G2585">
        <v>19189</v>
      </c>
      <c r="H2585" s="116"/>
      <c r="I2585" s="116"/>
      <c r="L2585" s="166">
        <v>45812</v>
      </c>
      <c r="M2585" s="116">
        <v>705.4</v>
      </c>
      <c r="N2585" s="116">
        <v>709</v>
      </c>
      <c r="O2585" s="116">
        <v>686.55</v>
      </c>
      <c r="P2585" s="116">
        <v>693.8</v>
      </c>
      <c r="Q2585" s="116">
        <v>705.4</v>
      </c>
      <c r="R2585">
        <v>535385</v>
      </c>
    </row>
    <row r="2586" spans="1:18" x14ac:dyDescent="0.25">
      <c r="A2586" s="166">
        <v>45813</v>
      </c>
      <c r="B2586" s="116">
        <v>714.8</v>
      </c>
      <c r="C2586" s="116">
        <v>692.6</v>
      </c>
      <c r="D2586" s="116">
        <v>689.5</v>
      </c>
      <c r="E2586" s="116">
        <v>706.95</v>
      </c>
      <c r="F2586" s="116">
        <v>692.6</v>
      </c>
      <c r="G2586">
        <v>33347</v>
      </c>
      <c r="H2586" s="116"/>
      <c r="I2586" s="116"/>
      <c r="L2586" s="166">
        <v>45813</v>
      </c>
      <c r="M2586" s="116">
        <v>692.4</v>
      </c>
      <c r="N2586" s="116">
        <v>715</v>
      </c>
      <c r="O2586" s="116">
        <v>689.1</v>
      </c>
      <c r="P2586" s="116">
        <v>705.45</v>
      </c>
      <c r="Q2586" s="116">
        <v>692.4</v>
      </c>
      <c r="R2586">
        <v>454937</v>
      </c>
    </row>
    <row r="2587" spans="1:18" x14ac:dyDescent="0.25">
      <c r="A2587" s="166">
        <v>45814</v>
      </c>
      <c r="B2587" s="116">
        <v>698.05</v>
      </c>
      <c r="C2587" s="116">
        <v>693.95</v>
      </c>
      <c r="D2587" s="116">
        <v>682.9</v>
      </c>
      <c r="E2587" s="116">
        <v>692.35</v>
      </c>
      <c r="F2587" s="116">
        <v>693.95</v>
      </c>
      <c r="G2587">
        <v>36964</v>
      </c>
      <c r="H2587" s="116"/>
      <c r="I2587" s="116"/>
      <c r="L2587" s="166">
        <v>45814</v>
      </c>
      <c r="M2587" s="116">
        <v>694.3</v>
      </c>
      <c r="N2587" s="116">
        <v>698.95</v>
      </c>
      <c r="O2587" s="116">
        <v>682.4</v>
      </c>
      <c r="P2587" s="116">
        <v>695</v>
      </c>
      <c r="Q2587" s="116">
        <v>694.3</v>
      </c>
      <c r="R2587">
        <v>629564</v>
      </c>
    </row>
    <row r="2588" spans="1:18" x14ac:dyDescent="0.25">
      <c r="A2588" s="166">
        <v>45817</v>
      </c>
      <c r="B2588" s="116">
        <v>703.75</v>
      </c>
      <c r="C2588" s="116">
        <v>686.25</v>
      </c>
      <c r="D2588" s="116">
        <v>683.55</v>
      </c>
      <c r="E2588" s="116">
        <v>694.3</v>
      </c>
      <c r="F2588" s="116">
        <v>686.25</v>
      </c>
      <c r="G2588">
        <v>16141</v>
      </c>
      <c r="H2588" s="116"/>
      <c r="I2588" s="116"/>
      <c r="L2588" s="166">
        <v>45817</v>
      </c>
      <c r="M2588" s="116">
        <v>686.35</v>
      </c>
      <c r="N2588" s="116">
        <v>704.5</v>
      </c>
      <c r="O2588" s="116">
        <v>683.55</v>
      </c>
      <c r="P2588" s="116">
        <v>695</v>
      </c>
      <c r="Q2588" s="116">
        <v>686.35</v>
      </c>
      <c r="R2588">
        <v>506189</v>
      </c>
    </row>
    <row r="2589" spans="1:18" x14ac:dyDescent="0.25">
      <c r="A2589" s="166">
        <v>45818</v>
      </c>
      <c r="B2589" s="116">
        <v>704.65</v>
      </c>
      <c r="C2589" s="116">
        <v>692.05</v>
      </c>
      <c r="D2589" s="116">
        <v>686.75</v>
      </c>
      <c r="E2589" s="116">
        <v>687.15</v>
      </c>
      <c r="F2589" s="116">
        <v>692.05</v>
      </c>
      <c r="G2589">
        <v>12699</v>
      </c>
      <c r="H2589" s="116"/>
      <c r="I2589" s="116"/>
      <c r="L2589" s="166">
        <v>45818</v>
      </c>
      <c r="M2589" s="116">
        <v>691.8</v>
      </c>
      <c r="N2589" s="116">
        <v>704</v>
      </c>
      <c r="O2589" s="116">
        <v>686.05</v>
      </c>
      <c r="P2589" s="116">
        <v>693.8</v>
      </c>
      <c r="Q2589" s="116">
        <v>691.8</v>
      </c>
      <c r="R2589">
        <v>554587</v>
      </c>
    </row>
    <row r="2590" spans="1:18" x14ac:dyDescent="0.25">
      <c r="A2590" s="166">
        <v>45819</v>
      </c>
      <c r="B2590" s="116">
        <v>697</v>
      </c>
      <c r="C2590" s="116">
        <v>682.15</v>
      </c>
      <c r="D2590" s="116">
        <v>672.5</v>
      </c>
      <c r="E2590" s="116">
        <v>686.55</v>
      </c>
      <c r="F2590" s="116">
        <v>682.15</v>
      </c>
      <c r="G2590">
        <v>33109</v>
      </c>
      <c r="H2590" s="116"/>
      <c r="I2590" s="116"/>
      <c r="L2590" s="166">
        <v>45819</v>
      </c>
      <c r="M2590" s="116">
        <v>682.35</v>
      </c>
      <c r="N2590" s="116">
        <v>697.65</v>
      </c>
      <c r="O2590" s="116">
        <v>672.6</v>
      </c>
      <c r="P2590" s="116">
        <v>697.65</v>
      </c>
      <c r="Q2590" s="116">
        <v>682.35</v>
      </c>
      <c r="R2590">
        <v>368386</v>
      </c>
    </row>
    <row r="2591" spans="1:18" x14ac:dyDescent="0.25">
      <c r="A2591" s="166">
        <v>45820</v>
      </c>
      <c r="B2591" s="116">
        <v>688.05</v>
      </c>
      <c r="C2591" s="116">
        <v>669.9</v>
      </c>
      <c r="D2591" s="116">
        <v>667.5</v>
      </c>
      <c r="E2591" s="116">
        <v>682.35</v>
      </c>
      <c r="F2591" s="116">
        <v>669.9</v>
      </c>
      <c r="G2591">
        <v>17222</v>
      </c>
      <c r="H2591" s="116"/>
      <c r="I2591" s="116"/>
      <c r="L2591" s="166">
        <v>45820</v>
      </c>
      <c r="M2591" s="116">
        <v>669.5</v>
      </c>
      <c r="N2591" s="116">
        <v>688.95</v>
      </c>
      <c r="O2591" s="116">
        <v>667.1</v>
      </c>
      <c r="P2591" s="116">
        <v>686.7</v>
      </c>
      <c r="Q2591" s="116">
        <v>669.5</v>
      </c>
      <c r="R2591">
        <v>502430</v>
      </c>
    </row>
    <row r="2592" spans="1:18" x14ac:dyDescent="0.25">
      <c r="A2592" s="166">
        <v>45821</v>
      </c>
      <c r="B2592" s="116">
        <v>676.5</v>
      </c>
      <c r="C2592" s="116">
        <v>670.35</v>
      </c>
      <c r="D2592" s="116">
        <v>636.29999999999995</v>
      </c>
      <c r="E2592" s="116">
        <v>636.29999999999995</v>
      </c>
      <c r="F2592" s="116">
        <v>670.35</v>
      </c>
      <c r="G2592">
        <v>42413</v>
      </c>
      <c r="H2592" s="116"/>
      <c r="I2592" s="116"/>
      <c r="L2592" s="166">
        <v>45821</v>
      </c>
      <c r="M2592" s="116">
        <v>669.7</v>
      </c>
      <c r="N2592" s="116">
        <v>677.05</v>
      </c>
      <c r="O2592" s="116">
        <v>641.79999999999995</v>
      </c>
      <c r="P2592" s="116">
        <v>650</v>
      </c>
      <c r="Q2592" s="116">
        <v>669.7</v>
      </c>
      <c r="R2592">
        <v>516654</v>
      </c>
    </row>
    <row r="2593" spans="1:18" x14ac:dyDescent="0.25">
      <c r="A2593" s="166">
        <v>45824</v>
      </c>
      <c r="B2593" s="116">
        <v>675.15</v>
      </c>
      <c r="C2593" s="116">
        <v>669.85</v>
      </c>
      <c r="D2593" s="116">
        <v>651.5</v>
      </c>
      <c r="E2593" s="116">
        <v>666.35</v>
      </c>
      <c r="F2593" s="116">
        <v>669.85</v>
      </c>
      <c r="G2593">
        <v>29710</v>
      </c>
      <c r="H2593" s="116"/>
      <c r="I2593" s="116"/>
      <c r="L2593" s="166">
        <v>45824</v>
      </c>
      <c r="M2593" s="116">
        <v>669.85</v>
      </c>
      <c r="N2593" s="116">
        <v>676.25</v>
      </c>
      <c r="O2593" s="116">
        <v>651.1</v>
      </c>
      <c r="P2593" s="116">
        <v>668.1</v>
      </c>
      <c r="Q2593" s="116">
        <v>669.85</v>
      </c>
      <c r="R2593">
        <v>340787</v>
      </c>
    </row>
    <row r="2594" spans="1:18" x14ac:dyDescent="0.25">
      <c r="A2594" s="166">
        <v>45825</v>
      </c>
      <c r="B2594" s="116">
        <v>679.95</v>
      </c>
      <c r="C2594" s="116">
        <v>650.29999999999995</v>
      </c>
      <c r="D2594" s="116">
        <v>648.25</v>
      </c>
      <c r="E2594" s="116">
        <v>679.95</v>
      </c>
      <c r="F2594" s="116">
        <v>650.29999999999995</v>
      </c>
      <c r="G2594">
        <v>14544</v>
      </c>
      <c r="H2594" s="116"/>
      <c r="I2594" s="116"/>
      <c r="L2594" s="166">
        <v>45825</v>
      </c>
      <c r="M2594" s="116">
        <v>650.54999999999995</v>
      </c>
      <c r="N2594" s="116">
        <v>670.8</v>
      </c>
      <c r="O2594" s="116">
        <v>648</v>
      </c>
      <c r="P2594" s="116">
        <v>669.45</v>
      </c>
      <c r="Q2594" s="116">
        <v>650.54999999999995</v>
      </c>
      <c r="R2594">
        <v>330205</v>
      </c>
    </row>
    <row r="2595" spans="1:18" x14ac:dyDescent="0.25">
      <c r="A2595" s="166">
        <v>45826</v>
      </c>
      <c r="B2595" s="116">
        <v>657.55</v>
      </c>
      <c r="C2595" s="116">
        <v>638.79999999999995</v>
      </c>
      <c r="D2595" s="116">
        <v>637.29999999999995</v>
      </c>
      <c r="E2595" s="116">
        <v>641.95000000000005</v>
      </c>
      <c r="F2595" s="116">
        <v>638.79999999999995</v>
      </c>
      <c r="G2595">
        <v>13783</v>
      </c>
      <c r="H2595" s="116"/>
      <c r="I2595" s="116"/>
      <c r="L2595" s="166">
        <v>45826</v>
      </c>
      <c r="M2595" s="116">
        <v>638.95000000000005</v>
      </c>
      <c r="N2595" s="116">
        <v>660.3</v>
      </c>
      <c r="O2595" s="116">
        <v>636.35</v>
      </c>
      <c r="P2595" s="116">
        <v>645</v>
      </c>
      <c r="Q2595" s="116">
        <v>638.95000000000005</v>
      </c>
      <c r="R2595">
        <v>392730</v>
      </c>
    </row>
    <row r="2596" spans="1:18" x14ac:dyDescent="0.25">
      <c r="A2596" s="166">
        <v>45827</v>
      </c>
      <c r="B2596" s="116">
        <v>646.25</v>
      </c>
      <c r="C2596" s="116">
        <v>632.5</v>
      </c>
      <c r="D2596" s="116">
        <v>628.45000000000005</v>
      </c>
      <c r="E2596" s="116">
        <v>635.15</v>
      </c>
      <c r="F2596" s="116">
        <v>632.5</v>
      </c>
      <c r="G2596">
        <v>14370</v>
      </c>
      <c r="H2596" s="116"/>
      <c r="I2596" s="116"/>
      <c r="L2596" s="166">
        <v>45827</v>
      </c>
      <c r="M2596" s="116">
        <v>631.85</v>
      </c>
      <c r="N2596" s="116">
        <v>647.20000000000005</v>
      </c>
      <c r="O2596" s="116">
        <v>628.9</v>
      </c>
      <c r="P2596" s="116">
        <v>640</v>
      </c>
      <c r="Q2596" s="116">
        <v>631.85</v>
      </c>
      <c r="R2596">
        <v>522977</v>
      </c>
    </row>
    <row r="2597" spans="1:18" x14ac:dyDescent="0.25">
      <c r="A2597" s="166">
        <v>45828</v>
      </c>
      <c r="B2597" s="116">
        <v>644</v>
      </c>
      <c r="C2597" s="116">
        <v>633</v>
      </c>
      <c r="D2597" s="116">
        <v>626.70000000000005</v>
      </c>
      <c r="E2597" s="116">
        <v>628.85</v>
      </c>
      <c r="F2597" s="116">
        <v>633</v>
      </c>
      <c r="G2597">
        <v>27775</v>
      </c>
      <c r="H2597" s="116"/>
      <c r="I2597" s="116"/>
      <c r="L2597" s="166">
        <v>45828</v>
      </c>
      <c r="M2597" s="116">
        <v>633</v>
      </c>
      <c r="N2597" s="116">
        <v>644.54999999999995</v>
      </c>
      <c r="O2597" s="116">
        <v>626.29999999999995</v>
      </c>
      <c r="P2597" s="116">
        <v>629</v>
      </c>
      <c r="Q2597" s="116">
        <v>633</v>
      </c>
      <c r="R2597">
        <v>489038</v>
      </c>
    </row>
    <row r="2598" spans="1:18" x14ac:dyDescent="0.25">
      <c r="A2598" s="166">
        <v>45831</v>
      </c>
      <c r="B2598" s="116">
        <v>642.1</v>
      </c>
      <c r="C2598" s="116">
        <v>638</v>
      </c>
      <c r="D2598" s="116">
        <v>625.75</v>
      </c>
      <c r="E2598" s="116">
        <v>633</v>
      </c>
      <c r="F2598" s="116">
        <v>638</v>
      </c>
      <c r="G2598">
        <v>13448</v>
      </c>
      <c r="H2598" s="116"/>
      <c r="I2598" s="116"/>
      <c r="L2598" s="166">
        <v>45831</v>
      </c>
      <c r="M2598" s="116">
        <v>635.79999999999995</v>
      </c>
      <c r="N2598" s="116">
        <v>638</v>
      </c>
      <c r="O2598" s="116">
        <v>625.70000000000005</v>
      </c>
      <c r="P2598" s="116">
        <v>626.6</v>
      </c>
      <c r="Q2598" s="116">
        <v>635.79999999999995</v>
      </c>
      <c r="R2598">
        <v>244926</v>
      </c>
    </row>
    <row r="2599" spans="1:18" x14ac:dyDescent="0.25">
      <c r="A2599" s="166">
        <v>45832</v>
      </c>
      <c r="B2599" s="116">
        <v>649</v>
      </c>
      <c r="C2599" s="116">
        <v>627.15</v>
      </c>
      <c r="D2599" s="116">
        <v>625.70000000000005</v>
      </c>
      <c r="E2599" s="116">
        <v>640.35</v>
      </c>
      <c r="F2599" s="116">
        <v>627.15</v>
      </c>
      <c r="G2599">
        <v>31308</v>
      </c>
      <c r="H2599" s="116"/>
      <c r="I2599" s="116"/>
      <c r="L2599" s="166">
        <v>45832</v>
      </c>
      <c r="M2599" s="116">
        <v>627.29999999999995</v>
      </c>
      <c r="N2599" s="116">
        <v>649.45000000000005</v>
      </c>
      <c r="O2599" s="116">
        <v>624.1</v>
      </c>
      <c r="P2599" s="116">
        <v>642</v>
      </c>
      <c r="Q2599" s="116">
        <v>627.29999999999995</v>
      </c>
      <c r="R2599">
        <v>623259</v>
      </c>
    </row>
    <row r="2600" spans="1:18" x14ac:dyDescent="0.25">
      <c r="A2600" s="166">
        <v>45833</v>
      </c>
      <c r="B2600" s="116">
        <v>652.79999999999995</v>
      </c>
      <c r="C2600" s="116">
        <v>639.1</v>
      </c>
      <c r="D2600" s="116">
        <v>626.1</v>
      </c>
      <c r="E2600" s="116">
        <v>626.1</v>
      </c>
      <c r="F2600" s="116">
        <v>639.1</v>
      </c>
      <c r="G2600">
        <v>20667</v>
      </c>
      <c r="H2600" s="116"/>
      <c r="I2600" s="116"/>
      <c r="L2600" s="166">
        <v>45833</v>
      </c>
      <c r="M2600" s="116">
        <v>639.1</v>
      </c>
      <c r="N2600" s="116">
        <v>653</v>
      </c>
      <c r="O2600" s="116">
        <v>632.5</v>
      </c>
      <c r="P2600" s="116">
        <v>632.70000000000005</v>
      </c>
      <c r="Q2600" s="116">
        <v>639.1</v>
      </c>
      <c r="R2600">
        <v>580955</v>
      </c>
    </row>
    <row r="2601" spans="1:18" x14ac:dyDescent="0.25">
      <c r="A2601" s="166">
        <v>45834</v>
      </c>
      <c r="B2601" s="116">
        <v>649</v>
      </c>
      <c r="C2601" s="116">
        <v>626.04999999999995</v>
      </c>
      <c r="D2601" s="116">
        <v>624.45000000000005</v>
      </c>
      <c r="E2601" s="116">
        <v>649</v>
      </c>
      <c r="F2601" s="116">
        <v>626.04999999999995</v>
      </c>
      <c r="G2601">
        <v>21945</v>
      </c>
      <c r="H2601" s="116"/>
      <c r="I2601" s="116"/>
      <c r="L2601" s="166">
        <v>45834</v>
      </c>
      <c r="M2601" s="116">
        <v>626.4</v>
      </c>
      <c r="N2601" s="116">
        <v>647</v>
      </c>
      <c r="O2601" s="116">
        <v>625</v>
      </c>
      <c r="P2601" s="116">
        <v>642.29999999999995</v>
      </c>
      <c r="Q2601" s="116">
        <v>626.4</v>
      </c>
      <c r="R2601">
        <v>652723</v>
      </c>
    </row>
    <row r="2602" spans="1:18" x14ac:dyDescent="0.25">
      <c r="A2602" s="166">
        <v>45835</v>
      </c>
      <c r="B2602" s="116">
        <v>660.4</v>
      </c>
      <c r="C2602" s="116">
        <v>653.20000000000005</v>
      </c>
      <c r="D2602" s="116">
        <v>627</v>
      </c>
      <c r="E2602" s="116">
        <v>644</v>
      </c>
      <c r="F2602" s="116">
        <v>653.20000000000005</v>
      </c>
      <c r="G2602">
        <v>88403</v>
      </c>
      <c r="H2602" s="116"/>
      <c r="I2602" s="116"/>
      <c r="L2602" s="166">
        <v>45835</v>
      </c>
      <c r="M2602" s="116">
        <v>653.35</v>
      </c>
      <c r="N2602" s="116">
        <v>660.8</v>
      </c>
      <c r="O2602" s="116">
        <v>626</v>
      </c>
      <c r="P2602" s="116">
        <v>630</v>
      </c>
      <c r="Q2602" s="116">
        <v>653.35</v>
      </c>
      <c r="R2602">
        <v>2259974</v>
      </c>
    </row>
    <row r="2603" spans="1:18" x14ac:dyDescent="0.25">
      <c r="A2603" s="166">
        <v>45838</v>
      </c>
      <c r="B2603" s="116">
        <v>671.75</v>
      </c>
      <c r="C2603" s="116">
        <v>655</v>
      </c>
      <c r="D2603" s="116">
        <v>639</v>
      </c>
      <c r="E2603" s="116">
        <v>654.15</v>
      </c>
      <c r="F2603" s="116">
        <v>655</v>
      </c>
      <c r="G2603">
        <v>17614</v>
      </c>
      <c r="H2603" s="116"/>
      <c r="I2603" s="116"/>
      <c r="L2603" s="166">
        <v>45838</v>
      </c>
      <c r="M2603" s="116">
        <v>654.70000000000005</v>
      </c>
      <c r="N2603" s="116">
        <v>672</v>
      </c>
      <c r="O2603" s="116">
        <v>638.04999999999995</v>
      </c>
      <c r="P2603" s="116">
        <v>657</v>
      </c>
      <c r="Q2603" s="116">
        <v>654.70000000000005</v>
      </c>
      <c r="R2603">
        <v>723885</v>
      </c>
    </row>
    <row r="2604" spans="1:18" x14ac:dyDescent="0.25">
      <c r="A2604" s="166">
        <v>45839</v>
      </c>
      <c r="B2604" s="116">
        <v>661.75</v>
      </c>
      <c r="C2604" s="116">
        <v>633.65</v>
      </c>
      <c r="D2604" s="116">
        <v>632</v>
      </c>
      <c r="E2604" s="116">
        <v>661.75</v>
      </c>
      <c r="F2604" s="116">
        <v>633.65</v>
      </c>
      <c r="G2604">
        <v>43324</v>
      </c>
      <c r="H2604" s="116"/>
      <c r="I2604" s="116"/>
      <c r="L2604" s="166">
        <v>45839</v>
      </c>
      <c r="M2604" s="116">
        <v>633.75</v>
      </c>
      <c r="N2604" s="116">
        <v>661</v>
      </c>
      <c r="O2604" s="116">
        <v>632</v>
      </c>
      <c r="P2604" s="116">
        <v>658</v>
      </c>
      <c r="Q2604" s="116">
        <v>633.75</v>
      </c>
      <c r="R2604">
        <v>678288</v>
      </c>
    </row>
    <row r="2605" spans="1:18" x14ac:dyDescent="0.25">
      <c r="A2605" s="166">
        <v>45840</v>
      </c>
      <c r="B2605" s="116">
        <v>662.95</v>
      </c>
      <c r="C2605" s="116">
        <v>650.45000000000005</v>
      </c>
      <c r="D2605" s="116">
        <v>633.1</v>
      </c>
      <c r="E2605" s="116">
        <v>648.95000000000005</v>
      </c>
      <c r="F2605" s="116">
        <v>650.45000000000005</v>
      </c>
      <c r="G2605">
        <v>53323</v>
      </c>
      <c r="H2605" s="116"/>
      <c r="I2605" s="116"/>
      <c r="L2605" s="166">
        <v>45840</v>
      </c>
      <c r="M2605" s="116">
        <v>650.85</v>
      </c>
      <c r="N2605" s="116">
        <v>663</v>
      </c>
      <c r="O2605" s="116">
        <v>632.20000000000005</v>
      </c>
      <c r="P2605" s="116">
        <v>636</v>
      </c>
      <c r="Q2605" s="116">
        <v>650.85</v>
      </c>
      <c r="R2605">
        <v>1166775</v>
      </c>
    </row>
    <row r="2606" spans="1:18" x14ac:dyDescent="0.25">
      <c r="A2606" s="166">
        <v>45841</v>
      </c>
      <c r="B2606" s="116">
        <v>652.25</v>
      </c>
      <c r="C2606" s="116">
        <v>642.20000000000005</v>
      </c>
      <c r="D2606" s="116">
        <v>640.04999999999995</v>
      </c>
      <c r="E2606" s="116">
        <v>640.04999999999995</v>
      </c>
      <c r="F2606" s="116">
        <v>642.20000000000005</v>
      </c>
      <c r="G2606">
        <v>12537</v>
      </c>
      <c r="H2606" s="116"/>
      <c r="I2606" s="116"/>
      <c r="L2606" s="166">
        <v>45841</v>
      </c>
      <c r="M2606" s="116">
        <v>642.25</v>
      </c>
      <c r="N2606" s="116">
        <v>652.4</v>
      </c>
      <c r="O2606" s="116">
        <v>640.1</v>
      </c>
      <c r="P2606" s="116">
        <v>651</v>
      </c>
      <c r="Q2606" s="116">
        <v>642.25</v>
      </c>
      <c r="R2606">
        <v>265155</v>
      </c>
    </row>
    <row r="2607" spans="1:18" x14ac:dyDescent="0.25">
      <c r="A2607" s="166">
        <v>45842</v>
      </c>
      <c r="B2607" s="116">
        <v>651.25</v>
      </c>
      <c r="C2607" s="116">
        <v>646.85</v>
      </c>
      <c r="D2607" s="116">
        <v>641</v>
      </c>
      <c r="E2607" s="116">
        <v>648.45000000000005</v>
      </c>
      <c r="F2607" s="116">
        <v>646.85</v>
      </c>
      <c r="G2607">
        <v>20718</v>
      </c>
      <c r="H2607" s="116"/>
      <c r="I2607" s="116"/>
      <c r="L2607" s="166">
        <v>45842</v>
      </c>
      <c r="M2607" s="116">
        <v>646.1</v>
      </c>
      <c r="N2607" s="116">
        <v>650.95000000000005</v>
      </c>
      <c r="O2607" s="116">
        <v>640.45000000000005</v>
      </c>
      <c r="P2607" s="116">
        <v>644.15</v>
      </c>
      <c r="Q2607" s="116">
        <v>646.1</v>
      </c>
      <c r="R2607">
        <v>282213</v>
      </c>
    </row>
    <row r="2608" spans="1:18" x14ac:dyDescent="0.25">
      <c r="A2608" s="166">
        <v>45845</v>
      </c>
      <c r="B2608" s="116">
        <v>656.45</v>
      </c>
      <c r="C2608" s="116">
        <v>646.6</v>
      </c>
      <c r="D2608" s="116">
        <v>638.15</v>
      </c>
      <c r="E2608" s="116">
        <v>649</v>
      </c>
      <c r="F2608" s="116">
        <v>646.6</v>
      </c>
      <c r="G2608">
        <v>25041</v>
      </c>
      <c r="H2608" s="116"/>
      <c r="I2608" s="116"/>
      <c r="L2608" s="166">
        <v>45845</v>
      </c>
      <c r="M2608" s="116">
        <v>646.6</v>
      </c>
      <c r="N2608" s="116">
        <v>656.5</v>
      </c>
      <c r="O2608" s="116">
        <v>638.85</v>
      </c>
      <c r="P2608" s="116">
        <v>648.20000000000005</v>
      </c>
      <c r="Q2608" s="116">
        <v>646.6</v>
      </c>
      <c r="R2608">
        <v>280128</v>
      </c>
    </row>
    <row r="2609" spans="1:18" x14ac:dyDescent="0.25">
      <c r="A2609" s="166">
        <v>45846</v>
      </c>
      <c r="B2609" s="116">
        <v>650.20000000000005</v>
      </c>
      <c r="C2609" s="116">
        <v>640.04999999999995</v>
      </c>
      <c r="D2609" s="116">
        <v>630.04999999999995</v>
      </c>
      <c r="E2609" s="116">
        <v>646.6</v>
      </c>
      <c r="F2609" s="116">
        <v>640.04999999999995</v>
      </c>
      <c r="G2609">
        <v>30127</v>
      </c>
      <c r="H2609" s="116"/>
      <c r="I2609" s="116"/>
      <c r="L2609" s="166">
        <v>45846</v>
      </c>
      <c r="M2609" s="116">
        <v>640.25</v>
      </c>
      <c r="N2609" s="116">
        <v>650.9</v>
      </c>
      <c r="O2609" s="116">
        <v>630</v>
      </c>
      <c r="P2609" s="116">
        <v>648</v>
      </c>
      <c r="Q2609" s="116">
        <v>640.25</v>
      </c>
      <c r="R2609">
        <v>320772</v>
      </c>
    </row>
    <row r="2610" spans="1:18" x14ac:dyDescent="0.25">
      <c r="A2610" s="166">
        <v>45847</v>
      </c>
      <c r="B2610" s="116">
        <v>664.7</v>
      </c>
      <c r="C2610" s="116">
        <v>659.9</v>
      </c>
      <c r="D2610" s="116">
        <v>636.5</v>
      </c>
      <c r="E2610" s="116">
        <v>644</v>
      </c>
      <c r="F2610" s="116">
        <v>659.9</v>
      </c>
      <c r="G2610">
        <v>34537</v>
      </c>
      <c r="H2610" s="116"/>
      <c r="I2610" s="116"/>
      <c r="L2610" s="166">
        <v>45847</v>
      </c>
      <c r="M2610" s="116">
        <v>660.35</v>
      </c>
      <c r="N2610" s="116">
        <v>665</v>
      </c>
      <c r="O2610" s="116">
        <v>636.29999999999995</v>
      </c>
      <c r="P2610" s="116">
        <v>644</v>
      </c>
      <c r="Q2610" s="116">
        <v>660.35</v>
      </c>
      <c r="R2610">
        <v>618159</v>
      </c>
    </row>
    <row r="2611" spans="1:18" x14ac:dyDescent="0.25">
      <c r="A2611" s="166">
        <v>45848</v>
      </c>
      <c r="B2611" s="116">
        <v>677.25</v>
      </c>
      <c r="C2611" s="116">
        <v>649.54999999999995</v>
      </c>
      <c r="D2611" s="116">
        <v>642.54999999999995</v>
      </c>
      <c r="E2611" s="116">
        <v>671.05</v>
      </c>
      <c r="F2611" s="116">
        <v>649.54999999999995</v>
      </c>
      <c r="G2611">
        <v>33805</v>
      </c>
      <c r="H2611" s="116"/>
      <c r="I2611" s="116"/>
      <c r="L2611" s="166">
        <v>45848</v>
      </c>
      <c r="M2611" s="116">
        <v>648.70000000000005</v>
      </c>
      <c r="N2611" s="116">
        <v>677.55</v>
      </c>
      <c r="O2611" s="116">
        <v>643</v>
      </c>
      <c r="P2611" s="116">
        <v>675</v>
      </c>
      <c r="Q2611" s="116">
        <v>648.70000000000005</v>
      </c>
      <c r="R2611">
        <v>1276958</v>
      </c>
    </row>
    <row r="2612" spans="1:18" x14ac:dyDescent="0.25">
      <c r="A2612" s="166">
        <v>45849</v>
      </c>
      <c r="B2612" s="116">
        <v>682.9</v>
      </c>
      <c r="C2612" s="116">
        <v>620.54999999999995</v>
      </c>
      <c r="D2612" s="116">
        <v>614.54999999999995</v>
      </c>
      <c r="E2612" s="116">
        <v>646.20000000000005</v>
      </c>
      <c r="F2612" s="116">
        <v>620.54999999999995</v>
      </c>
      <c r="G2612">
        <v>346649</v>
      </c>
      <c r="H2612" s="116"/>
      <c r="I2612" s="116"/>
      <c r="L2612" s="166">
        <v>45849</v>
      </c>
      <c r="M2612" s="116">
        <v>619.29999999999995</v>
      </c>
      <c r="N2612" s="116">
        <v>683</v>
      </c>
      <c r="O2612" s="116">
        <v>614.9</v>
      </c>
      <c r="P2612" s="116">
        <v>647</v>
      </c>
      <c r="Q2612" s="116">
        <v>619.29999999999995</v>
      </c>
      <c r="R2612">
        <v>5927118</v>
      </c>
    </row>
    <row r="2613" spans="1:18" x14ac:dyDescent="0.25">
      <c r="A2613" s="166">
        <v>45852</v>
      </c>
      <c r="B2613" s="116">
        <v>637.04999999999995</v>
      </c>
      <c r="C2613" s="116">
        <v>627</v>
      </c>
      <c r="D2613" s="116">
        <v>622.6</v>
      </c>
      <c r="E2613" s="116">
        <v>622.6</v>
      </c>
      <c r="F2613" s="116">
        <v>627</v>
      </c>
      <c r="G2613">
        <v>103095</v>
      </c>
      <c r="H2613" s="116"/>
      <c r="I2613" s="116"/>
      <c r="L2613" s="166">
        <v>45852</v>
      </c>
      <c r="M2613" s="116">
        <v>627.35</v>
      </c>
      <c r="N2613" s="116">
        <v>637.85</v>
      </c>
      <c r="O2613" s="116">
        <v>622.5</v>
      </c>
      <c r="P2613" s="116">
        <v>622.5</v>
      </c>
      <c r="Q2613" s="116">
        <v>627.35</v>
      </c>
      <c r="R2613">
        <v>967561</v>
      </c>
    </row>
    <row r="2614" spans="1:18" x14ac:dyDescent="0.25">
      <c r="A2614" s="166">
        <v>45853</v>
      </c>
      <c r="B2614" s="116">
        <v>633.4</v>
      </c>
      <c r="C2614" s="116">
        <v>623.65</v>
      </c>
      <c r="D2614" s="116">
        <v>622.29999999999995</v>
      </c>
      <c r="E2614" s="116">
        <v>629.75</v>
      </c>
      <c r="F2614" s="116">
        <v>623.65</v>
      </c>
      <c r="G2614">
        <v>32065</v>
      </c>
      <c r="H2614" s="116"/>
      <c r="I2614" s="116"/>
      <c r="L2614" s="166">
        <v>45853</v>
      </c>
      <c r="M2614" s="116">
        <v>624.35</v>
      </c>
      <c r="N2614" s="116">
        <v>634</v>
      </c>
      <c r="O2614" s="116">
        <v>621.29999999999995</v>
      </c>
      <c r="P2614" s="116">
        <v>629</v>
      </c>
      <c r="Q2614" s="116">
        <v>624.35</v>
      </c>
      <c r="R2614">
        <v>575239</v>
      </c>
    </row>
    <row r="2615" spans="1:18" x14ac:dyDescent="0.25">
      <c r="A2615" s="166">
        <v>45854</v>
      </c>
      <c r="B2615" s="116">
        <v>627.95000000000005</v>
      </c>
      <c r="C2615" s="116">
        <v>607.1</v>
      </c>
      <c r="D2615" s="116">
        <v>602.75</v>
      </c>
      <c r="E2615" s="116">
        <v>627.95000000000005</v>
      </c>
      <c r="F2615" s="116">
        <v>607.1</v>
      </c>
      <c r="G2615">
        <v>39130</v>
      </c>
      <c r="H2615" s="116"/>
      <c r="I2615" s="116"/>
      <c r="L2615" s="166">
        <v>45854</v>
      </c>
      <c r="M2615" s="116">
        <v>606.95000000000005</v>
      </c>
      <c r="N2615" s="116">
        <v>626.54999999999995</v>
      </c>
      <c r="O2615" s="116">
        <v>603.20000000000005</v>
      </c>
      <c r="P2615" s="116">
        <v>626</v>
      </c>
      <c r="Q2615" s="116">
        <v>606.95000000000005</v>
      </c>
      <c r="R2615">
        <v>947540</v>
      </c>
    </row>
    <row r="2616" spans="1:18" x14ac:dyDescent="0.25">
      <c r="A2616" s="166">
        <v>45855</v>
      </c>
      <c r="B2616" s="116">
        <v>621.4</v>
      </c>
      <c r="C2616" s="116">
        <v>607</v>
      </c>
      <c r="D2616" s="116">
        <v>605.15</v>
      </c>
      <c r="E2616" s="116">
        <v>609.95000000000005</v>
      </c>
      <c r="F2616" s="116">
        <v>607</v>
      </c>
      <c r="G2616">
        <v>39231</v>
      </c>
      <c r="H2616" s="116"/>
      <c r="I2616" s="116"/>
      <c r="L2616" s="166">
        <v>45855</v>
      </c>
      <c r="M2616" s="116">
        <v>607.35</v>
      </c>
      <c r="N2616" s="116">
        <v>621.5</v>
      </c>
      <c r="O2616" s="116">
        <v>605.6</v>
      </c>
      <c r="P2616" s="116">
        <v>611.79999999999995</v>
      </c>
      <c r="Q2616" s="116">
        <v>607.35</v>
      </c>
      <c r="R2616">
        <v>494278</v>
      </c>
    </row>
    <row r="2617" spans="1:18" x14ac:dyDescent="0.25">
      <c r="A2617" s="166">
        <v>45856</v>
      </c>
      <c r="B2617" s="116">
        <v>614.65</v>
      </c>
      <c r="C2617" s="116">
        <v>600.95000000000005</v>
      </c>
      <c r="D2617" s="116">
        <v>596</v>
      </c>
      <c r="E2617" s="116">
        <v>602.04999999999995</v>
      </c>
      <c r="F2617" s="116">
        <v>600.95000000000005</v>
      </c>
      <c r="G2617">
        <v>28473</v>
      </c>
      <c r="H2617" s="116"/>
      <c r="I2617" s="116"/>
      <c r="L2617" s="166">
        <v>45856</v>
      </c>
      <c r="M2617" s="116">
        <v>601</v>
      </c>
      <c r="N2617" s="116">
        <v>614</v>
      </c>
      <c r="O2617" s="116">
        <v>595.35</v>
      </c>
      <c r="P2617" s="116">
        <v>609.75</v>
      </c>
      <c r="Q2617" s="116">
        <v>601</v>
      </c>
      <c r="R2617">
        <v>476966</v>
      </c>
    </row>
    <row r="2618" spans="1:18" x14ac:dyDescent="0.25">
      <c r="A2618" s="166">
        <v>45859</v>
      </c>
      <c r="B2618" s="116">
        <v>606.45000000000005</v>
      </c>
      <c r="C2618" s="116">
        <v>599.79999999999995</v>
      </c>
      <c r="D2618" s="116">
        <v>591.35</v>
      </c>
      <c r="E2618" s="116">
        <v>606.45000000000005</v>
      </c>
      <c r="F2618" s="116">
        <v>599.79999999999995</v>
      </c>
      <c r="G2618">
        <v>8499</v>
      </c>
      <c r="H2618" s="116"/>
      <c r="I2618" s="116"/>
      <c r="L2618" s="166">
        <v>45859</v>
      </c>
      <c r="M2618" s="116">
        <v>599.4</v>
      </c>
      <c r="N2618" s="116">
        <v>602.79999999999995</v>
      </c>
      <c r="O2618" s="116">
        <v>592</v>
      </c>
      <c r="P2618" s="116">
        <v>601</v>
      </c>
      <c r="Q2618" s="116">
        <v>599.4</v>
      </c>
      <c r="R2618">
        <v>292058</v>
      </c>
    </row>
    <row r="2619" spans="1:18" x14ac:dyDescent="0.25">
      <c r="A2619" s="166">
        <v>45860</v>
      </c>
      <c r="B2619" s="116">
        <v>608.95000000000005</v>
      </c>
      <c r="C2619" s="116">
        <v>597.29999999999995</v>
      </c>
      <c r="D2619" s="116">
        <v>594.25</v>
      </c>
      <c r="E2619" s="116">
        <v>608.95000000000005</v>
      </c>
      <c r="F2619" s="116">
        <v>597.29999999999995</v>
      </c>
      <c r="G2619">
        <v>22371</v>
      </c>
      <c r="H2619" s="116"/>
      <c r="I2619" s="116"/>
      <c r="L2619" s="166">
        <v>45860</v>
      </c>
      <c r="M2619" s="116">
        <v>597.29999999999995</v>
      </c>
      <c r="N2619" s="116">
        <v>608.45000000000005</v>
      </c>
      <c r="O2619" s="116">
        <v>594.1</v>
      </c>
      <c r="P2619" s="116">
        <v>601</v>
      </c>
      <c r="Q2619" s="116">
        <v>597.29999999999995</v>
      </c>
      <c r="R2619">
        <v>262248</v>
      </c>
    </row>
    <row r="2620" spans="1:18" x14ac:dyDescent="0.25">
      <c r="A2620" s="166">
        <v>45861</v>
      </c>
      <c r="B2620" s="116">
        <v>612.25</v>
      </c>
      <c r="C2620" s="116">
        <v>594.15</v>
      </c>
      <c r="D2620" s="116">
        <v>588.65</v>
      </c>
      <c r="E2620" s="116">
        <v>598.70000000000005</v>
      </c>
      <c r="F2620" s="116">
        <v>594.15</v>
      </c>
      <c r="G2620">
        <v>71631</v>
      </c>
      <c r="H2620" s="116"/>
      <c r="I2620" s="116"/>
      <c r="L2620" s="166">
        <v>45861</v>
      </c>
      <c r="M2620" s="116">
        <v>594.79999999999995</v>
      </c>
      <c r="N2620" s="116">
        <v>612.15</v>
      </c>
      <c r="O2620" s="116">
        <v>589</v>
      </c>
      <c r="P2620" s="116">
        <v>600</v>
      </c>
      <c r="Q2620" s="116">
        <v>594.79999999999995</v>
      </c>
      <c r="R2620">
        <v>542548</v>
      </c>
    </row>
    <row r="2621" spans="1:18" x14ac:dyDescent="0.25">
      <c r="A2621" s="166">
        <v>45862</v>
      </c>
      <c r="B2621" s="116">
        <v>596.75</v>
      </c>
      <c r="C2621" s="116">
        <v>590.1</v>
      </c>
      <c r="D2621" s="116">
        <v>585.79999999999995</v>
      </c>
      <c r="E2621" s="116">
        <v>595</v>
      </c>
      <c r="F2621" s="116">
        <v>590.1</v>
      </c>
      <c r="G2621">
        <v>18717</v>
      </c>
      <c r="H2621" s="116"/>
      <c r="I2621" s="116"/>
      <c r="L2621" s="166">
        <v>45862</v>
      </c>
      <c r="M2621" s="116">
        <v>588.79999999999995</v>
      </c>
      <c r="N2621" s="116">
        <v>597</v>
      </c>
      <c r="O2621" s="116">
        <v>585.1</v>
      </c>
      <c r="P2621" s="116">
        <v>594</v>
      </c>
      <c r="Q2621" s="116">
        <v>588.79999999999995</v>
      </c>
      <c r="R2621">
        <v>314282</v>
      </c>
    </row>
    <row r="2622" spans="1:18" x14ac:dyDescent="0.25">
      <c r="A2622" s="166">
        <v>45863</v>
      </c>
      <c r="B2622" s="116">
        <v>591.95000000000005</v>
      </c>
      <c r="C2622" s="116">
        <v>576.65</v>
      </c>
      <c r="D2622" s="116">
        <v>575</v>
      </c>
      <c r="E2622" s="116">
        <v>591.95000000000005</v>
      </c>
      <c r="F2622" s="116">
        <v>576.65</v>
      </c>
      <c r="G2622">
        <v>41514</v>
      </c>
      <c r="H2622" s="116"/>
      <c r="I2622" s="116"/>
      <c r="L2622" s="166">
        <v>45863</v>
      </c>
      <c r="M2622" s="116">
        <v>577.04999999999995</v>
      </c>
      <c r="N2622" s="116">
        <v>588.75</v>
      </c>
      <c r="O2622" s="116">
        <v>575</v>
      </c>
      <c r="P2622" s="116">
        <v>588.1</v>
      </c>
      <c r="Q2622" s="116">
        <v>577.04999999999995</v>
      </c>
      <c r="R2622">
        <v>338034</v>
      </c>
    </row>
    <row r="2623" spans="1:18" x14ac:dyDescent="0.25">
      <c r="A2623" s="166">
        <v>45866</v>
      </c>
      <c r="B2623" s="116">
        <v>577.95000000000005</v>
      </c>
      <c r="C2623" s="116">
        <v>563.54999999999995</v>
      </c>
      <c r="D2623" s="116">
        <v>560.4</v>
      </c>
      <c r="E2623" s="116">
        <v>577.95000000000005</v>
      </c>
      <c r="F2623" s="116">
        <v>563.54999999999995</v>
      </c>
      <c r="G2623">
        <v>30187</v>
      </c>
      <c r="H2623" s="116"/>
      <c r="I2623" s="116"/>
      <c r="L2623" s="166">
        <v>45866</v>
      </c>
      <c r="M2623" s="116">
        <v>563.9</v>
      </c>
      <c r="N2623" s="116">
        <v>578.45000000000005</v>
      </c>
      <c r="O2623" s="116">
        <v>560</v>
      </c>
      <c r="P2623" s="116">
        <v>577.04999999999995</v>
      </c>
      <c r="Q2623" s="116">
        <v>563.9</v>
      </c>
      <c r="R2623">
        <v>520643</v>
      </c>
    </row>
    <row r="2624" spans="1:18" x14ac:dyDescent="0.25">
      <c r="A2624" s="166">
        <v>45867</v>
      </c>
      <c r="B2624" s="116">
        <v>584.65</v>
      </c>
      <c r="C2624" s="116">
        <v>577.45000000000005</v>
      </c>
      <c r="D2624" s="116">
        <v>564.5</v>
      </c>
      <c r="E2624" s="116">
        <v>567.95000000000005</v>
      </c>
      <c r="F2624" s="116">
        <v>577.45000000000005</v>
      </c>
      <c r="G2624">
        <v>41582</v>
      </c>
      <c r="H2624" s="116"/>
      <c r="I2624" s="116"/>
      <c r="L2624" s="166">
        <v>45867</v>
      </c>
      <c r="M2624" s="116">
        <v>578.04999999999995</v>
      </c>
      <c r="N2624" s="116">
        <v>584.65</v>
      </c>
      <c r="O2624" s="116">
        <v>563.6</v>
      </c>
      <c r="P2624" s="116">
        <v>567.29999999999995</v>
      </c>
      <c r="Q2624" s="116">
        <v>578.04999999999995</v>
      </c>
      <c r="R2624">
        <v>603319</v>
      </c>
    </row>
    <row r="2625" spans="1:18" x14ac:dyDescent="0.25">
      <c r="A2625" s="166">
        <v>45868</v>
      </c>
      <c r="B2625" s="116">
        <v>587</v>
      </c>
      <c r="C2625" s="116">
        <v>579.4</v>
      </c>
      <c r="D2625" s="116">
        <v>578</v>
      </c>
      <c r="E2625" s="116">
        <v>584.95000000000005</v>
      </c>
      <c r="F2625" s="116">
        <v>579.4</v>
      </c>
      <c r="G2625">
        <v>12399</v>
      </c>
      <c r="H2625" s="116"/>
      <c r="I2625" s="116"/>
      <c r="L2625" s="166">
        <v>45868</v>
      </c>
      <c r="M2625" s="116">
        <v>579.15</v>
      </c>
      <c r="N2625" s="116">
        <v>587.20000000000005</v>
      </c>
      <c r="O2625" s="116">
        <v>578</v>
      </c>
      <c r="P2625" s="116">
        <v>581.54999999999995</v>
      </c>
      <c r="Q2625" s="116">
        <v>579.15</v>
      </c>
      <c r="R2625">
        <v>246156</v>
      </c>
    </row>
    <row r="2626" spans="1:18" x14ac:dyDescent="0.25">
      <c r="A2626" s="166">
        <v>45869</v>
      </c>
      <c r="B2626" s="116">
        <v>578.65</v>
      </c>
      <c r="C2626" s="116">
        <v>570.20000000000005</v>
      </c>
      <c r="D2626" s="116">
        <v>565.15</v>
      </c>
      <c r="E2626" s="116">
        <v>575.95000000000005</v>
      </c>
      <c r="F2626" s="116">
        <v>570.20000000000005</v>
      </c>
      <c r="G2626">
        <v>31021</v>
      </c>
      <c r="H2626" s="116"/>
      <c r="I2626" s="116"/>
      <c r="L2626" s="166">
        <v>45869</v>
      </c>
      <c r="M2626" s="116">
        <v>570.25</v>
      </c>
      <c r="N2626" s="116">
        <v>577.45000000000005</v>
      </c>
      <c r="O2626" s="116">
        <v>566</v>
      </c>
      <c r="P2626" s="116">
        <v>570.1</v>
      </c>
      <c r="Q2626" s="116">
        <v>570.25</v>
      </c>
      <c r="R2626">
        <v>240227</v>
      </c>
    </row>
    <row r="2627" spans="1:18" x14ac:dyDescent="0.25">
      <c r="A2627" s="166">
        <v>45870</v>
      </c>
      <c r="B2627" s="116">
        <v>574</v>
      </c>
      <c r="C2627" s="116">
        <v>564.04999999999995</v>
      </c>
      <c r="D2627" s="116">
        <v>561.95000000000005</v>
      </c>
      <c r="E2627" s="116">
        <v>566.79999999999995</v>
      </c>
      <c r="F2627" s="116">
        <v>564.04999999999995</v>
      </c>
      <c r="G2627">
        <v>15784</v>
      </c>
      <c r="H2627" s="116"/>
      <c r="I2627" s="116"/>
      <c r="L2627" s="166">
        <v>45870</v>
      </c>
      <c r="M2627" s="116">
        <v>563.65</v>
      </c>
      <c r="N2627" s="116">
        <v>574.79999999999995</v>
      </c>
      <c r="O2627" s="116">
        <v>561.35</v>
      </c>
      <c r="P2627" s="116">
        <v>569.79999999999995</v>
      </c>
      <c r="Q2627" s="116">
        <v>563.65</v>
      </c>
      <c r="R2627">
        <v>192049</v>
      </c>
    </row>
    <row r="2628" spans="1:18" x14ac:dyDescent="0.25">
      <c r="A2628" s="166">
        <v>45873</v>
      </c>
      <c r="B2628" s="116">
        <v>579</v>
      </c>
      <c r="C2628" s="116">
        <v>572.4</v>
      </c>
      <c r="D2628" s="116">
        <v>555.79999999999995</v>
      </c>
      <c r="E2628" s="116">
        <v>563</v>
      </c>
      <c r="F2628" s="116">
        <v>572.4</v>
      </c>
      <c r="G2628">
        <v>44258</v>
      </c>
      <c r="H2628" s="116"/>
      <c r="I2628" s="116"/>
      <c r="L2628" s="166">
        <v>45873</v>
      </c>
      <c r="M2628" s="116">
        <v>572.95000000000005</v>
      </c>
      <c r="N2628" s="116">
        <v>576</v>
      </c>
      <c r="O2628" s="116">
        <v>558.4</v>
      </c>
      <c r="P2628" s="116">
        <v>562.6</v>
      </c>
      <c r="Q2628" s="116">
        <v>572.95000000000005</v>
      </c>
      <c r="R2628">
        <v>287071</v>
      </c>
    </row>
    <row r="2629" spans="1:18" x14ac:dyDescent="0.25">
      <c r="A2629" s="166">
        <v>45874</v>
      </c>
      <c r="B2629" s="116">
        <v>578.75</v>
      </c>
      <c r="C2629" s="116">
        <v>572.5</v>
      </c>
      <c r="D2629" s="116">
        <v>565</v>
      </c>
      <c r="E2629" s="116">
        <v>565</v>
      </c>
      <c r="F2629" s="116">
        <v>572.5</v>
      </c>
      <c r="G2629">
        <v>17789</v>
      </c>
      <c r="H2629" s="116"/>
      <c r="I2629" s="116"/>
      <c r="L2629" s="166">
        <v>45874</v>
      </c>
      <c r="M2629" s="116">
        <v>572.70000000000005</v>
      </c>
      <c r="N2629" s="116">
        <v>578.70000000000005</v>
      </c>
      <c r="O2629" s="116">
        <v>561.79999999999995</v>
      </c>
      <c r="P2629" s="116">
        <v>562.20000000000005</v>
      </c>
      <c r="Q2629" s="116">
        <v>572.70000000000005</v>
      </c>
      <c r="R2629">
        <v>221462</v>
      </c>
    </row>
    <row r="2630" spans="1:18" x14ac:dyDescent="0.25">
      <c r="A2630" s="166">
        <v>45875</v>
      </c>
      <c r="B2630" s="116">
        <v>577</v>
      </c>
      <c r="C2630" s="116">
        <v>562.54999999999995</v>
      </c>
      <c r="D2630" s="116">
        <v>558.65</v>
      </c>
      <c r="E2630" s="116">
        <v>574.95000000000005</v>
      </c>
      <c r="F2630" s="116">
        <v>562.54999999999995</v>
      </c>
      <c r="G2630">
        <v>8467</v>
      </c>
      <c r="H2630" s="116"/>
      <c r="I2630" s="116"/>
      <c r="L2630" s="166">
        <v>45875</v>
      </c>
      <c r="M2630" s="116">
        <v>561.9</v>
      </c>
      <c r="N2630" s="116">
        <v>577.79999999999995</v>
      </c>
      <c r="O2630" s="116">
        <v>558.70000000000005</v>
      </c>
      <c r="P2630" s="116">
        <v>571</v>
      </c>
      <c r="Q2630" s="116">
        <v>561.9</v>
      </c>
      <c r="R2630">
        <v>216925</v>
      </c>
    </row>
    <row r="2631" spans="1:18" x14ac:dyDescent="0.25">
      <c r="A2631" s="166">
        <v>45876</v>
      </c>
      <c r="B2631" s="116">
        <v>560.65</v>
      </c>
      <c r="C2631" s="116">
        <v>554.54999999999995</v>
      </c>
      <c r="D2631" s="116">
        <v>546.1</v>
      </c>
      <c r="E2631" s="116">
        <v>554.04999999999995</v>
      </c>
      <c r="F2631" s="116">
        <v>554.54999999999995</v>
      </c>
      <c r="G2631">
        <v>37905</v>
      </c>
      <c r="H2631" s="116"/>
      <c r="I2631" s="116"/>
      <c r="L2631" s="166">
        <v>45876</v>
      </c>
      <c r="M2631" s="116">
        <v>553.5</v>
      </c>
      <c r="N2631" s="116">
        <v>561.35</v>
      </c>
      <c r="O2631" s="116">
        <v>548</v>
      </c>
      <c r="P2631" s="116">
        <v>560</v>
      </c>
      <c r="Q2631" s="116">
        <v>553.5</v>
      </c>
      <c r="R2631">
        <v>308066</v>
      </c>
    </row>
    <row r="2632" spans="1:18" x14ac:dyDescent="0.25">
      <c r="A2632" s="166">
        <v>45877</v>
      </c>
      <c r="B2632" s="116">
        <v>558.65</v>
      </c>
      <c r="C2632" s="116">
        <v>540.54999999999995</v>
      </c>
      <c r="D2632" s="116">
        <v>531.54999999999995</v>
      </c>
      <c r="E2632" s="116">
        <v>557.95000000000005</v>
      </c>
      <c r="F2632" s="116">
        <v>540.54999999999995</v>
      </c>
      <c r="G2632">
        <v>35751</v>
      </c>
      <c r="H2632" s="116"/>
      <c r="I2632" s="116"/>
      <c r="L2632" s="166">
        <v>45877</v>
      </c>
      <c r="M2632" s="116">
        <v>541.04999999999995</v>
      </c>
      <c r="N2632" s="116">
        <v>559.29999999999995</v>
      </c>
      <c r="O2632" s="116">
        <v>535</v>
      </c>
      <c r="P2632" s="116">
        <v>554</v>
      </c>
      <c r="Q2632" s="116">
        <v>541.04999999999995</v>
      </c>
      <c r="R2632">
        <v>241455</v>
      </c>
    </row>
    <row r="2633" spans="1:18" x14ac:dyDescent="0.25">
      <c r="A2633" s="166">
        <v>45880</v>
      </c>
      <c r="B2633" s="116">
        <v>545.5</v>
      </c>
      <c r="C2633" s="116">
        <v>541.29999999999995</v>
      </c>
      <c r="D2633" s="116">
        <v>534.54999999999995</v>
      </c>
      <c r="E2633" s="116">
        <v>534.54999999999995</v>
      </c>
      <c r="F2633" s="116">
        <v>541.29999999999995</v>
      </c>
      <c r="G2633">
        <v>21148</v>
      </c>
      <c r="H2633" s="116"/>
      <c r="I2633" s="116"/>
      <c r="L2633" s="166">
        <v>45880</v>
      </c>
      <c r="M2633" s="116">
        <v>541.6</v>
      </c>
      <c r="N2633" s="116">
        <v>545.70000000000005</v>
      </c>
      <c r="O2633" s="116">
        <v>535</v>
      </c>
      <c r="P2633" s="116">
        <v>535</v>
      </c>
      <c r="Q2633" s="116">
        <v>541.6</v>
      </c>
      <c r="R2633">
        <v>252375</v>
      </c>
    </row>
    <row r="2634" spans="1:18" x14ac:dyDescent="0.25">
      <c r="A2634" s="166">
        <v>45881</v>
      </c>
      <c r="B2634" s="116">
        <v>547.1</v>
      </c>
      <c r="C2634" s="116">
        <v>545.79999999999995</v>
      </c>
      <c r="D2634" s="116">
        <v>538.29999999999995</v>
      </c>
      <c r="E2634" s="116">
        <v>544</v>
      </c>
      <c r="F2634" s="116">
        <v>545.79999999999995</v>
      </c>
      <c r="G2634">
        <v>13889</v>
      </c>
      <c r="H2634" s="116"/>
      <c r="I2634" s="116"/>
      <c r="L2634" s="166">
        <v>45881</v>
      </c>
      <c r="M2634" s="116">
        <v>545.45000000000005</v>
      </c>
      <c r="N2634" s="116">
        <v>547.1</v>
      </c>
      <c r="O2634" s="116">
        <v>538</v>
      </c>
      <c r="P2634" s="116">
        <v>544.9</v>
      </c>
      <c r="Q2634" s="116">
        <v>545.45000000000005</v>
      </c>
      <c r="R2634">
        <v>207486</v>
      </c>
    </row>
    <row r="2635" spans="1:18" x14ac:dyDescent="0.25">
      <c r="A2635" s="166">
        <v>45882</v>
      </c>
      <c r="B2635" s="116">
        <v>571</v>
      </c>
      <c r="C2635" s="116">
        <v>567.45000000000005</v>
      </c>
      <c r="D2635" s="116">
        <v>540.04999999999995</v>
      </c>
      <c r="E2635" s="116">
        <v>540.04999999999995</v>
      </c>
      <c r="F2635" s="116">
        <v>567.45000000000005</v>
      </c>
      <c r="G2635">
        <v>49615</v>
      </c>
      <c r="H2635" s="116"/>
      <c r="I2635" s="116"/>
      <c r="L2635" s="166">
        <v>45882</v>
      </c>
      <c r="M2635" s="116">
        <v>567.79999999999995</v>
      </c>
      <c r="N2635" s="116">
        <v>571.5</v>
      </c>
      <c r="O2635" s="116">
        <v>545.15</v>
      </c>
      <c r="P2635" s="116">
        <v>545.45000000000005</v>
      </c>
      <c r="Q2635" s="116">
        <v>567.79999999999995</v>
      </c>
      <c r="R2635">
        <v>482985</v>
      </c>
    </row>
    <row r="2636" spans="1:18" x14ac:dyDescent="0.25">
      <c r="A2636" s="166">
        <v>45883</v>
      </c>
      <c r="B2636" s="116">
        <v>567.6</v>
      </c>
      <c r="C2636" s="116">
        <v>551.95000000000005</v>
      </c>
      <c r="D2636" s="116">
        <v>550.20000000000005</v>
      </c>
      <c r="E2636" s="116">
        <v>567.5</v>
      </c>
      <c r="F2636" s="116">
        <v>551.95000000000005</v>
      </c>
      <c r="G2636">
        <v>11445</v>
      </c>
      <c r="H2636" s="116"/>
      <c r="I2636" s="116"/>
      <c r="L2636" s="166">
        <v>45883</v>
      </c>
      <c r="M2636" s="116">
        <v>552.5</v>
      </c>
      <c r="N2636" s="116">
        <v>570.35</v>
      </c>
      <c r="O2636" s="116">
        <v>550</v>
      </c>
      <c r="P2636" s="116">
        <v>569.95000000000005</v>
      </c>
      <c r="Q2636" s="116">
        <v>552.5</v>
      </c>
      <c r="R2636">
        <v>209367</v>
      </c>
    </row>
    <row r="2637" spans="1:18" x14ac:dyDescent="0.25">
      <c r="A2637" s="166">
        <v>45887</v>
      </c>
      <c r="B2637" s="116">
        <v>564.75</v>
      </c>
      <c r="C2637" s="116">
        <v>562.79999999999995</v>
      </c>
      <c r="D2637" s="116">
        <v>550.6</v>
      </c>
      <c r="E2637" s="116">
        <v>561.25</v>
      </c>
      <c r="F2637" s="116">
        <v>562.79999999999995</v>
      </c>
      <c r="G2637">
        <v>16823</v>
      </c>
      <c r="H2637" s="116"/>
      <c r="I2637" s="116"/>
      <c r="L2637" s="166">
        <v>45887</v>
      </c>
      <c r="M2637" s="116">
        <v>562.5</v>
      </c>
      <c r="N2637" s="116">
        <v>564.95000000000005</v>
      </c>
      <c r="O2637" s="116">
        <v>550.25</v>
      </c>
      <c r="P2637" s="116">
        <v>559</v>
      </c>
      <c r="Q2637" s="116">
        <v>562.5</v>
      </c>
      <c r="R2637">
        <v>246542</v>
      </c>
    </row>
    <row r="2638" spans="1:18" x14ac:dyDescent="0.25">
      <c r="A2638" s="166">
        <v>45888</v>
      </c>
      <c r="B2638" s="116">
        <v>577.15</v>
      </c>
      <c r="C2638" s="116">
        <v>575.70000000000005</v>
      </c>
      <c r="D2638" s="116">
        <v>557.70000000000005</v>
      </c>
      <c r="E2638" s="116">
        <v>562.79999999999995</v>
      </c>
      <c r="F2638" s="116">
        <v>575.70000000000005</v>
      </c>
      <c r="G2638">
        <v>45872</v>
      </c>
      <c r="H2638" s="116"/>
      <c r="I2638" s="116"/>
      <c r="L2638" s="166">
        <v>45888</v>
      </c>
      <c r="M2638" s="116">
        <v>575.29999999999995</v>
      </c>
      <c r="N2638" s="116">
        <v>576.45000000000005</v>
      </c>
      <c r="O2638" s="116">
        <v>557.70000000000005</v>
      </c>
      <c r="P2638" s="116">
        <v>562.5</v>
      </c>
      <c r="Q2638" s="116">
        <v>575.29999999999995</v>
      </c>
      <c r="R2638">
        <v>359233</v>
      </c>
    </row>
    <row r="2639" spans="1:18" x14ac:dyDescent="0.25">
      <c r="A2639" s="166">
        <v>45889</v>
      </c>
      <c r="B2639" s="116">
        <v>583</v>
      </c>
      <c r="C2639" s="116">
        <v>576.9</v>
      </c>
      <c r="D2639" s="116">
        <v>569.1</v>
      </c>
      <c r="E2639" s="116">
        <v>575.29999999999995</v>
      </c>
      <c r="F2639" s="116">
        <v>576.9</v>
      </c>
      <c r="G2639">
        <v>31497</v>
      </c>
      <c r="H2639" s="116"/>
      <c r="I2639" s="116"/>
      <c r="L2639" s="166">
        <v>45889</v>
      </c>
      <c r="M2639" s="116">
        <v>577.29999999999995</v>
      </c>
      <c r="N2639" s="116">
        <v>583.54999999999995</v>
      </c>
      <c r="O2639" s="116">
        <v>569.4</v>
      </c>
      <c r="P2639" s="116">
        <v>575.29999999999995</v>
      </c>
      <c r="Q2639" s="116">
        <v>577.29999999999995</v>
      </c>
      <c r="R2639">
        <v>261755</v>
      </c>
    </row>
    <row r="2640" spans="1:18" x14ac:dyDescent="0.25">
      <c r="A2640" s="166">
        <v>45890</v>
      </c>
      <c r="B2640" s="116">
        <v>579.25</v>
      </c>
      <c r="C2640" s="116">
        <v>564.4</v>
      </c>
      <c r="D2640" s="116">
        <v>563.5</v>
      </c>
      <c r="E2640" s="116">
        <v>570.15</v>
      </c>
      <c r="F2640" s="116">
        <v>564.4</v>
      </c>
      <c r="G2640">
        <v>16631</v>
      </c>
      <c r="H2640" s="116"/>
      <c r="I2640" s="116"/>
      <c r="L2640" s="166">
        <v>45890</v>
      </c>
      <c r="M2640" s="116">
        <v>564.1</v>
      </c>
      <c r="N2640" s="116">
        <v>579.75</v>
      </c>
      <c r="O2640" s="116">
        <v>563.35</v>
      </c>
      <c r="P2640" s="116">
        <v>578.95000000000005</v>
      </c>
      <c r="Q2640" s="116">
        <v>564.1</v>
      </c>
      <c r="R2640">
        <v>210069</v>
      </c>
    </row>
    <row r="2641" spans="1:18" x14ac:dyDescent="0.25">
      <c r="A2641" s="166">
        <v>45891</v>
      </c>
      <c r="B2641" s="116">
        <v>573.95000000000005</v>
      </c>
      <c r="C2641" s="116">
        <v>556.29999999999995</v>
      </c>
      <c r="D2641" s="116">
        <v>555.04999999999995</v>
      </c>
      <c r="E2641" s="116">
        <v>573.95000000000005</v>
      </c>
      <c r="F2641" s="116">
        <v>556.29999999999995</v>
      </c>
      <c r="G2641">
        <v>17667</v>
      </c>
      <c r="H2641" s="116"/>
      <c r="I2641" s="116"/>
      <c r="L2641" s="166">
        <v>45891</v>
      </c>
      <c r="M2641" s="116">
        <v>556.15</v>
      </c>
      <c r="N2641" s="116">
        <v>568.20000000000005</v>
      </c>
      <c r="O2641" s="116">
        <v>555.04999999999995</v>
      </c>
      <c r="P2641" s="116">
        <v>563.70000000000005</v>
      </c>
      <c r="Q2641" s="116">
        <v>556.15</v>
      </c>
      <c r="R2641">
        <v>135169</v>
      </c>
    </row>
    <row r="2642" spans="1:18" x14ac:dyDescent="0.25">
      <c r="A2642" s="166">
        <v>45894</v>
      </c>
      <c r="B2642" s="116">
        <v>576.79999999999995</v>
      </c>
      <c r="C2642" s="116">
        <v>573.70000000000005</v>
      </c>
      <c r="D2642" s="116">
        <v>555.04999999999995</v>
      </c>
      <c r="E2642" s="116">
        <v>557.5</v>
      </c>
      <c r="F2642" s="116">
        <v>573.70000000000005</v>
      </c>
      <c r="G2642">
        <v>34781</v>
      </c>
      <c r="H2642" s="116"/>
      <c r="I2642" s="116"/>
      <c r="L2642" s="166">
        <v>45894</v>
      </c>
      <c r="M2642" s="116">
        <v>574.4</v>
      </c>
      <c r="N2642" s="116">
        <v>577.29999999999995</v>
      </c>
      <c r="O2642" s="116">
        <v>555.04999999999995</v>
      </c>
      <c r="P2642" s="116">
        <v>558.04999999999995</v>
      </c>
      <c r="Q2642" s="116">
        <v>574.4</v>
      </c>
      <c r="R2642">
        <v>336244</v>
      </c>
    </row>
    <row r="2643" spans="1:18" x14ac:dyDescent="0.25">
      <c r="A2643" s="166">
        <v>45895</v>
      </c>
      <c r="B2643" s="116">
        <v>572.25</v>
      </c>
      <c r="C2643" s="116">
        <v>555.9</v>
      </c>
      <c r="D2643" s="116">
        <v>551.9</v>
      </c>
      <c r="E2643" s="116">
        <v>562.04999999999995</v>
      </c>
      <c r="F2643" s="116">
        <v>555.9</v>
      </c>
      <c r="G2643">
        <v>15210</v>
      </c>
      <c r="H2643" s="116"/>
      <c r="I2643" s="116"/>
      <c r="L2643" s="166">
        <v>45895</v>
      </c>
      <c r="M2643" s="116">
        <v>555.54999999999995</v>
      </c>
      <c r="N2643" s="116">
        <v>574</v>
      </c>
      <c r="O2643" s="116">
        <v>552.04999999999995</v>
      </c>
      <c r="P2643" s="116">
        <v>574</v>
      </c>
      <c r="Q2643" s="116">
        <v>555.54999999999995</v>
      </c>
      <c r="R2643">
        <v>317459</v>
      </c>
    </row>
    <row r="2644" spans="1:18" x14ac:dyDescent="0.25">
      <c r="A2644" s="166">
        <v>45897</v>
      </c>
      <c r="B2644" s="116">
        <v>555.9</v>
      </c>
      <c r="C2644" s="116">
        <v>538.85</v>
      </c>
      <c r="D2644" s="116">
        <v>536</v>
      </c>
      <c r="E2644" s="116">
        <v>552.04999999999995</v>
      </c>
      <c r="F2644" s="116">
        <v>538.85</v>
      </c>
      <c r="G2644">
        <v>42218</v>
      </c>
      <c r="H2644" s="116"/>
      <c r="I2644" s="116"/>
      <c r="L2644" s="166">
        <v>45897</v>
      </c>
      <c r="M2644" s="116">
        <v>538.65</v>
      </c>
      <c r="N2644" s="116">
        <v>557.45000000000005</v>
      </c>
      <c r="O2644" s="116">
        <v>536</v>
      </c>
      <c r="P2644" s="116">
        <v>555.6</v>
      </c>
      <c r="Q2644" s="116">
        <v>538.65</v>
      </c>
      <c r="R2644">
        <v>270327</v>
      </c>
    </row>
    <row r="2645" spans="1:18" x14ac:dyDescent="0.25">
      <c r="A2645" s="166">
        <v>45898</v>
      </c>
      <c r="B2645" s="116">
        <v>557.25</v>
      </c>
      <c r="C2645" s="116">
        <v>552.04999999999995</v>
      </c>
      <c r="D2645" s="116">
        <v>538.35</v>
      </c>
      <c r="E2645" s="116">
        <v>540.9</v>
      </c>
      <c r="F2645" s="116">
        <v>552.04999999999995</v>
      </c>
      <c r="G2645">
        <v>33038</v>
      </c>
      <c r="H2645" s="116"/>
      <c r="I2645" s="116"/>
      <c r="L2645" s="166">
        <v>45898</v>
      </c>
      <c r="M2645" s="116">
        <v>552.29999999999995</v>
      </c>
      <c r="N2645" s="116">
        <v>557.1</v>
      </c>
      <c r="O2645" s="116">
        <v>538.20000000000005</v>
      </c>
      <c r="P2645" s="116">
        <v>538.65</v>
      </c>
      <c r="Q2645" s="116">
        <v>552.29999999999995</v>
      </c>
      <c r="R2645">
        <v>196038</v>
      </c>
    </row>
    <row r="2646" spans="1:18" x14ac:dyDescent="0.25">
      <c r="A2646" s="166">
        <v>45901</v>
      </c>
      <c r="B2646" s="116">
        <v>561.5</v>
      </c>
      <c r="C2646" s="116">
        <v>555</v>
      </c>
      <c r="D2646" s="116">
        <v>552</v>
      </c>
      <c r="E2646" s="116">
        <v>557.04999999999995</v>
      </c>
      <c r="F2646" s="116">
        <v>555</v>
      </c>
      <c r="G2646">
        <v>10781</v>
      </c>
      <c r="H2646" s="116"/>
      <c r="I2646" s="116"/>
      <c r="L2646" s="166">
        <v>45901</v>
      </c>
      <c r="M2646" s="116">
        <v>554.95000000000005</v>
      </c>
      <c r="N2646" s="116">
        <v>561.95000000000005</v>
      </c>
      <c r="O2646" s="116">
        <v>552</v>
      </c>
      <c r="P2646" s="116">
        <v>560</v>
      </c>
      <c r="Q2646" s="116">
        <v>554.95000000000005</v>
      </c>
      <c r="R2646">
        <v>167475</v>
      </c>
    </row>
    <row r="2647" spans="1:18" x14ac:dyDescent="0.25">
      <c r="A2647" s="166">
        <v>45902</v>
      </c>
      <c r="B2647" s="116">
        <v>565.35</v>
      </c>
      <c r="C2647" s="116">
        <v>559</v>
      </c>
      <c r="D2647" s="116">
        <v>553</v>
      </c>
      <c r="E2647" s="116">
        <v>553.04999999999995</v>
      </c>
      <c r="F2647" s="116">
        <v>559</v>
      </c>
      <c r="G2647">
        <v>21250</v>
      </c>
      <c r="H2647" s="116"/>
      <c r="I2647" s="116"/>
      <c r="L2647" s="166">
        <v>45902</v>
      </c>
      <c r="M2647" s="116">
        <v>558.9</v>
      </c>
      <c r="N2647" s="116">
        <v>565.35</v>
      </c>
      <c r="O2647" s="116">
        <v>552.29999999999995</v>
      </c>
      <c r="P2647" s="116">
        <v>555</v>
      </c>
      <c r="Q2647" s="116">
        <v>558.9</v>
      </c>
      <c r="R2647">
        <v>216279</v>
      </c>
    </row>
    <row r="2648" spans="1:18" x14ac:dyDescent="0.25">
      <c r="A2648" s="166">
        <v>45903</v>
      </c>
      <c r="B2648" s="116">
        <v>572.35</v>
      </c>
      <c r="C2648" s="116">
        <v>562.79999999999995</v>
      </c>
      <c r="D2648" s="116">
        <v>555.04999999999995</v>
      </c>
      <c r="E2648" s="116">
        <v>555.04999999999995</v>
      </c>
      <c r="F2648" s="116">
        <v>562.79999999999995</v>
      </c>
      <c r="G2648">
        <v>19583</v>
      </c>
      <c r="H2648" s="116"/>
      <c r="I2648" s="116"/>
      <c r="L2648" s="166">
        <v>45903</v>
      </c>
      <c r="M2648" s="116">
        <v>562.79999999999995</v>
      </c>
      <c r="N2648" s="116">
        <v>572</v>
      </c>
      <c r="O2648" s="116">
        <v>556.79999999999995</v>
      </c>
      <c r="P2648" s="116">
        <v>560</v>
      </c>
      <c r="Q2648" s="116">
        <v>562.79999999999995</v>
      </c>
      <c r="R2648">
        <v>142232</v>
      </c>
    </row>
    <row r="2649" spans="1:18" x14ac:dyDescent="0.25">
      <c r="A2649" s="166">
        <v>45904</v>
      </c>
      <c r="B2649" s="116">
        <v>568.79999999999995</v>
      </c>
      <c r="C2649" s="116">
        <v>553.20000000000005</v>
      </c>
      <c r="D2649" s="116">
        <v>551.25</v>
      </c>
      <c r="E2649" s="116">
        <v>568.79999999999995</v>
      </c>
      <c r="F2649" s="116">
        <v>553.20000000000005</v>
      </c>
      <c r="G2649">
        <v>18249</v>
      </c>
      <c r="H2649" s="116"/>
      <c r="I2649" s="116"/>
      <c r="L2649" s="166">
        <v>45904</v>
      </c>
      <c r="M2649" s="116">
        <v>553.29999999999995</v>
      </c>
      <c r="N2649" s="116">
        <v>567.29999999999995</v>
      </c>
      <c r="O2649" s="116">
        <v>551.04999999999995</v>
      </c>
      <c r="P2649" s="116">
        <v>565</v>
      </c>
      <c r="Q2649" s="116">
        <v>553.29999999999995</v>
      </c>
      <c r="R2649">
        <v>149124</v>
      </c>
    </row>
    <row r="2650" spans="1:18" x14ac:dyDescent="0.25">
      <c r="A2650" s="166">
        <v>45905</v>
      </c>
      <c r="B2650" s="116">
        <v>567</v>
      </c>
      <c r="C2650" s="116">
        <v>553.20000000000005</v>
      </c>
      <c r="D2650" s="116">
        <v>549.79999999999995</v>
      </c>
      <c r="E2650" s="116">
        <v>567</v>
      </c>
      <c r="F2650" s="116">
        <v>553.20000000000005</v>
      </c>
      <c r="G2650">
        <v>9824</v>
      </c>
      <c r="H2650" s="116"/>
      <c r="I2650" s="116"/>
      <c r="L2650" s="166">
        <v>45905</v>
      </c>
      <c r="M2650" s="116">
        <v>553.79999999999995</v>
      </c>
      <c r="N2650" s="116">
        <v>556.95000000000005</v>
      </c>
      <c r="O2650" s="116">
        <v>549.6</v>
      </c>
      <c r="P2650" s="116">
        <v>554</v>
      </c>
      <c r="Q2650" s="116">
        <v>553.79999999999995</v>
      </c>
      <c r="R2650">
        <v>160364</v>
      </c>
    </row>
    <row r="2651" spans="1:18" x14ac:dyDescent="0.25">
      <c r="A2651" s="166">
        <v>45908</v>
      </c>
      <c r="B2651" s="116">
        <v>573.54999999999995</v>
      </c>
      <c r="C2651" s="116">
        <v>569.25</v>
      </c>
      <c r="D2651" s="116">
        <v>554.54999999999995</v>
      </c>
      <c r="E2651" s="116">
        <v>556.5</v>
      </c>
      <c r="F2651" s="116">
        <v>569.25</v>
      </c>
      <c r="G2651">
        <v>14714</v>
      </c>
      <c r="H2651" s="116"/>
      <c r="I2651" s="116"/>
      <c r="L2651" s="166">
        <v>45908</v>
      </c>
      <c r="M2651" s="116">
        <v>569.29999999999995</v>
      </c>
      <c r="N2651" s="116">
        <v>573.79999999999995</v>
      </c>
      <c r="O2651" s="116">
        <v>553.79999999999995</v>
      </c>
      <c r="P2651" s="116">
        <v>553.79999999999995</v>
      </c>
      <c r="Q2651" s="116">
        <v>569.29999999999995</v>
      </c>
      <c r="R2651">
        <v>354714</v>
      </c>
    </row>
    <row r="2652" spans="1:18" x14ac:dyDescent="0.25">
      <c r="A2652" s="166">
        <v>45909</v>
      </c>
      <c r="B2652" s="116">
        <v>570.04999999999995</v>
      </c>
      <c r="C2652" s="116">
        <v>559.6</v>
      </c>
      <c r="D2652" s="116">
        <v>557.75</v>
      </c>
      <c r="E2652" s="116">
        <v>570.04999999999995</v>
      </c>
      <c r="F2652" s="116">
        <v>559.6</v>
      </c>
      <c r="G2652">
        <v>11429</v>
      </c>
      <c r="H2652" s="116"/>
      <c r="I2652" s="116"/>
      <c r="L2652" s="166">
        <v>45909</v>
      </c>
      <c r="M2652" s="116">
        <v>559.9</v>
      </c>
      <c r="N2652" s="116">
        <v>569.5</v>
      </c>
      <c r="O2652" s="116">
        <v>557.15</v>
      </c>
      <c r="P2652" s="116">
        <v>569.5</v>
      </c>
      <c r="Q2652" s="116">
        <v>559.9</v>
      </c>
      <c r="R2652">
        <v>190191</v>
      </c>
    </row>
    <row r="2653" spans="1:18" x14ac:dyDescent="0.25">
      <c r="A2653" s="166">
        <v>45910</v>
      </c>
      <c r="B2653" s="116">
        <v>615</v>
      </c>
      <c r="C2653" s="116">
        <v>600.45000000000005</v>
      </c>
      <c r="D2653" s="116">
        <v>562.79999999999995</v>
      </c>
      <c r="E2653" s="116">
        <v>571.4</v>
      </c>
      <c r="F2653" s="116">
        <v>600.45000000000005</v>
      </c>
      <c r="G2653">
        <v>210657</v>
      </c>
      <c r="H2653" s="116"/>
      <c r="I2653" s="116"/>
      <c r="L2653" s="166">
        <v>45910</v>
      </c>
      <c r="M2653" s="116">
        <v>600.79999999999995</v>
      </c>
      <c r="N2653" s="116">
        <v>614.6</v>
      </c>
      <c r="O2653" s="116">
        <v>561</v>
      </c>
      <c r="P2653" s="116">
        <v>561</v>
      </c>
      <c r="Q2653" s="116">
        <v>600.79999999999995</v>
      </c>
      <c r="R2653">
        <v>5550329</v>
      </c>
    </row>
    <row r="2654" spans="1:18" x14ac:dyDescent="0.25">
      <c r="A2654" s="166">
        <v>45911</v>
      </c>
      <c r="B2654" s="116">
        <v>605</v>
      </c>
      <c r="C2654" s="116">
        <v>588.95000000000005</v>
      </c>
      <c r="D2654" s="116">
        <v>582.95000000000005</v>
      </c>
      <c r="E2654" s="116">
        <v>604.45000000000005</v>
      </c>
      <c r="F2654" s="116">
        <v>588.95000000000005</v>
      </c>
      <c r="G2654">
        <v>40601</v>
      </c>
      <c r="H2654" s="116"/>
      <c r="I2654" s="116"/>
      <c r="L2654" s="166">
        <v>45911</v>
      </c>
      <c r="M2654" s="116">
        <v>590</v>
      </c>
      <c r="N2654" s="116">
        <v>604.35</v>
      </c>
      <c r="O2654" s="116">
        <v>583.15</v>
      </c>
      <c r="P2654" s="116">
        <v>603.79999999999995</v>
      </c>
      <c r="Q2654" s="116">
        <v>590</v>
      </c>
      <c r="R2654">
        <v>597168</v>
      </c>
    </row>
    <row r="2655" spans="1:18" x14ac:dyDescent="0.25">
      <c r="A2655" s="166">
        <v>45912</v>
      </c>
      <c r="B2655" s="116">
        <v>605</v>
      </c>
      <c r="C2655" s="116">
        <v>600.6</v>
      </c>
      <c r="D2655" s="116">
        <v>583.04999999999995</v>
      </c>
      <c r="E2655" s="116">
        <v>600.75</v>
      </c>
      <c r="F2655" s="116">
        <v>600.6</v>
      </c>
      <c r="G2655">
        <v>25369</v>
      </c>
      <c r="H2655" s="116"/>
      <c r="I2655" s="116"/>
      <c r="L2655" s="166">
        <v>45912</v>
      </c>
      <c r="M2655" s="116">
        <v>600.5</v>
      </c>
      <c r="N2655" s="116">
        <v>605</v>
      </c>
      <c r="O2655" s="116">
        <v>584</v>
      </c>
      <c r="P2655" s="116">
        <v>591</v>
      </c>
      <c r="Q2655" s="116">
        <v>600.5</v>
      </c>
      <c r="R2655">
        <v>512670</v>
      </c>
    </row>
    <row r="2656" spans="1:18" x14ac:dyDescent="0.25">
      <c r="A2656" s="166">
        <v>45915</v>
      </c>
      <c r="B2656" s="116">
        <v>610</v>
      </c>
      <c r="C2656" s="116">
        <v>601.85</v>
      </c>
      <c r="D2656" s="116">
        <v>595.5</v>
      </c>
      <c r="E2656" s="116">
        <v>595.54999999999995</v>
      </c>
      <c r="F2656" s="116">
        <v>601.85</v>
      </c>
      <c r="G2656">
        <v>40471</v>
      </c>
      <c r="H2656" s="116"/>
      <c r="I2656" s="116"/>
      <c r="L2656" s="166">
        <v>45915</v>
      </c>
      <c r="M2656" s="116">
        <v>602.54999999999995</v>
      </c>
      <c r="N2656" s="116">
        <v>610.79999999999995</v>
      </c>
      <c r="O2656" s="116">
        <v>595.5</v>
      </c>
      <c r="P2656" s="116">
        <v>600.5</v>
      </c>
      <c r="Q2656" s="116">
        <v>602.54999999999995</v>
      </c>
      <c r="R2656">
        <v>397732</v>
      </c>
    </row>
    <row r="2657" spans="1:18" x14ac:dyDescent="0.25">
      <c r="A2657" s="166">
        <v>45916</v>
      </c>
      <c r="B2657" s="116">
        <v>626.4</v>
      </c>
      <c r="C2657" s="116">
        <v>624.75</v>
      </c>
      <c r="D2657" s="116">
        <v>600</v>
      </c>
      <c r="E2657" s="116">
        <v>609.6</v>
      </c>
      <c r="F2657" s="116">
        <v>624.75</v>
      </c>
      <c r="G2657">
        <v>88494</v>
      </c>
      <c r="H2657" s="116"/>
      <c r="I2657" s="116"/>
      <c r="L2657" s="166">
        <v>45916</v>
      </c>
      <c r="M2657" s="116">
        <v>624.5</v>
      </c>
      <c r="N2657" s="116">
        <v>626.85</v>
      </c>
      <c r="O2657" s="116">
        <v>599.70000000000005</v>
      </c>
      <c r="P2657" s="116">
        <v>603</v>
      </c>
      <c r="Q2657" s="116">
        <v>624.5</v>
      </c>
      <c r="R2657">
        <v>1164527</v>
      </c>
    </row>
    <row r="2658" spans="1:18" x14ac:dyDescent="0.25">
      <c r="A2658" s="166">
        <v>45917</v>
      </c>
      <c r="B2658" s="116">
        <v>633.29999999999995</v>
      </c>
      <c r="C2658" s="116">
        <v>628.29999999999995</v>
      </c>
      <c r="D2658" s="116">
        <v>622.54999999999995</v>
      </c>
      <c r="E2658" s="116">
        <v>629.54999999999995</v>
      </c>
      <c r="F2658" s="116">
        <v>628.29999999999995</v>
      </c>
      <c r="G2658">
        <v>49084</v>
      </c>
      <c r="H2658" s="116"/>
      <c r="I2658" s="116"/>
      <c r="L2658" s="166">
        <v>45917</v>
      </c>
      <c r="M2658" s="116">
        <v>628.29999999999995</v>
      </c>
      <c r="N2658" s="116">
        <v>633.35</v>
      </c>
      <c r="O2658" s="116">
        <v>623</v>
      </c>
      <c r="P2658" s="116">
        <v>628.04999999999995</v>
      </c>
      <c r="Q2658" s="116">
        <v>628.29999999999995</v>
      </c>
      <c r="R2658">
        <v>430968</v>
      </c>
    </row>
    <row r="2659" spans="1:18" x14ac:dyDescent="0.25">
      <c r="A2659" s="166">
        <v>45918</v>
      </c>
      <c r="B2659" s="116">
        <v>630.85</v>
      </c>
      <c r="C2659" s="116">
        <v>622.4</v>
      </c>
      <c r="D2659" s="116">
        <v>619.04999999999995</v>
      </c>
      <c r="E2659" s="116">
        <v>626.85</v>
      </c>
      <c r="F2659" s="116">
        <v>622.4</v>
      </c>
      <c r="G2659">
        <v>31242</v>
      </c>
      <c r="H2659" s="116"/>
      <c r="I2659" s="116"/>
      <c r="L2659" s="166">
        <v>45918</v>
      </c>
      <c r="M2659" s="116">
        <v>622.5</v>
      </c>
      <c r="N2659" s="116">
        <v>631.75</v>
      </c>
      <c r="O2659" s="116">
        <v>618.95000000000005</v>
      </c>
      <c r="P2659" s="116">
        <v>630.70000000000005</v>
      </c>
      <c r="Q2659" s="116">
        <v>622.5</v>
      </c>
      <c r="R2659">
        <v>237220</v>
      </c>
    </row>
    <row r="2660" spans="1:18" x14ac:dyDescent="0.25">
      <c r="A2660" s="166">
        <v>45919</v>
      </c>
      <c r="B2660" s="116">
        <v>634.95000000000005</v>
      </c>
      <c r="C2660" s="116">
        <v>621.70000000000005</v>
      </c>
      <c r="D2660" s="116">
        <v>618.15</v>
      </c>
      <c r="E2660" s="116">
        <v>625</v>
      </c>
      <c r="F2660" s="116">
        <v>621.70000000000005</v>
      </c>
      <c r="G2660">
        <v>14200</v>
      </c>
      <c r="H2660" s="116"/>
      <c r="I2660" s="116"/>
      <c r="L2660" s="166">
        <v>45919</v>
      </c>
      <c r="M2660" s="116">
        <v>621.5</v>
      </c>
      <c r="N2660" s="116">
        <v>634.9</v>
      </c>
      <c r="O2660" s="116">
        <v>617.79999999999995</v>
      </c>
      <c r="P2660" s="116">
        <v>621</v>
      </c>
      <c r="Q2660" s="116">
        <v>621.5</v>
      </c>
      <c r="R2660">
        <v>380071</v>
      </c>
    </row>
    <row r="2661" spans="1:18" x14ac:dyDescent="0.25">
      <c r="A2661" s="166">
        <v>45922</v>
      </c>
      <c r="B2661" s="116">
        <v>628.45000000000005</v>
      </c>
      <c r="C2661" s="116">
        <v>612.15</v>
      </c>
      <c r="D2661" s="116">
        <v>608</v>
      </c>
      <c r="E2661" s="116">
        <v>628.45000000000005</v>
      </c>
      <c r="F2661" s="116">
        <v>612.15</v>
      </c>
      <c r="G2661">
        <v>35414</v>
      </c>
      <c r="H2661" s="116"/>
      <c r="I2661" s="116"/>
      <c r="L2661" s="166">
        <v>45922</v>
      </c>
      <c r="M2661" s="116">
        <v>613.45000000000005</v>
      </c>
      <c r="N2661" s="116">
        <v>628.15</v>
      </c>
      <c r="O2661" s="116">
        <v>607.75</v>
      </c>
      <c r="P2661" s="116">
        <v>621.5</v>
      </c>
      <c r="Q2661" s="116">
        <v>613.45000000000005</v>
      </c>
      <c r="R2661">
        <v>264714</v>
      </c>
    </row>
    <row r="2662" spans="1:18" x14ac:dyDescent="0.25">
      <c r="A2662" s="166">
        <v>45923</v>
      </c>
      <c r="B2662" s="116">
        <v>613.9</v>
      </c>
      <c r="C2662" s="116">
        <v>605.04999999999995</v>
      </c>
      <c r="D2662" s="116">
        <v>600.5</v>
      </c>
      <c r="E2662" s="116">
        <v>612.20000000000005</v>
      </c>
      <c r="F2662" s="116">
        <v>605.04999999999995</v>
      </c>
      <c r="G2662">
        <v>10003</v>
      </c>
      <c r="H2662" s="116"/>
      <c r="I2662" s="116"/>
      <c r="L2662" s="166">
        <v>45923</v>
      </c>
      <c r="M2662" s="116">
        <v>605.4</v>
      </c>
      <c r="N2662" s="116">
        <v>615.29999999999995</v>
      </c>
      <c r="O2662" s="116">
        <v>600.54999999999995</v>
      </c>
      <c r="P2662" s="116">
        <v>613.9</v>
      </c>
      <c r="Q2662" s="116">
        <v>605.4</v>
      </c>
      <c r="R2662">
        <v>245177</v>
      </c>
    </row>
    <row r="2663" spans="1:18" x14ac:dyDescent="0.25">
      <c r="A2663" s="166">
        <v>45924</v>
      </c>
      <c r="B2663" s="116">
        <v>605.70000000000005</v>
      </c>
      <c r="C2663" s="116">
        <v>595.9</v>
      </c>
      <c r="D2663" s="116">
        <v>591</v>
      </c>
      <c r="E2663" s="116">
        <v>598.04999999999995</v>
      </c>
      <c r="F2663" s="116">
        <v>595.9</v>
      </c>
      <c r="G2663">
        <v>16602</v>
      </c>
      <c r="H2663" s="116"/>
      <c r="I2663" s="116"/>
      <c r="L2663" s="166">
        <v>45924</v>
      </c>
      <c r="M2663" s="116">
        <v>595.85</v>
      </c>
      <c r="N2663" s="116">
        <v>606.45000000000005</v>
      </c>
      <c r="O2663" s="116">
        <v>591</v>
      </c>
      <c r="P2663" s="116">
        <v>603</v>
      </c>
      <c r="Q2663" s="116">
        <v>595.85</v>
      </c>
      <c r="R2663">
        <v>292520</v>
      </c>
    </row>
    <row r="2664" spans="1:18" x14ac:dyDescent="0.25">
      <c r="A2664" s="166">
        <v>45925</v>
      </c>
      <c r="B2664" s="116">
        <v>592.65</v>
      </c>
      <c r="C2664" s="116">
        <v>584.1</v>
      </c>
      <c r="D2664" s="116">
        <v>577.4</v>
      </c>
      <c r="E2664" s="116">
        <v>592</v>
      </c>
      <c r="F2664" s="116">
        <v>584.1</v>
      </c>
      <c r="G2664">
        <v>59157</v>
      </c>
      <c r="H2664" s="116"/>
      <c r="I2664" s="116"/>
      <c r="L2664" s="166">
        <v>45925</v>
      </c>
      <c r="M2664" s="116">
        <v>584.45000000000005</v>
      </c>
      <c r="N2664" s="116">
        <v>594.79999999999995</v>
      </c>
      <c r="O2664" s="116">
        <v>580.1</v>
      </c>
      <c r="P2664" s="116">
        <v>594.79999999999995</v>
      </c>
      <c r="Q2664" s="116">
        <v>584.45000000000005</v>
      </c>
      <c r="R2664">
        <v>235025</v>
      </c>
    </row>
    <row r="2665" spans="1:18" x14ac:dyDescent="0.25">
      <c r="A2665" s="166">
        <v>45926</v>
      </c>
      <c r="B2665" s="116">
        <v>592.04999999999995</v>
      </c>
      <c r="C2665" s="116">
        <v>566.70000000000005</v>
      </c>
      <c r="D2665" s="116">
        <v>563.70000000000005</v>
      </c>
      <c r="E2665" s="116">
        <v>583.65</v>
      </c>
      <c r="F2665" s="116">
        <v>566.70000000000005</v>
      </c>
      <c r="G2665">
        <v>8362</v>
      </c>
      <c r="H2665" s="116"/>
      <c r="I2665" s="116"/>
      <c r="L2665" s="166">
        <v>45926</v>
      </c>
      <c r="M2665" s="116">
        <v>565.70000000000005</v>
      </c>
      <c r="N2665" s="116">
        <v>584</v>
      </c>
      <c r="O2665" s="116">
        <v>563.45000000000005</v>
      </c>
      <c r="P2665" s="116">
        <v>583.04999999999995</v>
      </c>
      <c r="Q2665" s="116">
        <v>565.70000000000005</v>
      </c>
      <c r="R2665">
        <v>281316</v>
      </c>
    </row>
    <row r="2666" spans="1:18" x14ac:dyDescent="0.25">
      <c r="A2666" s="166">
        <v>45929</v>
      </c>
      <c r="B2666" s="116">
        <v>574.15</v>
      </c>
      <c r="C2666" s="116">
        <v>558.79999999999995</v>
      </c>
      <c r="D2666" s="116">
        <v>556</v>
      </c>
      <c r="E2666" s="116">
        <v>562.15</v>
      </c>
      <c r="F2666" s="116">
        <v>558.79999999999995</v>
      </c>
      <c r="G2666">
        <v>24637</v>
      </c>
      <c r="H2666" s="116"/>
      <c r="I2666" s="116"/>
      <c r="L2666" s="166">
        <v>45929</v>
      </c>
      <c r="M2666" s="116">
        <v>557.9</v>
      </c>
      <c r="N2666" s="116">
        <v>574.20000000000005</v>
      </c>
      <c r="O2666" s="116">
        <v>555.65</v>
      </c>
      <c r="P2666" s="116">
        <v>565.70000000000005</v>
      </c>
      <c r="Q2666" s="116">
        <v>557.9</v>
      </c>
      <c r="R2666">
        <v>243608</v>
      </c>
    </row>
    <row r="2667" spans="1:18" x14ac:dyDescent="0.25">
      <c r="A2667" s="166">
        <v>45930</v>
      </c>
      <c r="B2667" s="116">
        <v>571.85</v>
      </c>
      <c r="C2667" s="116">
        <v>567.95000000000005</v>
      </c>
      <c r="D2667" s="116">
        <v>558.75</v>
      </c>
      <c r="E2667" s="116">
        <v>570</v>
      </c>
      <c r="F2667" s="116">
        <v>567.95000000000005</v>
      </c>
      <c r="G2667">
        <v>20145</v>
      </c>
      <c r="H2667" s="116"/>
      <c r="I2667" s="116"/>
      <c r="L2667" s="166">
        <v>45930</v>
      </c>
      <c r="M2667" s="116">
        <v>567.9</v>
      </c>
      <c r="N2667" s="116">
        <v>571.65</v>
      </c>
      <c r="O2667" s="116">
        <v>558.5</v>
      </c>
      <c r="P2667" s="116">
        <v>558.79999999999995</v>
      </c>
      <c r="Q2667" s="116">
        <v>567.9</v>
      </c>
      <c r="R2667">
        <v>229324</v>
      </c>
    </row>
    <row r="2668" spans="1:18" x14ac:dyDescent="0.25">
      <c r="A2668" s="166">
        <v>45931</v>
      </c>
      <c r="B2668" s="116">
        <v>592</v>
      </c>
      <c r="C2668" s="116">
        <v>586.70000000000005</v>
      </c>
      <c r="D2668" s="116">
        <v>567.04999999999995</v>
      </c>
      <c r="E2668" s="116">
        <v>567.04999999999995</v>
      </c>
      <c r="F2668" s="116">
        <v>586.70000000000005</v>
      </c>
      <c r="G2668">
        <v>33981</v>
      </c>
      <c r="H2668" s="116"/>
      <c r="I2668" s="116"/>
      <c r="L2668" s="166">
        <v>45931</v>
      </c>
      <c r="M2668" s="116">
        <v>586.85</v>
      </c>
      <c r="N2668" s="116">
        <v>592.85</v>
      </c>
      <c r="O2668" s="116">
        <v>567.9</v>
      </c>
      <c r="P2668" s="116">
        <v>568</v>
      </c>
      <c r="Q2668" s="116">
        <v>586.85</v>
      </c>
      <c r="R2668">
        <v>664853</v>
      </c>
    </row>
    <row r="2669" spans="1:18" x14ac:dyDescent="0.25">
      <c r="A2669" s="166">
        <v>45933</v>
      </c>
      <c r="B2669" s="116">
        <v>591.35</v>
      </c>
      <c r="C2669" s="116">
        <v>584.79999999999995</v>
      </c>
      <c r="D2669" s="116">
        <v>579.1</v>
      </c>
      <c r="E2669" s="116">
        <v>587</v>
      </c>
      <c r="F2669" s="116">
        <v>584.79999999999995</v>
      </c>
      <c r="G2669">
        <v>17101</v>
      </c>
      <c r="H2669" s="116"/>
      <c r="I2669" s="116"/>
      <c r="L2669" s="166">
        <v>45933</v>
      </c>
      <c r="M2669" s="116">
        <v>584.54999999999995</v>
      </c>
      <c r="N2669" s="116">
        <v>591.6</v>
      </c>
      <c r="O2669" s="116">
        <v>578</v>
      </c>
      <c r="P2669" s="116">
        <v>586.85</v>
      </c>
      <c r="Q2669" s="116">
        <v>584.54999999999995</v>
      </c>
      <c r="R2669">
        <v>317683</v>
      </c>
    </row>
    <row r="2670" spans="1:18" x14ac:dyDescent="0.25">
      <c r="A2670" s="166">
        <v>45936</v>
      </c>
      <c r="B2670" s="116">
        <v>604.79999999999995</v>
      </c>
      <c r="C2670" s="116">
        <v>602.35</v>
      </c>
      <c r="D2670" s="116">
        <v>581.45000000000005</v>
      </c>
      <c r="E2670" s="116">
        <v>586</v>
      </c>
      <c r="F2670" s="116">
        <v>602.35</v>
      </c>
      <c r="G2670">
        <v>36783</v>
      </c>
      <c r="H2670" s="116"/>
      <c r="I2670" s="116"/>
      <c r="L2670" s="166">
        <v>45936</v>
      </c>
      <c r="M2670" s="116">
        <v>602.5</v>
      </c>
      <c r="N2670" s="116">
        <v>604.79999999999995</v>
      </c>
      <c r="O2670" s="116">
        <v>581.15</v>
      </c>
      <c r="P2670" s="116">
        <v>584.54999999999995</v>
      </c>
      <c r="Q2670" s="116">
        <v>602.5</v>
      </c>
      <c r="R2670">
        <v>522396</v>
      </c>
    </row>
    <row r="2671" spans="1:18" x14ac:dyDescent="0.25">
      <c r="A2671" s="166">
        <v>45937</v>
      </c>
      <c r="B2671" s="116">
        <v>625.45000000000005</v>
      </c>
      <c r="C2671" s="116">
        <v>620.15</v>
      </c>
      <c r="D2671" s="116">
        <v>596.65</v>
      </c>
      <c r="E2671" s="116">
        <v>607.70000000000005</v>
      </c>
      <c r="F2671" s="116">
        <v>620.15</v>
      </c>
      <c r="G2671">
        <v>46997</v>
      </c>
      <c r="H2671" s="116"/>
      <c r="I2671" s="116"/>
      <c r="L2671" s="166">
        <v>45937</v>
      </c>
      <c r="M2671" s="116">
        <v>619.65</v>
      </c>
      <c r="N2671" s="116">
        <v>626</v>
      </c>
      <c r="O2671" s="116">
        <v>596.6</v>
      </c>
      <c r="P2671" s="116">
        <v>608.4</v>
      </c>
      <c r="Q2671" s="116">
        <v>619.65</v>
      </c>
      <c r="R2671">
        <v>1019426</v>
      </c>
    </row>
    <row r="2672" spans="1:18" x14ac:dyDescent="0.25">
      <c r="A2672" s="166">
        <v>45938</v>
      </c>
      <c r="B2672" s="116">
        <v>623.4</v>
      </c>
      <c r="C2672" s="116">
        <v>605.29999999999995</v>
      </c>
      <c r="D2672" s="116">
        <v>602</v>
      </c>
      <c r="E2672" s="116">
        <v>623.4</v>
      </c>
      <c r="F2672" s="116">
        <v>605.29999999999995</v>
      </c>
      <c r="G2672">
        <v>69347</v>
      </c>
      <c r="H2672" s="116"/>
      <c r="I2672" s="116"/>
      <c r="L2672" s="166">
        <v>45938</v>
      </c>
      <c r="M2672" s="116">
        <v>606.70000000000005</v>
      </c>
      <c r="N2672" s="116">
        <v>623</v>
      </c>
      <c r="O2672" s="116">
        <v>604</v>
      </c>
      <c r="P2672" s="116">
        <v>622.70000000000005</v>
      </c>
      <c r="Q2672" s="116">
        <v>606.70000000000005</v>
      </c>
      <c r="R2672">
        <v>489437</v>
      </c>
    </row>
    <row r="2673" spans="1:18" x14ac:dyDescent="0.25">
      <c r="A2673" s="166">
        <v>45939</v>
      </c>
      <c r="B2673" s="116">
        <v>616</v>
      </c>
      <c r="C2673" s="116">
        <v>604.65</v>
      </c>
      <c r="D2673" s="116">
        <v>602</v>
      </c>
      <c r="E2673" s="116">
        <v>608.1</v>
      </c>
      <c r="F2673" s="116">
        <v>604.65</v>
      </c>
      <c r="G2673">
        <v>19588</v>
      </c>
      <c r="H2673" s="116"/>
      <c r="I2673" s="116"/>
      <c r="L2673" s="166">
        <v>45939</v>
      </c>
      <c r="M2673" s="116">
        <v>603.85</v>
      </c>
      <c r="N2673" s="116">
        <v>616.29999999999995</v>
      </c>
      <c r="O2673" s="116">
        <v>601.54999999999995</v>
      </c>
      <c r="P2673" s="116">
        <v>610</v>
      </c>
      <c r="Q2673" s="116">
        <v>603.85</v>
      </c>
      <c r="R2673">
        <v>399395</v>
      </c>
    </row>
    <row r="2674" spans="1:18" x14ac:dyDescent="0.25">
      <c r="A2674" s="166">
        <v>45940</v>
      </c>
      <c r="B2674" s="116">
        <v>609.79999999999995</v>
      </c>
      <c r="C2674" s="116">
        <v>556.20000000000005</v>
      </c>
      <c r="D2674" s="116">
        <v>544</v>
      </c>
      <c r="E2674" s="116">
        <v>603.9</v>
      </c>
      <c r="F2674" s="116">
        <v>556.20000000000005</v>
      </c>
      <c r="G2674">
        <v>342455</v>
      </c>
      <c r="H2674" s="116"/>
      <c r="I2674" s="116"/>
      <c r="L2674" s="166">
        <v>45940</v>
      </c>
      <c r="M2674" s="116">
        <v>556.85</v>
      </c>
      <c r="N2674" s="116">
        <v>608.85</v>
      </c>
      <c r="O2674" s="116">
        <v>543.20000000000005</v>
      </c>
      <c r="P2674" s="116">
        <v>607</v>
      </c>
      <c r="Q2674" s="116">
        <v>556.85</v>
      </c>
      <c r="R2674">
        <v>3780036</v>
      </c>
    </row>
    <row r="2675" spans="1:18" x14ac:dyDescent="0.25">
      <c r="A2675" s="166">
        <v>45943</v>
      </c>
      <c r="B2675" s="116">
        <v>555.54999999999995</v>
      </c>
      <c r="C2675" s="116">
        <v>552.54999999999995</v>
      </c>
      <c r="D2675" s="116">
        <v>548.20000000000005</v>
      </c>
      <c r="E2675" s="116">
        <v>550.04999999999995</v>
      </c>
      <c r="F2675" s="116">
        <v>552.54999999999995</v>
      </c>
      <c r="G2675">
        <v>24324</v>
      </c>
      <c r="H2675" s="116"/>
      <c r="I2675" s="116"/>
      <c r="L2675" s="166">
        <v>45943</v>
      </c>
      <c r="M2675" s="116">
        <v>551.75</v>
      </c>
      <c r="N2675" s="116">
        <v>555.35</v>
      </c>
      <c r="O2675" s="116">
        <v>547.15</v>
      </c>
      <c r="P2675" s="116">
        <v>550</v>
      </c>
      <c r="Q2675" s="116">
        <v>551.75</v>
      </c>
      <c r="R2675">
        <v>611560</v>
      </c>
    </row>
    <row r="2676" spans="1:18" x14ac:dyDescent="0.25">
      <c r="A2676" s="166">
        <v>45944</v>
      </c>
      <c r="B2676" s="116">
        <v>558.04999999999995</v>
      </c>
      <c r="C2676" s="116">
        <v>531.4</v>
      </c>
      <c r="D2676" s="116">
        <v>528.1</v>
      </c>
      <c r="E2676" s="116">
        <v>549.54999999999995</v>
      </c>
      <c r="F2676" s="116">
        <v>531.4</v>
      </c>
      <c r="G2676">
        <v>61863</v>
      </c>
      <c r="H2676" s="116"/>
      <c r="I2676" s="116"/>
      <c r="L2676" s="166">
        <v>45944</v>
      </c>
      <c r="M2676" s="116">
        <v>531.4</v>
      </c>
      <c r="N2676" s="116">
        <v>558.15</v>
      </c>
      <c r="O2676" s="116">
        <v>527.9</v>
      </c>
      <c r="P2676" s="116">
        <v>551.95000000000005</v>
      </c>
      <c r="Q2676" s="116">
        <v>531.4</v>
      </c>
      <c r="R2676">
        <v>720145</v>
      </c>
    </row>
    <row r="2677" spans="1:18" x14ac:dyDescent="0.25">
      <c r="A2677" s="166">
        <v>45945</v>
      </c>
      <c r="B2677" s="116">
        <v>543.29999999999995</v>
      </c>
      <c r="C2677" s="116">
        <v>541.85</v>
      </c>
      <c r="D2677" s="116">
        <v>528.6</v>
      </c>
      <c r="E2677" s="116">
        <v>531.54999999999995</v>
      </c>
      <c r="F2677" s="116">
        <v>541.85</v>
      </c>
      <c r="G2677">
        <v>41146</v>
      </c>
      <c r="H2677" s="116"/>
      <c r="I2677" s="116"/>
      <c r="L2677" s="166">
        <v>45945</v>
      </c>
      <c r="M2677" s="116">
        <v>542.25</v>
      </c>
      <c r="N2677" s="116">
        <v>544</v>
      </c>
      <c r="O2677" s="116">
        <v>528.29999999999995</v>
      </c>
      <c r="P2677" s="116">
        <v>531.6</v>
      </c>
      <c r="Q2677" s="116">
        <v>542.25</v>
      </c>
      <c r="R2677">
        <v>341798</v>
      </c>
    </row>
    <row r="2678" spans="1:18" x14ac:dyDescent="0.25">
      <c r="A2678" s="166">
        <v>45946</v>
      </c>
      <c r="B2678" s="116">
        <v>552</v>
      </c>
      <c r="C2678" s="116">
        <v>542.95000000000005</v>
      </c>
      <c r="D2678" s="116">
        <v>541.85</v>
      </c>
      <c r="E2678" s="116">
        <v>549.70000000000005</v>
      </c>
      <c r="F2678" s="116">
        <v>542.95000000000005</v>
      </c>
      <c r="G2678">
        <v>17990</v>
      </c>
      <c r="H2678" s="116"/>
      <c r="I2678" s="116"/>
      <c r="L2678" s="166">
        <v>45946</v>
      </c>
      <c r="M2678" s="116">
        <v>543.04999999999995</v>
      </c>
      <c r="N2678" s="116">
        <v>551.85</v>
      </c>
      <c r="O2678" s="116">
        <v>541.5</v>
      </c>
      <c r="P2678" s="116">
        <v>545</v>
      </c>
      <c r="Q2678" s="116">
        <v>543.04999999999995</v>
      </c>
      <c r="R2678">
        <v>280189</v>
      </c>
    </row>
    <row r="2679" spans="1:18" x14ac:dyDescent="0.25">
      <c r="A2679" s="166">
        <v>45947</v>
      </c>
      <c r="B2679" s="116">
        <v>543</v>
      </c>
      <c r="C2679" s="116">
        <v>541.29999999999995</v>
      </c>
      <c r="D2679" s="116">
        <v>536.1</v>
      </c>
      <c r="E2679" s="116">
        <v>539.35</v>
      </c>
      <c r="F2679" s="116">
        <v>541.29999999999995</v>
      </c>
      <c r="G2679">
        <v>8681</v>
      </c>
      <c r="H2679" s="116"/>
      <c r="I2679" s="116"/>
      <c r="L2679" s="166">
        <v>45947</v>
      </c>
      <c r="M2679" s="116">
        <v>541.4</v>
      </c>
      <c r="N2679" s="116">
        <v>543.1</v>
      </c>
      <c r="O2679" s="116">
        <v>536</v>
      </c>
      <c r="P2679" s="116">
        <v>540.04999999999995</v>
      </c>
      <c r="Q2679" s="116">
        <v>541.4</v>
      </c>
      <c r="R2679">
        <v>312054</v>
      </c>
    </row>
    <row r="2680" spans="1:18" x14ac:dyDescent="0.25">
      <c r="A2680" s="166">
        <v>45950</v>
      </c>
      <c r="B2680" s="116">
        <v>554.20000000000005</v>
      </c>
      <c r="C2680" s="116">
        <v>543.4</v>
      </c>
      <c r="D2680" s="116">
        <v>538.5</v>
      </c>
      <c r="E2680" s="116">
        <v>554.20000000000005</v>
      </c>
      <c r="F2680" s="116">
        <v>543.4</v>
      </c>
      <c r="G2680">
        <v>16983</v>
      </c>
      <c r="H2680" s="116"/>
      <c r="I2680" s="116"/>
      <c r="L2680" s="166">
        <v>45950</v>
      </c>
      <c r="M2680" s="116">
        <v>543.65</v>
      </c>
      <c r="N2680" s="116">
        <v>547.29999999999995</v>
      </c>
      <c r="O2680" s="116">
        <v>538.85</v>
      </c>
      <c r="P2680" s="116">
        <v>541</v>
      </c>
      <c r="Q2680" s="116">
        <v>543.65</v>
      </c>
      <c r="R2680">
        <v>216357</v>
      </c>
    </row>
    <row r="2681" spans="1:18" x14ac:dyDescent="0.25">
      <c r="A2681" s="166">
        <v>45951</v>
      </c>
      <c r="B2681" s="116">
        <v>557</v>
      </c>
      <c r="C2681" s="116">
        <v>554.45000000000005</v>
      </c>
      <c r="D2681" s="116">
        <v>548.25</v>
      </c>
      <c r="E2681" s="116">
        <v>552.95000000000005</v>
      </c>
      <c r="F2681" s="116">
        <v>554.45000000000005</v>
      </c>
      <c r="G2681">
        <v>7564</v>
      </c>
      <c r="H2681" s="116"/>
      <c r="I2681" s="116"/>
      <c r="L2681" s="166">
        <v>45951</v>
      </c>
      <c r="M2681" s="116">
        <v>553.70000000000005</v>
      </c>
      <c r="N2681" s="116">
        <v>555.4</v>
      </c>
      <c r="O2681" s="116">
        <v>549</v>
      </c>
      <c r="P2681" s="116">
        <v>550</v>
      </c>
      <c r="Q2681" s="116">
        <v>553.70000000000005</v>
      </c>
      <c r="R2681">
        <v>129491</v>
      </c>
    </row>
    <row r="2682" spans="1:18" x14ac:dyDescent="0.25">
      <c r="A2682" s="166">
        <v>45953</v>
      </c>
      <c r="B2682" s="116">
        <v>574</v>
      </c>
      <c r="C2682" s="116">
        <v>564.79999999999995</v>
      </c>
      <c r="D2682" s="116">
        <v>547.65</v>
      </c>
      <c r="E2682" s="116">
        <v>555.29999999999995</v>
      </c>
      <c r="F2682" s="116">
        <v>564.79999999999995</v>
      </c>
      <c r="G2682">
        <v>43223</v>
      </c>
      <c r="H2682" s="116"/>
      <c r="I2682" s="116"/>
      <c r="L2682" s="166">
        <v>45953</v>
      </c>
      <c r="M2682" s="116">
        <v>564.75</v>
      </c>
      <c r="N2682" s="116">
        <v>574.9</v>
      </c>
      <c r="O2682" s="116">
        <v>548</v>
      </c>
      <c r="P2682" s="116">
        <v>557.95000000000005</v>
      </c>
      <c r="Q2682" s="116">
        <v>564.75</v>
      </c>
      <c r="R2682">
        <v>627051</v>
      </c>
    </row>
    <row r="2683" spans="1:18" x14ac:dyDescent="0.25">
      <c r="A2683" s="166">
        <v>45954</v>
      </c>
      <c r="B2683" s="116">
        <v>571.85</v>
      </c>
      <c r="C2683" s="116">
        <v>568.75</v>
      </c>
      <c r="D2683" s="116">
        <v>558.29999999999995</v>
      </c>
      <c r="E2683" s="116">
        <v>564</v>
      </c>
      <c r="F2683" s="116">
        <v>568.75</v>
      </c>
      <c r="G2683">
        <v>22693</v>
      </c>
      <c r="H2683" s="116"/>
      <c r="I2683" s="116"/>
      <c r="L2683" s="166">
        <v>45954</v>
      </c>
      <c r="M2683" s="116">
        <v>569.1</v>
      </c>
      <c r="N2683" s="116">
        <v>572</v>
      </c>
      <c r="O2683" s="116">
        <v>558.20000000000005</v>
      </c>
      <c r="P2683" s="116">
        <v>565</v>
      </c>
      <c r="Q2683" s="116">
        <v>569.1</v>
      </c>
      <c r="R2683">
        <v>250373</v>
      </c>
    </row>
    <row r="2684" spans="1:18" x14ac:dyDescent="0.25">
      <c r="A2684" s="166">
        <v>45957</v>
      </c>
      <c r="B2684" s="116">
        <v>579.95000000000005</v>
      </c>
      <c r="C2684" s="116">
        <v>558.45000000000005</v>
      </c>
      <c r="D2684" s="116">
        <v>555.4</v>
      </c>
      <c r="E2684" s="116">
        <v>579.95000000000005</v>
      </c>
      <c r="F2684" s="116">
        <v>558.45000000000005</v>
      </c>
      <c r="G2684">
        <v>16153</v>
      </c>
      <c r="H2684" s="116"/>
      <c r="I2684" s="116"/>
      <c r="L2684" s="166">
        <v>45957</v>
      </c>
      <c r="M2684" s="116">
        <v>557.79999999999995</v>
      </c>
      <c r="N2684" s="116">
        <v>573.95000000000005</v>
      </c>
      <c r="O2684" s="116">
        <v>555.1</v>
      </c>
      <c r="P2684" s="116">
        <v>569.1</v>
      </c>
      <c r="Q2684" s="116">
        <v>557.79999999999995</v>
      </c>
      <c r="R2684">
        <v>261263</v>
      </c>
    </row>
    <row r="2685" spans="1:18" x14ac:dyDescent="0.25">
      <c r="A2685" s="166">
        <v>45958</v>
      </c>
      <c r="B2685" s="116">
        <v>565.54999999999995</v>
      </c>
      <c r="C2685" s="116">
        <v>556.79999999999995</v>
      </c>
      <c r="D2685" s="116">
        <v>553.6</v>
      </c>
      <c r="E2685" s="116">
        <v>556.95000000000005</v>
      </c>
      <c r="F2685" s="116">
        <v>556.79999999999995</v>
      </c>
      <c r="G2685">
        <v>21050</v>
      </c>
      <c r="H2685" s="116"/>
      <c r="I2685" s="116"/>
      <c r="L2685" s="166">
        <v>45958</v>
      </c>
      <c r="M2685" s="116">
        <v>557.15</v>
      </c>
      <c r="N2685" s="116">
        <v>565.79999999999995</v>
      </c>
      <c r="O2685" s="116">
        <v>552.20000000000005</v>
      </c>
      <c r="P2685" s="116">
        <v>556</v>
      </c>
      <c r="Q2685" s="116">
        <v>557.15</v>
      </c>
      <c r="R2685">
        <v>307478</v>
      </c>
    </row>
    <row r="2686" spans="1:18" x14ac:dyDescent="0.25">
      <c r="A2686" s="166">
        <v>45959</v>
      </c>
      <c r="B2686" s="116">
        <v>563</v>
      </c>
      <c r="C2686" s="116">
        <v>560.95000000000005</v>
      </c>
      <c r="D2686" s="116">
        <v>551.29999999999995</v>
      </c>
      <c r="E2686" s="116">
        <v>554.95000000000005</v>
      </c>
      <c r="F2686" s="116">
        <v>560.95000000000005</v>
      </c>
      <c r="G2686">
        <v>12755</v>
      </c>
      <c r="H2686" s="116"/>
      <c r="I2686" s="116"/>
      <c r="L2686" s="166">
        <v>45959</v>
      </c>
      <c r="M2686" s="116">
        <v>560</v>
      </c>
      <c r="N2686" s="116">
        <v>563.15</v>
      </c>
      <c r="O2686" s="116">
        <v>551.29999999999995</v>
      </c>
      <c r="P2686" s="116">
        <v>553</v>
      </c>
      <c r="Q2686" s="116">
        <v>560</v>
      </c>
      <c r="R2686">
        <v>240900</v>
      </c>
    </row>
    <row r="2687" spans="1:18" x14ac:dyDescent="0.25">
      <c r="A2687" s="166">
        <v>45960</v>
      </c>
      <c r="B2687" s="116">
        <v>573.4</v>
      </c>
      <c r="C2687" s="116">
        <v>566.75</v>
      </c>
      <c r="D2687" s="116">
        <v>558.04999999999995</v>
      </c>
      <c r="E2687" s="116">
        <v>563.85</v>
      </c>
      <c r="F2687" s="116">
        <v>566.75</v>
      </c>
      <c r="G2687">
        <v>34264</v>
      </c>
      <c r="H2687" s="116"/>
      <c r="I2687" s="116"/>
      <c r="L2687" s="166">
        <v>45960</v>
      </c>
      <c r="M2687" s="116">
        <v>568.79999999999995</v>
      </c>
      <c r="N2687" s="116">
        <v>572.20000000000005</v>
      </c>
      <c r="O2687" s="116">
        <v>558</v>
      </c>
      <c r="P2687" s="116">
        <v>560.9</v>
      </c>
      <c r="Q2687" s="116">
        <v>568.79999999999995</v>
      </c>
      <c r="R2687">
        <v>275425</v>
      </c>
    </row>
    <row r="2688" spans="1:18" x14ac:dyDescent="0.25">
      <c r="A2688" s="166">
        <v>45961</v>
      </c>
      <c r="B2688" s="116">
        <v>573</v>
      </c>
      <c r="C2688" s="116">
        <v>561.54999999999995</v>
      </c>
      <c r="D2688" s="116">
        <v>559.75</v>
      </c>
      <c r="E2688" s="116">
        <v>570</v>
      </c>
      <c r="F2688" s="116">
        <v>561.54999999999995</v>
      </c>
      <c r="G2688">
        <v>9620</v>
      </c>
      <c r="H2688" s="116"/>
      <c r="I2688" s="116"/>
      <c r="L2688" s="166">
        <v>45961</v>
      </c>
      <c r="M2688" s="116">
        <v>561.45000000000005</v>
      </c>
      <c r="N2688" s="116">
        <v>574.79999999999995</v>
      </c>
      <c r="O2688" s="116">
        <v>559.4</v>
      </c>
      <c r="P2688" s="116">
        <v>571.95000000000005</v>
      </c>
      <c r="Q2688" s="116">
        <v>561.45000000000005</v>
      </c>
      <c r="R2688">
        <v>167690</v>
      </c>
    </row>
    <row r="2689" spans="1:18" x14ac:dyDescent="0.25">
      <c r="A2689" s="166">
        <v>45964</v>
      </c>
      <c r="B2689" s="116">
        <v>570</v>
      </c>
      <c r="C2689" s="116">
        <v>557.75</v>
      </c>
      <c r="D2689" s="116">
        <v>555.15</v>
      </c>
      <c r="E2689" s="116">
        <v>559.75</v>
      </c>
      <c r="F2689" s="116">
        <v>557.75</v>
      </c>
      <c r="G2689">
        <v>32890</v>
      </c>
      <c r="H2689" s="116"/>
      <c r="I2689" s="116"/>
      <c r="L2689" s="166">
        <v>45964</v>
      </c>
      <c r="M2689" s="116">
        <v>557.65</v>
      </c>
      <c r="N2689" s="116">
        <v>570.45000000000005</v>
      </c>
      <c r="O2689" s="116">
        <v>555</v>
      </c>
      <c r="P2689" s="116">
        <v>561.45000000000005</v>
      </c>
      <c r="Q2689" s="116">
        <v>557.65</v>
      </c>
      <c r="R2689">
        <v>287587</v>
      </c>
    </row>
    <row r="2690" spans="1:18" x14ac:dyDescent="0.25">
      <c r="A2690" s="166">
        <v>45965</v>
      </c>
      <c r="B2690" s="116">
        <v>570.85</v>
      </c>
      <c r="C2690" s="116">
        <v>564.79999999999995</v>
      </c>
      <c r="D2690" s="116">
        <v>552.04999999999995</v>
      </c>
      <c r="E2690" s="116">
        <v>552.04999999999995</v>
      </c>
      <c r="F2690" s="116">
        <v>564.79999999999995</v>
      </c>
      <c r="G2690">
        <v>23865</v>
      </c>
      <c r="H2690" s="116"/>
      <c r="I2690" s="116"/>
      <c r="L2690" s="166">
        <v>45965</v>
      </c>
      <c r="M2690" s="116">
        <v>565.29999999999995</v>
      </c>
      <c r="N2690" s="116">
        <v>570.79999999999995</v>
      </c>
      <c r="O2690" s="116">
        <v>555.15</v>
      </c>
      <c r="P2690" s="116">
        <v>556.04999999999995</v>
      </c>
      <c r="Q2690" s="116">
        <v>565.29999999999995</v>
      </c>
      <c r="R2690">
        <v>230709</v>
      </c>
    </row>
    <row r="2691" spans="1:18" x14ac:dyDescent="0.25">
      <c r="A2691" s="166">
        <v>45967</v>
      </c>
      <c r="B2691" s="116">
        <v>570.4</v>
      </c>
      <c r="C2691" s="116">
        <v>546</v>
      </c>
      <c r="D2691" s="116">
        <v>544.04999999999995</v>
      </c>
      <c r="E2691" s="116">
        <v>570.4</v>
      </c>
      <c r="F2691" s="116">
        <v>546</v>
      </c>
      <c r="G2691">
        <v>30512</v>
      </c>
      <c r="H2691" s="116"/>
      <c r="I2691" s="116"/>
      <c r="L2691" s="166">
        <v>45967</v>
      </c>
      <c r="M2691" s="116">
        <v>546.04999999999995</v>
      </c>
      <c r="N2691" s="116">
        <v>565.20000000000005</v>
      </c>
      <c r="O2691" s="116">
        <v>544</v>
      </c>
      <c r="P2691" s="116">
        <v>565.20000000000005</v>
      </c>
      <c r="Q2691" s="116">
        <v>546.04999999999995</v>
      </c>
      <c r="R2691">
        <v>313738</v>
      </c>
    </row>
    <row r="2692" spans="1:18" x14ac:dyDescent="0.25">
      <c r="A2692" s="166">
        <v>45968</v>
      </c>
      <c r="B2692" s="116">
        <v>546.04999999999995</v>
      </c>
      <c r="C2692" s="116">
        <v>537.70000000000005</v>
      </c>
      <c r="D2692" s="116">
        <v>536</v>
      </c>
      <c r="E2692" s="116">
        <v>539.54999999999995</v>
      </c>
      <c r="F2692" s="116">
        <v>537.70000000000005</v>
      </c>
      <c r="G2692">
        <v>17170</v>
      </c>
      <c r="H2692" s="116"/>
      <c r="I2692" s="116"/>
      <c r="L2692" s="166">
        <v>45968</v>
      </c>
      <c r="M2692" s="116">
        <v>537.75</v>
      </c>
      <c r="N2692" s="116">
        <v>546.5</v>
      </c>
      <c r="O2692" s="116">
        <v>535.45000000000005</v>
      </c>
      <c r="P2692" s="116">
        <v>541.04999999999995</v>
      </c>
      <c r="Q2692" s="116">
        <v>537.75</v>
      </c>
      <c r="R2692">
        <v>258926</v>
      </c>
    </row>
    <row r="2693" spans="1:18" x14ac:dyDescent="0.25">
      <c r="A2693" s="166">
        <v>45971</v>
      </c>
      <c r="B2693" s="116">
        <v>539.1</v>
      </c>
      <c r="C2693" s="116">
        <v>523.45000000000005</v>
      </c>
      <c r="D2693" s="116">
        <v>522.35</v>
      </c>
      <c r="E2693" s="116">
        <v>538.95000000000005</v>
      </c>
      <c r="F2693" s="116">
        <v>523.45000000000005</v>
      </c>
      <c r="G2693">
        <v>12705</v>
      </c>
      <c r="H2693" s="116"/>
      <c r="I2693" s="116"/>
      <c r="L2693" s="166">
        <v>45971</v>
      </c>
      <c r="M2693" s="116">
        <v>523.54999999999995</v>
      </c>
      <c r="N2693" s="116">
        <v>540.4</v>
      </c>
      <c r="O2693" s="116">
        <v>522.04999999999995</v>
      </c>
      <c r="P2693" s="116">
        <v>539</v>
      </c>
      <c r="Q2693" s="116">
        <v>523.54999999999995</v>
      </c>
      <c r="R2693">
        <v>314919</v>
      </c>
    </row>
    <row r="2694" spans="1:18" x14ac:dyDescent="0.25">
      <c r="A2694" s="166">
        <v>45972</v>
      </c>
      <c r="B2694" s="116">
        <v>524.65</v>
      </c>
      <c r="C2694" s="116">
        <v>513.65</v>
      </c>
      <c r="D2694" s="116">
        <v>510</v>
      </c>
      <c r="E2694" s="116">
        <v>523.6</v>
      </c>
      <c r="F2694" s="116">
        <v>513.65</v>
      </c>
      <c r="G2694">
        <v>23123</v>
      </c>
      <c r="H2694" s="116"/>
      <c r="I2694" s="116"/>
      <c r="L2694" s="166">
        <v>45972</v>
      </c>
      <c r="M2694" s="116">
        <v>513.4</v>
      </c>
      <c r="N2694" s="116">
        <v>525.25</v>
      </c>
      <c r="O2694" s="116">
        <v>510</v>
      </c>
      <c r="P2694" s="116">
        <v>523.54999999999995</v>
      </c>
      <c r="Q2694" s="116">
        <v>513.4</v>
      </c>
      <c r="R2694">
        <v>345395</v>
      </c>
    </row>
    <row r="2695" spans="1:18" x14ac:dyDescent="0.25">
      <c r="A2695" s="166">
        <v>45973</v>
      </c>
      <c r="B2695" s="116">
        <v>527.6</v>
      </c>
      <c r="C2695" s="116">
        <v>525.70000000000005</v>
      </c>
      <c r="D2695" s="116">
        <v>512.4</v>
      </c>
      <c r="E2695" s="116">
        <v>515.65</v>
      </c>
      <c r="F2695" s="116">
        <v>525.70000000000005</v>
      </c>
      <c r="G2695">
        <v>35288</v>
      </c>
      <c r="H2695" s="116"/>
      <c r="I2695" s="116"/>
      <c r="L2695" s="166">
        <v>45973</v>
      </c>
      <c r="M2695" s="116">
        <v>525.75</v>
      </c>
      <c r="N2695" s="116">
        <v>526.6</v>
      </c>
      <c r="O2695" s="116">
        <v>511.95</v>
      </c>
      <c r="P2695" s="116">
        <v>514</v>
      </c>
      <c r="Q2695" s="116">
        <v>525.75</v>
      </c>
      <c r="R2695">
        <v>304357</v>
      </c>
    </row>
    <row r="2696" spans="1:18" x14ac:dyDescent="0.25">
      <c r="A2696" s="166">
        <v>45974</v>
      </c>
      <c r="B2696" s="116">
        <v>542.9</v>
      </c>
      <c r="C2696" s="116">
        <v>540.5</v>
      </c>
      <c r="D2696" s="116">
        <v>525.70000000000005</v>
      </c>
      <c r="E2696" s="116">
        <v>525.70000000000005</v>
      </c>
      <c r="F2696" s="116">
        <v>540.5</v>
      </c>
      <c r="G2696">
        <v>19103</v>
      </c>
      <c r="H2696" s="116"/>
      <c r="I2696" s="116"/>
      <c r="L2696" s="166">
        <v>45974</v>
      </c>
      <c r="M2696" s="116">
        <v>540.35</v>
      </c>
      <c r="N2696" s="116">
        <v>542.6</v>
      </c>
      <c r="O2696" s="116">
        <v>524.54999999999995</v>
      </c>
      <c r="P2696" s="116">
        <v>526</v>
      </c>
      <c r="Q2696" s="116">
        <v>540.35</v>
      </c>
      <c r="R2696">
        <v>388106</v>
      </c>
    </row>
    <row r="2697" spans="1:18" x14ac:dyDescent="0.25">
      <c r="A2697" s="166">
        <v>45975</v>
      </c>
      <c r="B2697" s="116">
        <v>552.29999999999995</v>
      </c>
      <c r="C2697" s="116">
        <v>535.6</v>
      </c>
      <c r="D2697" s="116">
        <v>533</v>
      </c>
      <c r="E2697" s="116">
        <v>540.5</v>
      </c>
      <c r="F2697" s="116">
        <v>535.6</v>
      </c>
      <c r="G2697">
        <v>15564</v>
      </c>
      <c r="H2697" s="116"/>
      <c r="I2697" s="116"/>
      <c r="L2697" s="166">
        <v>45975</v>
      </c>
      <c r="M2697" s="116">
        <v>535.65</v>
      </c>
      <c r="N2697" s="116">
        <v>553.29999999999995</v>
      </c>
      <c r="O2697" s="116">
        <v>532.70000000000005</v>
      </c>
      <c r="P2697" s="116">
        <v>541.95000000000005</v>
      </c>
      <c r="Q2697" s="116">
        <v>535.65</v>
      </c>
      <c r="R2697">
        <v>274135</v>
      </c>
    </row>
    <row r="2698" spans="1:18" x14ac:dyDescent="0.25">
      <c r="A2698" s="166">
        <v>45978</v>
      </c>
      <c r="B2698" s="116">
        <v>547.1</v>
      </c>
      <c r="C2698" s="116">
        <v>545.75</v>
      </c>
      <c r="D2698" s="116">
        <v>532.45000000000005</v>
      </c>
      <c r="E2698" s="116">
        <v>537.15</v>
      </c>
      <c r="F2698" s="116">
        <v>545.75</v>
      </c>
      <c r="G2698">
        <v>13009</v>
      </c>
      <c r="H2698" s="116"/>
      <c r="I2698" s="116"/>
      <c r="L2698" s="166">
        <v>45978</v>
      </c>
      <c r="M2698" s="116">
        <v>545.54999999999995</v>
      </c>
      <c r="N2698" s="116">
        <v>547</v>
      </c>
      <c r="O2698" s="116">
        <v>532</v>
      </c>
      <c r="P2698" s="116">
        <v>535.65</v>
      </c>
      <c r="Q2698" s="116">
        <v>545.54999999999995</v>
      </c>
      <c r="R2698">
        <v>288146</v>
      </c>
    </row>
    <row r="2699" spans="1:18" x14ac:dyDescent="0.25">
      <c r="A2699" s="166">
        <v>45979</v>
      </c>
      <c r="B2699" s="116">
        <v>548.95000000000005</v>
      </c>
      <c r="C2699" s="116">
        <v>536.20000000000005</v>
      </c>
      <c r="D2699" s="116">
        <v>531.29999999999995</v>
      </c>
      <c r="E2699" s="116">
        <v>531.29999999999995</v>
      </c>
      <c r="F2699" s="116">
        <v>536.20000000000005</v>
      </c>
      <c r="G2699">
        <v>17212</v>
      </c>
      <c r="H2699" s="116"/>
      <c r="I2699" s="116"/>
      <c r="L2699" s="166">
        <v>45979</v>
      </c>
      <c r="M2699" s="116">
        <v>536.15</v>
      </c>
      <c r="N2699" s="116">
        <v>548.95000000000005</v>
      </c>
      <c r="O2699" s="116">
        <v>535</v>
      </c>
      <c r="P2699" s="116">
        <v>546</v>
      </c>
      <c r="Q2699" s="116">
        <v>536.15</v>
      </c>
      <c r="R2699">
        <v>171221</v>
      </c>
    </row>
    <row r="2700" spans="1:18" x14ac:dyDescent="0.25">
      <c r="A2700" s="166">
        <v>45980</v>
      </c>
      <c r="B2700" s="116">
        <v>552.95000000000005</v>
      </c>
      <c r="C2700" s="116">
        <v>539.75</v>
      </c>
      <c r="D2700" s="116">
        <v>531.25</v>
      </c>
      <c r="E2700" s="116">
        <v>531.25</v>
      </c>
      <c r="F2700" s="116">
        <v>539.75</v>
      </c>
      <c r="G2700">
        <v>40769</v>
      </c>
      <c r="H2700" s="116"/>
      <c r="I2700" s="116"/>
      <c r="L2700" s="166">
        <v>45980</v>
      </c>
      <c r="M2700" s="116">
        <v>538.70000000000005</v>
      </c>
      <c r="N2700" s="116">
        <v>552.85</v>
      </c>
      <c r="O2700" s="116">
        <v>533.20000000000005</v>
      </c>
      <c r="P2700" s="116">
        <v>535</v>
      </c>
      <c r="Q2700" s="116">
        <v>538.70000000000005</v>
      </c>
      <c r="R2700">
        <v>390159</v>
      </c>
    </row>
    <row r="2701" spans="1:18" x14ac:dyDescent="0.25">
      <c r="A2701" s="166">
        <v>45981</v>
      </c>
      <c r="B2701" s="116">
        <v>539.70000000000005</v>
      </c>
      <c r="C2701" s="116">
        <v>532.29999999999995</v>
      </c>
      <c r="D2701" s="116">
        <v>529.5</v>
      </c>
      <c r="E2701" s="116">
        <v>539.70000000000005</v>
      </c>
      <c r="F2701" s="116">
        <v>532.29999999999995</v>
      </c>
      <c r="G2701">
        <v>18346</v>
      </c>
      <c r="H2701" s="116"/>
      <c r="I2701" s="116"/>
      <c r="L2701" s="166">
        <v>45981</v>
      </c>
      <c r="M2701" s="116">
        <v>532.45000000000005</v>
      </c>
      <c r="N2701" s="116">
        <v>539.1</v>
      </c>
      <c r="O2701" s="116">
        <v>529</v>
      </c>
      <c r="P2701" s="116">
        <v>538.70000000000005</v>
      </c>
      <c r="Q2701" s="116">
        <v>532.45000000000005</v>
      </c>
      <c r="R2701">
        <v>183668</v>
      </c>
    </row>
    <row r="2702" spans="1:18" x14ac:dyDescent="0.25">
      <c r="A2702" s="166">
        <v>45982</v>
      </c>
      <c r="B2702" s="116">
        <v>543.1</v>
      </c>
      <c r="C2702" s="116">
        <v>514</v>
      </c>
      <c r="D2702" s="116">
        <v>512.85</v>
      </c>
      <c r="E2702" s="116">
        <v>543.1</v>
      </c>
      <c r="F2702" s="116">
        <v>514</v>
      </c>
      <c r="G2702">
        <v>29034</v>
      </c>
      <c r="H2702" s="116"/>
      <c r="I2702" s="116"/>
      <c r="L2702" s="166">
        <v>45982</v>
      </c>
      <c r="M2702" s="116">
        <v>514.35</v>
      </c>
      <c r="N2702" s="116">
        <v>540.95000000000005</v>
      </c>
      <c r="O2702" s="116">
        <v>510</v>
      </c>
      <c r="P2702" s="116">
        <v>532</v>
      </c>
      <c r="Q2702" s="116">
        <v>514.35</v>
      </c>
      <c r="R2702">
        <v>354567</v>
      </c>
    </row>
    <row r="2703" spans="1:18" x14ac:dyDescent="0.25">
      <c r="A2703" s="166">
        <v>45985</v>
      </c>
      <c r="B2703" s="116">
        <v>516.54999999999995</v>
      </c>
      <c r="C2703" s="116">
        <v>494.25</v>
      </c>
      <c r="D2703" s="116">
        <v>490.75</v>
      </c>
      <c r="E2703" s="116">
        <v>514.35</v>
      </c>
      <c r="F2703" s="116">
        <v>494.25</v>
      </c>
      <c r="G2703">
        <v>24594</v>
      </c>
      <c r="H2703" s="116"/>
      <c r="I2703" s="116"/>
      <c r="L2703" s="166">
        <v>45985</v>
      </c>
      <c r="M2703" s="116">
        <v>494.4</v>
      </c>
      <c r="N2703" s="116">
        <v>517.20000000000005</v>
      </c>
      <c r="O2703" s="116">
        <v>491</v>
      </c>
      <c r="P2703" s="116">
        <v>514.9</v>
      </c>
      <c r="Q2703" s="116">
        <v>494.4</v>
      </c>
      <c r="R2703">
        <v>546364</v>
      </c>
    </row>
    <row r="2704" spans="1:18" x14ac:dyDescent="0.25">
      <c r="A2704" s="166">
        <v>45986</v>
      </c>
      <c r="B2704" s="116">
        <v>499.75</v>
      </c>
      <c r="C2704" s="116">
        <v>498</v>
      </c>
      <c r="D2704" s="116">
        <v>486.6</v>
      </c>
      <c r="E2704" s="116">
        <v>494.4</v>
      </c>
      <c r="F2704" s="116">
        <v>498</v>
      </c>
      <c r="G2704">
        <v>16475</v>
      </c>
      <c r="H2704" s="116"/>
      <c r="I2704" s="116"/>
      <c r="L2704" s="166">
        <v>45986</v>
      </c>
      <c r="M2704" s="116">
        <v>497.75</v>
      </c>
      <c r="N2704" s="116">
        <v>500</v>
      </c>
      <c r="O2704" s="116">
        <v>486</v>
      </c>
      <c r="P2704" s="116">
        <v>494.4</v>
      </c>
      <c r="Q2704" s="116">
        <v>497.75</v>
      </c>
      <c r="R2704">
        <v>405954</v>
      </c>
    </row>
    <row r="2705" spans="1:18" x14ac:dyDescent="0.25">
      <c r="A2705" s="166">
        <v>45987</v>
      </c>
      <c r="B2705" s="116">
        <v>508.55</v>
      </c>
      <c r="C2705" s="116">
        <v>503.55</v>
      </c>
      <c r="D2705" s="116">
        <v>498.6</v>
      </c>
      <c r="E2705" s="116">
        <v>508.55</v>
      </c>
      <c r="F2705" s="116">
        <v>503.55</v>
      </c>
      <c r="G2705">
        <v>13583</v>
      </c>
      <c r="H2705" s="116"/>
      <c r="I2705" s="116"/>
      <c r="L2705" s="166">
        <v>45987</v>
      </c>
      <c r="M2705" s="116">
        <v>503.15</v>
      </c>
      <c r="N2705" s="116">
        <v>507.4</v>
      </c>
      <c r="O2705" s="116">
        <v>498.6</v>
      </c>
      <c r="P2705" s="116">
        <v>501</v>
      </c>
      <c r="Q2705" s="116">
        <v>503.15</v>
      </c>
      <c r="R2705">
        <v>222045</v>
      </c>
    </row>
    <row r="2706" spans="1:18" x14ac:dyDescent="0.25">
      <c r="A2706" s="166">
        <v>45988</v>
      </c>
      <c r="B2706" s="116">
        <v>509.55</v>
      </c>
      <c r="C2706" s="116">
        <v>499.4</v>
      </c>
      <c r="D2706" s="116">
        <v>496.25</v>
      </c>
      <c r="E2706" s="116">
        <v>509.55</v>
      </c>
      <c r="F2706" s="116">
        <v>499.4</v>
      </c>
      <c r="G2706">
        <v>13870</v>
      </c>
      <c r="H2706" s="116"/>
      <c r="I2706" s="116"/>
      <c r="L2706" s="166">
        <v>45988</v>
      </c>
      <c r="M2706" s="116">
        <v>499.55</v>
      </c>
      <c r="N2706" s="116">
        <v>507.5</v>
      </c>
      <c r="O2706" s="116">
        <v>495.9</v>
      </c>
      <c r="P2706" s="116">
        <v>507.5</v>
      </c>
      <c r="Q2706" s="116">
        <v>499.55</v>
      </c>
      <c r="R2706">
        <v>176494</v>
      </c>
    </row>
    <row r="2707" spans="1:18" x14ac:dyDescent="0.25">
      <c r="A2707" s="166">
        <v>45989</v>
      </c>
      <c r="B2707" s="116">
        <v>512.65</v>
      </c>
      <c r="C2707" s="116">
        <v>504.55</v>
      </c>
      <c r="D2707" s="116">
        <v>497.5</v>
      </c>
      <c r="E2707" s="116">
        <v>502.95</v>
      </c>
      <c r="F2707" s="116">
        <v>504.55</v>
      </c>
      <c r="G2707">
        <v>19698</v>
      </c>
      <c r="H2707" s="116"/>
      <c r="I2707" s="116"/>
      <c r="L2707" s="166">
        <v>45989</v>
      </c>
      <c r="M2707" s="116">
        <v>504.45</v>
      </c>
      <c r="N2707" s="116">
        <v>513.70000000000005</v>
      </c>
      <c r="O2707" s="116">
        <v>496.8</v>
      </c>
      <c r="P2707" s="116">
        <v>502.05</v>
      </c>
      <c r="Q2707" s="116">
        <v>504.45</v>
      </c>
      <c r="R2707">
        <v>380380</v>
      </c>
    </row>
    <row r="2708" spans="1:18" x14ac:dyDescent="0.25">
      <c r="A2708" s="166">
        <v>45992</v>
      </c>
      <c r="B2708" s="116">
        <v>505.4</v>
      </c>
      <c r="C2708" s="116">
        <v>491.35</v>
      </c>
      <c r="D2708" s="116">
        <v>489.25</v>
      </c>
      <c r="E2708" s="116">
        <v>502.1</v>
      </c>
      <c r="F2708" s="116">
        <v>491.35</v>
      </c>
      <c r="G2708">
        <v>39399</v>
      </c>
      <c r="H2708" s="116"/>
      <c r="I2708" s="116"/>
      <c r="L2708" s="166">
        <v>45992</v>
      </c>
      <c r="M2708" s="116">
        <v>491.2</v>
      </c>
      <c r="N2708" s="116">
        <v>505.7</v>
      </c>
      <c r="O2708" s="116">
        <v>489.55</v>
      </c>
      <c r="P2708" s="116">
        <v>503</v>
      </c>
      <c r="Q2708" s="116">
        <v>491.2</v>
      </c>
      <c r="R2708">
        <v>278424</v>
      </c>
    </row>
    <row r="2709" spans="1:18" x14ac:dyDescent="0.25">
      <c r="A2709" s="166">
        <v>45993</v>
      </c>
      <c r="B2709">
        <v>492.3</v>
      </c>
      <c r="C2709">
        <v>487.4</v>
      </c>
      <c r="D2709">
        <v>485.9</v>
      </c>
      <c r="E2709">
        <v>487.35</v>
      </c>
      <c r="F2709">
        <v>487.4</v>
      </c>
      <c r="G2709">
        <v>18550</v>
      </c>
      <c r="H2709" s="116"/>
      <c r="I2709" s="116"/>
      <c r="L2709" s="166">
        <v>45993</v>
      </c>
      <c r="M2709" s="116">
        <v>487.85</v>
      </c>
      <c r="N2709" s="116">
        <v>492.2</v>
      </c>
      <c r="O2709" s="116">
        <v>485.55</v>
      </c>
      <c r="P2709" s="116">
        <v>488.1</v>
      </c>
      <c r="Q2709" s="116">
        <v>487.85</v>
      </c>
      <c r="R2709">
        <v>186985</v>
      </c>
    </row>
    <row r="2710" spans="1:18" x14ac:dyDescent="0.25">
      <c r="A2710" s="166">
        <v>45994</v>
      </c>
      <c r="B2710">
        <v>488.75</v>
      </c>
      <c r="C2710">
        <v>481.8</v>
      </c>
      <c r="D2710">
        <v>474.25</v>
      </c>
      <c r="E2710">
        <v>484.2</v>
      </c>
      <c r="F2710">
        <v>481.8</v>
      </c>
      <c r="G2710">
        <v>19639</v>
      </c>
      <c r="H2710" s="116"/>
      <c r="I2710" s="116"/>
      <c r="L2710" s="166">
        <v>45994</v>
      </c>
      <c r="M2710" s="116">
        <v>482.2</v>
      </c>
      <c r="N2710" s="116">
        <v>488.85</v>
      </c>
      <c r="O2710" s="116">
        <v>474.25</v>
      </c>
      <c r="P2710" s="116">
        <v>485</v>
      </c>
      <c r="Q2710" s="116">
        <v>482.2</v>
      </c>
      <c r="R2710">
        <v>433373</v>
      </c>
    </row>
    <row r="2711" spans="1:18" x14ac:dyDescent="0.25">
      <c r="A2711" s="166">
        <v>45995</v>
      </c>
      <c r="B2711">
        <v>490.95</v>
      </c>
      <c r="C2711">
        <v>479.35</v>
      </c>
      <c r="D2711">
        <v>475</v>
      </c>
      <c r="E2711">
        <v>475</v>
      </c>
      <c r="F2711">
        <v>479.35</v>
      </c>
      <c r="G2711">
        <v>7192</v>
      </c>
      <c r="H2711" s="116"/>
      <c r="I2711" s="116"/>
      <c r="L2711" s="166">
        <v>45995</v>
      </c>
      <c r="M2711" s="116">
        <v>479.5</v>
      </c>
      <c r="N2711" s="116">
        <v>491.5</v>
      </c>
      <c r="O2711" s="116">
        <v>477.75</v>
      </c>
      <c r="P2711" s="116">
        <v>484</v>
      </c>
      <c r="Q2711" s="116">
        <v>479.5</v>
      </c>
      <c r="R2711">
        <v>169471</v>
      </c>
    </row>
    <row r="2712" spans="1:18" x14ac:dyDescent="0.25">
      <c r="A2712" s="166">
        <v>45996</v>
      </c>
      <c r="B2712">
        <v>482.3</v>
      </c>
      <c r="C2712">
        <v>474.6</v>
      </c>
      <c r="D2712">
        <v>470.75</v>
      </c>
      <c r="E2712">
        <v>480.95</v>
      </c>
      <c r="F2712">
        <v>474.6</v>
      </c>
      <c r="G2712">
        <v>11087</v>
      </c>
      <c r="H2712" s="116"/>
      <c r="I2712" s="116"/>
      <c r="L2712" s="166">
        <v>45996</v>
      </c>
      <c r="M2712" s="116">
        <v>474.45</v>
      </c>
      <c r="N2712" s="116">
        <v>482.7</v>
      </c>
      <c r="O2712" s="116">
        <v>471</v>
      </c>
      <c r="P2712" s="116">
        <v>479.5</v>
      </c>
      <c r="Q2712" s="116">
        <v>474.45</v>
      </c>
      <c r="R2712">
        <v>226853</v>
      </c>
    </row>
    <row r="2713" spans="1:18" x14ac:dyDescent="0.25">
      <c r="A2713" s="166">
        <v>45999</v>
      </c>
      <c r="B2713">
        <v>476</v>
      </c>
      <c r="C2713">
        <v>473</v>
      </c>
      <c r="D2713">
        <v>465.5</v>
      </c>
      <c r="E2713">
        <v>473.15</v>
      </c>
      <c r="F2713">
        <v>473</v>
      </c>
      <c r="G2713">
        <v>34074</v>
      </c>
      <c r="H2713" s="116"/>
      <c r="I2713" s="116"/>
      <c r="L2713" s="166">
        <v>45999</v>
      </c>
      <c r="M2713" s="116">
        <v>473.1</v>
      </c>
      <c r="N2713" s="116">
        <v>476.55</v>
      </c>
      <c r="O2713" s="116">
        <v>465.95</v>
      </c>
      <c r="P2713" s="116">
        <v>474.8</v>
      </c>
      <c r="Q2713" s="116">
        <v>473.1</v>
      </c>
      <c r="R2713">
        <v>308162</v>
      </c>
    </row>
    <row r="2714" spans="1:18" x14ac:dyDescent="0.25">
      <c r="A2714" s="166">
        <v>46000</v>
      </c>
      <c r="B2714">
        <v>478.85</v>
      </c>
      <c r="C2714">
        <v>476.05</v>
      </c>
      <c r="D2714">
        <v>461.1</v>
      </c>
      <c r="E2714">
        <v>470.05</v>
      </c>
      <c r="F2714">
        <v>476.05</v>
      </c>
      <c r="G2714">
        <v>14471</v>
      </c>
      <c r="H2714" s="116"/>
      <c r="I2714" s="116"/>
      <c r="L2714" s="166">
        <v>46000</v>
      </c>
      <c r="M2714" s="116">
        <v>476.95</v>
      </c>
      <c r="N2714" s="116">
        <v>479.3</v>
      </c>
      <c r="O2714" s="116">
        <v>461</v>
      </c>
      <c r="P2714" s="116">
        <v>470.75</v>
      </c>
      <c r="Q2714" s="116">
        <v>476.95</v>
      </c>
      <c r="R2714">
        <v>232601</v>
      </c>
    </row>
    <row r="2715" spans="1:18" x14ac:dyDescent="0.25">
      <c r="A2715" s="166">
        <v>46001</v>
      </c>
      <c r="B2715">
        <v>488.35</v>
      </c>
      <c r="C2715">
        <v>474.6</v>
      </c>
      <c r="D2715">
        <v>471.8</v>
      </c>
      <c r="E2715">
        <v>476.95</v>
      </c>
      <c r="F2715">
        <v>474.6</v>
      </c>
      <c r="G2715">
        <v>7277</v>
      </c>
      <c r="H2715" s="116"/>
      <c r="I2715" s="116"/>
      <c r="L2715" s="166">
        <v>46001</v>
      </c>
      <c r="M2715" s="116">
        <v>474.45</v>
      </c>
      <c r="N2715" s="116">
        <v>488.55</v>
      </c>
      <c r="O2715" s="116">
        <v>472</v>
      </c>
      <c r="P2715" s="116">
        <v>478.75</v>
      </c>
      <c r="Q2715" s="116">
        <v>474.45</v>
      </c>
      <c r="R2715">
        <v>178539</v>
      </c>
    </row>
    <row r="2716" spans="1:18" x14ac:dyDescent="0.25">
      <c r="A2716" s="166">
        <v>46002</v>
      </c>
      <c r="B2716">
        <v>480</v>
      </c>
      <c r="C2716">
        <v>478.15</v>
      </c>
      <c r="D2716">
        <v>472.05</v>
      </c>
      <c r="E2716">
        <v>472.1</v>
      </c>
      <c r="F2716">
        <v>478.15</v>
      </c>
      <c r="G2716">
        <v>13577</v>
      </c>
      <c r="H2716" s="116"/>
      <c r="I2716" s="116"/>
      <c r="L2716" s="166">
        <v>46002</v>
      </c>
      <c r="M2716" s="116">
        <v>478.2</v>
      </c>
      <c r="N2716" s="116">
        <v>480</v>
      </c>
      <c r="O2716" s="116">
        <v>469.8</v>
      </c>
      <c r="P2716" s="116">
        <v>477</v>
      </c>
      <c r="Q2716" s="116">
        <v>478.2</v>
      </c>
      <c r="R2716">
        <v>156309</v>
      </c>
    </row>
    <row r="2717" spans="1:18" x14ac:dyDescent="0.25">
      <c r="A2717" s="166">
        <v>46003</v>
      </c>
      <c r="B2717">
        <v>485</v>
      </c>
      <c r="C2717">
        <v>483.35</v>
      </c>
      <c r="D2717">
        <v>473.05</v>
      </c>
      <c r="E2717">
        <v>473.05</v>
      </c>
      <c r="F2717">
        <v>483.35</v>
      </c>
      <c r="G2717">
        <v>6507</v>
      </c>
      <c r="H2717" s="116"/>
      <c r="I2717" s="116"/>
      <c r="L2717" s="166">
        <v>46003</v>
      </c>
      <c r="M2717" s="116">
        <v>482.85</v>
      </c>
      <c r="N2717" s="116">
        <v>485</v>
      </c>
      <c r="O2717" s="116">
        <v>476.2</v>
      </c>
      <c r="P2717" s="116">
        <v>476.2</v>
      </c>
      <c r="Q2717" s="116">
        <v>482.85</v>
      </c>
      <c r="R2717">
        <v>123110</v>
      </c>
    </row>
    <row r="2718" spans="1:18" x14ac:dyDescent="0.25">
      <c r="A2718" s="166">
        <v>46006</v>
      </c>
      <c r="B2718">
        <v>488</v>
      </c>
      <c r="C2718">
        <v>484.1</v>
      </c>
      <c r="D2718">
        <v>479.15</v>
      </c>
      <c r="E2718">
        <v>483.3</v>
      </c>
      <c r="F2718">
        <v>484.1</v>
      </c>
      <c r="G2718">
        <v>17273</v>
      </c>
      <c r="H2718" s="116"/>
      <c r="I2718" s="116"/>
      <c r="L2718" s="166">
        <v>46006</v>
      </c>
      <c r="M2718" s="116">
        <v>484.7</v>
      </c>
      <c r="N2718" s="116">
        <v>488.5</v>
      </c>
      <c r="O2718" s="116">
        <v>479.25</v>
      </c>
      <c r="P2718" s="116">
        <v>482.4</v>
      </c>
      <c r="Q2718" s="116">
        <v>484.7</v>
      </c>
      <c r="R2718">
        <v>191491</v>
      </c>
    </row>
    <row r="2719" spans="1:18" x14ac:dyDescent="0.25">
      <c r="A2719" s="166">
        <v>46007</v>
      </c>
      <c r="B2719">
        <v>489.25</v>
      </c>
      <c r="C2719">
        <v>481.05</v>
      </c>
      <c r="D2719">
        <v>478.75</v>
      </c>
      <c r="E2719">
        <v>489.25</v>
      </c>
      <c r="F2719">
        <v>481.05</v>
      </c>
      <c r="G2719">
        <v>8009</v>
      </c>
      <c r="H2719" s="116"/>
      <c r="I2719" s="116"/>
      <c r="L2719" s="166">
        <v>46007</v>
      </c>
      <c r="M2719" s="116">
        <v>481.15</v>
      </c>
      <c r="N2719" s="116">
        <v>488</v>
      </c>
      <c r="O2719" s="116">
        <v>478</v>
      </c>
      <c r="P2719" s="116">
        <v>482.55</v>
      </c>
      <c r="Q2719" s="116">
        <v>481.15</v>
      </c>
      <c r="R2719">
        <v>134702</v>
      </c>
    </row>
    <row r="2720" spans="1:18" x14ac:dyDescent="0.25">
      <c r="A2720" s="166">
        <v>46008</v>
      </c>
      <c r="B2720">
        <v>482.35</v>
      </c>
      <c r="C2720">
        <v>475.05</v>
      </c>
      <c r="D2720">
        <v>473.3</v>
      </c>
      <c r="E2720">
        <v>476.35</v>
      </c>
      <c r="F2720">
        <v>475.05</v>
      </c>
      <c r="G2720">
        <v>6924</v>
      </c>
      <c r="H2720" s="116"/>
      <c r="I2720" s="116"/>
      <c r="L2720" s="166">
        <v>46008</v>
      </c>
      <c r="M2720" s="116">
        <v>475.05</v>
      </c>
      <c r="N2720" s="116">
        <v>482.4</v>
      </c>
      <c r="O2720" s="116">
        <v>473</v>
      </c>
      <c r="P2720" s="116">
        <v>478</v>
      </c>
      <c r="Q2720" s="116">
        <v>475.05</v>
      </c>
      <c r="R2720">
        <v>117783</v>
      </c>
    </row>
    <row r="2721" spans="1:18" x14ac:dyDescent="0.25">
      <c r="A2721" s="166">
        <v>46009</v>
      </c>
      <c r="B2721">
        <v>474.7</v>
      </c>
      <c r="C2721">
        <v>471.55</v>
      </c>
      <c r="D2721">
        <v>466.85</v>
      </c>
      <c r="E2721">
        <v>473.6</v>
      </c>
      <c r="F2721">
        <v>471.55</v>
      </c>
      <c r="G2721">
        <v>10915</v>
      </c>
      <c r="H2721" s="116"/>
      <c r="I2721" s="116"/>
      <c r="L2721" s="166">
        <v>46009</v>
      </c>
      <c r="M2721" s="116">
        <v>471.3</v>
      </c>
      <c r="N2721" s="116">
        <v>475.1</v>
      </c>
      <c r="O2721" s="116">
        <v>466.25</v>
      </c>
      <c r="P2721" s="116">
        <v>475.05</v>
      </c>
      <c r="Q2721" s="116">
        <v>471.3</v>
      </c>
      <c r="R2721">
        <v>113324</v>
      </c>
    </row>
    <row r="2722" spans="1:18" x14ac:dyDescent="0.25">
      <c r="A2722" s="166">
        <v>46010</v>
      </c>
      <c r="B2722">
        <v>484.95</v>
      </c>
      <c r="C2722">
        <v>482.3</v>
      </c>
      <c r="D2722">
        <v>464.15</v>
      </c>
      <c r="E2722">
        <v>464.15</v>
      </c>
      <c r="F2722">
        <v>482.3</v>
      </c>
      <c r="G2722">
        <v>20348</v>
      </c>
      <c r="H2722" s="116"/>
      <c r="I2722" s="116"/>
      <c r="L2722" s="166">
        <v>46010</v>
      </c>
      <c r="M2722" s="116">
        <v>482.8</v>
      </c>
      <c r="N2722" s="116">
        <v>484.95</v>
      </c>
      <c r="O2722" s="116">
        <v>470</v>
      </c>
      <c r="P2722" s="116">
        <v>471.3</v>
      </c>
      <c r="Q2722" s="116">
        <v>482.8</v>
      </c>
      <c r="R2722">
        <v>298741</v>
      </c>
    </row>
    <row r="2723" spans="1:18" x14ac:dyDescent="0.25">
      <c r="A2723" s="166">
        <v>46013</v>
      </c>
      <c r="B2723">
        <v>494.1</v>
      </c>
      <c r="C2723">
        <v>491.3</v>
      </c>
      <c r="D2723">
        <v>484.75</v>
      </c>
      <c r="E2723">
        <v>484.85</v>
      </c>
      <c r="F2723">
        <v>491.3</v>
      </c>
      <c r="G2723">
        <v>32228</v>
      </c>
      <c r="H2723" s="116"/>
      <c r="I2723" s="116"/>
      <c r="L2723" s="166">
        <v>46013</v>
      </c>
      <c r="M2723" s="116">
        <v>490.45</v>
      </c>
      <c r="N2723" s="116">
        <v>493.8</v>
      </c>
      <c r="O2723" s="116">
        <v>482.85</v>
      </c>
      <c r="P2723" s="116">
        <v>483</v>
      </c>
      <c r="Q2723" s="116">
        <v>490.45</v>
      </c>
      <c r="R2723">
        <v>268446</v>
      </c>
    </row>
    <row r="2724" spans="1:18" x14ac:dyDescent="0.25">
      <c r="A2724" s="166">
        <v>46014</v>
      </c>
      <c r="B2724">
        <v>498.25</v>
      </c>
      <c r="C2724">
        <v>492.25</v>
      </c>
      <c r="D2724">
        <v>489.5</v>
      </c>
      <c r="E2724">
        <v>494.85</v>
      </c>
      <c r="F2724">
        <v>492.25</v>
      </c>
      <c r="G2724">
        <v>22959</v>
      </c>
      <c r="H2724" s="116"/>
      <c r="I2724" s="116"/>
      <c r="L2724" s="166">
        <v>46014</v>
      </c>
      <c r="M2724" s="116">
        <v>492.15</v>
      </c>
      <c r="N2724" s="116">
        <v>498</v>
      </c>
      <c r="O2724" s="116">
        <v>489.3</v>
      </c>
      <c r="P2724" s="116">
        <v>491</v>
      </c>
      <c r="Q2724" s="116">
        <v>492.15</v>
      </c>
      <c r="R2724">
        <v>139397</v>
      </c>
    </row>
    <row r="2725" spans="1:18" x14ac:dyDescent="0.25">
      <c r="A2725" s="166">
        <v>46015</v>
      </c>
      <c r="B2725">
        <v>492.7</v>
      </c>
      <c r="C2725">
        <v>481.15</v>
      </c>
      <c r="D2725">
        <v>479.65</v>
      </c>
      <c r="E2725">
        <v>490</v>
      </c>
      <c r="F2725">
        <v>481.15</v>
      </c>
      <c r="G2725">
        <v>17115</v>
      </c>
      <c r="H2725" s="116"/>
      <c r="I2725" s="116"/>
      <c r="L2725" s="166">
        <v>46015</v>
      </c>
      <c r="M2725" s="116">
        <v>480.85</v>
      </c>
      <c r="N2725" s="116">
        <v>492.5</v>
      </c>
      <c r="O2725" s="116">
        <v>480</v>
      </c>
      <c r="P2725" s="116">
        <v>490.3</v>
      </c>
      <c r="Q2725" s="116">
        <v>480.85</v>
      </c>
      <c r="R2725">
        <v>174546</v>
      </c>
    </row>
    <row r="2726" spans="1:18" x14ac:dyDescent="0.25">
      <c r="A2726" s="166">
        <v>46017</v>
      </c>
      <c r="B2726">
        <v>487.65</v>
      </c>
      <c r="C2726">
        <v>478.25</v>
      </c>
      <c r="D2726">
        <v>476.65</v>
      </c>
      <c r="E2726">
        <v>479.05</v>
      </c>
      <c r="F2726">
        <v>478.25</v>
      </c>
      <c r="G2726">
        <v>19847</v>
      </c>
      <c r="H2726" s="116"/>
      <c r="I2726" s="116"/>
      <c r="L2726" s="166">
        <v>46017</v>
      </c>
      <c r="M2726" s="116">
        <v>478.5</v>
      </c>
      <c r="N2726" s="116">
        <v>488.85</v>
      </c>
      <c r="O2726" s="116">
        <v>476.25</v>
      </c>
      <c r="P2726" s="116">
        <v>484</v>
      </c>
      <c r="Q2726" s="116">
        <v>478.5</v>
      </c>
      <c r="R2726">
        <v>152561</v>
      </c>
    </row>
    <row r="2727" spans="1:18" x14ac:dyDescent="0.25">
      <c r="A2727" s="166">
        <v>46020</v>
      </c>
      <c r="B2727">
        <v>486.5</v>
      </c>
      <c r="C2727">
        <v>475.75</v>
      </c>
      <c r="D2727">
        <v>474.75</v>
      </c>
      <c r="E2727">
        <v>477.75</v>
      </c>
      <c r="F2727">
        <v>475.75</v>
      </c>
      <c r="G2727">
        <v>14034</v>
      </c>
      <c r="H2727" s="116"/>
      <c r="I2727" s="116"/>
      <c r="L2727" s="166">
        <v>46020</v>
      </c>
      <c r="M2727" s="116">
        <v>475.85</v>
      </c>
      <c r="N2727" s="116">
        <v>486.8</v>
      </c>
      <c r="O2727" s="116">
        <v>474.75</v>
      </c>
      <c r="P2727" s="116">
        <v>479.95</v>
      </c>
      <c r="Q2727" s="116">
        <v>475.85</v>
      </c>
      <c r="R2727">
        <v>236112</v>
      </c>
    </row>
    <row r="2728" spans="1:18" x14ac:dyDescent="0.25">
      <c r="A2728" s="166">
        <v>46021</v>
      </c>
      <c r="B2728">
        <v>480.5</v>
      </c>
      <c r="C2728">
        <v>471.25</v>
      </c>
      <c r="D2728">
        <v>465.5</v>
      </c>
      <c r="E2728">
        <v>475.05</v>
      </c>
      <c r="F2728">
        <v>471.25</v>
      </c>
      <c r="G2728">
        <v>12592</v>
      </c>
      <c r="H2728" s="116"/>
      <c r="I2728" s="116"/>
      <c r="L2728" s="166">
        <v>46021</v>
      </c>
      <c r="M2728" s="116">
        <v>470.2</v>
      </c>
      <c r="N2728" s="116">
        <v>480.55</v>
      </c>
      <c r="O2728" s="116">
        <v>465.15</v>
      </c>
      <c r="P2728" s="116">
        <v>479.6</v>
      </c>
      <c r="Q2728" s="116">
        <v>470.2</v>
      </c>
      <c r="R2728">
        <v>505191</v>
      </c>
    </row>
    <row r="2729" spans="1:18" x14ac:dyDescent="0.25">
      <c r="A2729" s="166">
        <v>46022</v>
      </c>
      <c r="B2729">
        <v>483.75</v>
      </c>
      <c r="C2729">
        <v>481.35</v>
      </c>
      <c r="D2729">
        <v>467.9</v>
      </c>
      <c r="E2729">
        <v>470.2</v>
      </c>
      <c r="F2729">
        <v>481.35</v>
      </c>
      <c r="G2729">
        <v>22350</v>
      </c>
      <c r="H2729" s="116"/>
      <c r="I2729" s="116"/>
      <c r="L2729" s="166">
        <v>46022</v>
      </c>
      <c r="M2729" s="116">
        <v>481.45</v>
      </c>
      <c r="N2729" s="116">
        <v>483.55</v>
      </c>
      <c r="O2729" s="116">
        <v>467.3</v>
      </c>
      <c r="P2729" s="116">
        <v>468</v>
      </c>
      <c r="Q2729" s="116">
        <v>481.45</v>
      </c>
      <c r="R2729">
        <v>245207</v>
      </c>
    </row>
    <row r="2730" spans="1:18" x14ac:dyDescent="0.25">
      <c r="A2730" s="166">
        <v>46023</v>
      </c>
      <c r="B2730">
        <v>488.9</v>
      </c>
      <c r="C2730">
        <v>480.4</v>
      </c>
      <c r="D2730">
        <v>479.1</v>
      </c>
      <c r="E2730">
        <v>484</v>
      </c>
      <c r="F2730">
        <v>480.4</v>
      </c>
      <c r="G2730">
        <v>5476</v>
      </c>
      <c r="H2730" s="116"/>
      <c r="I2730" s="116"/>
      <c r="L2730" s="166">
        <v>46023</v>
      </c>
      <c r="M2730" s="116">
        <v>480.7</v>
      </c>
      <c r="N2730" s="116">
        <v>489.55</v>
      </c>
      <c r="O2730" s="116">
        <v>479</v>
      </c>
      <c r="P2730" s="116">
        <v>482.55</v>
      </c>
      <c r="Q2730" s="116">
        <v>480.7</v>
      </c>
      <c r="R2730">
        <v>169972</v>
      </c>
    </row>
    <row r="2731" spans="1:18" x14ac:dyDescent="0.25">
      <c r="A2731" s="166">
        <v>46024</v>
      </c>
      <c r="B2731">
        <v>516</v>
      </c>
      <c r="C2731">
        <v>501.2</v>
      </c>
      <c r="D2731">
        <v>482</v>
      </c>
      <c r="E2731">
        <v>485.95</v>
      </c>
      <c r="F2731">
        <v>501.2</v>
      </c>
      <c r="G2731">
        <v>138328</v>
      </c>
      <c r="H2731" s="116"/>
      <c r="I2731" s="116"/>
      <c r="L2731" s="166">
        <v>46024</v>
      </c>
      <c r="M2731" s="116">
        <v>501</v>
      </c>
      <c r="N2731" s="116">
        <v>516</v>
      </c>
      <c r="O2731" s="116">
        <v>481.9</v>
      </c>
      <c r="P2731" s="116">
        <v>482</v>
      </c>
      <c r="Q2731" s="116">
        <v>501</v>
      </c>
      <c r="R2731">
        <v>1908336</v>
      </c>
    </row>
    <row r="2732" spans="1:18" x14ac:dyDescent="0.25">
      <c r="A2732" s="166">
        <v>46027</v>
      </c>
      <c r="B2732">
        <v>508.9</v>
      </c>
      <c r="C2732">
        <v>497.7</v>
      </c>
      <c r="D2732">
        <v>487.65</v>
      </c>
      <c r="E2732">
        <v>507.9</v>
      </c>
      <c r="F2732">
        <v>497.7</v>
      </c>
      <c r="G2732">
        <v>1039195</v>
      </c>
      <c r="H2732" s="116"/>
      <c r="I2732" s="116"/>
      <c r="L2732" s="166">
        <v>46027</v>
      </c>
      <c r="M2732" s="116">
        <v>497.55</v>
      </c>
      <c r="N2732" s="116">
        <v>508.8</v>
      </c>
      <c r="O2732" s="116">
        <v>483.5</v>
      </c>
      <c r="P2732" s="116">
        <v>502.5</v>
      </c>
      <c r="Q2732" s="116">
        <v>497.55</v>
      </c>
      <c r="R2732">
        <v>1288573</v>
      </c>
    </row>
    <row r="2733" spans="1:18" x14ac:dyDescent="0.25">
      <c r="A2733" s="166">
        <v>46028</v>
      </c>
      <c r="B2733">
        <v>500.45</v>
      </c>
      <c r="C2733">
        <v>479.05</v>
      </c>
      <c r="D2733">
        <v>477</v>
      </c>
      <c r="E2733">
        <v>500.45</v>
      </c>
      <c r="F2733">
        <v>479.05</v>
      </c>
      <c r="G2733">
        <v>49731</v>
      </c>
      <c r="H2733" s="116"/>
      <c r="I2733" s="116"/>
      <c r="L2733" s="166">
        <v>46028</v>
      </c>
      <c r="M2733" s="116">
        <v>479.3</v>
      </c>
      <c r="N2733" s="116">
        <v>501</v>
      </c>
      <c r="O2733" s="116">
        <v>476.9</v>
      </c>
      <c r="P2733" s="116">
        <v>499.1</v>
      </c>
      <c r="Q2733" s="116">
        <v>479.3</v>
      </c>
      <c r="R2733">
        <v>448471</v>
      </c>
    </row>
    <row r="2734" spans="1:18" x14ac:dyDescent="0.25">
      <c r="A2734" s="166">
        <v>46029</v>
      </c>
      <c r="B2734">
        <v>524.70000000000005</v>
      </c>
      <c r="C2734">
        <v>517.6</v>
      </c>
      <c r="D2734">
        <v>480.65</v>
      </c>
      <c r="E2734">
        <v>482.85</v>
      </c>
      <c r="F2734">
        <v>517.6</v>
      </c>
      <c r="G2734">
        <v>808481</v>
      </c>
      <c r="H2734" s="116"/>
      <c r="I2734" s="116"/>
      <c r="L2734" s="166">
        <v>46029</v>
      </c>
      <c r="M2734" s="116">
        <v>517.85</v>
      </c>
      <c r="N2734" s="116">
        <v>524.5</v>
      </c>
      <c r="O2734" s="116">
        <v>480</v>
      </c>
      <c r="P2734" s="116">
        <v>480</v>
      </c>
      <c r="Q2734" s="116">
        <v>517.85</v>
      </c>
      <c r="R2734">
        <v>12148545</v>
      </c>
    </row>
    <row r="2735" spans="1:18" x14ac:dyDescent="0.25">
      <c r="A2735" s="166">
        <v>46030</v>
      </c>
      <c r="B2735">
        <v>531.65</v>
      </c>
      <c r="C2735">
        <v>502.5</v>
      </c>
      <c r="D2735">
        <v>497.5</v>
      </c>
      <c r="E2735">
        <v>522.04999999999995</v>
      </c>
      <c r="F2735">
        <v>502.5</v>
      </c>
      <c r="G2735">
        <v>131040</v>
      </c>
      <c r="H2735" s="116"/>
      <c r="I2735" s="116"/>
      <c r="L2735" s="166">
        <v>46030</v>
      </c>
      <c r="M2735" s="116">
        <v>503.35</v>
      </c>
      <c r="N2735" s="116">
        <v>533.20000000000005</v>
      </c>
      <c r="O2735" s="116">
        <v>497.2</v>
      </c>
      <c r="P2735" s="116">
        <v>520.95000000000005</v>
      </c>
      <c r="Q2735" s="116">
        <v>503.35</v>
      </c>
      <c r="R2735">
        <v>2418769</v>
      </c>
    </row>
    <row r="2736" spans="1:18" x14ac:dyDescent="0.25">
      <c r="A2736" s="166">
        <v>46031</v>
      </c>
      <c r="B2736">
        <v>456.05</v>
      </c>
      <c r="C2736">
        <v>423.15</v>
      </c>
      <c r="D2736">
        <v>415.3</v>
      </c>
      <c r="E2736">
        <v>435.8</v>
      </c>
      <c r="F2736">
        <v>423.15</v>
      </c>
      <c r="G2736">
        <v>626154</v>
      </c>
      <c r="H2736" s="116"/>
      <c r="I2736" s="116"/>
      <c r="L2736" s="166">
        <v>46031</v>
      </c>
      <c r="M2736" s="116">
        <v>423.55</v>
      </c>
      <c r="N2736" s="116">
        <v>457.8</v>
      </c>
      <c r="O2736" s="116">
        <v>415.05</v>
      </c>
      <c r="P2736" s="116">
        <v>449.35</v>
      </c>
      <c r="Q2736" s="116">
        <v>423.55</v>
      </c>
      <c r="R2736">
        <v>12333997</v>
      </c>
    </row>
    <row r="2737" spans="1:18" x14ac:dyDescent="0.25">
      <c r="A2737" s="166">
        <v>46034</v>
      </c>
      <c r="B2737">
        <v>425.65</v>
      </c>
      <c r="C2737">
        <v>410.25</v>
      </c>
      <c r="D2737">
        <v>395.25</v>
      </c>
      <c r="E2737">
        <v>423.45</v>
      </c>
      <c r="F2737">
        <v>410.25</v>
      </c>
      <c r="G2737">
        <v>243388</v>
      </c>
      <c r="H2737" s="116"/>
      <c r="I2737" s="116"/>
      <c r="L2737" s="166">
        <v>46034</v>
      </c>
      <c r="M2737" s="116">
        <v>409.9</v>
      </c>
      <c r="N2737" s="116">
        <v>426</v>
      </c>
      <c r="O2737" s="116">
        <v>395.35</v>
      </c>
      <c r="P2737" s="116">
        <v>421.6</v>
      </c>
      <c r="Q2737" s="116">
        <v>409.9</v>
      </c>
      <c r="R2737">
        <v>4308251</v>
      </c>
    </row>
    <row r="2738" spans="1:18" x14ac:dyDescent="0.25">
      <c r="A2738" s="166">
        <v>46035</v>
      </c>
      <c r="B2738">
        <v>423.05</v>
      </c>
      <c r="C2738">
        <v>399.9</v>
      </c>
      <c r="D2738">
        <v>396.95</v>
      </c>
      <c r="E2738">
        <v>415.6</v>
      </c>
      <c r="F2738">
        <v>399.9</v>
      </c>
      <c r="G2738">
        <v>155902</v>
      </c>
      <c r="H2738" s="116"/>
      <c r="I2738" s="116"/>
      <c r="L2738" s="166">
        <v>46035</v>
      </c>
      <c r="M2738" s="116">
        <v>400.6</v>
      </c>
      <c r="N2738" s="116">
        <v>422.8</v>
      </c>
      <c r="O2738" s="116">
        <v>397.5</v>
      </c>
      <c r="P2738" s="116">
        <v>416.85</v>
      </c>
      <c r="Q2738" s="116">
        <v>400.6</v>
      </c>
      <c r="R2738">
        <v>1760588</v>
      </c>
    </row>
    <row r="2739" spans="1:18" x14ac:dyDescent="0.25">
      <c r="A2739" s="166">
        <v>46036</v>
      </c>
      <c r="B2739">
        <v>405.05</v>
      </c>
      <c r="C2739">
        <v>396</v>
      </c>
      <c r="D2739">
        <v>392</v>
      </c>
      <c r="E2739">
        <v>400.55</v>
      </c>
      <c r="F2739">
        <v>396</v>
      </c>
      <c r="G2739">
        <v>40590</v>
      </c>
      <c r="H2739" s="116"/>
      <c r="I2739" s="116"/>
      <c r="L2739" s="166">
        <v>46036</v>
      </c>
      <c r="M2739" s="116">
        <v>395.95</v>
      </c>
      <c r="N2739" s="116">
        <v>405.35</v>
      </c>
      <c r="O2739" s="116">
        <v>391.95</v>
      </c>
      <c r="P2739" s="116">
        <v>401.95</v>
      </c>
      <c r="Q2739" s="116">
        <v>395.95</v>
      </c>
      <c r="R2739">
        <v>1105071</v>
      </c>
    </row>
    <row r="2740" spans="1:18" x14ac:dyDescent="0.25">
      <c r="A2740" s="166">
        <v>46038</v>
      </c>
      <c r="B2740">
        <v>397.55</v>
      </c>
      <c r="C2740">
        <v>391.9</v>
      </c>
      <c r="D2740">
        <v>387.3</v>
      </c>
      <c r="E2740">
        <v>397.1</v>
      </c>
      <c r="F2740">
        <v>391.9</v>
      </c>
      <c r="G2740">
        <v>87926</v>
      </c>
      <c r="H2740" s="116"/>
      <c r="I2740" s="116"/>
      <c r="L2740" s="166">
        <v>46038</v>
      </c>
      <c r="M2740" s="116">
        <v>391.9</v>
      </c>
      <c r="N2740" s="116">
        <v>398.35</v>
      </c>
      <c r="O2740" s="116">
        <v>387.25</v>
      </c>
      <c r="P2740" s="116">
        <v>396.05</v>
      </c>
      <c r="Q2740" s="116">
        <v>391.9</v>
      </c>
      <c r="R2740">
        <v>883582</v>
      </c>
    </row>
    <row r="2741" spans="1:18" x14ac:dyDescent="0.25">
      <c r="A2741" s="166">
        <v>46041</v>
      </c>
      <c r="B2741">
        <v>390</v>
      </c>
      <c r="C2741">
        <v>386.3</v>
      </c>
      <c r="D2741">
        <v>382.6</v>
      </c>
      <c r="E2741">
        <v>389.8</v>
      </c>
      <c r="F2741">
        <v>386.3</v>
      </c>
      <c r="G2741">
        <v>59685</v>
      </c>
      <c r="H2741" s="116"/>
      <c r="I2741" s="116"/>
      <c r="L2741" s="166">
        <v>46041</v>
      </c>
      <c r="M2741" s="116">
        <v>386.2</v>
      </c>
      <c r="N2741" s="116">
        <v>390.25</v>
      </c>
      <c r="O2741" s="116">
        <v>382.5</v>
      </c>
      <c r="P2741" s="116">
        <v>390</v>
      </c>
      <c r="Q2741" s="116">
        <v>386.2</v>
      </c>
      <c r="R2741">
        <v>463915</v>
      </c>
    </row>
    <row r="2742" spans="1:18" x14ac:dyDescent="0.25">
      <c r="A2742" s="166">
        <v>46042</v>
      </c>
      <c r="B2742">
        <v>387.9</v>
      </c>
      <c r="C2742">
        <v>374.95</v>
      </c>
      <c r="D2742">
        <v>372.65</v>
      </c>
      <c r="E2742">
        <v>387.9</v>
      </c>
      <c r="F2742">
        <v>374.95</v>
      </c>
      <c r="G2742">
        <v>83329</v>
      </c>
      <c r="H2742" s="116"/>
      <c r="I2742" s="116"/>
      <c r="L2742" s="166">
        <v>46042</v>
      </c>
      <c r="M2742" s="116">
        <v>375.1</v>
      </c>
      <c r="N2742" s="116">
        <v>387.6</v>
      </c>
      <c r="O2742" s="116">
        <v>372.5</v>
      </c>
      <c r="P2742" s="116">
        <v>386.05</v>
      </c>
      <c r="Q2742" s="116">
        <v>375.1</v>
      </c>
      <c r="R2742">
        <v>775633</v>
      </c>
    </row>
    <row r="2743" spans="1:18" x14ac:dyDescent="0.25">
      <c r="A2743" s="166">
        <v>46043</v>
      </c>
      <c r="B2743">
        <v>381.75</v>
      </c>
      <c r="C2743">
        <v>379.3</v>
      </c>
      <c r="D2743">
        <v>361.85</v>
      </c>
      <c r="E2743">
        <v>374</v>
      </c>
      <c r="F2743">
        <v>379.3</v>
      </c>
      <c r="G2743">
        <v>71446</v>
      </c>
      <c r="H2743" s="116"/>
      <c r="I2743" s="116"/>
      <c r="L2743" s="166">
        <v>46043</v>
      </c>
      <c r="M2743" s="116">
        <v>378.7</v>
      </c>
      <c r="N2743" s="116">
        <v>383</v>
      </c>
      <c r="O2743" s="116">
        <v>361.5</v>
      </c>
      <c r="P2743" s="116">
        <v>375.1</v>
      </c>
      <c r="Q2743" s="116">
        <v>378.7</v>
      </c>
      <c r="R2743">
        <v>1096767</v>
      </c>
    </row>
    <row r="2744" spans="1:18" x14ac:dyDescent="0.25">
      <c r="A2744" s="166">
        <v>46044</v>
      </c>
      <c r="B2744">
        <v>386</v>
      </c>
      <c r="C2744">
        <v>378.7</v>
      </c>
      <c r="D2744">
        <v>369.35</v>
      </c>
      <c r="E2744">
        <v>380.85</v>
      </c>
      <c r="F2744">
        <v>378.7</v>
      </c>
      <c r="G2744">
        <v>51855</v>
      </c>
      <c r="H2744" s="116"/>
      <c r="I2744" s="116"/>
      <c r="L2744" s="166">
        <v>46044</v>
      </c>
      <c r="M2744" s="116">
        <v>378.65</v>
      </c>
      <c r="N2744" s="116">
        <v>386.55</v>
      </c>
      <c r="O2744" s="116">
        <v>369.2</v>
      </c>
      <c r="P2744" s="116">
        <v>381.65</v>
      </c>
      <c r="Q2744" s="116">
        <v>378.65</v>
      </c>
      <c r="R2744">
        <v>524589</v>
      </c>
    </row>
    <row r="2745" spans="1:18" x14ac:dyDescent="0.25">
      <c r="A2745" s="166">
        <v>46045</v>
      </c>
      <c r="B2745">
        <v>384</v>
      </c>
      <c r="C2745">
        <v>374.95</v>
      </c>
      <c r="D2745">
        <v>369.35</v>
      </c>
      <c r="E2745">
        <v>384</v>
      </c>
      <c r="F2745">
        <v>374.95</v>
      </c>
      <c r="G2745">
        <v>28895</v>
      </c>
      <c r="H2745" s="116"/>
      <c r="I2745" s="116"/>
      <c r="L2745" s="166">
        <v>46045</v>
      </c>
      <c r="M2745" s="116">
        <v>375</v>
      </c>
      <c r="N2745" s="116">
        <v>381</v>
      </c>
      <c r="O2745" s="116">
        <v>369.3</v>
      </c>
      <c r="P2745" s="116">
        <v>380.3</v>
      </c>
      <c r="Q2745" s="116">
        <v>375</v>
      </c>
      <c r="R2745">
        <v>370363</v>
      </c>
    </row>
    <row r="2746" spans="1:18" x14ac:dyDescent="0.25">
      <c r="A2746" s="166">
        <v>46049</v>
      </c>
      <c r="B2746">
        <v>374.5</v>
      </c>
      <c r="C2746">
        <v>368.85</v>
      </c>
      <c r="D2746">
        <v>364</v>
      </c>
      <c r="E2746">
        <v>372.2</v>
      </c>
      <c r="F2746">
        <v>368.85</v>
      </c>
      <c r="G2746">
        <v>26850</v>
      </c>
      <c r="H2746" s="116"/>
      <c r="I2746" s="116"/>
      <c r="L2746" s="166">
        <v>46049</v>
      </c>
      <c r="M2746" s="116">
        <v>368.45</v>
      </c>
      <c r="N2746" s="116">
        <v>375.1</v>
      </c>
      <c r="O2746" s="116">
        <v>363.3</v>
      </c>
      <c r="P2746" s="116">
        <v>374.95</v>
      </c>
      <c r="Q2746" s="116">
        <v>368.45</v>
      </c>
      <c r="R2746">
        <v>447390</v>
      </c>
    </row>
    <row r="2747" spans="1:18" x14ac:dyDescent="0.25">
      <c r="A2747" s="166">
        <v>46050</v>
      </c>
      <c r="B2747">
        <v>391.5</v>
      </c>
      <c r="C2747">
        <v>389.2</v>
      </c>
      <c r="D2747">
        <v>369.85</v>
      </c>
      <c r="E2747">
        <v>370</v>
      </c>
      <c r="F2747">
        <v>389.2</v>
      </c>
      <c r="G2747">
        <v>57055</v>
      </c>
      <c r="H2747" s="116"/>
      <c r="I2747" s="116"/>
      <c r="L2747" s="166">
        <v>46050</v>
      </c>
      <c r="M2747" s="116">
        <v>389.5</v>
      </c>
      <c r="N2747" s="116">
        <v>391</v>
      </c>
      <c r="O2747" s="116">
        <v>369</v>
      </c>
      <c r="P2747" s="116">
        <v>369</v>
      </c>
      <c r="Q2747" s="116">
        <v>389.5</v>
      </c>
      <c r="R2747">
        <v>417521</v>
      </c>
    </row>
    <row r="2748" spans="1:18" x14ac:dyDescent="0.25">
      <c r="A2748" s="166">
        <v>46051</v>
      </c>
      <c r="B2748">
        <v>397.65</v>
      </c>
      <c r="C2748">
        <v>395</v>
      </c>
      <c r="D2748">
        <v>385.5</v>
      </c>
      <c r="E2748">
        <v>393.8</v>
      </c>
      <c r="F2748">
        <v>395</v>
      </c>
      <c r="G2748">
        <v>25665</v>
      </c>
      <c r="H2748" s="116"/>
      <c r="I2748" s="116"/>
      <c r="L2748" s="166">
        <v>46051</v>
      </c>
      <c r="M2748" s="116">
        <v>394.5</v>
      </c>
      <c r="N2748" s="116">
        <v>397.35</v>
      </c>
      <c r="O2748" s="116">
        <v>385.2</v>
      </c>
      <c r="P2748" s="116">
        <v>393</v>
      </c>
      <c r="Q2748" s="116">
        <v>394.5</v>
      </c>
      <c r="R2748">
        <v>421959</v>
      </c>
    </row>
    <row r="2749" spans="1:18" x14ac:dyDescent="0.25">
      <c r="A2749" s="166">
        <v>46052</v>
      </c>
      <c r="B2749">
        <v>415</v>
      </c>
      <c r="C2749">
        <v>408</v>
      </c>
      <c r="D2749">
        <v>391.8</v>
      </c>
      <c r="E2749">
        <v>394.95</v>
      </c>
      <c r="F2749">
        <v>408</v>
      </c>
      <c r="G2749">
        <v>53794</v>
      </c>
      <c r="H2749" s="116"/>
      <c r="I2749" s="116"/>
      <c r="L2749" s="166">
        <v>46052</v>
      </c>
      <c r="M2749" s="116">
        <v>408.1</v>
      </c>
      <c r="N2749" s="116">
        <v>415</v>
      </c>
      <c r="O2749" s="116">
        <v>392.2</v>
      </c>
      <c r="P2749" s="116">
        <v>394.5</v>
      </c>
      <c r="Q2749" s="116">
        <v>408.1</v>
      </c>
      <c r="R2749">
        <v>559920</v>
      </c>
    </row>
    <row r="2750" spans="1:18" x14ac:dyDescent="0.25">
      <c r="A2750" s="166">
        <v>46054</v>
      </c>
      <c r="B2750">
        <v>417</v>
      </c>
      <c r="C2750">
        <v>394.95</v>
      </c>
      <c r="D2750">
        <v>385</v>
      </c>
      <c r="E2750">
        <v>409.45</v>
      </c>
      <c r="F2750">
        <v>394.95</v>
      </c>
      <c r="G2750">
        <v>24837</v>
      </c>
      <c r="H2750" s="116"/>
      <c r="I2750" s="116"/>
      <c r="L2750" s="166">
        <v>46054</v>
      </c>
      <c r="M2750" s="116">
        <v>394.65</v>
      </c>
      <c r="N2750" s="116">
        <v>417.8</v>
      </c>
      <c r="O2750" s="116">
        <v>384.1</v>
      </c>
      <c r="P2750" s="116">
        <v>416</v>
      </c>
      <c r="Q2750" s="116">
        <v>394.65</v>
      </c>
      <c r="R2750">
        <v>367951</v>
      </c>
    </row>
    <row r="2751" spans="1:18" x14ac:dyDescent="0.25">
      <c r="A2751" s="166">
        <v>46055</v>
      </c>
      <c r="B2751">
        <v>404.8</v>
      </c>
      <c r="C2751">
        <v>401.7</v>
      </c>
      <c r="D2751">
        <v>389.2</v>
      </c>
      <c r="E2751">
        <v>391.95</v>
      </c>
      <c r="F2751">
        <v>401.7</v>
      </c>
      <c r="G2751">
        <v>33484</v>
      </c>
      <c r="H2751" s="116"/>
      <c r="I2751" s="116"/>
      <c r="L2751" s="166">
        <v>46055</v>
      </c>
      <c r="M2751" s="116">
        <v>401.7</v>
      </c>
      <c r="N2751" s="116">
        <v>404.9</v>
      </c>
      <c r="O2751" s="116">
        <v>389.8</v>
      </c>
      <c r="P2751" s="116">
        <v>394</v>
      </c>
      <c r="Q2751" s="116">
        <v>401.7</v>
      </c>
      <c r="R2751">
        <v>262809</v>
      </c>
    </row>
    <row r="2752" spans="1:18" x14ac:dyDescent="0.25">
      <c r="A2752" s="166">
        <v>46056</v>
      </c>
      <c r="B2752">
        <v>452.75</v>
      </c>
      <c r="C2752">
        <v>447.2</v>
      </c>
      <c r="D2752">
        <v>411.1</v>
      </c>
      <c r="E2752">
        <v>418.4</v>
      </c>
      <c r="F2752">
        <v>447.2</v>
      </c>
      <c r="G2752">
        <v>155176</v>
      </c>
      <c r="H2752" s="116"/>
      <c r="I2752" s="116"/>
      <c r="L2752" s="166">
        <v>46056</v>
      </c>
      <c r="M2752" s="116">
        <v>447.05</v>
      </c>
      <c r="N2752" s="116">
        <v>454</v>
      </c>
      <c r="O2752" s="116">
        <v>410.45</v>
      </c>
      <c r="P2752" s="116">
        <v>421</v>
      </c>
      <c r="Q2752" s="116">
        <v>447.05</v>
      </c>
      <c r="R2752">
        <v>1643650</v>
      </c>
    </row>
    <row r="2753" spans="1:18" x14ac:dyDescent="0.25">
      <c r="A2753" s="166">
        <v>46057</v>
      </c>
      <c r="B2753">
        <v>459.15</v>
      </c>
      <c r="C2753">
        <v>455.05</v>
      </c>
      <c r="D2753">
        <v>436</v>
      </c>
      <c r="E2753">
        <v>445</v>
      </c>
      <c r="F2753">
        <v>455.05</v>
      </c>
      <c r="G2753">
        <v>49641</v>
      </c>
      <c r="H2753" s="116"/>
      <c r="I2753" s="116"/>
      <c r="L2753" s="166">
        <v>46057</v>
      </c>
      <c r="M2753" s="116">
        <v>455.7</v>
      </c>
      <c r="N2753" s="116">
        <v>458.9</v>
      </c>
      <c r="O2753" s="116">
        <v>435.95</v>
      </c>
      <c r="P2753" s="116">
        <v>446.95</v>
      </c>
      <c r="Q2753" s="116">
        <v>455.7</v>
      </c>
      <c r="R2753">
        <v>541582</v>
      </c>
    </row>
    <row r="2754" spans="1:18" x14ac:dyDescent="0.25">
      <c r="A2754" s="166">
        <v>46058</v>
      </c>
      <c r="B2754">
        <v>455.45</v>
      </c>
      <c r="C2754">
        <v>437.95</v>
      </c>
      <c r="D2754">
        <v>433.15</v>
      </c>
      <c r="E2754">
        <v>455.45</v>
      </c>
      <c r="F2754">
        <v>437.95</v>
      </c>
      <c r="G2754">
        <v>11635</v>
      </c>
      <c r="H2754" s="116"/>
      <c r="I2754" s="116"/>
      <c r="L2754" s="166">
        <v>46058</v>
      </c>
      <c r="M2754" s="116">
        <v>438.5</v>
      </c>
      <c r="N2754" s="116">
        <v>456.4</v>
      </c>
      <c r="O2754" s="116">
        <v>433.3</v>
      </c>
      <c r="P2754" s="116">
        <v>456</v>
      </c>
      <c r="Q2754" s="116">
        <v>438.5</v>
      </c>
      <c r="R2754">
        <v>351394</v>
      </c>
    </row>
    <row r="2755" spans="1:18" x14ac:dyDescent="0.25">
      <c r="A2755" s="166">
        <v>46059</v>
      </c>
      <c r="B2755">
        <v>446.35</v>
      </c>
      <c r="C2755">
        <v>442.25</v>
      </c>
      <c r="D2755">
        <v>435.45</v>
      </c>
      <c r="E2755">
        <v>437.7</v>
      </c>
      <c r="F2755">
        <v>442.25</v>
      </c>
      <c r="G2755">
        <v>14213</v>
      </c>
      <c r="H2755" s="116"/>
      <c r="I2755" s="116"/>
      <c r="L2755" s="166">
        <v>46059</v>
      </c>
      <c r="M2755" s="116">
        <v>442.35</v>
      </c>
      <c r="N2755" s="116">
        <v>446.85</v>
      </c>
      <c r="O2755" s="116">
        <v>434</v>
      </c>
      <c r="P2755" s="116">
        <v>437</v>
      </c>
      <c r="Q2755" s="116">
        <v>442.35</v>
      </c>
      <c r="R2755">
        <v>246424</v>
      </c>
    </row>
    <row r="2756" spans="1:18" x14ac:dyDescent="0.25">
      <c r="A2756" s="166">
        <v>46062</v>
      </c>
      <c r="B2756">
        <v>491.05</v>
      </c>
      <c r="C2756">
        <v>479.85</v>
      </c>
      <c r="D2756">
        <v>444</v>
      </c>
      <c r="E2756">
        <v>449.8</v>
      </c>
      <c r="F2756">
        <v>479.85</v>
      </c>
      <c r="G2756">
        <v>88395</v>
      </c>
      <c r="H2756" s="116"/>
      <c r="I2756" s="116"/>
      <c r="L2756" s="166">
        <v>46062</v>
      </c>
      <c r="M2756" s="116">
        <v>480.05</v>
      </c>
      <c r="N2756" s="116">
        <v>491</v>
      </c>
      <c r="O2756" s="116">
        <v>444</v>
      </c>
      <c r="P2756" s="116">
        <v>444.85</v>
      </c>
      <c r="Q2756" s="116">
        <v>480.05</v>
      </c>
      <c r="R2756">
        <v>2408017</v>
      </c>
    </row>
    <row r="2757" spans="1:18" x14ac:dyDescent="0.25">
      <c r="A2757" s="166">
        <v>46063</v>
      </c>
      <c r="B2757">
        <v>493.95</v>
      </c>
      <c r="C2757">
        <v>467.95</v>
      </c>
      <c r="D2757">
        <v>465</v>
      </c>
      <c r="E2757">
        <v>480</v>
      </c>
      <c r="F2757">
        <v>467.95</v>
      </c>
      <c r="G2757">
        <v>33074</v>
      </c>
      <c r="H2757" s="116"/>
      <c r="I2757" s="116"/>
      <c r="L2757" s="166">
        <v>46063</v>
      </c>
      <c r="M2757" s="116">
        <v>469</v>
      </c>
      <c r="N2757" s="116">
        <v>494</v>
      </c>
      <c r="O2757" s="116">
        <v>466.1</v>
      </c>
      <c r="P2757" s="116">
        <v>480.05</v>
      </c>
      <c r="Q2757" s="116">
        <v>469</v>
      </c>
      <c r="R2757">
        <v>950278</v>
      </c>
    </row>
    <row r="2758" spans="1:18" x14ac:dyDescent="0.25">
      <c r="A2758" s="166">
        <v>46064</v>
      </c>
      <c r="B2758">
        <v>475</v>
      </c>
      <c r="C2758">
        <v>455.8</v>
      </c>
      <c r="D2758">
        <v>454</v>
      </c>
      <c r="E2758">
        <v>469.1</v>
      </c>
      <c r="F2758">
        <v>455.8</v>
      </c>
      <c r="G2758">
        <v>17952</v>
      </c>
      <c r="H2758" s="116"/>
      <c r="I2758" s="116"/>
      <c r="L2758" s="166">
        <v>46064</v>
      </c>
      <c r="M2758" s="116">
        <v>455.3</v>
      </c>
      <c r="N2758" s="116">
        <v>475</v>
      </c>
      <c r="O2758" s="116">
        <v>453</v>
      </c>
      <c r="P2758" s="116">
        <v>470.5</v>
      </c>
      <c r="Q2758" s="116">
        <v>455.3</v>
      </c>
      <c r="R2758">
        <v>383254</v>
      </c>
    </row>
    <row r="2759" spans="1:18" x14ac:dyDescent="0.25">
      <c r="A2759" s="166">
        <v>46065</v>
      </c>
      <c r="B2759">
        <v>462.95</v>
      </c>
      <c r="C2759">
        <v>444.5</v>
      </c>
      <c r="D2759">
        <v>442.35</v>
      </c>
      <c r="E2759">
        <v>456.05</v>
      </c>
      <c r="F2759">
        <v>444.5</v>
      </c>
      <c r="G2759">
        <v>33200</v>
      </c>
      <c r="H2759" s="116"/>
      <c r="I2759" s="116"/>
      <c r="L2759" s="166">
        <v>46065</v>
      </c>
      <c r="M2759" s="116">
        <v>444.7</v>
      </c>
      <c r="N2759" s="116">
        <v>463</v>
      </c>
      <c r="O2759" s="116">
        <v>442.7</v>
      </c>
      <c r="P2759" s="116">
        <v>457.5</v>
      </c>
      <c r="Q2759" s="116">
        <v>444.7</v>
      </c>
      <c r="R2759">
        <v>227881</v>
      </c>
    </row>
    <row r="2760" spans="1:18" x14ac:dyDescent="0.25">
      <c r="A2760" s="166">
        <v>46066</v>
      </c>
      <c r="B2760">
        <v>442.95</v>
      </c>
      <c r="C2760">
        <v>434.45</v>
      </c>
      <c r="D2760">
        <v>431.5</v>
      </c>
      <c r="E2760">
        <v>435.95</v>
      </c>
      <c r="F2760">
        <v>434.45</v>
      </c>
      <c r="G2760">
        <v>15661</v>
      </c>
      <c r="H2760" s="116"/>
      <c r="I2760" s="116"/>
      <c r="L2760" s="166">
        <v>46066</v>
      </c>
      <c r="M2760" s="116">
        <v>434.2</v>
      </c>
      <c r="N2760" s="116">
        <v>444.7</v>
      </c>
      <c r="O2760" s="116">
        <v>431.3</v>
      </c>
      <c r="P2760" s="116">
        <v>444.7</v>
      </c>
      <c r="Q2760" s="116">
        <v>434.2</v>
      </c>
      <c r="R2760">
        <v>191768</v>
      </c>
    </row>
    <row r="2761" spans="1:18" x14ac:dyDescent="0.25">
      <c r="A2761" s="166">
        <v>46069</v>
      </c>
      <c r="B2761">
        <v>441.1</v>
      </c>
      <c r="C2761">
        <v>433.85</v>
      </c>
      <c r="D2761">
        <v>427</v>
      </c>
      <c r="E2761">
        <v>430.05</v>
      </c>
      <c r="F2761">
        <v>433.85</v>
      </c>
      <c r="G2761">
        <v>33243</v>
      </c>
      <c r="H2761" s="116"/>
      <c r="I2761" s="116"/>
      <c r="L2761" s="166">
        <v>46069</v>
      </c>
      <c r="M2761" s="116">
        <v>434.45</v>
      </c>
      <c r="N2761" s="116">
        <v>441.3</v>
      </c>
      <c r="O2761" s="116">
        <v>426.95</v>
      </c>
      <c r="P2761" s="116">
        <v>434.2</v>
      </c>
      <c r="Q2761" s="116">
        <v>434.45</v>
      </c>
      <c r="R2761">
        <v>221878</v>
      </c>
    </row>
    <row r="2762" spans="1:18" x14ac:dyDescent="0.25">
      <c r="A2762" s="166">
        <v>46070</v>
      </c>
      <c r="B2762">
        <v>448</v>
      </c>
      <c r="C2762">
        <v>441.65</v>
      </c>
      <c r="D2762">
        <v>435.5</v>
      </c>
      <c r="E2762">
        <v>438.5</v>
      </c>
      <c r="F2762">
        <v>441.65</v>
      </c>
      <c r="G2762">
        <v>24840</v>
      </c>
      <c r="H2762" s="116"/>
      <c r="I2762" s="116"/>
      <c r="L2762" s="166">
        <v>46070</v>
      </c>
      <c r="M2762" s="116">
        <v>440.75</v>
      </c>
      <c r="N2762" s="116">
        <v>448.5</v>
      </c>
      <c r="O2762" s="116">
        <v>432.65</v>
      </c>
      <c r="P2762" s="116">
        <v>432.65</v>
      </c>
      <c r="Q2762" s="116">
        <v>440.75</v>
      </c>
      <c r="R2762">
        <v>200495</v>
      </c>
    </row>
    <row r="2763" spans="1:18" x14ac:dyDescent="0.25">
      <c r="A2763" s="166">
        <v>46071</v>
      </c>
      <c r="B2763">
        <v>444.25</v>
      </c>
      <c r="C2763">
        <v>439.5</v>
      </c>
      <c r="D2763">
        <v>436</v>
      </c>
      <c r="E2763">
        <v>441.65</v>
      </c>
      <c r="F2763">
        <v>439.5</v>
      </c>
      <c r="G2763">
        <v>29404</v>
      </c>
      <c r="H2763" s="116"/>
      <c r="I2763" s="116"/>
      <c r="L2763" s="166">
        <v>46071</v>
      </c>
      <c r="M2763" s="116">
        <v>439.1</v>
      </c>
      <c r="N2763" s="116">
        <v>444.2</v>
      </c>
      <c r="O2763" s="116">
        <v>436</v>
      </c>
      <c r="P2763" s="116">
        <v>443</v>
      </c>
      <c r="Q2763" s="116">
        <v>439.1</v>
      </c>
      <c r="R2763">
        <v>185210</v>
      </c>
    </row>
    <row r="2764" spans="1:18" x14ac:dyDescent="0.25">
      <c r="A2764" s="166">
        <v>46072</v>
      </c>
      <c r="B2764">
        <v>445.45</v>
      </c>
      <c r="C2764">
        <v>425.85</v>
      </c>
      <c r="D2764">
        <v>422.1</v>
      </c>
      <c r="E2764">
        <v>439.5</v>
      </c>
      <c r="F2764">
        <v>425.85</v>
      </c>
      <c r="G2764">
        <v>28120</v>
      </c>
      <c r="H2764" s="116"/>
      <c r="I2764" s="116"/>
      <c r="L2764" s="166">
        <v>46072</v>
      </c>
      <c r="M2764" s="116">
        <v>424.95</v>
      </c>
      <c r="N2764" s="116">
        <v>445</v>
      </c>
      <c r="O2764" s="116">
        <v>422.35</v>
      </c>
      <c r="P2764" s="116">
        <v>439.1</v>
      </c>
      <c r="Q2764" s="116">
        <v>424.95</v>
      </c>
      <c r="R2764">
        <v>198484</v>
      </c>
    </row>
    <row r="2765" spans="1:18" x14ac:dyDescent="0.25">
      <c r="A2765" s="166">
        <v>46073</v>
      </c>
      <c r="B2765">
        <v>430</v>
      </c>
      <c r="C2765">
        <v>423.6</v>
      </c>
      <c r="D2765">
        <v>416.25</v>
      </c>
      <c r="E2765">
        <v>423.45</v>
      </c>
      <c r="F2765">
        <v>423.6</v>
      </c>
      <c r="G2765">
        <v>17989</v>
      </c>
      <c r="H2765" s="116"/>
      <c r="I2765" s="116"/>
      <c r="L2765" s="166">
        <v>46073</v>
      </c>
      <c r="M2765" s="116">
        <v>421.3</v>
      </c>
      <c r="N2765" s="116">
        <v>430.5</v>
      </c>
      <c r="O2765" s="116">
        <v>412.1</v>
      </c>
      <c r="P2765" s="116">
        <v>424.95</v>
      </c>
      <c r="Q2765" s="116">
        <v>421.3</v>
      </c>
      <c r="R2765">
        <v>143012</v>
      </c>
    </row>
    <row r="2766" spans="1:18" x14ac:dyDescent="0.25">
      <c r="A2766" s="166">
        <v>46076</v>
      </c>
      <c r="B2766">
        <v>430.3</v>
      </c>
      <c r="C2766">
        <v>425.85</v>
      </c>
      <c r="D2766">
        <v>422.9</v>
      </c>
      <c r="E2766">
        <v>429.65</v>
      </c>
      <c r="F2766">
        <v>425.85</v>
      </c>
      <c r="G2766">
        <v>15560</v>
      </c>
      <c r="H2766" s="116"/>
      <c r="I2766" s="116"/>
      <c r="L2766" s="166">
        <v>46076</v>
      </c>
      <c r="M2766" s="116">
        <v>426.35</v>
      </c>
      <c r="N2766" s="116">
        <v>431.8</v>
      </c>
      <c r="O2766" s="116">
        <v>423</v>
      </c>
      <c r="P2766" s="116">
        <v>423.05</v>
      </c>
      <c r="Q2766" s="116">
        <v>426.35</v>
      </c>
      <c r="R2766">
        <v>166681</v>
      </c>
    </row>
    <row r="2767" spans="1:18" x14ac:dyDescent="0.25">
      <c r="A2767" s="166">
        <v>46077</v>
      </c>
      <c r="B2767">
        <v>431.65</v>
      </c>
      <c r="C2767">
        <v>419.55</v>
      </c>
      <c r="D2767">
        <v>416.85</v>
      </c>
      <c r="E2767">
        <v>421.05</v>
      </c>
      <c r="F2767">
        <v>419.55</v>
      </c>
      <c r="G2767">
        <v>12925</v>
      </c>
      <c r="H2767" s="116"/>
      <c r="I2767" s="116"/>
      <c r="L2767" s="166">
        <v>46077</v>
      </c>
      <c r="M2767" s="116">
        <v>419.7</v>
      </c>
      <c r="N2767" s="116">
        <v>431.8</v>
      </c>
      <c r="O2767" s="116">
        <v>416.5</v>
      </c>
      <c r="P2767" s="116">
        <v>426.4</v>
      </c>
      <c r="Q2767" s="116">
        <v>419.7</v>
      </c>
      <c r="R2767">
        <v>235468</v>
      </c>
    </row>
    <row r="2768" spans="1:18" x14ac:dyDescent="0.25">
      <c r="A2768" s="166">
        <v>46078</v>
      </c>
      <c r="B2768">
        <v>427.85</v>
      </c>
      <c r="C2768">
        <v>423.1</v>
      </c>
      <c r="D2768">
        <v>416.3</v>
      </c>
      <c r="E2768">
        <v>416.3</v>
      </c>
      <c r="F2768">
        <v>423.1</v>
      </c>
      <c r="G2768">
        <v>19992</v>
      </c>
      <c r="H2768" s="116"/>
      <c r="I2768" s="116"/>
      <c r="L2768" s="166">
        <v>46078</v>
      </c>
      <c r="M2768" s="116">
        <v>423.15</v>
      </c>
      <c r="N2768" s="116">
        <v>427.95</v>
      </c>
      <c r="O2768" s="116">
        <v>417.25</v>
      </c>
      <c r="P2768" s="116">
        <v>421</v>
      </c>
      <c r="Q2768" s="116">
        <v>423.15</v>
      </c>
      <c r="R2768">
        <v>168987</v>
      </c>
    </row>
    <row r="2769" spans="1:18" x14ac:dyDescent="0.25">
      <c r="A2769" s="166">
        <v>46079</v>
      </c>
      <c r="B2769">
        <v>430.45</v>
      </c>
      <c r="C2769">
        <v>423.25</v>
      </c>
      <c r="D2769">
        <v>419.4</v>
      </c>
      <c r="E2769">
        <v>421.3</v>
      </c>
      <c r="F2769">
        <v>423.25</v>
      </c>
      <c r="G2769">
        <v>16995</v>
      </c>
      <c r="H2769" s="116"/>
      <c r="I2769" s="116"/>
      <c r="L2769" s="166">
        <v>46079</v>
      </c>
      <c r="M2769" s="116">
        <v>423.55</v>
      </c>
      <c r="N2769" s="116">
        <v>430.9</v>
      </c>
      <c r="O2769" s="116">
        <v>419.3</v>
      </c>
      <c r="P2769" s="116">
        <v>422.9</v>
      </c>
      <c r="Q2769" s="116">
        <v>423.55</v>
      </c>
      <c r="R2769">
        <v>120546</v>
      </c>
    </row>
    <row r="2770" spans="1:18" x14ac:dyDescent="0.25">
      <c r="A2770" s="166">
        <v>46080</v>
      </c>
      <c r="B2770">
        <v>429.95</v>
      </c>
      <c r="C2770">
        <v>416.05</v>
      </c>
      <c r="D2770">
        <v>413.25</v>
      </c>
      <c r="E2770">
        <v>429.95</v>
      </c>
      <c r="F2770">
        <v>416.05</v>
      </c>
      <c r="G2770">
        <v>17345</v>
      </c>
      <c r="H2770" s="116"/>
      <c r="I2770" s="116"/>
      <c r="L2770" s="166">
        <v>46080</v>
      </c>
      <c r="M2770" s="116">
        <v>415.85</v>
      </c>
      <c r="N2770" s="116">
        <v>426.7</v>
      </c>
      <c r="O2770" s="116">
        <v>413.3</v>
      </c>
      <c r="P2770" s="116">
        <v>423.35</v>
      </c>
      <c r="Q2770" s="116">
        <v>415.85</v>
      </c>
      <c r="R2770">
        <v>178733</v>
      </c>
    </row>
    <row r="2771" spans="1:18" x14ac:dyDescent="0.25">
      <c r="A2771" s="166">
        <v>46083</v>
      </c>
      <c r="B2771">
        <v>416.65</v>
      </c>
      <c r="C2771">
        <v>405.85</v>
      </c>
      <c r="D2771">
        <v>391.9</v>
      </c>
      <c r="E2771">
        <v>391.95</v>
      </c>
      <c r="F2771">
        <v>405.85</v>
      </c>
      <c r="G2771">
        <v>55860</v>
      </c>
      <c r="H2771" s="116"/>
      <c r="I2771" s="116"/>
      <c r="L2771" s="166">
        <v>46083</v>
      </c>
      <c r="M2771" s="116">
        <v>406</v>
      </c>
      <c r="N2771" s="116">
        <v>416.5</v>
      </c>
      <c r="O2771" s="116">
        <v>393</v>
      </c>
      <c r="P2771" s="116">
        <v>397</v>
      </c>
      <c r="Q2771" s="116">
        <v>406</v>
      </c>
      <c r="R2771">
        <v>336982</v>
      </c>
    </row>
    <row r="2772" spans="1:18" x14ac:dyDescent="0.25">
      <c r="A2772" s="166">
        <v>46085</v>
      </c>
      <c r="B2772">
        <v>411.35</v>
      </c>
      <c r="C2772">
        <v>392.6</v>
      </c>
      <c r="D2772">
        <v>389.15</v>
      </c>
      <c r="E2772">
        <v>411.35</v>
      </c>
      <c r="F2772">
        <v>392.6</v>
      </c>
      <c r="G2772">
        <v>29583</v>
      </c>
      <c r="H2772" s="116"/>
      <c r="I2772" s="116"/>
      <c r="L2772" s="166">
        <v>46085</v>
      </c>
      <c r="M2772" s="116">
        <v>392.4</v>
      </c>
      <c r="N2772" s="116">
        <v>403</v>
      </c>
      <c r="O2772" s="116">
        <v>388.95</v>
      </c>
      <c r="P2772" s="116">
        <v>402.45</v>
      </c>
      <c r="Q2772" s="116">
        <v>392.4</v>
      </c>
      <c r="R2772">
        <v>274014</v>
      </c>
    </row>
    <row r="2773" spans="1:18" x14ac:dyDescent="0.25">
      <c r="A2773" s="166">
        <v>46086</v>
      </c>
      <c r="B2773">
        <v>403</v>
      </c>
      <c r="C2773">
        <v>400.2</v>
      </c>
      <c r="D2773">
        <v>389.2</v>
      </c>
      <c r="E2773">
        <v>397.3</v>
      </c>
      <c r="F2773">
        <v>400.2</v>
      </c>
      <c r="G2773">
        <v>27806</v>
      </c>
      <c r="H2773" s="116"/>
      <c r="I2773" s="116"/>
      <c r="L2773" s="166">
        <v>46086</v>
      </c>
      <c r="M2773" s="116">
        <v>399.9</v>
      </c>
      <c r="N2773" s="116">
        <v>403.4</v>
      </c>
      <c r="O2773" s="116">
        <v>389.25</v>
      </c>
      <c r="P2773" s="116">
        <v>394.15</v>
      </c>
      <c r="Q2773" s="116">
        <v>399.9</v>
      </c>
      <c r="R2773">
        <v>214729</v>
      </c>
    </row>
    <row r="2774" spans="1:18" x14ac:dyDescent="0.25">
      <c r="A2774" s="166">
        <v>46087</v>
      </c>
      <c r="B2774">
        <v>435.55</v>
      </c>
      <c r="C2774">
        <v>410.05</v>
      </c>
      <c r="D2774">
        <v>395.45</v>
      </c>
      <c r="E2774">
        <v>395.45</v>
      </c>
      <c r="F2774">
        <v>410.05</v>
      </c>
      <c r="G2774">
        <v>80192</v>
      </c>
      <c r="H2774" s="116"/>
      <c r="I2774" s="116"/>
      <c r="L2774" s="166">
        <v>46087</v>
      </c>
      <c r="M2774" s="116">
        <v>410.15</v>
      </c>
      <c r="N2774" s="116">
        <v>436</v>
      </c>
      <c r="O2774" s="116">
        <v>397.4</v>
      </c>
      <c r="P2774" s="116">
        <v>400</v>
      </c>
      <c r="Q2774" s="116">
        <v>410.15</v>
      </c>
      <c r="R2774">
        <v>1836415</v>
      </c>
    </row>
    <row r="2775" spans="1:18" x14ac:dyDescent="0.25">
      <c r="A2775" s="166">
        <v>46090</v>
      </c>
      <c r="B2775">
        <v>409.9</v>
      </c>
      <c r="C2775">
        <v>406.1</v>
      </c>
      <c r="D2775">
        <v>391.1</v>
      </c>
      <c r="E2775">
        <v>403.5</v>
      </c>
      <c r="F2775">
        <v>406.1</v>
      </c>
      <c r="G2775">
        <v>31371</v>
      </c>
      <c r="H2775" s="116"/>
      <c r="I2775" s="116"/>
      <c r="L2775" s="166">
        <v>46090</v>
      </c>
      <c r="M2775" s="116">
        <v>405.45</v>
      </c>
      <c r="N2775" s="116">
        <v>408.6</v>
      </c>
      <c r="O2775" s="116">
        <v>390.5</v>
      </c>
      <c r="P2775" s="116">
        <v>400</v>
      </c>
      <c r="Q2775" s="116">
        <v>405.45</v>
      </c>
      <c r="R2775">
        <v>298962</v>
      </c>
    </row>
    <row r="2776" spans="1:18" x14ac:dyDescent="0.25">
      <c r="A2776" s="166">
        <v>46091</v>
      </c>
      <c r="B2776">
        <v>412.5</v>
      </c>
      <c r="C2776">
        <v>402.1</v>
      </c>
      <c r="D2776">
        <v>400.2</v>
      </c>
      <c r="E2776">
        <v>409.95</v>
      </c>
      <c r="F2776">
        <v>402.1</v>
      </c>
      <c r="G2776">
        <v>38264</v>
      </c>
      <c r="H2776" s="116"/>
      <c r="I2776" s="116"/>
      <c r="L2776" s="166">
        <v>46091</v>
      </c>
      <c r="M2776" s="116">
        <v>401.95</v>
      </c>
      <c r="N2776" s="116">
        <v>424</v>
      </c>
      <c r="O2776" s="116">
        <v>399.35</v>
      </c>
      <c r="P2776" s="116">
        <v>411</v>
      </c>
      <c r="Q2776" s="116">
        <v>401.95</v>
      </c>
      <c r="R2776">
        <v>348163</v>
      </c>
    </row>
    <row r="2777" spans="1:18" x14ac:dyDescent="0.25">
      <c r="A2777" s="166">
        <v>46092</v>
      </c>
      <c r="B2777">
        <v>408.8</v>
      </c>
      <c r="C2777">
        <v>401.7</v>
      </c>
      <c r="D2777">
        <v>398.1</v>
      </c>
      <c r="E2777">
        <v>406</v>
      </c>
      <c r="F2777">
        <v>401.7</v>
      </c>
      <c r="G2777">
        <v>34180</v>
      </c>
      <c r="H2777" s="116"/>
      <c r="I2777" s="116"/>
      <c r="L2777" s="166">
        <v>46092</v>
      </c>
      <c r="M2777" s="116">
        <v>401.3</v>
      </c>
      <c r="N2777" s="116">
        <v>408.8</v>
      </c>
      <c r="O2777" s="116">
        <v>398</v>
      </c>
      <c r="P2777" s="116">
        <v>402.6</v>
      </c>
      <c r="Q2777" s="116">
        <v>401.3</v>
      </c>
      <c r="R2777">
        <v>206347</v>
      </c>
    </row>
    <row r="2778" spans="1:18" x14ac:dyDescent="0.25">
      <c r="A2778" s="166">
        <v>46093</v>
      </c>
      <c r="B2778">
        <v>402.95</v>
      </c>
      <c r="C2778">
        <v>390.6</v>
      </c>
      <c r="D2778">
        <v>384.25</v>
      </c>
      <c r="E2778">
        <v>402.95</v>
      </c>
      <c r="F2778">
        <v>390.6</v>
      </c>
      <c r="G2778">
        <v>47581</v>
      </c>
      <c r="H2778" s="116"/>
      <c r="I2778" s="116"/>
      <c r="L2778" s="166">
        <v>46093</v>
      </c>
      <c r="M2778" s="116">
        <v>391</v>
      </c>
      <c r="N2778" s="116">
        <v>398.75</v>
      </c>
      <c r="O2778" s="116">
        <v>384.5</v>
      </c>
      <c r="P2778" s="116">
        <v>395</v>
      </c>
      <c r="Q2778" s="116">
        <v>391</v>
      </c>
      <c r="R2778">
        <v>481045</v>
      </c>
    </row>
    <row r="2779" spans="1:18" x14ac:dyDescent="0.25">
      <c r="A2779" s="166">
        <v>46094</v>
      </c>
      <c r="B2779">
        <v>392.8</v>
      </c>
      <c r="C2779">
        <v>380</v>
      </c>
      <c r="D2779">
        <v>375</v>
      </c>
      <c r="E2779">
        <v>390</v>
      </c>
      <c r="F2779">
        <v>380</v>
      </c>
      <c r="G2779">
        <v>42576</v>
      </c>
      <c r="H2779" s="116"/>
      <c r="I2779" s="116"/>
      <c r="L2779" s="166">
        <v>46094</v>
      </c>
      <c r="M2779" s="116">
        <v>380.65</v>
      </c>
      <c r="N2779" s="116">
        <v>392.95</v>
      </c>
      <c r="O2779" s="116">
        <v>374.85</v>
      </c>
      <c r="P2779" s="116">
        <v>390</v>
      </c>
      <c r="Q2779" s="116">
        <v>380.65</v>
      </c>
      <c r="R2779">
        <v>417893</v>
      </c>
    </row>
    <row r="2780" spans="1:18" x14ac:dyDescent="0.25">
      <c r="A2780" s="166">
        <v>46097</v>
      </c>
      <c r="B2780">
        <v>381.25</v>
      </c>
      <c r="C2780">
        <v>376.4</v>
      </c>
      <c r="D2780">
        <v>366.6</v>
      </c>
      <c r="E2780">
        <v>381.25</v>
      </c>
      <c r="F2780">
        <v>376.4</v>
      </c>
      <c r="G2780">
        <v>537576</v>
      </c>
      <c r="H2780" s="116"/>
      <c r="I2780" s="116"/>
      <c r="L2780" s="166">
        <v>46097</v>
      </c>
      <c r="M2780" s="116">
        <v>375.65</v>
      </c>
      <c r="N2780" s="116">
        <v>380.7</v>
      </c>
      <c r="O2780" s="116">
        <v>366.3</v>
      </c>
      <c r="P2780" s="116">
        <v>380</v>
      </c>
      <c r="Q2780" s="116">
        <v>375.65</v>
      </c>
      <c r="R2780">
        <v>345882</v>
      </c>
    </row>
    <row r="2781" spans="1:18" x14ac:dyDescent="0.25">
      <c r="A2781" s="166">
        <v>46098</v>
      </c>
      <c r="B2781">
        <v>394</v>
      </c>
      <c r="C2781">
        <v>382.7</v>
      </c>
      <c r="D2781">
        <v>372.4</v>
      </c>
      <c r="E2781">
        <v>377.4</v>
      </c>
      <c r="F2781">
        <v>382.7</v>
      </c>
      <c r="G2781">
        <v>59764</v>
      </c>
      <c r="H2781" s="116"/>
      <c r="I2781" s="116"/>
      <c r="L2781" s="166">
        <v>46098</v>
      </c>
      <c r="M2781" s="116">
        <v>382.8</v>
      </c>
      <c r="N2781" s="116">
        <v>394.5</v>
      </c>
      <c r="O2781" s="116">
        <v>372.15</v>
      </c>
      <c r="P2781" s="116">
        <v>376.5</v>
      </c>
      <c r="Q2781" s="116">
        <v>382.8</v>
      </c>
      <c r="R2781">
        <v>564438</v>
      </c>
    </row>
    <row r="2782" spans="1:18" x14ac:dyDescent="0.25">
      <c r="A2782" s="166">
        <v>46099</v>
      </c>
      <c r="B2782">
        <v>415.05</v>
      </c>
      <c r="C2782">
        <v>398</v>
      </c>
      <c r="D2782">
        <v>384</v>
      </c>
      <c r="E2782">
        <v>388.95</v>
      </c>
      <c r="F2782">
        <v>398</v>
      </c>
      <c r="G2782">
        <v>47716</v>
      </c>
      <c r="H2782" s="116"/>
      <c r="I2782" s="116"/>
      <c r="L2782" s="166">
        <v>46099</v>
      </c>
      <c r="M2782" s="116">
        <v>397.75</v>
      </c>
      <c r="N2782" s="116">
        <v>416</v>
      </c>
      <c r="O2782" s="116">
        <v>383.05</v>
      </c>
      <c r="P2782" s="116">
        <v>383.05</v>
      </c>
      <c r="Q2782" s="116">
        <v>397.75</v>
      </c>
      <c r="R2782">
        <v>601580</v>
      </c>
    </row>
    <row r="2783" spans="1:18" x14ac:dyDescent="0.25">
      <c r="A2783" s="166">
        <v>46100</v>
      </c>
      <c r="B2783">
        <v>393.05</v>
      </c>
      <c r="C2783">
        <v>381.8</v>
      </c>
      <c r="D2783">
        <v>381</v>
      </c>
      <c r="E2783">
        <v>391</v>
      </c>
      <c r="F2783">
        <v>381.8</v>
      </c>
      <c r="G2783">
        <v>54555</v>
      </c>
      <c r="H2783" s="116"/>
      <c r="I2783" s="116"/>
      <c r="L2783" s="166">
        <v>46100</v>
      </c>
      <c r="M2783" s="116">
        <v>383.35</v>
      </c>
      <c r="N2783" s="116">
        <v>393.45</v>
      </c>
      <c r="O2783" s="116">
        <v>380.75</v>
      </c>
      <c r="P2783" s="116">
        <v>391.75</v>
      </c>
      <c r="Q2783" s="116">
        <v>383.35</v>
      </c>
      <c r="R2783">
        <v>544917</v>
      </c>
    </row>
    <row r="2784" spans="1:18" x14ac:dyDescent="0.25">
      <c r="A2784" s="166">
        <v>46101</v>
      </c>
      <c r="B2784">
        <v>404.8</v>
      </c>
      <c r="C2784">
        <v>391.85</v>
      </c>
      <c r="D2784">
        <v>387</v>
      </c>
      <c r="E2784">
        <v>387</v>
      </c>
      <c r="F2784">
        <v>391.85</v>
      </c>
      <c r="G2784">
        <v>290580</v>
      </c>
      <c r="H2784" s="116"/>
      <c r="I2784" s="116"/>
      <c r="L2784" s="166">
        <v>46101</v>
      </c>
      <c r="M2784" s="116">
        <v>389.85</v>
      </c>
      <c r="N2784" s="116">
        <v>404.75</v>
      </c>
      <c r="O2784" s="116">
        <v>387.15</v>
      </c>
      <c r="P2784" s="116">
        <v>387.95</v>
      </c>
      <c r="Q2784" s="116">
        <v>389.85</v>
      </c>
      <c r="R2784">
        <v>829289</v>
      </c>
    </row>
    <row r="2785" spans="1:18" x14ac:dyDescent="0.25">
      <c r="A2785" s="166">
        <v>46104</v>
      </c>
      <c r="B2785">
        <v>385</v>
      </c>
      <c r="C2785">
        <v>379.05</v>
      </c>
      <c r="D2785">
        <v>372.5</v>
      </c>
      <c r="E2785">
        <v>383</v>
      </c>
      <c r="F2785">
        <v>379.05</v>
      </c>
      <c r="G2785">
        <v>553676</v>
      </c>
      <c r="H2785" s="116"/>
      <c r="I2785" s="116"/>
      <c r="L2785" s="166">
        <v>46104</v>
      </c>
      <c r="M2785" s="116">
        <v>379.05</v>
      </c>
      <c r="N2785" s="116">
        <v>388.85</v>
      </c>
      <c r="O2785" s="116">
        <v>372.5</v>
      </c>
      <c r="P2785" s="116">
        <v>388.85</v>
      </c>
      <c r="Q2785" s="116">
        <v>379.05</v>
      </c>
      <c r="R2785">
        <v>416909</v>
      </c>
    </row>
    <row r="2786" spans="1:18" x14ac:dyDescent="0.25">
      <c r="A2786" s="166">
        <v>46105</v>
      </c>
      <c r="B2786">
        <v>394.8</v>
      </c>
      <c r="C2786">
        <v>384.75</v>
      </c>
      <c r="D2786">
        <v>373.15</v>
      </c>
      <c r="E2786">
        <v>393.85</v>
      </c>
      <c r="F2786">
        <v>384.75</v>
      </c>
      <c r="G2786">
        <v>63696</v>
      </c>
      <c r="H2786" s="116"/>
      <c r="I2786" s="116"/>
      <c r="L2786" s="166">
        <v>46105</v>
      </c>
      <c r="M2786" s="116">
        <v>384.55</v>
      </c>
      <c r="N2786" s="116">
        <v>393</v>
      </c>
      <c r="O2786" s="116">
        <v>373.15</v>
      </c>
      <c r="P2786" s="116">
        <v>390.75</v>
      </c>
      <c r="Q2786" s="116">
        <v>384.55</v>
      </c>
      <c r="R2786">
        <v>509541</v>
      </c>
    </row>
    <row r="2787" spans="1:18" x14ac:dyDescent="0.25">
      <c r="A2787" s="166">
        <v>46106</v>
      </c>
      <c r="B2787">
        <v>397.55</v>
      </c>
      <c r="C2787">
        <v>387.35</v>
      </c>
      <c r="D2787">
        <v>386.3</v>
      </c>
      <c r="E2787">
        <v>391.15</v>
      </c>
      <c r="F2787">
        <v>387.35</v>
      </c>
      <c r="G2787">
        <v>63866</v>
      </c>
      <c r="H2787" s="116"/>
      <c r="I2787" s="116"/>
      <c r="L2787" s="166">
        <v>46106</v>
      </c>
      <c r="M2787" s="116">
        <v>387.25</v>
      </c>
      <c r="N2787" s="116">
        <v>397.8</v>
      </c>
      <c r="O2787" s="116">
        <v>386</v>
      </c>
      <c r="P2787" s="116">
        <v>390.4</v>
      </c>
      <c r="Q2787" s="116">
        <v>387.25</v>
      </c>
      <c r="R2787">
        <v>459413</v>
      </c>
    </row>
    <row r="2788" spans="1:18" x14ac:dyDescent="0.25">
      <c r="A2788" s="166">
        <v>46108</v>
      </c>
      <c r="B2788">
        <v>387.35</v>
      </c>
      <c r="C2788">
        <v>372.1</v>
      </c>
      <c r="D2788">
        <v>370</v>
      </c>
      <c r="E2788">
        <v>386.7</v>
      </c>
      <c r="F2788">
        <v>372.1</v>
      </c>
      <c r="G2788">
        <v>79268</v>
      </c>
      <c r="H2788" s="116"/>
      <c r="I2788" s="116"/>
      <c r="L2788" s="166">
        <v>46108</v>
      </c>
      <c r="M2788" s="116">
        <v>372.3</v>
      </c>
      <c r="N2788" s="116">
        <v>386.75</v>
      </c>
      <c r="O2788" s="116">
        <v>370.1</v>
      </c>
      <c r="P2788" s="116">
        <v>386</v>
      </c>
      <c r="Q2788" s="116">
        <v>372.3</v>
      </c>
      <c r="R2788">
        <v>525878</v>
      </c>
    </row>
    <row r="2789" spans="1:18" x14ac:dyDescent="0.25">
      <c r="A2789" s="166">
        <v>46111</v>
      </c>
      <c r="B2789">
        <v>371.5</v>
      </c>
      <c r="C2789">
        <v>354.75</v>
      </c>
      <c r="D2789">
        <v>352</v>
      </c>
      <c r="E2789">
        <v>371.5</v>
      </c>
      <c r="F2789">
        <v>354.75</v>
      </c>
      <c r="G2789">
        <v>45537</v>
      </c>
      <c r="H2789" s="116"/>
      <c r="I2789" s="116"/>
      <c r="L2789" s="166">
        <v>46111</v>
      </c>
      <c r="M2789" s="116">
        <v>354.75</v>
      </c>
      <c r="N2789" s="116">
        <v>370</v>
      </c>
      <c r="O2789" s="116">
        <v>352</v>
      </c>
      <c r="P2789" s="116">
        <v>370</v>
      </c>
      <c r="Q2789" s="116">
        <v>354.75</v>
      </c>
      <c r="R2789">
        <v>586379</v>
      </c>
    </row>
    <row r="2790" spans="1:18" x14ac:dyDescent="0.25">
      <c r="A2790" s="166">
        <v>46113</v>
      </c>
      <c r="B2790">
        <v>387.3</v>
      </c>
      <c r="C2790">
        <v>381.3</v>
      </c>
      <c r="D2790">
        <v>367.3</v>
      </c>
      <c r="E2790">
        <v>367.7</v>
      </c>
      <c r="F2790">
        <v>381.3</v>
      </c>
      <c r="G2790">
        <v>41956</v>
      </c>
      <c r="H2790" s="116"/>
      <c r="I2790" s="116"/>
      <c r="L2790" s="166">
        <v>46113</v>
      </c>
      <c r="M2790" s="116">
        <v>381.35</v>
      </c>
      <c r="N2790" s="116">
        <v>387.65</v>
      </c>
      <c r="O2790" s="116">
        <v>367.15</v>
      </c>
      <c r="P2790" s="116">
        <v>367.95</v>
      </c>
      <c r="Q2790" s="116">
        <v>381.35</v>
      </c>
      <c r="R2790">
        <v>587693</v>
      </c>
    </row>
    <row r="2791" spans="1:18" x14ac:dyDescent="0.25">
      <c r="A2791" s="166">
        <v>46114</v>
      </c>
      <c r="B2791">
        <v>389.8</v>
      </c>
      <c r="C2791">
        <v>388.7</v>
      </c>
      <c r="D2791">
        <v>367.85</v>
      </c>
      <c r="E2791">
        <v>381.05</v>
      </c>
      <c r="F2791">
        <v>388.7</v>
      </c>
      <c r="G2791">
        <v>26853</v>
      </c>
      <c r="H2791" s="116"/>
      <c r="I2791" s="116"/>
      <c r="L2791" s="166">
        <v>46114</v>
      </c>
      <c r="M2791" s="116">
        <v>388.15</v>
      </c>
      <c r="N2791" s="116">
        <v>389.65</v>
      </c>
      <c r="O2791" s="116">
        <v>367.5</v>
      </c>
      <c r="P2791" s="116">
        <v>377</v>
      </c>
      <c r="Q2791" s="116">
        <v>388.15</v>
      </c>
      <c r="R2791">
        <v>422165</v>
      </c>
    </row>
    <row r="2792" spans="1:18" x14ac:dyDescent="0.25">
      <c r="A2792" s="166">
        <v>46118</v>
      </c>
      <c r="B2792">
        <v>395.8</v>
      </c>
      <c r="C2792">
        <v>392.05</v>
      </c>
      <c r="D2792">
        <v>381.05</v>
      </c>
      <c r="E2792">
        <v>384.65</v>
      </c>
      <c r="F2792">
        <v>392.05</v>
      </c>
      <c r="G2792">
        <v>36846</v>
      </c>
      <c r="H2792" s="116"/>
      <c r="I2792" s="116"/>
      <c r="L2792" s="166">
        <v>46118</v>
      </c>
      <c r="M2792" s="116">
        <v>391.6</v>
      </c>
      <c r="N2792" s="116">
        <v>395.55</v>
      </c>
      <c r="O2792" s="116">
        <v>381</v>
      </c>
      <c r="P2792" s="116">
        <v>388.15</v>
      </c>
      <c r="Q2792" s="116">
        <v>391.6</v>
      </c>
      <c r="R2792">
        <v>375805</v>
      </c>
    </row>
    <row r="2793" spans="1:18" x14ac:dyDescent="0.25">
      <c r="A2793" s="166">
        <v>46119</v>
      </c>
      <c r="B2793">
        <v>396.15</v>
      </c>
      <c r="C2793">
        <v>395.15</v>
      </c>
      <c r="D2793">
        <v>384.9</v>
      </c>
      <c r="E2793">
        <v>385.85</v>
      </c>
      <c r="F2793">
        <v>395.15</v>
      </c>
      <c r="G2793">
        <v>26792</v>
      </c>
      <c r="H2793" s="116"/>
      <c r="I2793" s="116"/>
      <c r="L2793" s="166">
        <v>46119</v>
      </c>
      <c r="M2793" s="116">
        <v>394.95</v>
      </c>
      <c r="N2793" s="116">
        <v>395.95</v>
      </c>
      <c r="O2793" s="116">
        <v>385.05</v>
      </c>
      <c r="P2793" s="116">
        <v>390</v>
      </c>
      <c r="Q2793" s="116">
        <v>394.95</v>
      </c>
      <c r="R2793">
        <v>246511</v>
      </c>
    </row>
    <row r="2794" spans="1:18" x14ac:dyDescent="0.25">
      <c r="A2794" s="166">
        <v>46120</v>
      </c>
      <c r="B2794">
        <v>424.65</v>
      </c>
      <c r="C2794">
        <v>419.4</v>
      </c>
      <c r="D2794">
        <v>404.05</v>
      </c>
      <c r="E2794">
        <v>410.2</v>
      </c>
      <c r="F2794">
        <v>419.4</v>
      </c>
      <c r="G2794">
        <v>72693</v>
      </c>
      <c r="H2794" s="116"/>
      <c r="I2794" s="116"/>
      <c r="L2794" s="166">
        <v>46120</v>
      </c>
      <c r="M2794" s="116">
        <v>419.6</v>
      </c>
      <c r="N2794" s="116">
        <v>424.6</v>
      </c>
      <c r="O2794" s="116">
        <v>403.1</v>
      </c>
      <c r="P2794" s="116">
        <v>411.4</v>
      </c>
      <c r="Q2794" s="116">
        <v>419.6</v>
      </c>
      <c r="R2794">
        <v>741690</v>
      </c>
    </row>
    <row r="2795" spans="1:18" x14ac:dyDescent="0.25">
      <c r="A2795" s="166">
        <v>46121</v>
      </c>
      <c r="B2795">
        <v>431.2</v>
      </c>
      <c r="C2795">
        <v>425.9</v>
      </c>
      <c r="D2795">
        <v>420.4</v>
      </c>
      <c r="E2795">
        <v>425.65</v>
      </c>
      <c r="F2795">
        <v>425.9</v>
      </c>
      <c r="G2795">
        <v>34746</v>
      </c>
      <c r="H2795" s="116"/>
      <c r="I2795" s="116"/>
      <c r="L2795" s="166">
        <v>46121</v>
      </c>
      <c r="M2795" s="116">
        <v>425.85</v>
      </c>
      <c r="N2795" s="116">
        <v>431.3</v>
      </c>
      <c r="O2795" s="116">
        <v>420.25</v>
      </c>
      <c r="P2795" s="116">
        <v>423.5</v>
      </c>
      <c r="Q2795" s="116">
        <v>425.85</v>
      </c>
      <c r="R2795">
        <v>575764</v>
      </c>
    </row>
    <row r="2796" spans="1:18" x14ac:dyDescent="0.25">
      <c r="A2796" s="166">
        <v>46122</v>
      </c>
      <c r="B2796">
        <v>435.65</v>
      </c>
      <c r="C2796">
        <v>419.55</v>
      </c>
      <c r="D2796">
        <v>414.8</v>
      </c>
      <c r="E2796">
        <v>432.25</v>
      </c>
      <c r="F2796">
        <v>419.55</v>
      </c>
      <c r="G2796">
        <v>85823</v>
      </c>
      <c r="H2796" s="116"/>
      <c r="I2796" s="116"/>
      <c r="L2796" s="166">
        <v>46122</v>
      </c>
      <c r="M2796" s="116">
        <v>419.5</v>
      </c>
      <c r="N2796" s="116">
        <v>435.5</v>
      </c>
      <c r="O2796" s="116">
        <v>414.5</v>
      </c>
      <c r="P2796" s="116">
        <v>430</v>
      </c>
      <c r="Q2796" s="116">
        <v>419.5</v>
      </c>
      <c r="R2796">
        <v>1024193</v>
      </c>
    </row>
    <row r="2797" spans="1:18" x14ac:dyDescent="0.25">
      <c r="A2797" s="166">
        <v>46125</v>
      </c>
      <c r="B2797">
        <v>421.2</v>
      </c>
      <c r="C2797">
        <v>414.6</v>
      </c>
      <c r="D2797">
        <v>406.25</v>
      </c>
      <c r="E2797">
        <v>412.55</v>
      </c>
      <c r="F2797">
        <v>414.6</v>
      </c>
      <c r="G2797">
        <v>50182</v>
      </c>
      <c r="H2797" s="116"/>
      <c r="I2797" s="116"/>
      <c r="L2797" s="166">
        <v>46125</v>
      </c>
      <c r="M2797" s="116">
        <v>414.75</v>
      </c>
      <c r="N2797" s="116">
        <v>421.4</v>
      </c>
      <c r="O2797" s="116">
        <v>406.5</v>
      </c>
      <c r="P2797" s="116">
        <v>413</v>
      </c>
      <c r="Q2797" s="116">
        <v>414.75</v>
      </c>
      <c r="R2797">
        <v>524333</v>
      </c>
    </row>
    <row r="2798" spans="1:18" x14ac:dyDescent="0.25">
      <c r="A2798" s="166">
        <v>46127</v>
      </c>
      <c r="B2798">
        <v>431.75</v>
      </c>
      <c r="C2798">
        <v>413.25</v>
      </c>
      <c r="D2798">
        <v>400.8</v>
      </c>
      <c r="E2798">
        <v>423.9</v>
      </c>
      <c r="F2798">
        <v>413.25</v>
      </c>
      <c r="G2798">
        <v>140860</v>
      </c>
      <c r="H2798" s="116"/>
      <c r="I2798" s="116"/>
      <c r="L2798" s="166">
        <v>46127</v>
      </c>
      <c r="M2798" s="116">
        <v>412.85</v>
      </c>
      <c r="N2798" s="116">
        <v>432.4</v>
      </c>
      <c r="O2798" s="116">
        <v>400.5</v>
      </c>
      <c r="P2798" s="116">
        <v>421.95</v>
      </c>
      <c r="Q2798" s="116">
        <v>412.85</v>
      </c>
      <c r="R2798">
        <v>2614306</v>
      </c>
    </row>
    <row r="2799" spans="1:18" x14ac:dyDescent="0.25">
      <c r="A2799" s="166">
        <v>46128</v>
      </c>
      <c r="B2799">
        <v>421.3</v>
      </c>
      <c r="C2799">
        <v>406.75</v>
      </c>
      <c r="D2799">
        <v>403.5</v>
      </c>
      <c r="E2799">
        <v>410.85</v>
      </c>
      <c r="F2799">
        <v>406.75</v>
      </c>
      <c r="G2799">
        <v>101787</v>
      </c>
      <c r="H2799" s="116"/>
      <c r="I2799" s="116"/>
      <c r="L2799" s="166">
        <v>46128</v>
      </c>
      <c r="M2799" s="116">
        <v>406.25</v>
      </c>
      <c r="N2799" s="116">
        <v>421.75</v>
      </c>
      <c r="O2799" s="116">
        <v>403</v>
      </c>
      <c r="P2799" s="116">
        <v>410</v>
      </c>
      <c r="Q2799" s="116">
        <v>406.25</v>
      </c>
      <c r="R2799">
        <v>963584</v>
      </c>
    </row>
    <row r="2800" spans="1:18" x14ac:dyDescent="0.25">
      <c r="A2800" s="166">
        <v>46129</v>
      </c>
      <c r="B2800">
        <v>415</v>
      </c>
      <c r="C2800">
        <v>412.8</v>
      </c>
      <c r="D2800">
        <v>405</v>
      </c>
      <c r="E2800">
        <v>408.2</v>
      </c>
      <c r="F2800">
        <v>412.8</v>
      </c>
      <c r="G2800">
        <v>96784</v>
      </c>
      <c r="H2800" s="116"/>
      <c r="I2800" s="116"/>
      <c r="L2800" s="166">
        <v>46129</v>
      </c>
      <c r="M2800" s="116">
        <v>412.75</v>
      </c>
      <c r="N2800" s="116">
        <v>415.2</v>
      </c>
      <c r="O2800" s="116">
        <v>405.4</v>
      </c>
      <c r="P2800" s="116">
        <v>409.5</v>
      </c>
      <c r="Q2800" s="116">
        <v>412.75</v>
      </c>
      <c r="R2800">
        <v>720780</v>
      </c>
    </row>
    <row r="2801" spans="1:18" x14ac:dyDescent="0.25">
      <c r="A2801" s="166">
        <v>46132</v>
      </c>
      <c r="B2801">
        <v>441.4</v>
      </c>
      <c r="C2801">
        <v>436.45</v>
      </c>
      <c r="D2801">
        <v>405.65</v>
      </c>
      <c r="E2801">
        <v>409.95</v>
      </c>
      <c r="F2801">
        <v>436.45</v>
      </c>
      <c r="G2801">
        <v>127098</v>
      </c>
      <c r="H2801" s="116"/>
      <c r="I2801" s="116"/>
      <c r="L2801" s="166">
        <v>46132</v>
      </c>
      <c r="M2801" s="116">
        <v>435.55</v>
      </c>
      <c r="N2801" s="116">
        <v>441.9</v>
      </c>
      <c r="O2801" s="116">
        <v>405.8</v>
      </c>
      <c r="P2801" s="116">
        <v>414.95</v>
      </c>
      <c r="Q2801" s="116">
        <v>435.55</v>
      </c>
      <c r="R2801">
        <v>1595370</v>
      </c>
    </row>
    <row r="2802" spans="1:18" x14ac:dyDescent="0.25">
      <c r="A2802" s="166">
        <v>46133</v>
      </c>
      <c r="B2802">
        <v>482.45</v>
      </c>
      <c r="C2802">
        <v>471.85</v>
      </c>
      <c r="D2802">
        <v>436</v>
      </c>
      <c r="E2802">
        <v>436</v>
      </c>
      <c r="F2802">
        <v>471.85</v>
      </c>
      <c r="G2802">
        <v>305718</v>
      </c>
      <c r="H2802" s="116"/>
      <c r="I2802" s="116"/>
      <c r="L2802" s="166">
        <v>46133</v>
      </c>
      <c r="M2802" s="116">
        <v>471.55</v>
      </c>
      <c r="N2802" s="116">
        <v>483</v>
      </c>
      <c r="O2802" s="116">
        <v>435.55</v>
      </c>
      <c r="P2802" s="116">
        <v>437</v>
      </c>
      <c r="Q2802" s="116">
        <v>471.55</v>
      </c>
      <c r="R2802">
        <v>6312582</v>
      </c>
    </row>
    <row r="2803" spans="1:18" x14ac:dyDescent="0.25">
      <c r="A2803" s="166">
        <v>46134</v>
      </c>
      <c r="B2803">
        <v>510.95</v>
      </c>
      <c r="C2803">
        <v>504.35</v>
      </c>
      <c r="D2803">
        <v>464</v>
      </c>
      <c r="E2803">
        <v>465.6</v>
      </c>
      <c r="F2803">
        <v>504.35</v>
      </c>
      <c r="G2803">
        <v>195846</v>
      </c>
      <c r="H2803" s="116"/>
      <c r="I2803" s="116"/>
      <c r="L2803" s="166">
        <v>46134</v>
      </c>
      <c r="M2803" s="116">
        <v>504.1</v>
      </c>
      <c r="N2803" s="116">
        <v>511</v>
      </c>
      <c r="O2803" s="116">
        <v>464.15</v>
      </c>
      <c r="P2803" s="116">
        <v>467.8</v>
      </c>
      <c r="Q2803" s="116">
        <v>504.1</v>
      </c>
      <c r="R2803">
        <v>2483381</v>
      </c>
    </row>
    <row r="2804" spans="1:18" x14ac:dyDescent="0.25">
      <c r="A2804" s="166">
        <v>46135</v>
      </c>
      <c r="B2804">
        <v>524.4</v>
      </c>
      <c r="C2804">
        <v>512.45000000000005</v>
      </c>
      <c r="D2804">
        <v>498.7</v>
      </c>
      <c r="E2804">
        <v>506</v>
      </c>
      <c r="F2804">
        <v>512.45000000000005</v>
      </c>
      <c r="G2804">
        <v>204747</v>
      </c>
      <c r="H2804" s="116"/>
      <c r="I2804" s="116"/>
      <c r="L2804" s="166">
        <v>46135</v>
      </c>
      <c r="M2804" s="116">
        <v>512.75</v>
      </c>
      <c r="N2804" s="116">
        <v>524.45000000000005</v>
      </c>
      <c r="O2804" s="116">
        <v>498.8</v>
      </c>
      <c r="P2804" s="116">
        <v>505</v>
      </c>
      <c r="Q2804" s="116">
        <v>512.75</v>
      </c>
      <c r="R2804">
        <v>2285489</v>
      </c>
    </row>
    <row r="2805" spans="1:18" x14ac:dyDescent="0.25">
      <c r="A2805" s="166">
        <v>46136</v>
      </c>
      <c r="B2805">
        <v>516.29999999999995</v>
      </c>
      <c r="C2805">
        <v>512.1</v>
      </c>
      <c r="D2805">
        <v>497.1</v>
      </c>
      <c r="E2805">
        <v>514.29999999999995</v>
      </c>
      <c r="F2805">
        <v>512.1</v>
      </c>
      <c r="G2805">
        <v>58789</v>
      </c>
      <c r="H2805" s="116"/>
      <c r="I2805" s="116"/>
      <c r="L2805" s="166">
        <v>46136</v>
      </c>
      <c r="M2805" s="116">
        <v>512.75</v>
      </c>
      <c r="N2805" s="116">
        <v>516.35</v>
      </c>
      <c r="O2805" s="116">
        <v>496.55</v>
      </c>
      <c r="P2805" s="116">
        <v>512.04999999999995</v>
      </c>
      <c r="Q2805" s="116">
        <v>512.75</v>
      </c>
      <c r="R2805">
        <v>990609</v>
      </c>
    </row>
    <row r="2806" spans="1:18" x14ac:dyDescent="0.25">
      <c r="A2806" s="166">
        <v>46139</v>
      </c>
      <c r="B2806">
        <v>521.79999999999995</v>
      </c>
      <c r="C2806">
        <v>498.15</v>
      </c>
      <c r="D2806">
        <v>496</v>
      </c>
      <c r="E2806">
        <v>515.95000000000005</v>
      </c>
      <c r="F2806">
        <v>498.15</v>
      </c>
      <c r="G2806">
        <v>45655</v>
      </c>
      <c r="H2806" s="116"/>
      <c r="I2806" s="116"/>
      <c r="L2806" s="166">
        <v>46139</v>
      </c>
      <c r="M2806" s="116">
        <v>497.45</v>
      </c>
      <c r="N2806" s="116">
        <v>520.79999999999995</v>
      </c>
      <c r="O2806" s="116">
        <v>495</v>
      </c>
      <c r="P2806" s="116">
        <v>515.1</v>
      </c>
      <c r="Q2806" s="116">
        <v>497.45</v>
      </c>
      <c r="R2806">
        <v>465052</v>
      </c>
    </row>
    <row r="2807" spans="1:18" x14ac:dyDescent="0.25">
      <c r="A2807" s="166">
        <v>46140</v>
      </c>
      <c r="B2807">
        <v>501.35</v>
      </c>
      <c r="C2807">
        <v>479.5</v>
      </c>
      <c r="D2807">
        <v>476.2</v>
      </c>
      <c r="E2807">
        <v>495.25</v>
      </c>
      <c r="F2807">
        <v>479.5</v>
      </c>
      <c r="G2807">
        <v>55151</v>
      </c>
      <c r="H2807" s="116"/>
      <c r="I2807" s="116"/>
      <c r="L2807" s="166">
        <v>46140</v>
      </c>
      <c r="M2807" s="116">
        <v>479.2</v>
      </c>
      <c r="N2807" s="116">
        <v>501.55</v>
      </c>
      <c r="O2807" s="116">
        <v>475.9</v>
      </c>
      <c r="P2807" s="116">
        <v>497.4</v>
      </c>
      <c r="Q2807" s="116">
        <v>479.2</v>
      </c>
      <c r="R2807">
        <v>617942</v>
      </c>
    </row>
    <row r="2808" spans="1:18" x14ac:dyDescent="0.25">
      <c r="A2808" s="166">
        <v>46141</v>
      </c>
      <c r="B2808">
        <v>494.95</v>
      </c>
      <c r="C2808">
        <v>490.65</v>
      </c>
      <c r="D2808">
        <v>472.1</v>
      </c>
      <c r="E2808">
        <v>478.45</v>
      </c>
      <c r="F2808">
        <v>490.65</v>
      </c>
      <c r="G2808">
        <v>56660</v>
      </c>
      <c r="H2808" s="116"/>
      <c r="I2808" s="116"/>
      <c r="L2808" s="166">
        <v>46141</v>
      </c>
      <c r="M2808" s="116">
        <v>488.25</v>
      </c>
      <c r="N2808" s="116">
        <v>494.9</v>
      </c>
      <c r="O2808" s="116">
        <v>472.2</v>
      </c>
      <c r="P2808" s="116">
        <v>481.6</v>
      </c>
      <c r="Q2808" s="116">
        <v>488.25</v>
      </c>
      <c r="R2808">
        <v>1213202</v>
      </c>
    </row>
    <row r="2809" spans="1:18" x14ac:dyDescent="0.25">
      <c r="A2809" s="166">
        <v>46142</v>
      </c>
      <c r="B2809">
        <v>509.5</v>
      </c>
      <c r="C2809">
        <v>507.05</v>
      </c>
      <c r="D2809">
        <v>480.85</v>
      </c>
      <c r="E2809">
        <v>485.55</v>
      </c>
      <c r="F2809">
        <v>507.05</v>
      </c>
      <c r="G2809">
        <v>59568</v>
      </c>
      <c r="H2809" s="116"/>
      <c r="I2809" s="116"/>
      <c r="L2809" s="166">
        <v>46142</v>
      </c>
      <c r="M2809" s="116">
        <v>506.65</v>
      </c>
      <c r="N2809" s="116">
        <v>509.6</v>
      </c>
      <c r="O2809" s="116">
        <v>481.3</v>
      </c>
      <c r="P2809" s="116">
        <v>487</v>
      </c>
      <c r="Q2809" s="116">
        <v>506.65</v>
      </c>
      <c r="R2809">
        <v>783278</v>
      </c>
    </row>
    <row r="2810" spans="1:18" x14ac:dyDescent="0.25">
      <c r="A2810" s="166">
        <v>46146</v>
      </c>
      <c r="B2810">
        <v>528.4</v>
      </c>
      <c r="C2810">
        <v>525.4</v>
      </c>
      <c r="D2810">
        <v>501.55</v>
      </c>
      <c r="E2810">
        <v>507.75</v>
      </c>
      <c r="F2810">
        <v>525.4</v>
      </c>
      <c r="G2810">
        <v>82394</v>
      </c>
      <c r="H2810" s="116"/>
      <c r="I2810" s="116"/>
      <c r="L2810" s="166">
        <v>46146</v>
      </c>
      <c r="M2810" s="116">
        <v>525.65</v>
      </c>
      <c r="N2810" s="116">
        <v>528.70000000000005</v>
      </c>
      <c r="O2810" s="116">
        <v>501.2</v>
      </c>
      <c r="P2810" s="116">
        <v>512</v>
      </c>
      <c r="Q2810" s="116">
        <v>525.65</v>
      </c>
      <c r="R2810">
        <v>677646</v>
      </c>
    </row>
    <row r="2811" spans="1:18" x14ac:dyDescent="0.25">
      <c r="A2811" s="166">
        <v>46147</v>
      </c>
      <c r="B2811">
        <v>532.79999999999995</v>
      </c>
      <c r="C2811">
        <v>529.25</v>
      </c>
      <c r="D2811">
        <v>519.70000000000005</v>
      </c>
      <c r="E2811">
        <v>524.29999999999995</v>
      </c>
      <c r="F2811">
        <v>529.25</v>
      </c>
      <c r="G2811">
        <v>30129</v>
      </c>
      <c r="H2811" s="116"/>
      <c r="I2811" s="116"/>
      <c r="L2811" s="166">
        <v>46147</v>
      </c>
      <c r="M2811" s="116">
        <v>529.20000000000005</v>
      </c>
      <c r="N2811" s="116">
        <v>533</v>
      </c>
      <c r="O2811" s="116">
        <v>518.9</v>
      </c>
      <c r="P2811" s="116">
        <v>523.70000000000005</v>
      </c>
      <c r="Q2811" s="116">
        <v>529.20000000000005</v>
      </c>
      <c r="R2811">
        <v>532737</v>
      </c>
    </row>
    <row r="2812" spans="1:18" x14ac:dyDescent="0.25">
      <c r="A2812" s="166">
        <v>46148</v>
      </c>
      <c r="B2812">
        <v>579.25</v>
      </c>
      <c r="C2812">
        <v>556.70000000000005</v>
      </c>
      <c r="D2812">
        <v>532.79999999999995</v>
      </c>
      <c r="E2812">
        <v>532.79999999999995</v>
      </c>
      <c r="F2812">
        <v>556.70000000000005</v>
      </c>
      <c r="G2812">
        <v>271759</v>
      </c>
      <c r="H2812" s="116"/>
      <c r="I2812" s="116"/>
      <c r="L2812" s="166">
        <v>46148</v>
      </c>
      <c r="M2812" s="116">
        <v>557.65</v>
      </c>
      <c r="N2812" s="116">
        <v>579</v>
      </c>
      <c r="O2812" s="116">
        <v>534</v>
      </c>
      <c r="P2812" s="116">
        <v>534</v>
      </c>
      <c r="Q2812" s="116">
        <v>557.65</v>
      </c>
      <c r="R2812">
        <v>4498290</v>
      </c>
    </row>
    <row r="2813" spans="1:18" x14ac:dyDescent="0.25">
      <c r="A2813" s="166">
        <v>46149</v>
      </c>
      <c r="B2813">
        <v>575</v>
      </c>
      <c r="C2813">
        <v>562.5</v>
      </c>
      <c r="D2813">
        <v>559.9</v>
      </c>
      <c r="E2813">
        <v>559.9</v>
      </c>
      <c r="F2813">
        <v>562.5</v>
      </c>
      <c r="G2813">
        <v>190193</v>
      </c>
      <c r="H2813" s="116"/>
      <c r="I2813" s="116"/>
      <c r="L2813" s="166">
        <v>46149</v>
      </c>
      <c r="M2813" s="116">
        <v>562.65</v>
      </c>
      <c r="N2813" s="116">
        <v>574.9</v>
      </c>
      <c r="O2813" s="116">
        <v>560</v>
      </c>
      <c r="P2813" s="116">
        <v>560.5</v>
      </c>
      <c r="Q2813" s="116">
        <v>562.65</v>
      </c>
      <c r="R2813">
        <v>869625</v>
      </c>
    </row>
    <row r="2814" spans="1:18" x14ac:dyDescent="0.25">
      <c r="A2814" s="166">
        <v>46150</v>
      </c>
      <c r="B2814">
        <v>566.5</v>
      </c>
      <c r="C2814">
        <v>558.65</v>
      </c>
      <c r="D2814">
        <v>554.29999999999995</v>
      </c>
      <c r="E2814">
        <v>566.5</v>
      </c>
      <c r="F2814">
        <v>558.65</v>
      </c>
      <c r="G2814">
        <v>27840</v>
      </c>
      <c r="H2814" s="116"/>
      <c r="I2814" s="116"/>
      <c r="L2814" s="166">
        <v>46150</v>
      </c>
      <c r="M2814" s="116">
        <v>557.65</v>
      </c>
      <c r="N2814" s="116">
        <v>566.85</v>
      </c>
      <c r="O2814" s="116">
        <v>554.04999999999995</v>
      </c>
      <c r="P2814" s="116">
        <v>564.1</v>
      </c>
      <c r="Q2814" s="116">
        <v>557.65</v>
      </c>
      <c r="R2814">
        <v>809818</v>
      </c>
    </row>
    <row r="2815" spans="1:18" x14ac:dyDescent="0.25">
      <c r="A2815" s="166">
        <v>46153</v>
      </c>
      <c r="B2815">
        <v>550</v>
      </c>
      <c r="C2815">
        <v>529.5</v>
      </c>
      <c r="D2815">
        <v>523.54999999999995</v>
      </c>
      <c r="E2815">
        <v>543.04999999999995</v>
      </c>
      <c r="F2815">
        <v>529.5</v>
      </c>
      <c r="G2815">
        <v>97006</v>
      </c>
      <c r="H2815" s="116"/>
      <c r="I2815" s="116"/>
      <c r="L2815" s="166">
        <v>46153</v>
      </c>
      <c r="M2815" s="116">
        <v>529.25</v>
      </c>
      <c r="N2815" s="116">
        <v>555</v>
      </c>
      <c r="O2815" s="116">
        <v>523.79999999999995</v>
      </c>
      <c r="P2815" s="116">
        <v>555</v>
      </c>
      <c r="Q2815" s="116">
        <v>529.25</v>
      </c>
      <c r="R2815">
        <v>624178</v>
      </c>
    </row>
    <row r="2816" spans="1:18" x14ac:dyDescent="0.25">
      <c r="A2816" s="166">
        <v>46154</v>
      </c>
      <c r="B2816">
        <v>530.70000000000005</v>
      </c>
      <c r="C2816">
        <v>501.3</v>
      </c>
      <c r="D2816">
        <v>499.6</v>
      </c>
      <c r="E2816">
        <v>526.20000000000005</v>
      </c>
      <c r="F2816">
        <v>501.3</v>
      </c>
      <c r="G2816">
        <v>79737</v>
      </c>
      <c r="H2816" s="116"/>
      <c r="I2816" s="116"/>
      <c r="L2816" s="166">
        <v>46154</v>
      </c>
      <c r="M2816" s="116">
        <v>502</v>
      </c>
      <c r="N2816" s="116">
        <v>531.6</v>
      </c>
      <c r="O2816" s="116">
        <v>500</v>
      </c>
      <c r="P2816" s="116">
        <v>528</v>
      </c>
      <c r="Q2816" s="116">
        <v>502</v>
      </c>
      <c r="R2816">
        <v>631023</v>
      </c>
    </row>
    <row r="2817" spans="1:18" x14ac:dyDescent="0.25">
      <c r="A2817" s="166">
        <v>46155</v>
      </c>
      <c r="B2817">
        <v>512.5</v>
      </c>
      <c r="C2817">
        <v>505.5</v>
      </c>
      <c r="D2817">
        <v>493.05</v>
      </c>
      <c r="E2817">
        <v>496</v>
      </c>
      <c r="F2817">
        <v>505.5</v>
      </c>
      <c r="G2817">
        <v>29658</v>
      </c>
      <c r="H2817" s="116"/>
      <c r="I2817" s="116"/>
      <c r="L2817" s="166">
        <v>46155</v>
      </c>
      <c r="M2817" s="116">
        <v>505.8</v>
      </c>
      <c r="N2817" s="116">
        <v>512.85</v>
      </c>
      <c r="O2817" s="116">
        <v>491.7</v>
      </c>
      <c r="P2817" s="116">
        <v>491.7</v>
      </c>
      <c r="Q2817" s="116">
        <v>505.8</v>
      </c>
      <c r="R2817">
        <v>385205</v>
      </c>
    </row>
    <row r="2818" spans="1:18" x14ac:dyDescent="0.25">
      <c r="A2818" s="166">
        <v>46156</v>
      </c>
      <c r="B2818">
        <v>513.70000000000005</v>
      </c>
      <c r="C2818">
        <v>498.7</v>
      </c>
      <c r="D2818">
        <v>488</v>
      </c>
      <c r="E2818">
        <v>507</v>
      </c>
      <c r="F2818">
        <v>498.7</v>
      </c>
      <c r="G2818">
        <v>24166</v>
      </c>
      <c r="H2818" s="116"/>
      <c r="I2818" s="116"/>
      <c r="L2818" s="166">
        <v>46156</v>
      </c>
      <c r="M2818" s="116">
        <v>499</v>
      </c>
      <c r="N2818" s="116">
        <v>512.15</v>
      </c>
      <c r="O2818" s="116">
        <v>488</v>
      </c>
      <c r="P2818" s="116">
        <v>510.85</v>
      </c>
      <c r="Q2818" s="116">
        <v>499</v>
      </c>
      <c r="R2818">
        <v>423133</v>
      </c>
    </row>
    <row r="2819" spans="1:18" x14ac:dyDescent="0.25">
      <c r="A2819" s="166">
        <v>46157</v>
      </c>
      <c r="B2819">
        <v>506.5</v>
      </c>
      <c r="C2819">
        <v>484.6</v>
      </c>
      <c r="D2819">
        <v>482.45</v>
      </c>
      <c r="E2819">
        <v>506.5</v>
      </c>
      <c r="F2819">
        <v>484.6</v>
      </c>
      <c r="G2819">
        <v>18884</v>
      </c>
      <c r="H2819" s="116"/>
      <c r="I2819" s="116"/>
      <c r="L2819" s="166">
        <v>46157</v>
      </c>
      <c r="M2819" s="116">
        <v>484.85</v>
      </c>
      <c r="N2819" s="116">
        <v>498.6</v>
      </c>
      <c r="O2819" s="116">
        <v>482.3</v>
      </c>
      <c r="P2819" s="116">
        <v>498</v>
      </c>
      <c r="Q2819" s="116">
        <v>484.85</v>
      </c>
      <c r="R2819">
        <v>291589</v>
      </c>
    </row>
    <row r="2820" spans="1:18" x14ac:dyDescent="0.25">
      <c r="A2820" s="166">
        <v>46160</v>
      </c>
      <c r="B2820">
        <v>486.65</v>
      </c>
      <c r="C2820">
        <v>483.4</v>
      </c>
      <c r="D2820">
        <v>470</v>
      </c>
      <c r="E2820">
        <v>479.9</v>
      </c>
      <c r="F2820">
        <v>483.4</v>
      </c>
      <c r="G2820">
        <v>21004</v>
      </c>
      <c r="H2820" s="116"/>
      <c r="I2820" s="116"/>
      <c r="L2820" s="166">
        <v>46160</v>
      </c>
      <c r="M2820" s="116">
        <v>484.3</v>
      </c>
      <c r="N2820" s="116">
        <v>487</v>
      </c>
      <c r="O2820" s="116">
        <v>469.65</v>
      </c>
      <c r="P2820" s="116">
        <v>478</v>
      </c>
      <c r="Q2820" s="116">
        <v>484.3</v>
      </c>
      <c r="R2820">
        <v>402116</v>
      </c>
    </row>
    <row r="2821" spans="1:18" x14ac:dyDescent="0.25">
      <c r="A2821" s="166">
        <v>46161</v>
      </c>
      <c r="B2821">
        <v>486.7</v>
      </c>
      <c r="C2821">
        <v>485.55</v>
      </c>
      <c r="D2821">
        <v>480.05</v>
      </c>
      <c r="E2821">
        <v>481.1</v>
      </c>
      <c r="F2821">
        <v>485.55</v>
      </c>
      <c r="G2821">
        <v>10510</v>
      </c>
      <c r="H2821" s="116"/>
      <c r="I2821" s="116"/>
      <c r="L2821" s="166">
        <v>46161</v>
      </c>
      <c r="M2821" s="116">
        <v>485.15</v>
      </c>
      <c r="N2821" s="116">
        <v>487.45</v>
      </c>
      <c r="O2821" s="116">
        <v>478.1</v>
      </c>
      <c r="P2821" s="116">
        <v>478.1</v>
      </c>
      <c r="Q2821" s="116">
        <v>485.15</v>
      </c>
      <c r="R2821">
        <v>290864</v>
      </c>
    </row>
    <row r="2822" spans="1:18" x14ac:dyDescent="0.25">
      <c r="A2822" s="166">
        <v>46162</v>
      </c>
      <c r="B2822">
        <v>488.45</v>
      </c>
      <c r="C2822">
        <v>486</v>
      </c>
      <c r="D2822">
        <v>475.85</v>
      </c>
      <c r="E2822">
        <v>479.45</v>
      </c>
      <c r="F2822">
        <v>486</v>
      </c>
      <c r="G2822">
        <v>20985</v>
      </c>
      <c r="H2822" s="116"/>
      <c r="I2822" s="116"/>
      <c r="L2822" s="166">
        <v>46162</v>
      </c>
      <c r="M2822" s="116">
        <v>486.25</v>
      </c>
      <c r="N2822" s="116">
        <v>488.5</v>
      </c>
      <c r="O2822" s="116">
        <v>475.5</v>
      </c>
      <c r="P2822" s="116">
        <v>484.75</v>
      </c>
      <c r="Q2822" s="116">
        <v>486.25</v>
      </c>
      <c r="R2822">
        <v>192164</v>
      </c>
    </row>
    <row r="2823" spans="1:18" x14ac:dyDescent="0.25">
      <c r="A2823" s="166">
        <v>46163</v>
      </c>
      <c r="B2823">
        <v>520</v>
      </c>
      <c r="C2823">
        <v>504.5</v>
      </c>
      <c r="D2823">
        <v>486.65</v>
      </c>
      <c r="E2823">
        <v>486.65</v>
      </c>
      <c r="F2823">
        <v>504.5</v>
      </c>
      <c r="G2823">
        <v>62561</v>
      </c>
      <c r="H2823" s="116"/>
      <c r="I2823" s="116"/>
      <c r="L2823" s="166">
        <v>46163</v>
      </c>
      <c r="M2823" s="116">
        <v>504.15</v>
      </c>
      <c r="N2823" s="116">
        <v>520.35</v>
      </c>
      <c r="O2823" s="116">
        <v>488.05</v>
      </c>
      <c r="P2823" s="116">
        <v>490</v>
      </c>
      <c r="Q2823" s="116">
        <v>504.15</v>
      </c>
      <c r="R2823">
        <v>1484242</v>
      </c>
    </row>
    <row r="2824" spans="1:18" x14ac:dyDescent="0.25">
      <c r="A2824" s="166">
        <v>46164</v>
      </c>
      <c r="B2824">
        <v>539.5</v>
      </c>
      <c r="C2824">
        <v>533.35</v>
      </c>
      <c r="D2824">
        <v>506.95</v>
      </c>
      <c r="E2824">
        <v>506.95</v>
      </c>
      <c r="F2824">
        <v>533.35</v>
      </c>
      <c r="G2824">
        <v>179449</v>
      </c>
      <c r="H2824" s="116"/>
      <c r="I2824" s="116"/>
      <c r="L2824" s="166">
        <v>46164</v>
      </c>
      <c r="M2824" s="116">
        <v>533.25</v>
      </c>
      <c r="N2824" s="116">
        <v>539.5</v>
      </c>
      <c r="O2824" s="116">
        <v>508</v>
      </c>
      <c r="P2824" s="116">
        <v>509.9</v>
      </c>
      <c r="Q2824" s="116">
        <v>533.25</v>
      </c>
      <c r="R2824">
        <v>3521385</v>
      </c>
    </row>
    <row r="2825" spans="1:18" x14ac:dyDescent="0.25">
      <c r="A2825" s="166">
        <v>46167</v>
      </c>
      <c r="B2825">
        <v>549.6</v>
      </c>
      <c r="C2825">
        <v>547.15</v>
      </c>
      <c r="D2825">
        <v>527.70000000000005</v>
      </c>
      <c r="E2825">
        <v>538.95000000000005</v>
      </c>
      <c r="F2825">
        <v>547.15</v>
      </c>
      <c r="G2825">
        <v>77175</v>
      </c>
      <c r="H2825" s="116"/>
      <c r="I2825" s="116"/>
      <c r="L2825" s="166">
        <v>46167</v>
      </c>
      <c r="M2825" s="116">
        <v>547.4</v>
      </c>
      <c r="N2825" s="116">
        <v>550</v>
      </c>
      <c r="O2825" s="116">
        <v>527.85</v>
      </c>
      <c r="P2825" s="116">
        <v>538</v>
      </c>
      <c r="Q2825" s="116">
        <v>547.4</v>
      </c>
      <c r="R2825">
        <v>876345</v>
      </c>
    </row>
    <row r="2826" spans="1:18" x14ac:dyDescent="0.25">
      <c r="A2826" s="166">
        <v>46168</v>
      </c>
      <c r="B2826">
        <v>547</v>
      </c>
      <c r="C2826">
        <v>525.54999999999995</v>
      </c>
      <c r="D2826">
        <v>523</v>
      </c>
      <c r="E2826">
        <v>547</v>
      </c>
      <c r="F2826">
        <v>525.54999999999995</v>
      </c>
      <c r="G2826">
        <v>37262</v>
      </c>
      <c r="H2826" s="116"/>
      <c r="I2826" s="116"/>
      <c r="L2826" s="166">
        <v>46168</v>
      </c>
      <c r="M2826" s="116">
        <v>525.15</v>
      </c>
      <c r="N2826" s="116">
        <v>547</v>
      </c>
      <c r="O2826" s="116">
        <v>523</v>
      </c>
      <c r="P2826" s="116">
        <v>547</v>
      </c>
      <c r="Q2826" s="116">
        <v>525.15</v>
      </c>
      <c r="R2826">
        <v>513373</v>
      </c>
    </row>
    <row r="2827" spans="1:18" x14ac:dyDescent="0.25">
      <c r="A2827" s="166">
        <v>46169</v>
      </c>
      <c r="B2827">
        <v>539.5</v>
      </c>
      <c r="C2827">
        <v>532.70000000000005</v>
      </c>
      <c r="D2827">
        <v>524.4</v>
      </c>
      <c r="E2827">
        <v>524.4</v>
      </c>
      <c r="F2827">
        <v>532.70000000000005</v>
      </c>
      <c r="G2827">
        <v>41354</v>
      </c>
      <c r="H2827" s="116"/>
      <c r="I2827" s="116"/>
      <c r="L2827" s="166">
        <v>46169</v>
      </c>
      <c r="M2827" s="116">
        <v>532.70000000000005</v>
      </c>
      <c r="N2827" s="116">
        <v>539.70000000000005</v>
      </c>
      <c r="O2827" s="116">
        <v>525.15</v>
      </c>
      <c r="P2827" s="116">
        <v>525.15</v>
      </c>
      <c r="Q2827" s="116">
        <v>532.70000000000005</v>
      </c>
      <c r="R2827">
        <v>354129</v>
      </c>
    </row>
    <row r="2828" spans="1:18" x14ac:dyDescent="0.25">
      <c r="A2828" s="166">
        <v>46171</v>
      </c>
      <c r="B2828">
        <v>537</v>
      </c>
      <c r="C2828">
        <v>510.2</v>
      </c>
      <c r="D2828">
        <v>507</v>
      </c>
      <c r="E2828">
        <v>530.35</v>
      </c>
      <c r="F2828">
        <v>510.2</v>
      </c>
      <c r="G2828">
        <v>33605</v>
      </c>
      <c r="H2828" s="116"/>
      <c r="I2828" s="116"/>
      <c r="L2828" s="166">
        <v>46171</v>
      </c>
      <c r="M2828" s="116">
        <v>510</v>
      </c>
      <c r="N2828" s="116">
        <v>537.15</v>
      </c>
      <c r="O2828" s="116">
        <v>506.35</v>
      </c>
      <c r="P2828" s="116">
        <v>531</v>
      </c>
      <c r="Q2828" s="116">
        <v>510</v>
      </c>
      <c r="R2828">
        <v>792179</v>
      </c>
    </row>
    <row r="2829" spans="1:18" x14ac:dyDescent="0.25">
      <c r="A2829" s="166">
        <v>46174</v>
      </c>
      <c r="B2829">
        <v>522.15</v>
      </c>
      <c r="C2829">
        <v>504.15</v>
      </c>
      <c r="D2829">
        <v>501</v>
      </c>
      <c r="E2829">
        <v>511.2</v>
      </c>
      <c r="F2829">
        <v>504.15</v>
      </c>
      <c r="G2829">
        <v>44872</v>
      </c>
      <c r="H2829" s="116"/>
      <c r="I2829" s="116"/>
      <c r="L2829" s="166">
        <v>46174</v>
      </c>
      <c r="M2829" s="116">
        <v>504.55</v>
      </c>
      <c r="N2829" s="116">
        <v>522.95000000000005</v>
      </c>
      <c r="O2829" s="116">
        <v>501</v>
      </c>
      <c r="P2829" s="116">
        <v>514.9</v>
      </c>
      <c r="Q2829" s="116">
        <v>504.55</v>
      </c>
      <c r="R2829">
        <v>335216</v>
      </c>
    </row>
    <row r="2830" spans="1:18" x14ac:dyDescent="0.25">
      <c r="A2830" s="166">
        <v>46175</v>
      </c>
      <c r="B2830">
        <v>510</v>
      </c>
      <c r="C2830">
        <v>508.7</v>
      </c>
      <c r="D2830">
        <v>497</v>
      </c>
      <c r="E2830">
        <v>500.45</v>
      </c>
      <c r="F2830">
        <v>508.7</v>
      </c>
      <c r="G2830">
        <v>14930</v>
      </c>
      <c r="H2830" s="116"/>
      <c r="I2830" s="116"/>
      <c r="L2830" s="166">
        <v>46175</v>
      </c>
      <c r="M2830" s="116">
        <v>508.9</v>
      </c>
      <c r="N2830" s="116">
        <v>510.85</v>
      </c>
      <c r="O2830" s="116">
        <v>496.35</v>
      </c>
      <c r="P2830" s="116">
        <v>501</v>
      </c>
      <c r="Q2830" s="116">
        <v>508.9</v>
      </c>
      <c r="R2830">
        <v>265564</v>
      </c>
    </row>
    <row r="2831" spans="1:18" x14ac:dyDescent="0.25">
      <c r="A2831" s="166">
        <v>46176</v>
      </c>
      <c r="B2831">
        <v>510.2</v>
      </c>
      <c r="C2831">
        <v>504.6</v>
      </c>
      <c r="D2831">
        <v>495.15</v>
      </c>
      <c r="E2831">
        <v>510.2</v>
      </c>
      <c r="F2831">
        <v>504.6</v>
      </c>
      <c r="G2831">
        <v>9670</v>
      </c>
      <c r="H2831" s="116"/>
      <c r="I2831" s="116"/>
      <c r="L2831" s="166">
        <v>46176</v>
      </c>
      <c r="M2831" s="116">
        <v>505.35</v>
      </c>
      <c r="N2831" s="116">
        <v>509</v>
      </c>
      <c r="O2831" s="116">
        <v>495.5</v>
      </c>
      <c r="P2831" s="116">
        <v>509</v>
      </c>
      <c r="Q2831" s="116">
        <v>505.35</v>
      </c>
      <c r="R2831">
        <v>206391</v>
      </c>
    </row>
    <row r="2832" spans="1:18" x14ac:dyDescent="0.25">
      <c r="A2832" s="166">
        <v>46177</v>
      </c>
      <c r="B2832">
        <v>526</v>
      </c>
      <c r="C2832">
        <v>506.95</v>
      </c>
      <c r="D2832">
        <v>505</v>
      </c>
      <c r="E2832">
        <v>509.7</v>
      </c>
      <c r="F2832">
        <v>506.95</v>
      </c>
      <c r="G2832">
        <v>28634</v>
      </c>
      <c r="H2832" s="116"/>
      <c r="I2832" s="116"/>
      <c r="L2832" s="166">
        <v>46177</v>
      </c>
      <c r="M2832" s="116">
        <v>506.2</v>
      </c>
      <c r="N2832" s="116">
        <v>526</v>
      </c>
      <c r="O2832" s="116">
        <v>504.45</v>
      </c>
      <c r="P2832" s="116">
        <v>509.1</v>
      </c>
      <c r="Q2832" s="116">
        <v>506.2</v>
      </c>
      <c r="R2832">
        <v>472596</v>
      </c>
    </row>
    <row r="2833" spans="1:18" x14ac:dyDescent="0.25">
      <c r="A2833" s="166">
        <v>46178</v>
      </c>
      <c r="B2833">
        <v>534</v>
      </c>
      <c r="C2833">
        <v>531.25</v>
      </c>
      <c r="D2833">
        <v>506.35</v>
      </c>
      <c r="E2833">
        <v>506.35</v>
      </c>
      <c r="F2833">
        <v>531.25</v>
      </c>
      <c r="G2833">
        <v>80296</v>
      </c>
      <c r="H2833" s="116"/>
      <c r="I2833" s="116"/>
      <c r="L2833" s="166">
        <v>46178</v>
      </c>
      <c r="M2833" s="116">
        <v>531.35</v>
      </c>
      <c r="N2833" s="116">
        <v>534</v>
      </c>
      <c r="O2833" s="116">
        <v>506.65</v>
      </c>
      <c r="P2833" s="116">
        <v>510.9</v>
      </c>
      <c r="Q2833" s="116">
        <v>531.35</v>
      </c>
      <c r="R2833">
        <v>870558</v>
      </c>
    </row>
    <row r="2834" spans="1:18" x14ac:dyDescent="0.25">
      <c r="A2834" s="166">
        <v>46181</v>
      </c>
      <c r="B2834">
        <v>527.29999999999995</v>
      </c>
      <c r="C2834">
        <v>521.15</v>
      </c>
      <c r="D2834">
        <v>513.65</v>
      </c>
      <c r="E2834">
        <v>527.29999999999995</v>
      </c>
      <c r="F2834">
        <v>521.15</v>
      </c>
      <c r="G2834">
        <v>18243</v>
      </c>
      <c r="H2834" s="116"/>
      <c r="I2834" s="116"/>
      <c r="L2834" s="166">
        <v>46181</v>
      </c>
      <c r="M2834" s="116">
        <v>521.1</v>
      </c>
      <c r="N2834" s="116">
        <v>525.15</v>
      </c>
      <c r="O2834" s="116">
        <v>512.6</v>
      </c>
      <c r="P2834" s="116">
        <v>525.15</v>
      </c>
      <c r="Q2834" s="116">
        <v>521.1</v>
      </c>
      <c r="R2834">
        <v>326256</v>
      </c>
    </row>
    <row r="2835" spans="1:18" x14ac:dyDescent="0.25">
      <c r="A2835" s="166">
        <v>46182</v>
      </c>
      <c r="B2835">
        <v>541.04999999999995</v>
      </c>
      <c r="C2835">
        <v>533.04999999999995</v>
      </c>
      <c r="D2835">
        <v>521.70000000000005</v>
      </c>
      <c r="E2835">
        <v>522</v>
      </c>
      <c r="F2835">
        <v>533.04999999999995</v>
      </c>
      <c r="G2835">
        <v>68645</v>
      </c>
      <c r="H2835" s="116"/>
      <c r="I2835" s="116"/>
      <c r="L2835" s="166">
        <v>46182</v>
      </c>
      <c r="M2835" s="116">
        <v>532.85</v>
      </c>
      <c r="N2835" s="116">
        <v>541</v>
      </c>
      <c r="O2835" s="116">
        <v>522</v>
      </c>
      <c r="P2835" s="116">
        <v>524.6</v>
      </c>
      <c r="Q2835" s="116">
        <v>532.85</v>
      </c>
      <c r="R2835">
        <v>726820</v>
      </c>
    </row>
    <row r="2836" spans="1:18" x14ac:dyDescent="0.25">
      <c r="A2836" s="166">
        <v>46183</v>
      </c>
      <c r="B2836">
        <v>545.79999999999995</v>
      </c>
      <c r="C2836">
        <v>523.25</v>
      </c>
      <c r="D2836">
        <v>518.95000000000005</v>
      </c>
      <c r="E2836">
        <v>535</v>
      </c>
      <c r="F2836">
        <v>523.25</v>
      </c>
      <c r="G2836">
        <v>83818</v>
      </c>
      <c r="H2836" s="116"/>
      <c r="I2836" s="116"/>
      <c r="L2836" s="166">
        <v>46183</v>
      </c>
      <c r="M2836" s="116">
        <v>522.95000000000005</v>
      </c>
      <c r="N2836" s="116">
        <v>545.65</v>
      </c>
      <c r="O2836" s="116">
        <v>519.20000000000005</v>
      </c>
      <c r="P2836" s="116">
        <v>536.79999999999995</v>
      </c>
      <c r="Q2836" s="116">
        <v>522.95000000000005</v>
      </c>
      <c r="R2836">
        <v>584395</v>
      </c>
    </row>
    <row r="2837" spans="1:18" x14ac:dyDescent="0.25">
      <c r="A2837" s="166">
        <v>46184</v>
      </c>
      <c r="B2837">
        <v>537.70000000000005</v>
      </c>
      <c r="C2837">
        <v>526.35</v>
      </c>
      <c r="D2837">
        <v>515</v>
      </c>
      <c r="E2837">
        <v>518.85</v>
      </c>
      <c r="F2837">
        <v>526.35</v>
      </c>
      <c r="G2837">
        <v>63754</v>
      </c>
      <c r="H2837" s="116"/>
      <c r="I2837" s="116"/>
      <c r="L2837" s="166">
        <v>46184</v>
      </c>
      <c r="M2837" s="116">
        <v>528.1</v>
      </c>
      <c r="N2837" s="116">
        <v>537.9</v>
      </c>
      <c r="O2837" s="116">
        <v>512</v>
      </c>
      <c r="P2837" s="116">
        <v>521.6</v>
      </c>
      <c r="Q2837" s="116">
        <v>528.1</v>
      </c>
      <c r="R2837">
        <v>777197</v>
      </c>
    </row>
    <row r="2838" spans="1:18" x14ac:dyDescent="0.25">
      <c r="A2838" s="166">
        <v>46185</v>
      </c>
      <c r="B2838">
        <v>551.65</v>
      </c>
      <c r="C2838">
        <v>535.15</v>
      </c>
      <c r="D2838">
        <v>529.04999999999995</v>
      </c>
      <c r="E2838">
        <v>538.4</v>
      </c>
      <c r="F2838">
        <v>535.15</v>
      </c>
      <c r="G2838">
        <v>43943</v>
      </c>
      <c r="H2838" s="116"/>
      <c r="I2838" s="116"/>
      <c r="L2838" s="166">
        <v>46185</v>
      </c>
      <c r="M2838" s="116">
        <v>536.85</v>
      </c>
      <c r="N2838" s="116">
        <v>551.5</v>
      </c>
      <c r="O2838" s="116">
        <v>528.70000000000005</v>
      </c>
      <c r="P2838" s="116">
        <v>534.79999999999995</v>
      </c>
      <c r="Q2838" s="116">
        <v>536.85</v>
      </c>
      <c r="R2838">
        <v>1246417</v>
      </c>
    </row>
    <row r="2839" spans="1:18" x14ac:dyDescent="0.25">
      <c r="A2839" s="166">
        <v>46188</v>
      </c>
      <c r="B2839">
        <v>563.4</v>
      </c>
      <c r="C2839">
        <v>559.9</v>
      </c>
      <c r="D2839">
        <v>533</v>
      </c>
      <c r="E2839">
        <v>548.1</v>
      </c>
      <c r="F2839">
        <v>559.9</v>
      </c>
      <c r="G2839">
        <v>66513</v>
      </c>
      <c r="H2839" s="116"/>
      <c r="I2839" s="116"/>
      <c r="L2839" s="166">
        <v>46188</v>
      </c>
      <c r="M2839" s="116">
        <v>560.35</v>
      </c>
      <c r="N2839" s="116">
        <v>564</v>
      </c>
      <c r="O2839" s="116">
        <v>532.9</v>
      </c>
      <c r="P2839" s="116">
        <v>542.5</v>
      </c>
      <c r="Q2839" s="116">
        <v>560.35</v>
      </c>
      <c r="R2839">
        <v>1503475</v>
      </c>
    </row>
    <row r="2840" spans="1:18" x14ac:dyDescent="0.25">
      <c r="A2840" s="166">
        <v>46189</v>
      </c>
      <c r="B2840">
        <v>576</v>
      </c>
      <c r="C2840">
        <v>556.65</v>
      </c>
      <c r="D2840">
        <v>552.5</v>
      </c>
      <c r="E2840">
        <v>569.85</v>
      </c>
      <c r="F2840">
        <v>556.65</v>
      </c>
      <c r="G2840">
        <v>76480</v>
      </c>
      <c r="H2840" s="116"/>
      <c r="I2840" s="116"/>
      <c r="L2840" s="166">
        <v>46189</v>
      </c>
      <c r="M2840" s="116">
        <v>556.4</v>
      </c>
      <c r="N2840" s="116">
        <v>576</v>
      </c>
      <c r="O2840" s="116">
        <v>552.35</v>
      </c>
      <c r="P2840" s="116">
        <v>567.04999999999995</v>
      </c>
      <c r="Q2840" s="116">
        <v>556.4</v>
      </c>
      <c r="R2840">
        <v>1322802</v>
      </c>
    </row>
    <row r="2841" spans="1:18" x14ac:dyDescent="0.25">
      <c r="A2841" s="166">
        <v>46190</v>
      </c>
      <c r="B2841">
        <v>566</v>
      </c>
      <c r="C2841">
        <v>557.9</v>
      </c>
      <c r="D2841">
        <v>553.1</v>
      </c>
      <c r="E2841">
        <v>560</v>
      </c>
      <c r="F2841">
        <v>557.9</v>
      </c>
      <c r="G2841">
        <v>76853</v>
      </c>
      <c r="H2841" s="116"/>
      <c r="I2841" s="116"/>
      <c r="L2841" s="166">
        <v>46190</v>
      </c>
      <c r="M2841" s="116">
        <v>558.65</v>
      </c>
      <c r="N2841" s="116">
        <v>566.45000000000005</v>
      </c>
      <c r="O2841" s="116">
        <v>553.35</v>
      </c>
      <c r="P2841" s="116">
        <v>559.29999999999995</v>
      </c>
      <c r="Q2841" s="116">
        <v>558.65</v>
      </c>
      <c r="R2841">
        <v>415123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2026-06-17T12:49:17Z</dcterms:modified>
  <cp:category/>
  <cp:contentStatus/>
</cp:coreProperties>
</file>